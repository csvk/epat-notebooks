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6675" windowHeight="12600" activeTab="2"/>
  </bookViews>
  <sheets>
    <sheet name="Mean_Std dev" sheetId="1" r:id="rId1"/>
    <sheet name="100 tosses" sheetId="2" r:id="rId2"/>
    <sheet name="Normal Distribution" sheetId="3" r:id="rId3"/>
  </sheets>
  <calcPr calcId="144525"/>
</workbook>
</file>

<file path=xl/calcChain.xml><?xml version="1.0" encoding="utf-8"?>
<calcChain xmlns="http://schemas.openxmlformats.org/spreadsheetml/2006/main">
  <c r="B14" i="1" l="1"/>
  <c r="H18" i="2" l="1"/>
  <c r="C8" i="1" l="1"/>
  <c r="B8" i="1"/>
  <c r="C9" i="1"/>
  <c r="B9" i="1"/>
  <c r="A23" i="1" l="1"/>
  <c r="B25" i="1" s="1"/>
  <c r="A25" i="1"/>
  <c r="C15" i="1" l="1"/>
  <c r="G4" i="1" l="1"/>
  <c r="G7" i="1"/>
  <c r="G3" i="1"/>
  <c r="G5" i="1"/>
  <c r="G6" i="1"/>
  <c r="D15" i="1"/>
  <c r="F15" i="1" s="1"/>
  <c r="D14" i="1"/>
  <c r="F14" i="1" s="1"/>
  <c r="B15" i="1"/>
  <c r="B18" i="1" l="1"/>
  <c r="G8" i="1"/>
  <c r="G9" i="1"/>
  <c r="B19" i="1"/>
  <c r="B20" i="1" s="1"/>
</calcChain>
</file>

<file path=xl/sharedStrings.xml><?xml version="1.0" encoding="utf-8"?>
<sst xmlns="http://schemas.openxmlformats.org/spreadsheetml/2006/main" count="51" uniqueCount="48">
  <si>
    <t>Stock</t>
  </si>
  <si>
    <t>Microsoft</t>
  </si>
  <si>
    <t>Google</t>
  </si>
  <si>
    <t>Fraction of wealth invested</t>
  </si>
  <si>
    <t>Returns of portfolio</t>
  </si>
  <si>
    <t>Std dev of returns</t>
  </si>
  <si>
    <t>Year 1</t>
  </si>
  <si>
    <t>Year 2</t>
  </si>
  <si>
    <t>Year 3</t>
  </si>
  <si>
    <t>Year 4</t>
  </si>
  <si>
    <t>Year 5</t>
  </si>
  <si>
    <t>Covariance</t>
  </si>
  <si>
    <t>Correlation</t>
  </si>
  <si>
    <t>MICROSOFT</t>
  </si>
  <si>
    <t>Mean Returns</t>
  </si>
  <si>
    <t>Assuming that the returns of Microsoft are normally distributed:</t>
  </si>
  <si>
    <t xml:space="preserve">This means: There is a 68.2% probability that the returns will lie between -1 std and +1 std dev </t>
  </si>
  <si>
    <t>Variance of portfolio</t>
  </si>
  <si>
    <t>Std dev of portfolio</t>
  </si>
  <si>
    <t>Variance</t>
  </si>
  <si>
    <t>Cov/std X /std Y</t>
  </si>
  <si>
    <t>tossing the coin 100 times</t>
  </si>
  <si>
    <t>Prob of getting 0 Heads</t>
  </si>
  <si>
    <t>0.5^100</t>
  </si>
  <si>
    <t>Prob of getting 1 head</t>
  </si>
  <si>
    <t>100C1*0.5^1*0.5^99</t>
  </si>
  <si>
    <t>Prob of getting 50 heads</t>
  </si>
  <si>
    <t>100C50*0.5^50*0.5^50</t>
  </si>
  <si>
    <t>toss a coin 100 times</t>
  </si>
  <si>
    <t>Experiment</t>
  </si>
  <si>
    <t>and calculate the number of heads</t>
  </si>
  <si>
    <t>Run this experiment 1 million times</t>
  </si>
  <si>
    <t>Prob of getting exactly 50 heads is 75000/1 million</t>
  </si>
  <si>
    <t>Say if I get 50 heads in 75000 experiments</t>
  </si>
  <si>
    <t>Therefore, there is a 68.2% prob that the returns will lie between 10%-6.7% and 10%+6.7% (3.3% and 16.7%)</t>
  </si>
  <si>
    <t>Std. Dev.</t>
  </si>
  <si>
    <t>PORTFOLIO</t>
  </si>
  <si>
    <t>Mean</t>
  </si>
  <si>
    <t>Normal Distribution</t>
  </si>
  <si>
    <t>=F14*C14^2+F15*C15^2+2*C14*C15*A25*D14*D15</t>
  </si>
  <si>
    <t>Therefore, there is a 95% prob that the returns will lie between 10%-2*6.7% and 10%+2*6.7% (-3.4% and 23.4%)</t>
  </si>
  <si>
    <t>Exp. Returns</t>
  </si>
  <si>
    <t>Std Dev</t>
  </si>
  <si>
    <t>If Microsoft is trading at $100 at the start of the year, then at the end of year 1:</t>
  </si>
  <si>
    <t>It is expected that there is a 68.2% chance that Microsoft will be trading between: $103.3 and $116.7</t>
  </si>
  <si>
    <t>It is expected that there is a 95% chance that Microsoft will be trading between: $96.7 and $123.4</t>
  </si>
  <si>
    <t>RETURNS</t>
  </si>
  <si>
    <t>Yearly Std dev.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</si>
</sst>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0.000%"/>
    <numFmt numFmtId="166" formatCode="0.0000"/>
    <numFmt numFmtId="167" formatCode="0.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9" fontId="0" fillId="0" borderId="0" xfId="0" applyNumberFormat="1"/>
    <xf numFmtId="0" fontId="2" fillId="0" borderId="0" xfId="0" applyFont="1"/>
    <xf numFmtId="164" fontId="0" fillId="0" borderId="0" xfId="1" applyNumberFormat="1" applyFont="1"/>
    <xf numFmtId="0" fontId="2" fillId="0" borderId="0" xfId="0" applyFont="1" applyAlignment="1">
      <alignment horizontal="center"/>
    </xf>
    <xf numFmtId="164" fontId="0" fillId="0" borderId="0" xfId="0" applyNumberFormat="1"/>
    <xf numFmtId="164" fontId="2" fillId="0" borderId="0" xfId="1" applyNumberFormat="1" applyFont="1"/>
    <xf numFmtId="0" fontId="2" fillId="2" borderId="0" xfId="0" applyFont="1" applyFill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165" fontId="0" fillId="0" borderId="0" xfId="1" applyNumberFormat="1" applyFont="1"/>
    <xf numFmtId="10" fontId="2" fillId="2" borderId="0" xfId="1" applyNumberFormat="1" applyFont="1" applyFill="1"/>
    <xf numFmtId="0" fontId="2" fillId="0" borderId="1" xfId="0" applyFont="1" applyBorder="1"/>
    <xf numFmtId="9" fontId="0" fillId="0" borderId="1" xfId="0" applyNumberFormat="1" applyBorder="1"/>
    <xf numFmtId="164" fontId="2" fillId="0" borderId="0" xfId="0" applyNumberFormat="1" applyFont="1"/>
    <xf numFmtId="166" fontId="0" fillId="0" borderId="0" xfId="0" applyNumberFormat="1" applyFont="1"/>
    <xf numFmtId="0" fontId="2" fillId="0" borderId="0" xfId="0" applyFont="1" applyBorder="1"/>
    <xf numFmtId="9" fontId="2" fillId="0" borderId="0" xfId="0" applyNumberFormat="1" applyFont="1" applyBorder="1"/>
    <xf numFmtId="0" fontId="2" fillId="4" borderId="0" xfId="0" applyFont="1" applyFill="1"/>
    <xf numFmtId="0" fontId="0" fillId="4" borderId="0" xfId="0" applyFill="1"/>
    <xf numFmtId="9" fontId="0" fillId="4" borderId="0" xfId="0" applyNumberFormat="1" applyFill="1"/>
    <xf numFmtId="164" fontId="0" fillId="4" borderId="0" xfId="1" applyNumberFormat="1" applyFont="1" applyFill="1"/>
    <xf numFmtId="165" fontId="0" fillId="4" borderId="0" xfId="1" applyNumberFormat="1" applyFont="1" applyFill="1"/>
    <xf numFmtId="165" fontId="0" fillId="0" borderId="0" xfId="1" applyNumberFormat="1" applyFont="1" applyFill="1"/>
    <xf numFmtId="167" fontId="0" fillId="0" borderId="0" xfId="0" quotePrefix="1" applyNumberFormat="1"/>
    <xf numFmtId="9" fontId="0" fillId="0" borderId="0" xfId="1" applyFont="1"/>
    <xf numFmtId="164" fontId="2" fillId="0" borderId="0" xfId="0" applyNumberFormat="1" applyFont="1" applyBorder="1"/>
    <xf numFmtId="10" fontId="2" fillId="0" borderId="0" xfId="0" applyNumberFormat="1" applyFont="1"/>
    <xf numFmtId="9" fontId="0" fillId="0" borderId="1" xfId="1" applyFont="1" applyBorder="1"/>
    <xf numFmtId="0" fontId="2" fillId="0" borderId="0" xfId="0" applyFont="1" applyFill="1" applyBorder="1"/>
    <xf numFmtId="0" fontId="0" fillId="0" borderId="0" xfId="0" applyFill="1" applyBorder="1"/>
    <xf numFmtId="9" fontId="0" fillId="0" borderId="0" xfId="1" applyNumberFormat="1" applyFont="1" applyFill="1" applyBorder="1"/>
    <xf numFmtId="164" fontId="2" fillId="0" borderId="0" xfId="0" applyNumberFormat="1" applyFont="1" applyFill="1" applyBorder="1"/>
    <xf numFmtId="10" fontId="2" fillId="0" borderId="0" xfId="0" applyNumberFormat="1" applyFont="1" applyFill="1" applyBorder="1"/>
    <xf numFmtId="0" fontId="2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6"/>
  <sheetViews>
    <sheetView zoomScale="180" zoomScaleNormal="180" workbookViewId="0">
      <selection activeCell="B9" sqref="B9"/>
    </sheetView>
  </sheetViews>
  <sheetFormatPr defaultRowHeight="15" x14ac:dyDescent="0.25"/>
  <cols>
    <col min="1" max="1" width="18.7109375" bestFit="1" customWidth="1"/>
    <col min="2" max="2" width="11.5703125" customWidth="1"/>
    <col min="3" max="3" width="25.7109375" customWidth="1"/>
    <col min="4" max="4" width="9.140625" customWidth="1"/>
    <col min="5" max="5" width="15.42578125" hidden="1" customWidth="1"/>
    <col min="6" max="6" width="9.140625" hidden="1" customWidth="1"/>
    <col min="7" max="7" width="22.140625" customWidth="1"/>
    <col min="8" max="10" width="9.140625" customWidth="1"/>
  </cols>
  <sheetData>
    <row r="1" spans="1:9" x14ac:dyDescent="0.25">
      <c r="B1" s="35" t="s">
        <v>46</v>
      </c>
      <c r="C1" s="35"/>
    </row>
    <row r="2" spans="1:9" x14ac:dyDescent="0.25">
      <c r="B2" s="2" t="s">
        <v>1</v>
      </c>
      <c r="C2" s="4" t="s">
        <v>2</v>
      </c>
      <c r="E2" s="30"/>
      <c r="F2" s="31"/>
      <c r="G2" s="2" t="s">
        <v>4</v>
      </c>
    </row>
    <row r="3" spans="1:9" x14ac:dyDescent="0.25">
      <c r="A3" s="2" t="s">
        <v>6</v>
      </c>
      <c r="B3" s="1">
        <v>0.1</v>
      </c>
      <c r="C3" s="1">
        <v>0.12</v>
      </c>
      <c r="E3" s="32"/>
      <c r="F3" s="31"/>
      <c r="G3" s="26">
        <f>B3*$C$14+C3*$C$15</f>
        <v>0.11</v>
      </c>
    </row>
    <row r="4" spans="1:9" x14ac:dyDescent="0.25">
      <c r="A4" s="2" t="s">
        <v>7</v>
      </c>
      <c r="B4" s="1">
        <v>0.01</v>
      </c>
      <c r="C4" s="1">
        <v>-0.04</v>
      </c>
      <c r="E4" s="32"/>
      <c r="F4" s="31"/>
      <c r="G4" s="26">
        <f>B4*$C$14+C4*$C$15</f>
        <v>-1.4999999999999999E-2</v>
      </c>
      <c r="I4" s="2"/>
    </row>
    <row r="5" spans="1:9" x14ac:dyDescent="0.25">
      <c r="A5" s="2" t="s">
        <v>8</v>
      </c>
      <c r="B5" s="1">
        <v>0.15</v>
      </c>
      <c r="C5" s="1">
        <v>0.21</v>
      </c>
      <c r="E5" s="32"/>
      <c r="F5" s="30"/>
      <c r="G5" s="26">
        <f>B5*$C$14+C5*$C$15</f>
        <v>0.18</v>
      </c>
    </row>
    <row r="6" spans="1:9" x14ac:dyDescent="0.25">
      <c r="A6" s="2" t="s">
        <v>9</v>
      </c>
      <c r="B6" s="1">
        <v>0.183</v>
      </c>
      <c r="C6" s="1">
        <v>0.13</v>
      </c>
      <c r="E6" s="32"/>
      <c r="F6" s="31"/>
      <c r="G6" s="26">
        <f>B6*$C$14+C6*$C$15</f>
        <v>0.1565</v>
      </c>
    </row>
    <row r="7" spans="1:9" x14ac:dyDescent="0.25">
      <c r="A7" s="13" t="s">
        <v>10</v>
      </c>
      <c r="B7" s="14">
        <v>0.08</v>
      </c>
      <c r="C7" s="14">
        <v>0.25</v>
      </c>
      <c r="E7" s="32"/>
      <c r="F7" s="31"/>
      <c r="G7" s="29">
        <f>B7*$C$14+C7*$C$15</f>
        <v>0.16500000000000001</v>
      </c>
    </row>
    <row r="8" spans="1:9" x14ac:dyDescent="0.25">
      <c r="A8" s="17" t="s">
        <v>37</v>
      </c>
      <c r="B8" s="18">
        <f>AVERAGE(B3:B7)</f>
        <v>0.1046</v>
      </c>
      <c r="C8" s="18">
        <f>AVERAGE(C3:C7)</f>
        <v>0.13399999999999998</v>
      </c>
      <c r="E8" s="33"/>
      <c r="F8" s="31"/>
      <c r="G8" s="27">
        <f>AVERAGE(G3:G7)</f>
        <v>0.1193</v>
      </c>
    </row>
    <row r="9" spans="1:9" x14ac:dyDescent="0.25">
      <c r="A9" s="2" t="s">
        <v>35</v>
      </c>
      <c r="B9" s="15">
        <f>_xlfn.STDEV.S(B3:B7)</f>
        <v>6.6676832558243207E-2</v>
      </c>
      <c r="C9" s="15">
        <f>_xlfn.STDEV.S(C3:C7)</f>
        <v>0.1114899098573499</v>
      </c>
      <c r="E9" s="34"/>
      <c r="F9" s="31"/>
      <c r="G9" s="28">
        <f>_xlfn.STDEV.S(G3:G7)</f>
        <v>7.9498113185156774E-2</v>
      </c>
      <c r="H9" s="2" t="s">
        <v>42</v>
      </c>
    </row>
    <row r="10" spans="1:9" x14ac:dyDescent="0.25">
      <c r="A10" s="2"/>
      <c r="B10" s="1"/>
      <c r="C10" s="1"/>
      <c r="E10" s="31"/>
      <c r="F10" s="31"/>
    </row>
    <row r="11" spans="1:9" ht="15" hidden="1" customHeight="1" x14ac:dyDescent="0.25"/>
    <row r="12" spans="1:9" ht="15" customHeight="1" x14ac:dyDescent="0.25">
      <c r="A12" s="19" t="s">
        <v>36</v>
      </c>
      <c r="B12" s="20"/>
      <c r="C12" s="20"/>
      <c r="D12" s="20"/>
      <c r="E12" s="20"/>
      <c r="F12" s="20"/>
    </row>
    <row r="13" spans="1:9" ht="15" customHeight="1" x14ac:dyDescent="0.25">
      <c r="A13" s="19" t="s">
        <v>0</v>
      </c>
      <c r="B13" s="19" t="s">
        <v>41</v>
      </c>
      <c r="C13" s="19" t="s">
        <v>3</v>
      </c>
      <c r="D13" s="19" t="s">
        <v>5</v>
      </c>
      <c r="E13" s="20"/>
      <c r="F13" s="19" t="s">
        <v>19</v>
      </c>
      <c r="G13" s="2"/>
    </row>
    <row r="14" spans="1:9" ht="15" customHeight="1" x14ac:dyDescent="0.25">
      <c r="A14" s="20" t="s">
        <v>1</v>
      </c>
      <c r="B14" s="21">
        <f>AVERAGE(B3:B7)</f>
        <v>0.1046</v>
      </c>
      <c r="C14" s="20">
        <v>0.5</v>
      </c>
      <c r="D14" s="22">
        <f>_xlfn.STDEV.S(B3:B7)</f>
        <v>6.6676832558243207E-2</v>
      </c>
      <c r="E14" s="19"/>
      <c r="F14" s="20">
        <f>D14^2</f>
        <v>4.4458000000000015E-3</v>
      </c>
    </row>
    <row r="15" spans="1:9" ht="15" customHeight="1" x14ac:dyDescent="0.25">
      <c r="A15" s="20" t="s">
        <v>2</v>
      </c>
      <c r="B15" s="21">
        <f>AVERAGE(C3:C7)</f>
        <v>0.13399999999999998</v>
      </c>
      <c r="C15" s="20">
        <f>1-C14</f>
        <v>0.5</v>
      </c>
      <c r="D15" s="22">
        <f>_xlfn.STDEV.S(C3:C7)</f>
        <v>0.1114899098573499</v>
      </c>
      <c r="E15" s="20"/>
      <c r="F15" s="20">
        <f>D15^2</f>
        <v>1.2430000000000005E-2</v>
      </c>
    </row>
    <row r="16" spans="1:9" ht="15" customHeight="1" x14ac:dyDescent="0.25"/>
    <row r="17" spans="1:7" ht="15" customHeight="1" x14ac:dyDescent="0.25"/>
    <row r="18" spans="1:7" ht="15" customHeight="1" x14ac:dyDescent="0.25">
      <c r="A18" s="7" t="s">
        <v>4</v>
      </c>
      <c r="B18" s="12">
        <f>B14*C14+B15*C15</f>
        <v>0.11929999999999999</v>
      </c>
    </row>
    <row r="19" spans="1:7" ht="15" customHeight="1" x14ac:dyDescent="0.25">
      <c r="A19" t="s">
        <v>17</v>
      </c>
      <c r="B19" s="11">
        <f>F14*C14^2+F15*C15^2+2*C14*C15*A25*D14*D15</f>
        <v>6.319950000000003E-3</v>
      </c>
      <c r="C19" s="25" t="s">
        <v>39</v>
      </c>
      <c r="G19" s="6"/>
    </row>
    <row r="20" spans="1:7" ht="15" customHeight="1" x14ac:dyDescent="0.25">
      <c r="A20" t="s">
        <v>18</v>
      </c>
      <c r="B20" s="23">
        <f>SQRT(B19)</f>
        <v>7.9498113185156816E-2</v>
      </c>
    </row>
    <row r="21" spans="1:7" ht="15" customHeight="1" x14ac:dyDescent="0.25">
      <c r="B21" s="24"/>
    </row>
    <row r="22" spans="1:7" ht="15" customHeight="1" x14ac:dyDescent="0.25">
      <c r="A22" s="2" t="s">
        <v>11</v>
      </c>
      <c r="B22" s="1"/>
      <c r="C22" s="1"/>
    </row>
    <row r="23" spans="1:7" ht="15" customHeight="1" x14ac:dyDescent="0.25">
      <c r="A23" s="16">
        <f>_xlfn.COVARIANCE.S(B3:B7,C3:C7)</f>
        <v>4.202E-3</v>
      </c>
      <c r="B23" s="1"/>
      <c r="C23" s="1"/>
    </row>
    <row r="24" spans="1:7" ht="15" customHeight="1" x14ac:dyDescent="0.25">
      <c r="A24" s="2" t="s">
        <v>12</v>
      </c>
      <c r="B24" s="2" t="s">
        <v>20</v>
      </c>
      <c r="C24" s="1"/>
    </row>
    <row r="25" spans="1:7" ht="15" customHeight="1" x14ac:dyDescent="0.25">
      <c r="A25" s="16">
        <f>CORREL(B3:B7,C3:C7)</f>
        <v>0.56525644521407692</v>
      </c>
      <c r="B25" s="16">
        <f>A23/B9/C9</f>
        <v>0.56525644521407659</v>
      </c>
      <c r="C25" s="1"/>
    </row>
    <row r="26" spans="1:7" ht="15" customHeight="1" x14ac:dyDescent="0.25">
      <c r="A26" s="16"/>
      <c r="B26" s="16"/>
      <c r="C26" s="1"/>
    </row>
  </sheetData>
  <mergeCells count="1">
    <mergeCell ref="B1:C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4:H18"/>
  <sheetViews>
    <sheetView zoomScale="150" zoomScaleNormal="150" workbookViewId="0">
      <selection activeCell="D50" sqref="D50"/>
    </sheetView>
  </sheetViews>
  <sheetFormatPr defaultRowHeight="15" x14ac:dyDescent="0.25"/>
  <cols>
    <col min="3" max="3" width="11.42578125" customWidth="1"/>
  </cols>
  <sheetData>
    <row r="4" spans="3:8" x14ac:dyDescent="0.25">
      <c r="D4" t="s">
        <v>21</v>
      </c>
    </row>
    <row r="6" spans="3:8" x14ac:dyDescent="0.25">
      <c r="D6" t="s">
        <v>22</v>
      </c>
      <c r="G6" t="s">
        <v>23</v>
      </c>
    </row>
    <row r="7" spans="3:8" x14ac:dyDescent="0.25">
      <c r="D7" s="2" t="s">
        <v>24</v>
      </c>
      <c r="E7" s="2"/>
      <c r="F7" s="2"/>
      <c r="G7" s="2" t="s">
        <v>25</v>
      </c>
      <c r="H7" s="2"/>
    </row>
    <row r="9" spans="3:8" x14ac:dyDescent="0.25">
      <c r="D9" s="2" t="s">
        <v>26</v>
      </c>
      <c r="G9" s="2" t="s">
        <v>27</v>
      </c>
    </row>
    <row r="12" spans="3:8" x14ac:dyDescent="0.25">
      <c r="C12" s="2" t="s">
        <v>29</v>
      </c>
      <c r="D12" t="s">
        <v>28</v>
      </c>
      <c r="F12" t="s">
        <v>30</v>
      </c>
    </row>
    <row r="14" spans="3:8" x14ac:dyDescent="0.25">
      <c r="C14" t="s">
        <v>31</v>
      </c>
    </row>
    <row r="17" spans="3:8" x14ac:dyDescent="0.25">
      <c r="C17" t="s">
        <v>33</v>
      </c>
    </row>
    <row r="18" spans="3:8" x14ac:dyDescent="0.25">
      <c r="C18" s="2" t="s">
        <v>32</v>
      </c>
      <c r="H18">
        <f>0.075</f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5"/>
  <sheetViews>
    <sheetView tabSelected="1" zoomScale="150" zoomScaleNormal="150" workbookViewId="0">
      <selection activeCell="A4" sqref="A4"/>
    </sheetView>
  </sheetViews>
  <sheetFormatPr defaultRowHeight="15" x14ac:dyDescent="0.25"/>
  <cols>
    <col min="1" max="1" width="14.42578125" customWidth="1"/>
  </cols>
  <sheetData>
    <row r="1" spans="1:9" x14ac:dyDescent="0.25">
      <c r="A1" s="2" t="s">
        <v>38</v>
      </c>
      <c r="B1" s="3"/>
    </row>
    <row r="2" spans="1:9" x14ac:dyDescent="0.25">
      <c r="A2" s="2" t="s">
        <v>13</v>
      </c>
      <c r="B2" s="3"/>
    </row>
    <row r="3" spans="1:9" x14ac:dyDescent="0.25">
      <c r="A3" t="s">
        <v>14</v>
      </c>
      <c r="B3" s="3">
        <v>0.1</v>
      </c>
    </row>
    <row r="4" spans="1:9" x14ac:dyDescent="0.25">
      <c r="A4" t="s">
        <v>47</v>
      </c>
      <c r="B4" s="6">
        <v>6.7000000000000004E-2</v>
      </c>
    </row>
    <row r="5" spans="1:9" x14ac:dyDescent="0.25">
      <c r="B5" s="5"/>
    </row>
    <row r="6" spans="1:9" x14ac:dyDescent="0.25">
      <c r="A6" t="s">
        <v>15</v>
      </c>
    </row>
    <row r="7" spans="1:9" x14ac:dyDescent="0.25">
      <c r="A7" s="2"/>
      <c r="B7" s="2"/>
    </row>
    <row r="8" spans="1:9" x14ac:dyDescent="0.25">
      <c r="A8" t="s">
        <v>16</v>
      </c>
    </row>
    <row r="9" spans="1:9" x14ac:dyDescent="0.25">
      <c r="B9" s="7" t="s">
        <v>34</v>
      </c>
      <c r="C9" s="8"/>
      <c r="D9" s="8"/>
      <c r="E9" s="8"/>
      <c r="F9" s="8"/>
      <c r="G9" s="8"/>
    </row>
    <row r="10" spans="1:9" x14ac:dyDescent="0.25">
      <c r="B10" s="9" t="s">
        <v>40</v>
      </c>
      <c r="C10" s="10"/>
      <c r="D10" s="10"/>
      <c r="E10" s="10"/>
      <c r="F10" s="10"/>
      <c r="G10" s="10"/>
    </row>
    <row r="13" spans="1:9" x14ac:dyDescent="0.25">
      <c r="A13" s="2" t="s">
        <v>43</v>
      </c>
    </row>
    <row r="14" spans="1:9" x14ac:dyDescent="0.25">
      <c r="A14" s="8" t="s">
        <v>44</v>
      </c>
      <c r="B14" s="8"/>
      <c r="C14" s="8"/>
      <c r="D14" s="8"/>
      <c r="E14" s="8"/>
      <c r="F14" s="8"/>
      <c r="G14" s="8"/>
      <c r="H14" s="8"/>
      <c r="I14" s="8"/>
    </row>
    <row r="15" spans="1:9" x14ac:dyDescent="0.25">
      <c r="A15" s="8" t="s">
        <v>45</v>
      </c>
      <c r="B15" s="8"/>
      <c r="C15" s="8"/>
      <c r="D15" s="8"/>
      <c r="E15" s="8"/>
      <c r="F15" s="8"/>
      <c r="G15" s="8"/>
      <c r="H15" s="8"/>
      <c r="I15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Mean_Std dev</vt:lpstr>
      <vt:lpstr>100 tosses</vt:lpstr>
      <vt:lpstr>Normal Distribution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Nitin Aggarwal</cp:lastModifiedBy>
  <dcterms:created xsi:type="dcterms:W3CDTF">2018-10-21T08:14:27Z</dcterms:created>
  <dcterms:modified xsi:type="dcterms:W3CDTF">2021-01-17T06:52:38Z</dcterms:modified>
</cp:coreProperties>
</file>