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2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480" yWindow="90" windowWidth="15315" windowHeight="24330" activeTab="5"/>
  </bookViews>
  <sheets>
    <sheet name="Chart1" sheetId="3" r:id="rId1"/>
    <sheet name="Data_SBIN_ICICI" sheetId="1" r:id="rId2"/>
    <sheet name="Nifty" sheetId="2" r:id="rId3"/>
    <sheet name="Sheet1" sheetId="4" r:id="rId4"/>
    <sheet name="Chart2" sheetId="6" r:id="rId5"/>
    <sheet name="Bollinger Bands" sheetId="5" r:id="rId6"/>
  </sheets>
  <definedNames>
    <definedName name="_xlnm._FilterDatabase" localSheetId="2" hidden="1">Nifty!$A$1:$B$2508</definedName>
  </definedNames>
  <calcPr calcId="144525" calcCompleted="0"/>
</workbook>
</file>

<file path=xl/calcChain.xml><?xml version="1.0" encoding="utf-8"?>
<calcChain xmlns="http://schemas.openxmlformats.org/spreadsheetml/2006/main">
  <c r="G2508" i="5" l="1"/>
  <c r="F2508" i="5"/>
  <c r="G2507" i="5"/>
  <c r="F2507" i="5"/>
  <c r="G2506" i="5"/>
  <c r="F2506" i="5"/>
  <c r="G2505" i="5"/>
  <c r="F2505" i="5"/>
  <c r="G2504" i="5"/>
  <c r="F2504" i="5"/>
  <c r="G2503" i="5"/>
  <c r="F2503" i="5"/>
  <c r="G2502" i="5"/>
  <c r="F2502" i="5"/>
  <c r="G2501" i="5"/>
  <c r="F2501" i="5"/>
  <c r="G2500" i="5"/>
  <c r="F2500" i="5"/>
  <c r="G2499" i="5"/>
  <c r="F2499" i="5"/>
  <c r="G2498" i="5"/>
  <c r="F2498" i="5"/>
  <c r="G2497" i="5"/>
  <c r="F2497" i="5"/>
  <c r="G2496" i="5"/>
  <c r="F2496" i="5"/>
  <c r="G2495" i="5"/>
  <c r="F2495" i="5"/>
  <c r="G2494" i="5"/>
  <c r="F2494" i="5"/>
  <c r="G2493" i="5"/>
  <c r="F2493" i="5"/>
  <c r="G2492" i="5"/>
  <c r="F2492" i="5"/>
  <c r="G2491" i="5"/>
  <c r="F2491" i="5"/>
  <c r="G2490" i="5"/>
  <c r="F2490" i="5"/>
  <c r="G2489" i="5"/>
  <c r="F2489" i="5"/>
  <c r="G2488" i="5"/>
  <c r="F2488" i="5"/>
  <c r="G2487" i="5"/>
  <c r="F2487" i="5"/>
  <c r="G2486" i="5"/>
  <c r="F2486" i="5"/>
  <c r="G2485" i="5"/>
  <c r="F2485" i="5"/>
  <c r="G2484" i="5"/>
  <c r="F2484" i="5"/>
  <c r="G2483" i="5"/>
  <c r="F2483" i="5"/>
  <c r="G2482" i="5"/>
  <c r="F2482" i="5"/>
  <c r="G2481" i="5"/>
  <c r="F2481" i="5"/>
  <c r="G2480" i="5"/>
  <c r="F2480" i="5"/>
  <c r="G2479" i="5"/>
  <c r="F2479" i="5"/>
  <c r="G2478" i="5"/>
  <c r="F2478" i="5"/>
  <c r="G2477" i="5"/>
  <c r="F2477" i="5"/>
  <c r="G2476" i="5"/>
  <c r="F2476" i="5"/>
  <c r="G2475" i="5"/>
  <c r="F2475" i="5"/>
  <c r="G2474" i="5"/>
  <c r="F2474" i="5"/>
  <c r="G2473" i="5"/>
  <c r="F2473" i="5"/>
  <c r="G2472" i="5"/>
  <c r="F2472" i="5"/>
  <c r="G2471" i="5"/>
  <c r="F2471" i="5"/>
  <c r="G2470" i="5"/>
  <c r="F2470" i="5"/>
  <c r="G2469" i="5"/>
  <c r="F2469" i="5"/>
  <c r="G2468" i="5"/>
  <c r="F2468" i="5"/>
  <c r="G2467" i="5"/>
  <c r="F2467" i="5"/>
  <c r="G2466" i="5"/>
  <c r="F2466" i="5"/>
  <c r="G2465" i="5"/>
  <c r="F2465" i="5"/>
  <c r="G2464" i="5"/>
  <c r="F2464" i="5"/>
  <c r="G2463" i="5"/>
  <c r="F2463" i="5"/>
  <c r="G2462" i="5"/>
  <c r="F2462" i="5"/>
  <c r="G2461" i="5"/>
  <c r="F2461" i="5"/>
  <c r="G2460" i="5"/>
  <c r="F2460" i="5"/>
  <c r="G2459" i="5"/>
  <c r="F2459" i="5"/>
  <c r="G2458" i="5"/>
  <c r="F2458" i="5"/>
  <c r="G2457" i="5"/>
  <c r="F2457" i="5"/>
  <c r="G2456" i="5"/>
  <c r="F2456" i="5"/>
  <c r="G2455" i="5"/>
  <c r="F2455" i="5"/>
  <c r="G2454" i="5"/>
  <c r="F2454" i="5"/>
  <c r="G2453" i="5"/>
  <c r="F2453" i="5"/>
  <c r="G2452" i="5"/>
  <c r="F2452" i="5"/>
  <c r="G2451" i="5"/>
  <c r="F2451" i="5"/>
  <c r="G2450" i="5"/>
  <c r="F2450" i="5"/>
  <c r="G2449" i="5"/>
  <c r="F2449" i="5"/>
  <c r="G2448" i="5"/>
  <c r="F2448" i="5"/>
  <c r="G2447" i="5"/>
  <c r="F2447" i="5"/>
  <c r="G2446" i="5"/>
  <c r="F2446" i="5"/>
  <c r="G2445" i="5"/>
  <c r="F2445" i="5"/>
  <c r="G2444" i="5"/>
  <c r="F2444" i="5"/>
  <c r="G2443" i="5"/>
  <c r="F2443" i="5"/>
  <c r="G2442" i="5"/>
  <c r="F2442" i="5"/>
  <c r="G2441" i="5"/>
  <c r="F2441" i="5"/>
  <c r="G2440" i="5"/>
  <c r="F2440" i="5"/>
  <c r="G2439" i="5"/>
  <c r="F2439" i="5"/>
  <c r="G2438" i="5"/>
  <c r="F2438" i="5"/>
  <c r="G2437" i="5"/>
  <c r="F2437" i="5"/>
  <c r="G2436" i="5"/>
  <c r="F2436" i="5"/>
  <c r="G2435" i="5"/>
  <c r="F2435" i="5"/>
  <c r="G2434" i="5"/>
  <c r="F2434" i="5"/>
  <c r="G2433" i="5"/>
  <c r="F2433" i="5"/>
  <c r="G2432" i="5"/>
  <c r="F2432" i="5"/>
  <c r="G2431" i="5"/>
  <c r="F2431" i="5"/>
  <c r="G2430" i="5"/>
  <c r="F2430" i="5"/>
  <c r="G2429" i="5"/>
  <c r="F2429" i="5"/>
  <c r="G2428" i="5"/>
  <c r="F2428" i="5"/>
  <c r="G2427" i="5"/>
  <c r="F2427" i="5"/>
  <c r="G2426" i="5"/>
  <c r="F2426" i="5"/>
  <c r="G2425" i="5"/>
  <c r="F2425" i="5"/>
  <c r="G2424" i="5"/>
  <c r="F2424" i="5"/>
  <c r="G2423" i="5"/>
  <c r="F2423" i="5"/>
  <c r="G2422" i="5"/>
  <c r="F2422" i="5"/>
  <c r="G2421" i="5"/>
  <c r="F2421" i="5"/>
  <c r="G2420" i="5"/>
  <c r="F2420" i="5"/>
  <c r="G2419" i="5"/>
  <c r="F2419" i="5"/>
  <c r="G2418" i="5"/>
  <c r="F2418" i="5"/>
  <c r="G2417" i="5"/>
  <c r="F2417" i="5"/>
  <c r="G2416" i="5"/>
  <c r="F2416" i="5"/>
  <c r="G2415" i="5"/>
  <c r="F2415" i="5"/>
  <c r="G2414" i="5"/>
  <c r="F2414" i="5"/>
  <c r="G2413" i="5"/>
  <c r="F2413" i="5"/>
  <c r="G2412" i="5"/>
  <c r="F2412" i="5"/>
  <c r="G2411" i="5"/>
  <c r="F2411" i="5"/>
  <c r="G2410" i="5"/>
  <c r="F2410" i="5"/>
  <c r="G2409" i="5"/>
  <c r="F2409" i="5"/>
  <c r="G2408" i="5"/>
  <c r="F2408" i="5"/>
  <c r="G2407" i="5"/>
  <c r="F2407" i="5"/>
  <c r="G2406" i="5"/>
  <c r="F2406" i="5"/>
  <c r="G2405" i="5"/>
  <c r="F2405" i="5"/>
  <c r="G2404" i="5"/>
  <c r="F2404" i="5"/>
  <c r="G2403" i="5"/>
  <c r="F2403" i="5"/>
  <c r="G2402" i="5"/>
  <c r="F2402" i="5"/>
  <c r="G2401" i="5"/>
  <c r="F2401" i="5"/>
  <c r="G2400" i="5"/>
  <c r="F2400" i="5"/>
  <c r="G2399" i="5"/>
  <c r="F2399" i="5"/>
  <c r="G2398" i="5"/>
  <c r="F2398" i="5"/>
  <c r="G2397" i="5"/>
  <c r="F2397" i="5"/>
  <c r="G2396" i="5"/>
  <c r="F2396" i="5"/>
  <c r="G2395" i="5"/>
  <c r="F2395" i="5"/>
  <c r="G2394" i="5"/>
  <c r="F2394" i="5"/>
  <c r="G2393" i="5"/>
  <c r="F2393" i="5"/>
  <c r="G2392" i="5"/>
  <c r="F2392" i="5"/>
  <c r="G2391" i="5"/>
  <c r="F2391" i="5"/>
  <c r="G2390" i="5"/>
  <c r="F2390" i="5"/>
  <c r="G2389" i="5"/>
  <c r="F2389" i="5"/>
  <c r="G2388" i="5"/>
  <c r="F2388" i="5"/>
  <c r="G2387" i="5"/>
  <c r="F2387" i="5"/>
  <c r="G2386" i="5"/>
  <c r="F2386" i="5"/>
  <c r="G2385" i="5"/>
  <c r="F2385" i="5"/>
  <c r="G2384" i="5"/>
  <c r="F2384" i="5"/>
  <c r="G2383" i="5"/>
  <c r="F2383" i="5"/>
  <c r="G2382" i="5"/>
  <c r="F2382" i="5"/>
  <c r="G2381" i="5"/>
  <c r="F2381" i="5"/>
  <c r="G2380" i="5"/>
  <c r="F2380" i="5"/>
  <c r="G2379" i="5"/>
  <c r="F2379" i="5"/>
  <c r="G2378" i="5"/>
  <c r="F2378" i="5"/>
  <c r="G2377" i="5"/>
  <c r="F2377" i="5"/>
  <c r="G2376" i="5"/>
  <c r="F2376" i="5"/>
  <c r="G2375" i="5"/>
  <c r="F2375" i="5"/>
  <c r="G2374" i="5"/>
  <c r="F2374" i="5"/>
  <c r="G2373" i="5"/>
  <c r="F2373" i="5"/>
  <c r="G2372" i="5"/>
  <c r="F2372" i="5"/>
  <c r="G2371" i="5"/>
  <c r="F2371" i="5"/>
  <c r="G2370" i="5"/>
  <c r="F2370" i="5"/>
  <c r="G2369" i="5"/>
  <c r="F2369" i="5"/>
  <c r="G2368" i="5"/>
  <c r="F2368" i="5"/>
  <c r="G2367" i="5"/>
  <c r="F2367" i="5"/>
  <c r="G2366" i="5"/>
  <c r="F2366" i="5"/>
  <c r="G2365" i="5"/>
  <c r="F2365" i="5"/>
  <c r="G2364" i="5"/>
  <c r="F2364" i="5"/>
  <c r="G2363" i="5"/>
  <c r="F2363" i="5"/>
  <c r="G2362" i="5"/>
  <c r="F2362" i="5"/>
  <c r="G2361" i="5"/>
  <c r="F2361" i="5"/>
  <c r="G2360" i="5"/>
  <c r="F2360" i="5"/>
  <c r="G2359" i="5"/>
  <c r="F2359" i="5"/>
  <c r="G2358" i="5"/>
  <c r="F2358" i="5"/>
  <c r="G2357" i="5"/>
  <c r="F2357" i="5"/>
  <c r="G2356" i="5"/>
  <c r="F2356" i="5"/>
  <c r="G2355" i="5"/>
  <c r="F2355" i="5"/>
  <c r="G2354" i="5"/>
  <c r="F2354" i="5"/>
  <c r="G2353" i="5"/>
  <c r="F2353" i="5"/>
  <c r="G2352" i="5"/>
  <c r="F2352" i="5"/>
  <c r="G2351" i="5"/>
  <c r="F2351" i="5"/>
  <c r="G2350" i="5"/>
  <c r="F2350" i="5"/>
  <c r="G2349" i="5"/>
  <c r="F2349" i="5"/>
  <c r="G2348" i="5"/>
  <c r="F2348" i="5"/>
  <c r="G2347" i="5"/>
  <c r="F2347" i="5"/>
  <c r="G2346" i="5"/>
  <c r="F2346" i="5"/>
  <c r="G2345" i="5"/>
  <c r="F2345" i="5"/>
  <c r="G2344" i="5"/>
  <c r="F2344" i="5"/>
  <c r="G2343" i="5"/>
  <c r="F2343" i="5"/>
  <c r="G2342" i="5"/>
  <c r="F2342" i="5"/>
  <c r="G2341" i="5"/>
  <c r="F2341" i="5"/>
  <c r="G2340" i="5"/>
  <c r="F2340" i="5"/>
  <c r="G2339" i="5"/>
  <c r="F2339" i="5"/>
  <c r="G2338" i="5"/>
  <c r="F2338" i="5"/>
  <c r="G2337" i="5"/>
  <c r="F2337" i="5"/>
  <c r="G2336" i="5"/>
  <c r="F2336" i="5"/>
  <c r="G2335" i="5"/>
  <c r="F2335" i="5"/>
  <c r="G2334" i="5"/>
  <c r="F2334" i="5"/>
  <c r="G2333" i="5"/>
  <c r="F2333" i="5"/>
  <c r="G2332" i="5"/>
  <c r="F2332" i="5"/>
  <c r="G2331" i="5"/>
  <c r="F2331" i="5"/>
  <c r="G2330" i="5"/>
  <c r="F2330" i="5"/>
  <c r="G2329" i="5"/>
  <c r="F2329" i="5"/>
  <c r="G2328" i="5"/>
  <c r="F2328" i="5"/>
  <c r="G2327" i="5"/>
  <c r="F2327" i="5"/>
  <c r="G2326" i="5"/>
  <c r="F2326" i="5"/>
  <c r="G2325" i="5"/>
  <c r="F2325" i="5"/>
  <c r="G2324" i="5"/>
  <c r="F2324" i="5"/>
  <c r="G2323" i="5"/>
  <c r="F2323" i="5"/>
  <c r="G2322" i="5"/>
  <c r="F2322" i="5"/>
  <c r="G2321" i="5"/>
  <c r="F2321" i="5"/>
  <c r="G2320" i="5"/>
  <c r="F2320" i="5"/>
  <c r="G2319" i="5"/>
  <c r="F2319" i="5"/>
  <c r="G2318" i="5"/>
  <c r="F2318" i="5"/>
  <c r="G2317" i="5"/>
  <c r="F2317" i="5"/>
  <c r="G2316" i="5"/>
  <c r="F2316" i="5"/>
  <c r="G2315" i="5"/>
  <c r="F2315" i="5"/>
  <c r="G2314" i="5"/>
  <c r="F2314" i="5"/>
  <c r="G2313" i="5"/>
  <c r="F2313" i="5"/>
  <c r="G2312" i="5"/>
  <c r="F2312" i="5"/>
  <c r="G2311" i="5"/>
  <c r="F2311" i="5"/>
  <c r="G2310" i="5"/>
  <c r="F2310" i="5"/>
  <c r="G2309" i="5"/>
  <c r="F2309" i="5"/>
  <c r="G2308" i="5"/>
  <c r="F2308" i="5"/>
  <c r="G2307" i="5"/>
  <c r="F2307" i="5"/>
  <c r="G2306" i="5"/>
  <c r="F2306" i="5"/>
  <c r="G2305" i="5"/>
  <c r="F2305" i="5"/>
  <c r="G2304" i="5"/>
  <c r="F2304" i="5"/>
  <c r="G2303" i="5"/>
  <c r="F2303" i="5"/>
  <c r="G2302" i="5"/>
  <c r="F2302" i="5"/>
  <c r="G2301" i="5"/>
  <c r="F2301" i="5"/>
  <c r="G2300" i="5"/>
  <c r="F2300" i="5"/>
  <c r="G2299" i="5"/>
  <c r="F2299" i="5"/>
  <c r="G2298" i="5"/>
  <c r="F2298" i="5"/>
  <c r="G2297" i="5"/>
  <c r="F2297" i="5"/>
  <c r="G2296" i="5"/>
  <c r="F2296" i="5"/>
  <c r="G2295" i="5"/>
  <c r="F2295" i="5"/>
  <c r="G2294" i="5"/>
  <c r="F2294" i="5"/>
  <c r="G2293" i="5"/>
  <c r="F2293" i="5"/>
  <c r="G2292" i="5"/>
  <c r="F2292" i="5"/>
  <c r="G2291" i="5"/>
  <c r="F2291" i="5"/>
  <c r="G2290" i="5"/>
  <c r="F2290" i="5"/>
  <c r="G2289" i="5"/>
  <c r="F2289" i="5"/>
  <c r="G2288" i="5"/>
  <c r="F2288" i="5"/>
  <c r="G2287" i="5"/>
  <c r="F2287" i="5"/>
  <c r="G2286" i="5"/>
  <c r="F2286" i="5"/>
  <c r="G2285" i="5"/>
  <c r="F2285" i="5"/>
  <c r="G2284" i="5"/>
  <c r="F2284" i="5"/>
  <c r="G2283" i="5"/>
  <c r="F2283" i="5"/>
  <c r="G2282" i="5"/>
  <c r="F2282" i="5"/>
  <c r="G2281" i="5"/>
  <c r="F2281" i="5"/>
  <c r="G2280" i="5"/>
  <c r="F2280" i="5"/>
  <c r="G2279" i="5"/>
  <c r="F2279" i="5"/>
  <c r="G2278" i="5"/>
  <c r="F2278" i="5"/>
  <c r="G2277" i="5"/>
  <c r="F2277" i="5"/>
  <c r="G2276" i="5"/>
  <c r="F2276" i="5"/>
  <c r="G2275" i="5"/>
  <c r="F2275" i="5"/>
  <c r="G2274" i="5"/>
  <c r="F2274" i="5"/>
  <c r="G2273" i="5"/>
  <c r="F2273" i="5"/>
  <c r="G2272" i="5"/>
  <c r="F2272" i="5"/>
  <c r="G2271" i="5"/>
  <c r="F2271" i="5"/>
  <c r="G2270" i="5"/>
  <c r="F2270" i="5"/>
  <c r="G2269" i="5"/>
  <c r="F2269" i="5"/>
  <c r="G2268" i="5"/>
  <c r="F2268" i="5"/>
  <c r="G2267" i="5"/>
  <c r="F2267" i="5"/>
  <c r="G2266" i="5"/>
  <c r="F2266" i="5"/>
  <c r="G2265" i="5"/>
  <c r="F2265" i="5"/>
  <c r="G2264" i="5"/>
  <c r="F2264" i="5"/>
  <c r="G2263" i="5"/>
  <c r="F2263" i="5"/>
  <c r="G2262" i="5"/>
  <c r="F2262" i="5"/>
  <c r="G2261" i="5"/>
  <c r="F2261" i="5"/>
  <c r="G2260" i="5"/>
  <c r="F2260" i="5"/>
  <c r="G2259" i="5"/>
  <c r="F2259" i="5"/>
  <c r="G2258" i="5"/>
  <c r="F2258" i="5"/>
  <c r="G2257" i="5"/>
  <c r="F2257" i="5"/>
  <c r="G2256" i="5"/>
  <c r="F2256" i="5"/>
  <c r="G2255" i="5"/>
  <c r="F2255" i="5"/>
  <c r="G2254" i="5"/>
  <c r="F2254" i="5"/>
  <c r="G2253" i="5"/>
  <c r="F2253" i="5"/>
  <c r="G2252" i="5"/>
  <c r="F2252" i="5"/>
  <c r="G2251" i="5"/>
  <c r="F2251" i="5"/>
  <c r="G2250" i="5"/>
  <c r="F2250" i="5"/>
  <c r="G2249" i="5"/>
  <c r="F2249" i="5"/>
  <c r="G2248" i="5"/>
  <c r="F2248" i="5"/>
  <c r="G2247" i="5"/>
  <c r="F2247" i="5"/>
  <c r="G2246" i="5"/>
  <c r="F2246" i="5"/>
  <c r="G2245" i="5"/>
  <c r="F2245" i="5"/>
  <c r="G2244" i="5"/>
  <c r="F2244" i="5"/>
  <c r="G2243" i="5"/>
  <c r="F2243" i="5"/>
  <c r="G2242" i="5"/>
  <c r="F2242" i="5"/>
  <c r="G2241" i="5"/>
  <c r="F2241" i="5"/>
  <c r="G2240" i="5"/>
  <c r="F2240" i="5"/>
  <c r="G2239" i="5"/>
  <c r="F2239" i="5"/>
  <c r="G2238" i="5"/>
  <c r="F2238" i="5"/>
  <c r="G2237" i="5"/>
  <c r="F2237" i="5"/>
  <c r="G2236" i="5"/>
  <c r="F2236" i="5"/>
  <c r="G2235" i="5"/>
  <c r="F2235" i="5"/>
  <c r="G2234" i="5"/>
  <c r="F2234" i="5"/>
  <c r="G2233" i="5"/>
  <c r="F2233" i="5"/>
  <c r="G2232" i="5"/>
  <c r="F2232" i="5"/>
  <c r="G2231" i="5"/>
  <c r="F2231" i="5"/>
  <c r="G2230" i="5"/>
  <c r="F2230" i="5"/>
  <c r="G2229" i="5"/>
  <c r="F2229" i="5"/>
  <c r="G2228" i="5"/>
  <c r="F2228" i="5"/>
  <c r="G2227" i="5"/>
  <c r="F2227" i="5"/>
  <c r="G2226" i="5"/>
  <c r="F2226" i="5"/>
  <c r="G2225" i="5"/>
  <c r="F2225" i="5"/>
  <c r="G2224" i="5"/>
  <c r="F2224" i="5"/>
  <c r="G2223" i="5"/>
  <c r="F2223" i="5"/>
  <c r="G2222" i="5"/>
  <c r="F2222" i="5"/>
  <c r="G2221" i="5"/>
  <c r="F2221" i="5"/>
  <c r="G2220" i="5"/>
  <c r="F2220" i="5"/>
  <c r="G2219" i="5"/>
  <c r="F2219" i="5"/>
  <c r="G2218" i="5"/>
  <c r="F2218" i="5"/>
  <c r="G2217" i="5"/>
  <c r="F2217" i="5"/>
  <c r="G2216" i="5"/>
  <c r="F2216" i="5"/>
  <c r="G2215" i="5"/>
  <c r="F2215" i="5"/>
  <c r="G2214" i="5"/>
  <c r="F2214" i="5"/>
  <c r="G2213" i="5"/>
  <c r="F2213" i="5"/>
  <c r="G2212" i="5"/>
  <c r="F2212" i="5"/>
  <c r="G2211" i="5"/>
  <c r="F2211" i="5"/>
  <c r="G2210" i="5"/>
  <c r="F2210" i="5"/>
  <c r="G2209" i="5"/>
  <c r="F2209" i="5"/>
  <c r="G2208" i="5"/>
  <c r="F2208" i="5"/>
  <c r="G2207" i="5"/>
  <c r="F2207" i="5"/>
  <c r="G2206" i="5"/>
  <c r="F2206" i="5"/>
  <c r="G2205" i="5"/>
  <c r="F2205" i="5"/>
  <c r="G2204" i="5"/>
  <c r="F2204" i="5"/>
  <c r="G2203" i="5"/>
  <c r="F2203" i="5"/>
  <c r="G2202" i="5"/>
  <c r="F2202" i="5"/>
  <c r="G2201" i="5"/>
  <c r="F2201" i="5"/>
  <c r="G2200" i="5"/>
  <c r="F2200" i="5"/>
  <c r="G2199" i="5"/>
  <c r="F2199" i="5"/>
  <c r="G2198" i="5"/>
  <c r="F2198" i="5"/>
  <c r="G2197" i="5"/>
  <c r="F2197" i="5"/>
  <c r="G2196" i="5"/>
  <c r="F2196" i="5"/>
  <c r="G2195" i="5"/>
  <c r="F2195" i="5"/>
  <c r="G2194" i="5"/>
  <c r="F2194" i="5"/>
  <c r="G2193" i="5"/>
  <c r="F2193" i="5"/>
  <c r="G2192" i="5"/>
  <c r="F2192" i="5"/>
  <c r="G2191" i="5"/>
  <c r="F2191" i="5"/>
  <c r="G2190" i="5"/>
  <c r="F2190" i="5"/>
  <c r="G2189" i="5"/>
  <c r="F2189" i="5"/>
  <c r="G2188" i="5"/>
  <c r="F2188" i="5"/>
  <c r="G2187" i="5"/>
  <c r="F2187" i="5"/>
  <c r="G2186" i="5"/>
  <c r="F2186" i="5"/>
  <c r="G2185" i="5"/>
  <c r="F2185" i="5"/>
  <c r="G2184" i="5"/>
  <c r="F2184" i="5"/>
  <c r="G2183" i="5"/>
  <c r="F2183" i="5"/>
  <c r="G2182" i="5"/>
  <c r="F2182" i="5"/>
  <c r="G2181" i="5"/>
  <c r="F2181" i="5"/>
  <c r="G2180" i="5"/>
  <c r="F2180" i="5"/>
  <c r="G2179" i="5"/>
  <c r="F2179" i="5"/>
  <c r="G2178" i="5"/>
  <c r="F2178" i="5"/>
  <c r="G2177" i="5"/>
  <c r="F2177" i="5"/>
  <c r="G2176" i="5"/>
  <c r="F2176" i="5"/>
  <c r="G2175" i="5"/>
  <c r="F2175" i="5"/>
  <c r="G2174" i="5"/>
  <c r="F2174" i="5"/>
  <c r="G2173" i="5"/>
  <c r="F2173" i="5"/>
  <c r="G2172" i="5"/>
  <c r="F2172" i="5"/>
  <c r="G2171" i="5"/>
  <c r="F2171" i="5"/>
  <c r="G2170" i="5"/>
  <c r="F2170" i="5"/>
  <c r="G2169" i="5"/>
  <c r="F2169" i="5"/>
  <c r="G2168" i="5"/>
  <c r="F2168" i="5"/>
  <c r="G2167" i="5"/>
  <c r="F2167" i="5"/>
  <c r="G2166" i="5"/>
  <c r="F2166" i="5"/>
  <c r="G2165" i="5"/>
  <c r="F2165" i="5"/>
  <c r="G2164" i="5"/>
  <c r="F2164" i="5"/>
  <c r="G2163" i="5"/>
  <c r="F2163" i="5"/>
  <c r="G2162" i="5"/>
  <c r="F2162" i="5"/>
  <c r="G2161" i="5"/>
  <c r="F2161" i="5"/>
  <c r="G2160" i="5"/>
  <c r="F2160" i="5"/>
  <c r="G2159" i="5"/>
  <c r="F2159" i="5"/>
  <c r="G2158" i="5"/>
  <c r="F2158" i="5"/>
  <c r="G2157" i="5"/>
  <c r="F2157" i="5"/>
  <c r="G2156" i="5"/>
  <c r="F2156" i="5"/>
  <c r="G2155" i="5"/>
  <c r="F2155" i="5"/>
  <c r="G2154" i="5"/>
  <c r="F2154" i="5"/>
  <c r="G2153" i="5"/>
  <c r="F2153" i="5"/>
  <c r="G2152" i="5"/>
  <c r="F2152" i="5"/>
  <c r="G2151" i="5"/>
  <c r="F2151" i="5"/>
  <c r="G2150" i="5"/>
  <c r="F2150" i="5"/>
  <c r="G2149" i="5"/>
  <c r="F2149" i="5"/>
  <c r="G2148" i="5"/>
  <c r="F2148" i="5"/>
  <c r="G2147" i="5"/>
  <c r="F2147" i="5"/>
  <c r="G2146" i="5"/>
  <c r="F2146" i="5"/>
  <c r="G2145" i="5"/>
  <c r="F2145" i="5"/>
  <c r="G2144" i="5"/>
  <c r="F2144" i="5"/>
  <c r="G2143" i="5"/>
  <c r="F2143" i="5"/>
  <c r="G2142" i="5"/>
  <c r="F2142" i="5"/>
  <c r="G2141" i="5"/>
  <c r="F2141" i="5"/>
  <c r="G2140" i="5"/>
  <c r="F2140" i="5"/>
  <c r="G2139" i="5"/>
  <c r="F2139" i="5"/>
  <c r="G2138" i="5"/>
  <c r="F2138" i="5"/>
  <c r="G2137" i="5"/>
  <c r="F2137" i="5"/>
  <c r="G2136" i="5"/>
  <c r="F2136" i="5"/>
  <c r="G2135" i="5"/>
  <c r="F2135" i="5"/>
  <c r="G2134" i="5"/>
  <c r="F2134" i="5"/>
  <c r="G2133" i="5"/>
  <c r="F2133" i="5"/>
  <c r="G2132" i="5"/>
  <c r="F2132" i="5"/>
  <c r="G2131" i="5"/>
  <c r="F2131" i="5"/>
  <c r="G2130" i="5"/>
  <c r="F2130" i="5"/>
  <c r="G2129" i="5"/>
  <c r="F2129" i="5"/>
  <c r="G2128" i="5"/>
  <c r="F2128" i="5"/>
  <c r="G2127" i="5"/>
  <c r="F2127" i="5"/>
  <c r="G2126" i="5"/>
  <c r="F2126" i="5"/>
  <c r="G2125" i="5"/>
  <c r="F2125" i="5"/>
  <c r="G2124" i="5"/>
  <c r="F2124" i="5"/>
  <c r="G2123" i="5"/>
  <c r="F2123" i="5"/>
  <c r="G2122" i="5"/>
  <c r="F2122" i="5"/>
  <c r="G2121" i="5"/>
  <c r="F2121" i="5"/>
  <c r="G2120" i="5"/>
  <c r="F2120" i="5"/>
  <c r="G2119" i="5"/>
  <c r="F2119" i="5"/>
  <c r="G2118" i="5"/>
  <c r="F2118" i="5"/>
  <c r="G2117" i="5"/>
  <c r="F2117" i="5"/>
  <c r="G2116" i="5"/>
  <c r="F2116" i="5"/>
  <c r="G2115" i="5"/>
  <c r="F2115" i="5"/>
  <c r="G2114" i="5"/>
  <c r="F2114" i="5"/>
  <c r="G2113" i="5"/>
  <c r="F2113" i="5"/>
  <c r="G2112" i="5"/>
  <c r="F2112" i="5"/>
  <c r="G2111" i="5"/>
  <c r="F2111" i="5"/>
  <c r="G2110" i="5"/>
  <c r="F2110" i="5"/>
  <c r="G2109" i="5"/>
  <c r="F2109" i="5"/>
  <c r="G2108" i="5"/>
  <c r="F2108" i="5"/>
  <c r="G2107" i="5"/>
  <c r="F2107" i="5"/>
  <c r="G2106" i="5"/>
  <c r="F2106" i="5"/>
  <c r="G2105" i="5"/>
  <c r="F2105" i="5"/>
  <c r="G2104" i="5"/>
  <c r="F2104" i="5"/>
  <c r="G2103" i="5"/>
  <c r="F2103" i="5"/>
  <c r="G2102" i="5"/>
  <c r="F2102" i="5"/>
  <c r="G2101" i="5"/>
  <c r="F2101" i="5"/>
  <c r="G2100" i="5"/>
  <c r="F2100" i="5"/>
  <c r="G2099" i="5"/>
  <c r="F2099" i="5"/>
  <c r="G2098" i="5"/>
  <c r="F2098" i="5"/>
  <c r="G2097" i="5"/>
  <c r="F2097" i="5"/>
  <c r="G2096" i="5"/>
  <c r="F2096" i="5"/>
  <c r="G2095" i="5"/>
  <c r="F2095" i="5"/>
  <c r="G2094" i="5"/>
  <c r="F2094" i="5"/>
  <c r="G2093" i="5"/>
  <c r="F2093" i="5"/>
  <c r="G2092" i="5"/>
  <c r="F2092" i="5"/>
  <c r="G2091" i="5"/>
  <c r="F2091" i="5"/>
  <c r="G2090" i="5"/>
  <c r="F2090" i="5"/>
  <c r="G2089" i="5"/>
  <c r="F2089" i="5"/>
  <c r="G2088" i="5"/>
  <c r="F2088" i="5"/>
  <c r="G2087" i="5"/>
  <c r="F2087" i="5"/>
  <c r="G2086" i="5"/>
  <c r="F2086" i="5"/>
  <c r="G2085" i="5"/>
  <c r="F2085" i="5"/>
  <c r="G2084" i="5"/>
  <c r="F2084" i="5"/>
  <c r="G2083" i="5"/>
  <c r="F2083" i="5"/>
  <c r="G2082" i="5"/>
  <c r="F2082" i="5"/>
  <c r="G2081" i="5"/>
  <c r="F2081" i="5"/>
  <c r="G2080" i="5"/>
  <c r="F2080" i="5"/>
  <c r="G2079" i="5"/>
  <c r="F2079" i="5"/>
  <c r="G2078" i="5"/>
  <c r="F2078" i="5"/>
  <c r="G2077" i="5"/>
  <c r="F2077" i="5"/>
  <c r="G2076" i="5"/>
  <c r="F2076" i="5"/>
  <c r="G2075" i="5"/>
  <c r="F2075" i="5"/>
  <c r="G2074" i="5"/>
  <c r="F2074" i="5"/>
  <c r="G2073" i="5"/>
  <c r="F2073" i="5"/>
  <c r="G2072" i="5"/>
  <c r="F2072" i="5"/>
  <c r="G2071" i="5"/>
  <c r="F2071" i="5"/>
  <c r="G2070" i="5"/>
  <c r="F2070" i="5"/>
  <c r="G2069" i="5"/>
  <c r="F2069" i="5"/>
  <c r="G2068" i="5"/>
  <c r="F2068" i="5"/>
  <c r="G2067" i="5"/>
  <c r="F2067" i="5"/>
  <c r="G2066" i="5"/>
  <c r="F2066" i="5"/>
  <c r="G2065" i="5"/>
  <c r="F2065" i="5"/>
  <c r="G2064" i="5"/>
  <c r="F2064" i="5"/>
  <c r="G2063" i="5"/>
  <c r="F2063" i="5"/>
  <c r="G2062" i="5"/>
  <c r="F2062" i="5"/>
  <c r="G2061" i="5"/>
  <c r="F2061" i="5"/>
  <c r="G2060" i="5"/>
  <c r="F2060" i="5"/>
  <c r="G2059" i="5"/>
  <c r="F2059" i="5"/>
  <c r="G2058" i="5"/>
  <c r="F2058" i="5"/>
  <c r="G2057" i="5"/>
  <c r="F2057" i="5"/>
  <c r="G2056" i="5"/>
  <c r="F2056" i="5"/>
  <c r="G2055" i="5"/>
  <c r="F2055" i="5"/>
  <c r="G2054" i="5"/>
  <c r="F2054" i="5"/>
  <c r="G2053" i="5"/>
  <c r="F2053" i="5"/>
  <c r="G2052" i="5"/>
  <c r="F2052" i="5"/>
  <c r="G2051" i="5"/>
  <c r="F2051" i="5"/>
  <c r="G2050" i="5"/>
  <c r="F2050" i="5"/>
  <c r="G2049" i="5"/>
  <c r="F2049" i="5"/>
  <c r="G2048" i="5"/>
  <c r="F2048" i="5"/>
  <c r="G2047" i="5"/>
  <c r="F2047" i="5"/>
  <c r="G2046" i="5"/>
  <c r="F2046" i="5"/>
  <c r="G2045" i="5"/>
  <c r="F2045" i="5"/>
  <c r="G2044" i="5"/>
  <c r="F2044" i="5"/>
  <c r="G2043" i="5"/>
  <c r="F2043" i="5"/>
  <c r="G2042" i="5"/>
  <c r="F2042" i="5"/>
  <c r="G2041" i="5"/>
  <c r="F2041" i="5"/>
  <c r="G2040" i="5"/>
  <c r="F2040" i="5"/>
  <c r="G2039" i="5"/>
  <c r="F2039" i="5"/>
  <c r="G2038" i="5"/>
  <c r="F2038" i="5"/>
  <c r="G2037" i="5"/>
  <c r="F2037" i="5"/>
  <c r="G2036" i="5"/>
  <c r="F2036" i="5"/>
  <c r="G2035" i="5"/>
  <c r="F2035" i="5"/>
  <c r="G2034" i="5"/>
  <c r="F2034" i="5"/>
  <c r="G2033" i="5"/>
  <c r="F2033" i="5"/>
  <c r="G2032" i="5"/>
  <c r="F2032" i="5"/>
  <c r="G2031" i="5"/>
  <c r="F2031" i="5"/>
  <c r="G2030" i="5"/>
  <c r="F2030" i="5"/>
  <c r="G2029" i="5"/>
  <c r="F2029" i="5"/>
  <c r="G2028" i="5"/>
  <c r="F2028" i="5"/>
  <c r="G2027" i="5"/>
  <c r="F2027" i="5"/>
  <c r="G2026" i="5"/>
  <c r="F2026" i="5"/>
  <c r="G2025" i="5"/>
  <c r="F2025" i="5"/>
  <c r="G2024" i="5"/>
  <c r="F2024" i="5"/>
  <c r="G2023" i="5"/>
  <c r="F2023" i="5"/>
  <c r="G2022" i="5"/>
  <c r="F2022" i="5"/>
  <c r="G2021" i="5"/>
  <c r="F2021" i="5"/>
  <c r="G2020" i="5"/>
  <c r="F2020" i="5"/>
  <c r="G2019" i="5"/>
  <c r="F2019" i="5"/>
  <c r="G2018" i="5"/>
  <c r="F2018" i="5"/>
  <c r="G2017" i="5"/>
  <c r="F2017" i="5"/>
  <c r="G2016" i="5"/>
  <c r="F2016" i="5"/>
  <c r="G2015" i="5"/>
  <c r="F2015" i="5"/>
  <c r="G2014" i="5"/>
  <c r="F2014" i="5"/>
  <c r="G2013" i="5"/>
  <c r="F2013" i="5"/>
  <c r="G2012" i="5"/>
  <c r="F2012" i="5"/>
  <c r="G2011" i="5"/>
  <c r="F2011" i="5"/>
  <c r="G2010" i="5"/>
  <c r="F2010" i="5"/>
  <c r="G2009" i="5"/>
  <c r="F2009" i="5"/>
  <c r="G2008" i="5"/>
  <c r="F2008" i="5"/>
  <c r="G2007" i="5"/>
  <c r="F2007" i="5"/>
  <c r="G2006" i="5"/>
  <c r="F2006" i="5"/>
  <c r="G2005" i="5"/>
  <c r="F2005" i="5"/>
  <c r="G2004" i="5"/>
  <c r="F2004" i="5"/>
  <c r="G2003" i="5"/>
  <c r="F2003" i="5"/>
  <c r="G2002" i="5"/>
  <c r="F2002" i="5"/>
  <c r="G2001" i="5"/>
  <c r="F2001" i="5"/>
  <c r="G2000" i="5"/>
  <c r="F2000" i="5"/>
  <c r="G1999" i="5"/>
  <c r="F1999" i="5"/>
  <c r="G1998" i="5"/>
  <c r="F1998" i="5"/>
  <c r="G1997" i="5"/>
  <c r="F1997" i="5"/>
  <c r="G1996" i="5"/>
  <c r="F1996" i="5"/>
  <c r="G1995" i="5"/>
  <c r="F1995" i="5"/>
  <c r="G1994" i="5"/>
  <c r="F1994" i="5"/>
  <c r="G1993" i="5"/>
  <c r="F1993" i="5"/>
  <c r="G1992" i="5"/>
  <c r="F1992" i="5"/>
  <c r="G1991" i="5"/>
  <c r="F1991" i="5"/>
  <c r="G1990" i="5"/>
  <c r="F1990" i="5"/>
  <c r="G1989" i="5"/>
  <c r="F1989" i="5"/>
  <c r="G1988" i="5"/>
  <c r="F1988" i="5"/>
  <c r="G1987" i="5"/>
  <c r="F1987" i="5"/>
  <c r="G1986" i="5"/>
  <c r="F1986" i="5"/>
  <c r="G1985" i="5"/>
  <c r="F1985" i="5"/>
  <c r="G1984" i="5"/>
  <c r="F1984" i="5"/>
  <c r="G1983" i="5"/>
  <c r="F1983" i="5"/>
  <c r="G1982" i="5"/>
  <c r="F1982" i="5"/>
  <c r="G1981" i="5"/>
  <c r="F1981" i="5"/>
  <c r="G1980" i="5"/>
  <c r="F1980" i="5"/>
  <c r="G1979" i="5"/>
  <c r="F1979" i="5"/>
  <c r="G1978" i="5"/>
  <c r="F1978" i="5"/>
  <c r="G1977" i="5"/>
  <c r="F1977" i="5"/>
  <c r="G1976" i="5"/>
  <c r="F1976" i="5"/>
  <c r="G1975" i="5"/>
  <c r="F1975" i="5"/>
  <c r="G1974" i="5"/>
  <c r="F1974" i="5"/>
  <c r="G1973" i="5"/>
  <c r="F1973" i="5"/>
  <c r="G1972" i="5"/>
  <c r="F1972" i="5"/>
  <c r="G1971" i="5"/>
  <c r="F1971" i="5"/>
  <c r="G1970" i="5"/>
  <c r="F1970" i="5"/>
  <c r="G1969" i="5"/>
  <c r="F1969" i="5"/>
  <c r="G1968" i="5"/>
  <c r="F1968" i="5"/>
  <c r="G1967" i="5"/>
  <c r="F1967" i="5"/>
  <c r="G1966" i="5"/>
  <c r="F1966" i="5"/>
  <c r="G1965" i="5"/>
  <c r="F1965" i="5"/>
  <c r="G1964" i="5"/>
  <c r="F1964" i="5"/>
  <c r="G1963" i="5"/>
  <c r="F1963" i="5"/>
  <c r="G1962" i="5"/>
  <c r="F1962" i="5"/>
  <c r="G1961" i="5"/>
  <c r="F1961" i="5"/>
  <c r="G1960" i="5"/>
  <c r="F1960" i="5"/>
  <c r="G1959" i="5"/>
  <c r="F1959" i="5"/>
  <c r="G1958" i="5"/>
  <c r="F1958" i="5"/>
  <c r="G1957" i="5"/>
  <c r="F1957" i="5"/>
  <c r="G1956" i="5"/>
  <c r="F1956" i="5"/>
  <c r="G1955" i="5"/>
  <c r="F1955" i="5"/>
  <c r="G1954" i="5"/>
  <c r="F1954" i="5"/>
  <c r="G1953" i="5"/>
  <c r="F1953" i="5"/>
  <c r="G1952" i="5"/>
  <c r="F1952" i="5"/>
  <c r="G1951" i="5"/>
  <c r="F1951" i="5"/>
  <c r="G1950" i="5"/>
  <c r="F1950" i="5"/>
  <c r="G1949" i="5"/>
  <c r="F1949" i="5"/>
  <c r="G1948" i="5"/>
  <c r="F1948" i="5"/>
  <c r="G1947" i="5"/>
  <c r="F1947" i="5"/>
  <c r="G1946" i="5"/>
  <c r="F1946" i="5"/>
  <c r="G1945" i="5"/>
  <c r="F1945" i="5"/>
  <c r="G1944" i="5"/>
  <c r="F1944" i="5"/>
  <c r="G1943" i="5"/>
  <c r="F1943" i="5"/>
  <c r="G1942" i="5"/>
  <c r="F1942" i="5"/>
  <c r="G1941" i="5"/>
  <c r="F1941" i="5"/>
  <c r="G1940" i="5"/>
  <c r="F1940" i="5"/>
  <c r="G1939" i="5"/>
  <c r="F1939" i="5"/>
  <c r="G1938" i="5"/>
  <c r="F1938" i="5"/>
  <c r="G1937" i="5"/>
  <c r="F1937" i="5"/>
  <c r="G1936" i="5"/>
  <c r="F1936" i="5"/>
  <c r="G1935" i="5"/>
  <c r="F1935" i="5"/>
  <c r="G1934" i="5"/>
  <c r="F1934" i="5"/>
  <c r="G1933" i="5"/>
  <c r="F1933" i="5"/>
  <c r="G1932" i="5"/>
  <c r="F1932" i="5"/>
  <c r="G1931" i="5"/>
  <c r="F1931" i="5"/>
  <c r="G1930" i="5"/>
  <c r="F1930" i="5"/>
  <c r="G1929" i="5"/>
  <c r="F1929" i="5"/>
  <c r="G1928" i="5"/>
  <c r="F1928" i="5"/>
  <c r="G1927" i="5"/>
  <c r="F1927" i="5"/>
  <c r="G1926" i="5"/>
  <c r="F1926" i="5"/>
  <c r="G1925" i="5"/>
  <c r="F1925" i="5"/>
  <c r="G1924" i="5"/>
  <c r="F1924" i="5"/>
  <c r="G1923" i="5"/>
  <c r="F1923" i="5"/>
  <c r="G1922" i="5"/>
  <c r="F1922" i="5"/>
  <c r="G1921" i="5"/>
  <c r="F1921" i="5"/>
  <c r="G1920" i="5"/>
  <c r="F1920" i="5"/>
  <c r="G1919" i="5"/>
  <c r="F1919" i="5"/>
  <c r="G1918" i="5"/>
  <c r="F1918" i="5"/>
  <c r="G1917" i="5"/>
  <c r="F1917" i="5"/>
  <c r="G1916" i="5"/>
  <c r="F1916" i="5"/>
  <c r="G1915" i="5"/>
  <c r="F1915" i="5"/>
  <c r="G1914" i="5"/>
  <c r="F1914" i="5"/>
  <c r="G1913" i="5"/>
  <c r="F1913" i="5"/>
  <c r="G1912" i="5"/>
  <c r="F1912" i="5"/>
  <c r="G1911" i="5"/>
  <c r="F1911" i="5"/>
  <c r="G1910" i="5"/>
  <c r="F1910" i="5"/>
  <c r="G1909" i="5"/>
  <c r="F1909" i="5"/>
  <c r="G1908" i="5"/>
  <c r="F1908" i="5"/>
  <c r="G1907" i="5"/>
  <c r="F1907" i="5"/>
  <c r="G1906" i="5"/>
  <c r="F1906" i="5"/>
  <c r="G1905" i="5"/>
  <c r="F1905" i="5"/>
  <c r="G1904" i="5"/>
  <c r="F1904" i="5"/>
  <c r="G1903" i="5"/>
  <c r="F1903" i="5"/>
  <c r="G1902" i="5"/>
  <c r="F1902" i="5"/>
  <c r="G1901" i="5"/>
  <c r="F1901" i="5"/>
  <c r="G1900" i="5"/>
  <c r="F1900" i="5"/>
  <c r="G1899" i="5"/>
  <c r="F1899" i="5"/>
  <c r="G1898" i="5"/>
  <c r="F1898" i="5"/>
  <c r="G1897" i="5"/>
  <c r="F1897" i="5"/>
  <c r="G1896" i="5"/>
  <c r="F1896" i="5"/>
  <c r="G1895" i="5"/>
  <c r="F1895" i="5"/>
  <c r="G1894" i="5"/>
  <c r="F1894" i="5"/>
  <c r="G1893" i="5"/>
  <c r="F1893" i="5"/>
  <c r="G1892" i="5"/>
  <c r="F1892" i="5"/>
  <c r="G1891" i="5"/>
  <c r="F1891" i="5"/>
  <c r="G1890" i="5"/>
  <c r="F1890" i="5"/>
  <c r="G1889" i="5"/>
  <c r="F1889" i="5"/>
  <c r="G1888" i="5"/>
  <c r="F1888" i="5"/>
  <c r="G1887" i="5"/>
  <c r="F1887" i="5"/>
  <c r="G1886" i="5"/>
  <c r="F1886" i="5"/>
  <c r="G1885" i="5"/>
  <c r="F1885" i="5"/>
  <c r="G1884" i="5"/>
  <c r="F1884" i="5"/>
  <c r="G1883" i="5"/>
  <c r="F1883" i="5"/>
  <c r="G1882" i="5"/>
  <c r="F1882" i="5"/>
  <c r="G1881" i="5"/>
  <c r="F1881" i="5"/>
  <c r="G1880" i="5"/>
  <c r="F1880" i="5"/>
  <c r="G1879" i="5"/>
  <c r="F1879" i="5"/>
  <c r="G1878" i="5"/>
  <c r="F1878" i="5"/>
  <c r="G1877" i="5"/>
  <c r="F1877" i="5"/>
  <c r="G1876" i="5"/>
  <c r="F1876" i="5"/>
  <c r="G1875" i="5"/>
  <c r="F1875" i="5"/>
  <c r="G1874" i="5"/>
  <c r="F1874" i="5"/>
  <c r="G1873" i="5"/>
  <c r="F1873" i="5"/>
  <c r="G1872" i="5"/>
  <c r="F1872" i="5"/>
  <c r="G1871" i="5"/>
  <c r="F1871" i="5"/>
  <c r="G1870" i="5"/>
  <c r="F1870" i="5"/>
  <c r="G1869" i="5"/>
  <c r="F1869" i="5"/>
  <c r="G1868" i="5"/>
  <c r="F1868" i="5"/>
  <c r="G1867" i="5"/>
  <c r="F1867" i="5"/>
  <c r="G1866" i="5"/>
  <c r="F1866" i="5"/>
  <c r="G1865" i="5"/>
  <c r="F1865" i="5"/>
  <c r="G1864" i="5"/>
  <c r="F1864" i="5"/>
  <c r="G1863" i="5"/>
  <c r="F1863" i="5"/>
  <c r="G1862" i="5"/>
  <c r="F1862" i="5"/>
  <c r="G1861" i="5"/>
  <c r="F1861" i="5"/>
  <c r="G1860" i="5"/>
  <c r="F1860" i="5"/>
  <c r="G1859" i="5"/>
  <c r="F1859" i="5"/>
  <c r="G1858" i="5"/>
  <c r="F1858" i="5"/>
  <c r="G1857" i="5"/>
  <c r="F1857" i="5"/>
  <c r="G1856" i="5"/>
  <c r="F1856" i="5"/>
  <c r="G1855" i="5"/>
  <c r="F1855" i="5"/>
  <c r="G1854" i="5"/>
  <c r="F1854" i="5"/>
  <c r="G1853" i="5"/>
  <c r="F1853" i="5"/>
  <c r="G1852" i="5"/>
  <c r="F1852" i="5"/>
  <c r="G1851" i="5"/>
  <c r="F1851" i="5"/>
  <c r="G1850" i="5"/>
  <c r="F1850" i="5"/>
  <c r="G1849" i="5"/>
  <c r="F1849" i="5"/>
  <c r="G1848" i="5"/>
  <c r="F1848" i="5"/>
  <c r="G1847" i="5"/>
  <c r="F1847" i="5"/>
  <c r="G1846" i="5"/>
  <c r="F1846" i="5"/>
  <c r="G1845" i="5"/>
  <c r="F1845" i="5"/>
  <c r="G1844" i="5"/>
  <c r="F1844" i="5"/>
  <c r="G1843" i="5"/>
  <c r="F1843" i="5"/>
  <c r="G1842" i="5"/>
  <c r="F1842" i="5"/>
  <c r="G1841" i="5"/>
  <c r="F1841" i="5"/>
  <c r="G1840" i="5"/>
  <c r="F1840" i="5"/>
  <c r="G1839" i="5"/>
  <c r="F1839" i="5"/>
  <c r="G1838" i="5"/>
  <c r="F1838" i="5"/>
  <c r="G1837" i="5"/>
  <c r="F1837" i="5"/>
  <c r="G1836" i="5"/>
  <c r="F1836" i="5"/>
  <c r="G1835" i="5"/>
  <c r="F1835" i="5"/>
  <c r="G1834" i="5"/>
  <c r="F1834" i="5"/>
  <c r="G1833" i="5"/>
  <c r="F1833" i="5"/>
  <c r="G1832" i="5"/>
  <c r="F1832" i="5"/>
  <c r="G1831" i="5"/>
  <c r="F1831" i="5"/>
  <c r="G1830" i="5"/>
  <c r="F1830" i="5"/>
  <c r="G1829" i="5"/>
  <c r="F1829" i="5"/>
  <c r="G1828" i="5"/>
  <c r="F1828" i="5"/>
  <c r="G1827" i="5"/>
  <c r="F1827" i="5"/>
  <c r="G1826" i="5"/>
  <c r="F1826" i="5"/>
  <c r="G1825" i="5"/>
  <c r="F1825" i="5"/>
  <c r="G1824" i="5"/>
  <c r="F1824" i="5"/>
  <c r="G1823" i="5"/>
  <c r="F1823" i="5"/>
  <c r="G1822" i="5"/>
  <c r="F1822" i="5"/>
  <c r="G1821" i="5"/>
  <c r="F1821" i="5"/>
  <c r="G1820" i="5"/>
  <c r="F1820" i="5"/>
  <c r="G1819" i="5"/>
  <c r="F1819" i="5"/>
  <c r="G1818" i="5"/>
  <c r="F1818" i="5"/>
  <c r="G1817" i="5"/>
  <c r="F1817" i="5"/>
  <c r="G1816" i="5"/>
  <c r="F1816" i="5"/>
  <c r="G1815" i="5"/>
  <c r="F1815" i="5"/>
  <c r="G1814" i="5"/>
  <c r="F1814" i="5"/>
  <c r="G1813" i="5"/>
  <c r="F1813" i="5"/>
  <c r="G1812" i="5"/>
  <c r="F1812" i="5"/>
  <c r="G1811" i="5"/>
  <c r="F1811" i="5"/>
  <c r="G1810" i="5"/>
  <c r="F1810" i="5"/>
  <c r="G1809" i="5"/>
  <c r="F1809" i="5"/>
  <c r="G1808" i="5"/>
  <c r="F1808" i="5"/>
  <c r="G1807" i="5"/>
  <c r="F1807" i="5"/>
  <c r="G1806" i="5"/>
  <c r="F1806" i="5"/>
  <c r="G1805" i="5"/>
  <c r="F1805" i="5"/>
  <c r="G1804" i="5"/>
  <c r="F1804" i="5"/>
  <c r="G1803" i="5"/>
  <c r="F1803" i="5"/>
  <c r="G1802" i="5"/>
  <c r="F1802" i="5"/>
  <c r="G1801" i="5"/>
  <c r="F1801" i="5"/>
  <c r="G1800" i="5"/>
  <c r="F1800" i="5"/>
  <c r="G1799" i="5"/>
  <c r="F1799" i="5"/>
  <c r="G1798" i="5"/>
  <c r="F1798" i="5"/>
  <c r="G1797" i="5"/>
  <c r="F1797" i="5"/>
  <c r="G1796" i="5"/>
  <c r="F1796" i="5"/>
  <c r="G1795" i="5"/>
  <c r="F1795" i="5"/>
  <c r="G1794" i="5"/>
  <c r="F1794" i="5"/>
  <c r="G1793" i="5"/>
  <c r="F1793" i="5"/>
  <c r="G1792" i="5"/>
  <c r="F1792" i="5"/>
  <c r="G1791" i="5"/>
  <c r="F1791" i="5"/>
  <c r="G1790" i="5"/>
  <c r="F1790" i="5"/>
  <c r="G1789" i="5"/>
  <c r="F1789" i="5"/>
  <c r="G1788" i="5"/>
  <c r="F1788" i="5"/>
  <c r="G1787" i="5"/>
  <c r="F1787" i="5"/>
  <c r="G1786" i="5"/>
  <c r="F1786" i="5"/>
  <c r="G1785" i="5"/>
  <c r="F1785" i="5"/>
  <c r="G1784" i="5"/>
  <c r="F1784" i="5"/>
  <c r="G1783" i="5"/>
  <c r="F1783" i="5"/>
  <c r="G1782" i="5"/>
  <c r="F1782" i="5"/>
  <c r="G1781" i="5"/>
  <c r="F1781" i="5"/>
  <c r="G1780" i="5"/>
  <c r="F1780" i="5"/>
  <c r="G1779" i="5"/>
  <c r="F1779" i="5"/>
  <c r="G1778" i="5"/>
  <c r="F1778" i="5"/>
  <c r="G1777" i="5"/>
  <c r="F1777" i="5"/>
  <c r="G1776" i="5"/>
  <c r="F1776" i="5"/>
  <c r="G1775" i="5"/>
  <c r="F1775" i="5"/>
  <c r="G1774" i="5"/>
  <c r="F1774" i="5"/>
  <c r="G1773" i="5"/>
  <c r="F1773" i="5"/>
  <c r="G1772" i="5"/>
  <c r="F1772" i="5"/>
  <c r="G1771" i="5"/>
  <c r="F1771" i="5"/>
  <c r="G1770" i="5"/>
  <c r="F1770" i="5"/>
  <c r="G1769" i="5"/>
  <c r="F1769" i="5"/>
  <c r="G1768" i="5"/>
  <c r="F1768" i="5"/>
  <c r="G1767" i="5"/>
  <c r="F1767" i="5"/>
  <c r="G1766" i="5"/>
  <c r="F1766" i="5"/>
  <c r="G1765" i="5"/>
  <c r="F1765" i="5"/>
  <c r="G1764" i="5"/>
  <c r="F1764" i="5"/>
  <c r="G1763" i="5"/>
  <c r="F1763" i="5"/>
  <c r="G1762" i="5"/>
  <c r="F1762" i="5"/>
  <c r="G1761" i="5"/>
  <c r="F1761" i="5"/>
  <c r="G1760" i="5"/>
  <c r="F1760" i="5"/>
  <c r="G1759" i="5"/>
  <c r="F1759" i="5"/>
  <c r="G1758" i="5"/>
  <c r="F1758" i="5"/>
  <c r="G1757" i="5"/>
  <c r="F1757" i="5"/>
  <c r="G1756" i="5"/>
  <c r="F1756" i="5"/>
  <c r="G1755" i="5"/>
  <c r="F1755" i="5"/>
  <c r="G1754" i="5"/>
  <c r="F1754" i="5"/>
  <c r="G1753" i="5"/>
  <c r="F1753" i="5"/>
  <c r="G1752" i="5"/>
  <c r="F1752" i="5"/>
  <c r="G1751" i="5"/>
  <c r="F1751" i="5"/>
  <c r="G1750" i="5"/>
  <c r="F1750" i="5"/>
  <c r="G1749" i="5"/>
  <c r="F1749" i="5"/>
  <c r="G1748" i="5"/>
  <c r="F1748" i="5"/>
  <c r="G1747" i="5"/>
  <c r="F1747" i="5"/>
  <c r="G1746" i="5"/>
  <c r="F1746" i="5"/>
  <c r="G1745" i="5"/>
  <c r="F1745" i="5"/>
  <c r="G1744" i="5"/>
  <c r="F1744" i="5"/>
  <c r="G1743" i="5"/>
  <c r="F1743" i="5"/>
  <c r="G1742" i="5"/>
  <c r="F1742" i="5"/>
  <c r="G1741" i="5"/>
  <c r="F1741" i="5"/>
  <c r="G1740" i="5"/>
  <c r="F1740" i="5"/>
  <c r="G1739" i="5"/>
  <c r="F1739" i="5"/>
  <c r="G1738" i="5"/>
  <c r="F1738" i="5"/>
  <c r="G1737" i="5"/>
  <c r="F1737" i="5"/>
  <c r="G1736" i="5"/>
  <c r="F1736" i="5"/>
  <c r="G1735" i="5"/>
  <c r="F1735" i="5"/>
  <c r="G1734" i="5"/>
  <c r="F1734" i="5"/>
  <c r="G1733" i="5"/>
  <c r="F1733" i="5"/>
  <c r="G1732" i="5"/>
  <c r="F1732" i="5"/>
  <c r="G1731" i="5"/>
  <c r="F1731" i="5"/>
  <c r="G1730" i="5"/>
  <c r="F1730" i="5"/>
  <c r="G1729" i="5"/>
  <c r="F1729" i="5"/>
  <c r="G1728" i="5"/>
  <c r="F1728" i="5"/>
  <c r="G1727" i="5"/>
  <c r="F1727" i="5"/>
  <c r="G1726" i="5"/>
  <c r="F1726" i="5"/>
  <c r="G1725" i="5"/>
  <c r="F1725" i="5"/>
  <c r="G1724" i="5"/>
  <c r="F1724" i="5"/>
  <c r="G1723" i="5"/>
  <c r="F1723" i="5"/>
  <c r="G1722" i="5"/>
  <c r="F1722" i="5"/>
  <c r="G1721" i="5"/>
  <c r="F1721" i="5"/>
  <c r="G1720" i="5"/>
  <c r="F1720" i="5"/>
  <c r="G1719" i="5"/>
  <c r="F1719" i="5"/>
  <c r="G1718" i="5"/>
  <c r="F1718" i="5"/>
  <c r="G1717" i="5"/>
  <c r="F1717" i="5"/>
  <c r="G1716" i="5"/>
  <c r="F1716" i="5"/>
  <c r="G1715" i="5"/>
  <c r="F1715" i="5"/>
  <c r="G1714" i="5"/>
  <c r="F1714" i="5"/>
  <c r="G1713" i="5"/>
  <c r="F1713" i="5"/>
  <c r="G1712" i="5"/>
  <c r="F1712" i="5"/>
  <c r="G1711" i="5"/>
  <c r="F1711" i="5"/>
  <c r="G1710" i="5"/>
  <c r="F1710" i="5"/>
  <c r="G1709" i="5"/>
  <c r="F1709" i="5"/>
  <c r="G1708" i="5"/>
  <c r="F1708" i="5"/>
  <c r="G1707" i="5"/>
  <c r="F1707" i="5"/>
  <c r="G1706" i="5"/>
  <c r="F1706" i="5"/>
  <c r="G1705" i="5"/>
  <c r="F1705" i="5"/>
  <c r="G1704" i="5"/>
  <c r="F1704" i="5"/>
  <c r="G1703" i="5"/>
  <c r="F1703" i="5"/>
  <c r="G1702" i="5"/>
  <c r="F1702" i="5"/>
  <c r="G1701" i="5"/>
  <c r="F1701" i="5"/>
  <c r="G1700" i="5"/>
  <c r="F1700" i="5"/>
  <c r="G1699" i="5"/>
  <c r="F1699" i="5"/>
  <c r="G1698" i="5"/>
  <c r="F1698" i="5"/>
  <c r="G1697" i="5"/>
  <c r="F1697" i="5"/>
  <c r="G1696" i="5"/>
  <c r="F1696" i="5"/>
  <c r="G1695" i="5"/>
  <c r="F1695" i="5"/>
  <c r="G1694" i="5"/>
  <c r="F1694" i="5"/>
  <c r="G1693" i="5"/>
  <c r="F1693" i="5"/>
  <c r="G1692" i="5"/>
  <c r="F1692" i="5"/>
  <c r="G1691" i="5"/>
  <c r="F1691" i="5"/>
  <c r="G1690" i="5"/>
  <c r="F1690" i="5"/>
  <c r="G1689" i="5"/>
  <c r="F1689" i="5"/>
  <c r="G1688" i="5"/>
  <c r="F1688" i="5"/>
  <c r="G1687" i="5"/>
  <c r="F1687" i="5"/>
  <c r="G1686" i="5"/>
  <c r="F1686" i="5"/>
  <c r="G1685" i="5"/>
  <c r="F1685" i="5"/>
  <c r="G1684" i="5"/>
  <c r="F1684" i="5"/>
  <c r="G1683" i="5"/>
  <c r="F1683" i="5"/>
  <c r="G1682" i="5"/>
  <c r="F1682" i="5"/>
  <c r="G1681" i="5"/>
  <c r="F1681" i="5"/>
  <c r="G1680" i="5"/>
  <c r="F1680" i="5"/>
  <c r="G1679" i="5"/>
  <c r="F1679" i="5"/>
  <c r="G1678" i="5"/>
  <c r="F1678" i="5"/>
  <c r="G1677" i="5"/>
  <c r="F1677" i="5"/>
  <c r="G1676" i="5"/>
  <c r="F1676" i="5"/>
  <c r="G1675" i="5"/>
  <c r="F1675" i="5"/>
  <c r="G1674" i="5"/>
  <c r="F1674" i="5"/>
  <c r="G1673" i="5"/>
  <c r="F1673" i="5"/>
  <c r="G1672" i="5"/>
  <c r="F1672" i="5"/>
  <c r="G1671" i="5"/>
  <c r="F1671" i="5"/>
  <c r="G1670" i="5"/>
  <c r="F1670" i="5"/>
  <c r="G1669" i="5"/>
  <c r="F1669" i="5"/>
  <c r="G1668" i="5"/>
  <c r="F1668" i="5"/>
  <c r="G1667" i="5"/>
  <c r="F1667" i="5"/>
  <c r="G1666" i="5"/>
  <c r="F1666" i="5"/>
  <c r="G1665" i="5"/>
  <c r="F1665" i="5"/>
  <c r="G1664" i="5"/>
  <c r="F1664" i="5"/>
  <c r="G1663" i="5"/>
  <c r="F1663" i="5"/>
  <c r="G1662" i="5"/>
  <c r="F1662" i="5"/>
  <c r="G1661" i="5"/>
  <c r="F1661" i="5"/>
  <c r="G1660" i="5"/>
  <c r="F1660" i="5"/>
  <c r="G1659" i="5"/>
  <c r="F1659" i="5"/>
  <c r="G1658" i="5"/>
  <c r="F1658" i="5"/>
  <c r="G1657" i="5"/>
  <c r="F1657" i="5"/>
  <c r="G1656" i="5"/>
  <c r="F1656" i="5"/>
  <c r="G1655" i="5"/>
  <c r="F1655" i="5"/>
  <c r="G1654" i="5"/>
  <c r="F1654" i="5"/>
  <c r="G1653" i="5"/>
  <c r="F1653" i="5"/>
  <c r="G1652" i="5"/>
  <c r="F1652" i="5"/>
  <c r="G1651" i="5"/>
  <c r="F1651" i="5"/>
  <c r="G1650" i="5"/>
  <c r="F1650" i="5"/>
  <c r="G1649" i="5"/>
  <c r="F1649" i="5"/>
  <c r="G1648" i="5"/>
  <c r="F1648" i="5"/>
  <c r="G1647" i="5"/>
  <c r="F1647" i="5"/>
  <c r="G1646" i="5"/>
  <c r="F1646" i="5"/>
  <c r="G1645" i="5"/>
  <c r="F1645" i="5"/>
  <c r="G1644" i="5"/>
  <c r="F1644" i="5"/>
  <c r="G1643" i="5"/>
  <c r="F1643" i="5"/>
  <c r="G1642" i="5"/>
  <c r="F1642" i="5"/>
  <c r="G1641" i="5"/>
  <c r="F1641" i="5"/>
  <c r="G1640" i="5"/>
  <c r="F1640" i="5"/>
  <c r="G1639" i="5"/>
  <c r="F1639" i="5"/>
  <c r="G1638" i="5"/>
  <c r="F1638" i="5"/>
  <c r="G1637" i="5"/>
  <c r="F1637" i="5"/>
  <c r="G1636" i="5"/>
  <c r="F1636" i="5"/>
  <c r="G1635" i="5"/>
  <c r="F1635" i="5"/>
  <c r="G1634" i="5"/>
  <c r="F1634" i="5"/>
  <c r="G1633" i="5"/>
  <c r="F1633" i="5"/>
  <c r="G1632" i="5"/>
  <c r="F1632" i="5"/>
  <c r="G1631" i="5"/>
  <c r="F1631" i="5"/>
  <c r="G1630" i="5"/>
  <c r="F1630" i="5"/>
  <c r="G1629" i="5"/>
  <c r="F1629" i="5"/>
  <c r="G1628" i="5"/>
  <c r="F1628" i="5"/>
  <c r="G1627" i="5"/>
  <c r="F1627" i="5"/>
  <c r="G1626" i="5"/>
  <c r="F1626" i="5"/>
  <c r="G1625" i="5"/>
  <c r="F1625" i="5"/>
  <c r="G1624" i="5"/>
  <c r="F1624" i="5"/>
  <c r="G1623" i="5"/>
  <c r="F1623" i="5"/>
  <c r="G1622" i="5"/>
  <c r="F1622" i="5"/>
  <c r="G1621" i="5"/>
  <c r="F1621" i="5"/>
  <c r="G1620" i="5"/>
  <c r="F1620" i="5"/>
  <c r="G1619" i="5"/>
  <c r="F1619" i="5"/>
  <c r="G1618" i="5"/>
  <c r="F1618" i="5"/>
  <c r="G1617" i="5"/>
  <c r="F1617" i="5"/>
  <c r="G1616" i="5"/>
  <c r="F1616" i="5"/>
  <c r="G1615" i="5"/>
  <c r="F1615" i="5"/>
  <c r="G1614" i="5"/>
  <c r="F1614" i="5"/>
  <c r="G1613" i="5"/>
  <c r="F1613" i="5"/>
  <c r="G1612" i="5"/>
  <c r="F1612" i="5"/>
  <c r="G1611" i="5"/>
  <c r="F1611" i="5"/>
  <c r="G1610" i="5"/>
  <c r="F1610" i="5"/>
  <c r="G1609" i="5"/>
  <c r="F1609" i="5"/>
  <c r="G1608" i="5"/>
  <c r="F1608" i="5"/>
  <c r="G1607" i="5"/>
  <c r="F1607" i="5"/>
  <c r="G1606" i="5"/>
  <c r="F1606" i="5"/>
  <c r="G1605" i="5"/>
  <c r="F1605" i="5"/>
  <c r="G1604" i="5"/>
  <c r="F1604" i="5"/>
  <c r="G1603" i="5"/>
  <c r="F1603" i="5"/>
  <c r="G1602" i="5"/>
  <c r="F1602" i="5"/>
  <c r="G1601" i="5"/>
  <c r="F1601" i="5"/>
  <c r="G1600" i="5"/>
  <c r="F1600" i="5"/>
  <c r="G1599" i="5"/>
  <c r="F1599" i="5"/>
  <c r="G1598" i="5"/>
  <c r="F1598" i="5"/>
  <c r="G1597" i="5"/>
  <c r="F1597" i="5"/>
  <c r="G1596" i="5"/>
  <c r="F1596" i="5"/>
  <c r="G1595" i="5"/>
  <c r="F1595" i="5"/>
  <c r="G1594" i="5"/>
  <c r="F1594" i="5"/>
  <c r="G1593" i="5"/>
  <c r="F1593" i="5"/>
  <c r="G1592" i="5"/>
  <c r="F1592" i="5"/>
  <c r="G1591" i="5"/>
  <c r="F1591" i="5"/>
  <c r="G1590" i="5"/>
  <c r="F1590" i="5"/>
  <c r="G1589" i="5"/>
  <c r="F1589" i="5"/>
  <c r="G1588" i="5"/>
  <c r="F1588" i="5"/>
  <c r="G1587" i="5"/>
  <c r="F1587" i="5"/>
  <c r="G1586" i="5"/>
  <c r="F1586" i="5"/>
  <c r="G1585" i="5"/>
  <c r="F1585" i="5"/>
  <c r="G1584" i="5"/>
  <c r="F1584" i="5"/>
  <c r="G1583" i="5"/>
  <c r="F1583" i="5"/>
  <c r="G1582" i="5"/>
  <c r="F1582" i="5"/>
  <c r="G1581" i="5"/>
  <c r="F1581" i="5"/>
  <c r="G1580" i="5"/>
  <c r="F1580" i="5"/>
  <c r="G1579" i="5"/>
  <c r="F1579" i="5"/>
  <c r="G1578" i="5"/>
  <c r="F1578" i="5"/>
  <c r="G1577" i="5"/>
  <c r="F1577" i="5"/>
  <c r="G1576" i="5"/>
  <c r="F1576" i="5"/>
  <c r="G1575" i="5"/>
  <c r="F1575" i="5"/>
  <c r="G1574" i="5"/>
  <c r="F1574" i="5"/>
  <c r="G1573" i="5"/>
  <c r="F1573" i="5"/>
  <c r="G1572" i="5"/>
  <c r="F1572" i="5"/>
  <c r="G1571" i="5"/>
  <c r="F1571" i="5"/>
  <c r="G1570" i="5"/>
  <c r="F1570" i="5"/>
  <c r="G1569" i="5"/>
  <c r="F1569" i="5"/>
  <c r="G1568" i="5"/>
  <c r="F1568" i="5"/>
  <c r="G1567" i="5"/>
  <c r="F1567" i="5"/>
  <c r="G1566" i="5"/>
  <c r="F1566" i="5"/>
  <c r="G1565" i="5"/>
  <c r="F1565" i="5"/>
  <c r="G1564" i="5"/>
  <c r="F1564" i="5"/>
  <c r="G1563" i="5"/>
  <c r="F1563" i="5"/>
  <c r="G1562" i="5"/>
  <c r="F1562" i="5"/>
  <c r="G1561" i="5"/>
  <c r="F1561" i="5"/>
  <c r="G1560" i="5"/>
  <c r="F1560" i="5"/>
  <c r="G1559" i="5"/>
  <c r="F1559" i="5"/>
  <c r="G1558" i="5"/>
  <c r="F1558" i="5"/>
  <c r="G1557" i="5"/>
  <c r="F1557" i="5"/>
  <c r="G1556" i="5"/>
  <c r="F1556" i="5"/>
  <c r="G1555" i="5"/>
  <c r="F1555" i="5"/>
  <c r="G1554" i="5"/>
  <c r="F1554" i="5"/>
  <c r="G1553" i="5"/>
  <c r="F1553" i="5"/>
  <c r="G1552" i="5"/>
  <c r="F1552" i="5"/>
  <c r="G1551" i="5"/>
  <c r="F1551" i="5"/>
  <c r="G1550" i="5"/>
  <c r="F1550" i="5"/>
  <c r="G1549" i="5"/>
  <c r="F1549" i="5"/>
  <c r="G1548" i="5"/>
  <c r="F1548" i="5"/>
  <c r="G1547" i="5"/>
  <c r="F1547" i="5"/>
  <c r="G1546" i="5"/>
  <c r="F1546" i="5"/>
  <c r="G1545" i="5"/>
  <c r="F1545" i="5"/>
  <c r="G1544" i="5"/>
  <c r="F1544" i="5"/>
  <c r="G1543" i="5"/>
  <c r="F1543" i="5"/>
  <c r="G1542" i="5"/>
  <c r="F1542" i="5"/>
  <c r="G1541" i="5"/>
  <c r="F1541" i="5"/>
  <c r="G1540" i="5"/>
  <c r="F1540" i="5"/>
  <c r="G1539" i="5"/>
  <c r="F1539" i="5"/>
  <c r="G1538" i="5"/>
  <c r="F1538" i="5"/>
  <c r="G1537" i="5"/>
  <c r="F1537" i="5"/>
  <c r="G1536" i="5"/>
  <c r="F1536" i="5"/>
  <c r="G1535" i="5"/>
  <c r="F1535" i="5"/>
  <c r="G1534" i="5"/>
  <c r="F1534" i="5"/>
  <c r="G1533" i="5"/>
  <c r="F1533" i="5"/>
  <c r="G1532" i="5"/>
  <c r="F1532" i="5"/>
  <c r="G1531" i="5"/>
  <c r="F1531" i="5"/>
  <c r="G1530" i="5"/>
  <c r="F1530" i="5"/>
  <c r="G1529" i="5"/>
  <c r="F1529" i="5"/>
  <c r="G1528" i="5"/>
  <c r="F1528" i="5"/>
  <c r="G1527" i="5"/>
  <c r="F1527" i="5"/>
  <c r="G1526" i="5"/>
  <c r="F1526" i="5"/>
  <c r="G1525" i="5"/>
  <c r="F1525" i="5"/>
  <c r="G1524" i="5"/>
  <c r="F1524" i="5"/>
  <c r="G1523" i="5"/>
  <c r="F1523" i="5"/>
  <c r="G1522" i="5"/>
  <c r="F1522" i="5"/>
  <c r="G1521" i="5"/>
  <c r="F1521" i="5"/>
  <c r="G1520" i="5"/>
  <c r="F1520" i="5"/>
  <c r="G1519" i="5"/>
  <c r="F1519" i="5"/>
  <c r="G1518" i="5"/>
  <c r="F1518" i="5"/>
  <c r="G1517" i="5"/>
  <c r="F1517" i="5"/>
  <c r="G1516" i="5"/>
  <c r="F1516" i="5"/>
  <c r="G1515" i="5"/>
  <c r="F1515" i="5"/>
  <c r="G1514" i="5"/>
  <c r="F1514" i="5"/>
  <c r="G1513" i="5"/>
  <c r="F1513" i="5"/>
  <c r="G1512" i="5"/>
  <c r="F1512" i="5"/>
  <c r="G1511" i="5"/>
  <c r="F1511" i="5"/>
  <c r="G1510" i="5"/>
  <c r="F1510" i="5"/>
  <c r="G1509" i="5"/>
  <c r="F1509" i="5"/>
  <c r="G1508" i="5"/>
  <c r="F1508" i="5"/>
  <c r="G1507" i="5"/>
  <c r="F1507" i="5"/>
  <c r="G1506" i="5"/>
  <c r="F1506" i="5"/>
  <c r="G1505" i="5"/>
  <c r="F1505" i="5"/>
  <c r="G1504" i="5"/>
  <c r="F1504" i="5"/>
  <c r="G1503" i="5"/>
  <c r="F1503" i="5"/>
  <c r="G1502" i="5"/>
  <c r="F1502" i="5"/>
  <c r="G1501" i="5"/>
  <c r="F1501" i="5"/>
  <c r="G1500" i="5"/>
  <c r="F1500" i="5"/>
  <c r="G1499" i="5"/>
  <c r="F1499" i="5"/>
  <c r="G1498" i="5"/>
  <c r="F1498" i="5"/>
  <c r="G1497" i="5"/>
  <c r="F1497" i="5"/>
  <c r="G1496" i="5"/>
  <c r="F1496" i="5"/>
  <c r="G1495" i="5"/>
  <c r="F1495" i="5"/>
  <c r="G1494" i="5"/>
  <c r="F1494" i="5"/>
  <c r="G1493" i="5"/>
  <c r="F1493" i="5"/>
  <c r="G1492" i="5"/>
  <c r="F1492" i="5"/>
  <c r="G1491" i="5"/>
  <c r="F1491" i="5"/>
  <c r="G1490" i="5"/>
  <c r="F1490" i="5"/>
  <c r="G1489" i="5"/>
  <c r="F1489" i="5"/>
  <c r="G1488" i="5"/>
  <c r="F1488" i="5"/>
  <c r="G1487" i="5"/>
  <c r="F1487" i="5"/>
  <c r="G1486" i="5"/>
  <c r="F1486" i="5"/>
  <c r="G1485" i="5"/>
  <c r="F1485" i="5"/>
  <c r="G1484" i="5"/>
  <c r="F1484" i="5"/>
  <c r="G1483" i="5"/>
  <c r="F1483" i="5"/>
  <c r="G1482" i="5"/>
  <c r="F1482" i="5"/>
  <c r="G1481" i="5"/>
  <c r="F1481" i="5"/>
  <c r="G1480" i="5"/>
  <c r="F1480" i="5"/>
  <c r="G1479" i="5"/>
  <c r="F1479" i="5"/>
  <c r="G1478" i="5"/>
  <c r="F1478" i="5"/>
  <c r="G1477" i="5"/>
  <c r="F1477" i="5"/>
  <c r="G1476" i="5"/>
  <c r="F1476" i="5"/>
  <c r="G1475" i="5"/>
  <c r="F1475" i="5"/>
  <c r="G1474" i="5"/>
  <c r="F1474" i="5"/>
  <c r="G1473" i="5"/>
  <c r="F1473" i="5"/>
  <c r="G1472" i="5"/>
  <c r="F1472" i="5"/>
  <c r="G1471" i="5"/>
  <c r="F1471" i="5"/>
  <c r="G1470" i="5"/>
  <c r="F1470" i="5"/>
  <c r="G1469" i="5"/>
  <c r="F1469" i="5"/>
  <c r="G1468" i="5"/>
  <c r="F1468" i="5"/>
  <c r="G1467" i="5"/>
  <c r="F1467" i="5"/>
  <c r="G1466" i="5"/>
  <c r="F1466" i="5"/>
  <c r="G1465" i="5"/>
  <c r="F1465" i="5"/>
  <c r="G1464" i="5"/>
  <c r="F1464" i="5"/>
  <c r="G1463" i="5"/>
  <c r="F1463" i="5"/>
  <c r="G1462" i="5"/>
  <c r="F1462" i="5"/>
  <c r="G1461" i="5"/>
  <c r="F1461" i="5"/>
  <c r="G1460" i="5"/>
  <c r="F1460" i="5"/>
  <c r="G1459" i="5"/>
  <c r="F1459" i="5"/>
  <c r="G1458" i="5"/>
  <c r="F1458" i="5"/>
  <c r="G1457" i="5"/>
  <c r="F1457" i="5"/>
  <c r="G1456" i="5"/>
  <c r="F1456" i="5"/>
  <c r="G1455" i="5"/>
  <c r="F1455" i="5"/>
  <c r="G1454" i="5"/>
  <c r="F1454" i="5"/>
  <c r="G1453" i="5"/>
  <c r="F1453" i="5"/>
  <c r="G1452" i="5"/>
  <c r="F1452" i="5"/>
  <c r="G1451" i="5"/>
  <c r="F1451" i="5"/>
  <c r="G1450" i="5"/>
  <c r="F1450" i="5"/>
  <c r="G1449" i="5"/>
  <c r="F1449" i="5"/>
  <c r="G1448" i="5"/>
  <c r="F1448" i="5"/>
  <c r="G1447" i="5"/>
  <c r="F1447" i="5"/>
  <c r="G1446" i="5"/>
  <c r="F1446" i="5"/>
  <c r="G1445" i="5"/>
  <c r="F1445" i="5"/>
  <c r="G1444" i="5"/>
  <c r="F1444" i="5"/>
  <c r="G1443" i="5"/>
  <c r="F1443" i="5"/>
  <c r="G1442" i="5"/>
  <c r="F1442" i="5"/>
  <c r="G1441" i="5"/>
  <c r="F1441" i="5"/>
  <c r="G1440" i="5"/>
  <c r="F1440" i="5"/>
  <c r="G1439" i="5"/>
  <c r="F1439" i="5"/>
  <c r="G1438" i="5"/>
  <c r="F1438" i="5"/>
  <c r="G1437" i="5"/>
  <c r="F1437" i="5"/>
  <c r="G1436" i="5"/>
  <c r="F1436" i="5"/>
  <c r="G1435" i="5"/>
  <c r="F1435" i="5"/>
  <c r="G1434" i="5"/>
  <c r="F1434" i="5"/>
  <c r="G1433" i="5"/>
  <c r="F1433" i="5"/>
  <c r="G1432" i="5"/>
  <c r="F1432" i="5"/>
  <c r="G1431" i="5"/>
  <c r="F1431" i="5"/>
  <c r="G1430" i="5"/>
  <c r="F1430" i="5"/>
  <c r="G1429" i="5"/>
  <c r="F1429" i="5"/>
  <c r="G1428" i="5"/>
  <c r="F1428" i="5"/>
  <c r="G1427" i="5"/>
  <c r="F1427" i="5"/>
  <c r="G1426" i="5"/>
  <c r="F1426" i="5"/>
  <c r="G1425" i="5"/>
  <c r="F1425" i="5"/>
  <c r="G1424" i="5"/>
  <c r="F1424" i="5"/>
  <c r="G1423" i="5"/>
  <c r="F1423" i="5"/>
  <c r="G1422" i="5"/>
  <c r="F1422" i="5"/>
  <c r="G1421" i="5"/>
  <c r="F1421" i="5"/>
  <c r="G1420" i="5"/>
  <c r="F1420" i="5"/>
  <c r="G1419" i="5"/>
  <c r="F1419" i="5"/>
  <c r="G1418" i="5"/>
  <c r="F1418" i="5"/>
  <c r="G1417" i="5"/>
  <c r="F1417" i="5"/>
  <c r="G1416" i="5"/>
  <c r="F1416" i="5"/>
  <c r="G1415" i="5"/>
  <c r="F1415" i="5"/>
  <c r="G1414" i="5"/>
  <c r="F1414" i="5"/>
  <c r="G1413" i="5"/>
  <c r="F1413" i="5"/>
  <c r="G1412" i="5"/>
  <c r="F1412" i="5"/>
  <c r="G1411" i="5"/>
  <c r="F1411" i="5"/>
  <c r="G1410" i="5"/>
  <c r="F1410" i="5"/>
  <c r="G1409" i="5"/>
  <c r="F1409" i="5"/>
  <c r="G1408" i="5"/>
  <c r="F1408" i="5"/>
  <c r="G1407" i="5"/>
  <c r="F1407" i="5"/>
  <c r="G1406" i="5"/>
  <c r="F1406" i="5"/>
  <c r="G1405" i="5"/>
  <c r="F1405" i="5"/>
  <c r="G1404" i="5"/>
  <c r="F1404" i="5"/>
  <c r="G1403" i="5"/>
  <c r="F1403" i="5"/>
  <c r="G1402" i="5"/>
  <c r="F1402" i="5"/>
  <c r="G1401" i="5"/>
  <c r="F1401" i="5"/>
  <c r="G1400" i="5"/>
  <c r="F1400" i="5"/>
  <c r="G1399" i="5"/>
  <c r="F1399" i="5"/>
  <c r="G1398" i="5"/>
  <c r="F1398" i="5"/>
  <c r="G1397" i="5"/>
  <c r="F1397" i="5"/>
  <c r="G1396" i="5"/>
  <c r="F1396" i="5"/>
  <c r="G1395" i="5"/>
  <c r="F1395" i="5"/>
  <c r="G1394" i="5"/>
  <c r="F1394" i="5"/>
  <c r="G1393" i="5"/>
  <c r="F1393" i="5"/>
  <c r="G1392" i="5"/>
  <c r="F1392" i="5"/>
  <c r="G1391" i="5"/>
  <c r="F1391" i="5"/>
  <c r="G1390" i="5"/>
  <c r="F1390" i="5"/>
  <c r="G1389" i="5"/>
  <c r="F1389" i="5"/>
  <c r="G1388" i="5"/>
  <c r="F1388" i="5"/>
  <c r="G1387" i="5"/>
  <c r="F1387" i="5"/>
  <c r="G1386" i="5"/>
  <c r="F1386" i="5"/>
  <c r="G1385" i="5"/>
  <c r="F1385" i="5"/>
  <c r="G1384" i="5"/>
  <c r="F1384" i="5"/>
  <c r="G1383" i="5"/>
  <c r="F1383" i="5"/>
  <c r="G1382" i="5"/>
  <c r="F1382" i="5"/>
  <c r="G1381" i="5"/>
  <c r="F1381" i="5"/>
  <c r="G1380" i="5"/>
  <c r="F1380" i="5"/>
  <c r="G1379" i="5"/>
  <c r="F1379" i="5"/>
  <c r="G1378" i="5"/>
  <c r="F1378" i="5"/>
  <c r="G1377" i="5"/>
  <c r="F1377" i="5"/>
  <c r="G1376" i="5"/>
  <c r="F1376" i="5"/>
  <c r="G1375" i="5"/>
  <c r="F1375" i="5"/>
  <c r="G1374" i="5"/>
  <c r="F1374" i="5"/>
  <c r="G1373" i="5"/>
  <c r="F1373" i="5"/>
  <c r="G1372" i="5"/>
  <c r="F1372" i="5"/>
  <c r="G1371" i="5"/>
  <c r="F1371" i="5"/>
  <c r="G1370" i="5"/>
  <c r="F1370" i="5"/>
  <c r="G1369" i="5"/>
  <c r="F1369" i="5"/>
  <c r="G1368" i="5"/>
  <c r="F1368" i="5"/>
  <c r="G1367" i="5"/>
  <c r="F1367" i="5"/>
  <c r="G1366" i="5"/>
  <c r="F1366" i="5"/>
  <c r="G1365" i="5"/>
  <c r="F1365" i="5"/>
  <c r="G1364" i="5"/>
  <c r="F1364" i="5"/>
  <c r="G1363" i="5"/>
  <c r="F1363" i="5"/>
  <c r="G1362" i="5"/>
  <c r="F1362" i="5"/>
  <c r="G1361" i="5"/>
  <c r="F1361" i="5"/>
  <c r="G1360" i="5"/>
  <c r="F1360" i="5"/>
  <c r="G1359" i="5"/>
  <c r="F1359" i="5"/>
  <c r="G1358" i="5"/>
  <c r="F1358" i="5"/>
  <c r="G1357" i="5"/>
  <c r="F1357" i="5"/>
  <c r="G1356" i="5"/>
  <c r="F1356" i="5"/>
  <c r="G1355" i="5"/>
  <c r="F1355" i="5"/>
  <c r="G1354" i="5"/>
  <c r="F1354" i="5"/>
  <c r="G1353" i="5"/>
  <c r="F1353" i="5"/>
  <c r="G1352" i="5"/>
  <c r="F1352" i="5"/>
  <c r="G1351" i="5"/>
  <c r="F1351" i="5"/>
  <c r="G1350" i="5"/>
  <c r="F1350" i="5"/>
  <c r="G1349" i="5"/>
  <c r="F1349" i="5"/>
  <c r="G1348" i="5"/>
  <c r="F1348" i="5"/>
  <c r="G1347" i="5"/>
  <c r="F1347" i="5"/>
  <c r="G1346" i="5"/>
  <c r="F1346" i="5"/>
  <c r="G1345" i="5"/>
  <c r="F1345" i="5"/>
  <c r="G1344" i="5"/>
  <c r="F1344" i="5"/>
  <c r="G1343" i="5"/>
  <c r="F1343" i="5"/>
  <c r="G1342" i="5"/>
  <c r="F1342" i="5"/>
  <c r="G1341" i="5"/>
  <c r="F1341" i="5"/>
  <c r="G1340" i="5"/>
  <c r="F1340" i="5"/>
  <c r="G1339" i="5"/>
  <c r="F1339" i="5"/>
  <c r="G1338" i="5"/>
  <c r="F1338" i="5"/>
  <c r="G1337" i="5"/>
  <c r="F1337" i="5"/>
  <c r="G1336" i="5"/>
  <c r="F1336" i="5"/>
  <c r="G1335" i="5"/>
  <c r="F1335" i="5"/>
  <c r="G1334" i="5"/>
  <c r="F1334" i="5"/>
  <c r="G1333" i="5"/>
  <c r="F1333" i="5"/>
  <c r="G1332" i="5"/>
  <c r="F1332" i="5"/>
  <c r="G1331" i="5"/>
  <c r="F1331" i="5"/>
  <c r="G1330" i="5"/>
  <c r="F1330" i="5"/>
  <c r="G1329" i="5"/>
  <c r="F1329" i="5"/>
  <c r="G1328" i="5"/>
  <c r="F1328" i="5"/>
  <c r="G1327" i="5"/>
  <c r="F1327" i="5"/>
  <c r="G1326" i="5"/>
  <c r="F1326" i="5"/>
  <c r="G1325" i="5"/>
  <c r="F1325" i="5"/>
  <c r="G1324" i="5"/>
  <c r="F1324" i="5"/>
  <c r="G1323" i="5"/>
  <c r="F1323" i="5"/>
  <c r="G1322" i="5"/>
  <c r="F1322" i="5"/>
  <c r="G1321" i="5"/>
  <c r="F1321" i="5"/>
  <c r="G1320" i="5"/>
  <c r="F1320" i="5"/>
  <c r="G1319" i="5"/>
  <c r="F1319" i="5"/>
  <c r="G1318" i="5"/>
  <c r="F1318" i="5"/>
  <c r="G1317" i="5"/>
  <c r="F1317" i="5"/>
  <c r="G1316" i="5"/>
  <c r="F1316" i="5"/>
  <c r="G1315" i="5"/>
  <c r="F1315" i="5"/>
  <c r="G1314" i="5"/>
  <c r="F1314" i="5"/>
  <c r="G1313" i="5"/>
  <c r="F1313" i="5"/>
  <c r="G1312" i="5"/>
  <c r="F1312" i="5"/>
  <c r="G1311" i="5"/>
  <c r="F1311" i="5"/>
  <c r="G1310" i="5"/>
  <c r="F1310" i="5"/>
  <c r="G1309" i="5"/>
  <c r="F1309" i="5"/>
  <c r="G1308" i="5"/>
  <c r="F1308" i="5"/>
  <c r="G1307" i="5"/>
  <c r="F1307" i="5"/>
  <c r="G1306" i="5"/>
  <c r="F1306" i="5"/>
  <c r="G1305" i="5"/>
  <c r="F1305" i="5"/>
  <c r="G1304" i="5"/>
  <c r="F1304" i="5"/>
  <c r="G1303" i="5"/>
  <c r="F1303" i="5"/>
  <c r="G1302" i="5"/>
  <c r="F1302" i="5"/>
  <c r="G1301" i="5"/>
  <c r="F1301" i="5"/>
  <c r="G1300" i="5"/>
  <c r="F1300" i="5"/>
  <c r="G1299" i="5"/>
  <c r="F1299" i="5"/>
  <c r="G1298" i="5"/>
  <c r="F1298" i="5"/>
  <c r="G1297" i="5"/>
  <c r="F1297" i="5"/>
  <c r="G1296" i="5"/>
  <c r="F1296" i="5"/>
  <c r="G1295" i="5"/>
  <c r="F1295" i="5"/>
  <c r="G1294" i="5"/>
  <c r="F1294" i="5"/>
  <c r="G1293" i="5"/>
  <c r="F1293" i="5"/>
  <c r="G1292" i="5"/>
  <c r="F1292" i="5"/>
  <c r="G1291" i="5"/>
  <c r="F1291" i="5"/>
  <c r="G1290" i="5"/>
  <c r="F1290" i="5"/>
  <c r="G1289" i="5"/>
  <c r="F1289" i="5"/>
  <c r="G1288" i="5"/>
  <c r="F1288" i="5"/>
  <c r="G1287" i="5"/>
  <c r="F1287" i="5"/>
  <c r="G1286" i="5"/>
  <c r="F1286" i="5"/>
  <c r="G1285" i="5"/>
  <c r="F1285" i="5"/>
  <c r="G1284" i="5"/>
  <c r="F1284" i="5"/>
  <c r="G1283" i="5"/>
  <c r="F1283" i="5"/>
  <c r="G1282" i="5"/>
  <c r="F1282" i="5"/>
  <c r="G1281" i="5"/>
  <c r="F1281" i="5"/>
  <c r="G1280" i="5"/>
  <c r="F1280" i="5"/>
  <c r="G1279" i="5"/>
  <c r="F1279" i="5"/>
  <c r="G1278" i="5"/>
  <c r="F1278" i="5"/>
  <c r="G1277" i="5"/>
  <c r="F1277" i="5"/>
  <c r="G1276" i="5"/>
  <c r="F1276" i="5"/>
  <c r="G1275" i="5"/>
  <c r="F1275" i="5"/>
  <c r="G1274" i="5"/>
  <c r="F1274" i="5"/>
  <c r="G1273" i="5"/>
  <c r="F1273" i="5"/>
  <c r="G1272" i="5"/>
  <c r="F1272" i="5"/>
  <c r="G1271" i="5"/>
  <c r="F1271" i="5"/>
  <c r="G1270" i="5"/>
  <c r="F1270" i="5"/>
  <c r="G1269" i="5"/>
  <c r="F1269" i="5"/>
  <c r="G1268" i="5"/>
  <c r="F1268" i="5"/>
  <c r="G1267" i="5"/>
  <c r="F1267" i="5"/>
  <c r="G1266" i="5"/>
  <c r="F1266" i="5"/>
  <c r="G1265" i="5"/>
  <c r="F1265" i="5"/>
  <c r="G1264" i="5"/>
  <c r="F1264" i="5"/>
  <c r="G1263" i="5"/>
  <c r="F1263" i="5"/>
  <c r="G1262" i="5"/>
  <c r="F1262" i="5"/>
  <c r="G1261" i="5"/>
  <c r="F1261" i="5"/>
  <c r="G1260" i="5"/>
  <c r="F1260" i="5"/>
  <c r="G1259" i="5"/>
  <c r="F1259" i="5"/>
  <c r="G1258" i="5"/>
  <c r="F1258" i="5"/>
  <c r="G1257" i="5"/>
  <c r="F1257" i="5"/>
  <c r="G1256" i="5"/>
  <c r="F1256" i="5"/>
  <c r="G1255" i="5"/>
  <c r="F1255" i="5"/>
  <c r="G1254" i="5"/>
  <c r="F1254" i="5"/>
  <c r="G1253" i="5"/>
  <c r="F1253" i="5"/>
  <c r="G1252" i="5"/>
  <c r="F1252" i="5"/>
  <c r="G1251" i="5"/>
  <c r="F1251" i="5"/>
  <c r="G1250" i="5"/>
  <c r="F1250" i="5"/>
  <c r="G1249" i="5"/>
  <c r="F1249" i="5"/>
  <c r="G1248" i="5"/>
  <c r="F1248" i="5"/>
  <c r="G1247" i="5"/>
  <c r="F1247" i="5"/>
  <c r="G1246" i="5"/>
  <c r="F1246" i="5"/>
  <c r="G1245" i="5"/>
  <c r="F1245" i="5"/>
  <c r="G1244" i="5"/>
  <c r="F1244" i="5"/>
  <c r="G1243" i="5"/>
  <c r="F1243" i="5"/>
  <c r="G1242" i="5"/>
  <c r="F1242" i="5"/>
  <c r="G1241" i="5"/>
  <c r="F1241" i="5"/>
  <c r="G1240" i="5"/>
  <c r="F1240" i="5"/>
  <c r="G1239" i="5"/>
  <c r="F1239" i="5"/>
  <c r="G1238" i="5"/>
  <c r="F1238" i="5"/>
  <c r="G1237" i="5"/>
  <c r="F1237" i="5"/>
  <c r="G1236" i="5"/>
  <c r="F1236" i="5"/>
  <c r="G1235" i="5"/>
  <c r="F1235" i="5"/>
  <c r="G1234" i="5"/>
  <c r="F1234" i="5"/>
  <c r="G1233" i="5"/>
  <c r="F1233" i="5"/>
  <c r="G1232" i="5"/>
  <c r="F1232" i="5"/>
  <c r="G1231" i="5"/>
  <c r="F1231" i="5"/>
  <c r="G1230" i="5"/>
  <c r="F1230" i="5"/>
  <c r="G1229" i="5"/>
  <c r="F1229" i="5"/>
  <c r="G1228" i="5"/>
  <c r="F1228" i="5"/>
  <c r="G1227" i="5"/>
  <c r="F1227" i="5"/>
  <c r="G1226" i="5"/>
  <c r="F1226" i="5"/>
  <c r="G1225" i="5"/>
  <c r="F1225" i="5"/>
  <c r="G1224" i="5"/>
  <c r="F1224" i="5"/>
  <c r="G1223" i="5"/>
  <c r="F1223" i="5"/>
  <c r="G1222" i="5"/>
  <c r="F1222" i="5"/>
  <c r="G1221" i="5"/>
  <c r="F1221" i="5"/>
  <c r="G1220" i="5"/>
  <c r="F1220" i="5"/>
  <c r="G1219" i="5"/>
  <c r="F1219" i="5"/>
  <c r="G1218" i="5"/>
  <c r="F1218" i="5"/>
  <c r="G1217" i="5"/>
  <c r="F1217" i="5"/>
  <c r="G1216" i="5"/>
  <c r="F1216" i="5"/>
  <c r="G1215" i="5"/>
  <c r="F1215" i="5"/>
  <c r="G1214" i="5"/>
  <c r="F1214" i="5"/>
  <c r="G1213" i="5"/>
  <c r="F1213" i="5"/>
  <c r="G1212" i="5"/>
  <c r="F1212" i="5"/>
  <c r="G1211" i="5"/>
  <c r="F1211" i="5"/>
  <c r="G1210" i="5"/>
  <c r="F1210" i="5"/>
  <c r="G1209" i="5"/>
  <c r="F1209" i="5"/>
  <c r="G1208" i="5"/>
  <c r="F1208" i="5"/>
  <c r="G1207" i="5"/>
  <c r="F1207" i="5"/>
  <c r="G1206" i="5"/>
  <c r="F1206" i="5"/>
  <c r="G1205" i="5"/>
  <c r="F1205" i="5"/>
  <c r="G1204" i="5"/>
  <c r="F1204" i="5"/>
  <c r="G1203" i="5"/>
  <c r="F1203" i="5"/>
  <c r="G1202" i="5"/>
  <c r="F1202" i="5"/>
  <c r="G1201" i="5"/>
  <c r="F1201" i="5"/>
  <c r="G1200" i="5"/>
  <c r="F1200" i="5"/>
  <c r="G1199" i="5"/>
  <c r="F1199" i="5"/>
  <c r="G1198" i="5"/>
  <c r="F1198" i="5"/>
  <c r="G1197" i="5"/>
  <c r="F1197" i="5"/>
  <c r="G1196" i="5"/>
  <c r="F1196" i="5"/>
  <c r="G1195" i="5"/>
  <c r="F1195" i="5"/>
  <c r="G1194" i="5"/>
  <c r="F1194" i="5"/>
  <c r="G1193" i="5"/>
  <c r="F1193" i="5"/>
  <c r="G1192" i="5"/>
  <c r="F1192" i="5"/>
  <c r="G1191" i="5"/>
  <c r="F1191" i="5"/>
  <c r="G1190" i="5"/>
  <c r="F1190" i="5"/>
  <c r="G1189" i="5"/>
  <c r="F1189" i="5"/>
  <c r="G1188" i="5"/>
  <c r="F1188" i="5"/>
  <c r="G1187" i="5"/>
  <c r="F1187" i="5"/>
  <c r="G1186" i="5"/>
  <c r="F1186" i="5"/>
  <c r="G1185" i="5"/>
  <c r="F1185" i="5"/>
  <c r="G1184" i="5"/>
  <c r="F1184" i="5"/>
  <c r="G1183" i="5"/>
  <c r="F1183" i="5"/>
  <c r="G1182" i="5"/>
  <c r="F1182" i="5"/>
  <c r="G1181" i="5"/>
  <c r="F1181" i="5"/>
  <c r="G1180" i="5"/>
  <c r="F1180" i="5"/>
  <c r="G1179" i="5"/>
  <c r="F1179" i="5"/>
  <c r="G1178" i="5"/>
  <c r="F1178" i="5"/>
  <c r="G1177" i="5"/>
  <c r="F1177" i="5"/>
  <c r="G1176" i="5"/>
  <c r="F1176" i="5"/>
  <c r="G1175" i="5"/>
  <c r="F1175" i="5"/>
  <c r="G1174" i="5"/>
  <c r="F1174" i="5"/>
  <c r="G1173" i="5"/>
  <c r="F1173" i="5"/>
  <c r="G1172" i="5"/>
  <c r="F1172" i="5"/>
  <c r="G1171" i="5"/>
  <c r="F1171" i="5"/>
  <c r="G1170" i="5"/>
  <c r="F1170" i="5"/>
  <c r="G1169" i="5"/>
  <c r="F1169" i="5"/>
  <c r="G1168" i="5"/>
  <c r="F1168" i="5"/>
  <c r="G1167" i="5"/>
  <c r="F1167" i="5"/>
  <c r="G1166" i="5"/>
  <c r="F1166" i="5"/>
  <c r="G1165" i="5"/>
  <c r="F1165" i="5"/>
  <c r="G1164" i="5"/>
  <c r="F1164" i="5"/>
  <c r="G1163" i="5"/>
  <c r="F1163" i="5"/>
  <c r="G1162" i="5"/>
  <c r="F1162" i="5"/>
  <c r="G1161" i="5"/>
  <c r="F1161" i="5"/>
  <c r="G1160" i="5"/>
  <c r="F1160" i="5"/>
  <c r="G1159" i="5"/>
  <c r="F1159" i="5"/>
  <c r="G1158" i="5"/>
  <c r="F1158" i="5"/>
  <c r="G1157" i="5"/>
  <c r="F1157" i="5"/>
  <c r="G1156" i="5"/>
  <c r="F1156" i="5"/>
  <c r="G1155" i="5"/>
  <c r="F1155" i="5"/>
  <c r="G1154" i="5"/>
  <c r="F1154" i="5"/>
  <c r="G1153" i="5"/>
  <c r="F1153" i="5"/>
  <c r="G1152" i="5"/>
  <c r="F1152" i="5"/>
  <c r="G1151" i="5"/>
  <c r="F1151" i="5"/>
  <c r="G1150" i="5"/>
  <c r="F1150" i="5"/>
  <c r="G1149" i="5"/>
  <c r="F1149" i="5"/>
  <c r="G1148" i="5"/>
  <c r="F1148" i="5"/>
  <c r="G1147" i="5"/>
  <c r="F1147" i="5"/>
  <c r="G1146" i="5"/>
  <c r="F1146" i="5"/>
  <c r="G1145" i="5"/>
  <c r="F1145" i="5"/>
  <c r="G1144" i="5"/>
  <c r="F1144" i="5"/>
  <c r="G1143" i="5"/>
  <c r="F1143" i="5"/>
  <c r="G1142" i="5"/>
  <c r="F1142" i="5"/>
  <c r="G1141" i="5"/>
  <c r="F1141" i="5"/>
  <c r="G1140" i="5"/>
  <c r="F1140" i="5"/>
  <c r="G1139" i="5"/>
  <c r="F1139" i="5"/>
  <c r="G1138" i="5"/>
  <c r="F1138" i="5"/>
  <c r="G1137" i="5"/>
  <c r="F1137" i="5"/>
  <c r="G1136" i="5"/>
  <c r="F1136" i="5"/>
  <c r="G1135" i="5"/>
  <c r="F1135" i="5"/>
  <c r="G1134" i="5"/>
  <c r="F1134" i="5"/>
  <c r="G1133" i="5"/>
  <c r="F1133" i="5"/>
  <c r="G1132" i="5"/>
  <c r="F1132" i="5"/>
  <c r="G1131" i="5"/>
  <c r="F1131" i="5"/>
  <c r="G1130" i="5"/>
  <c r="F1130" i="5"/>
  <c r="G1129" i="5"/>
  <c r="F1129" i="5"/>
  <c r="G1128" i="5"/>
  <c r="F1128" i="5"/>
  <c r="G1127" i="5"/>
  <c r="F1127" i="5"/>
  <c r="G1126" i="5"/>
  <c r="F1126" i="5"/>
  <c r="G1125" i="5"/>
  <c r="F1125" i="5"/>
  <c r="G1124" i="5"/>
  <c r="F1124" i="5"/>
  <c r="G1123" i="5"/>
  <c r="F1123" i="5"/>
  <c r="G1122" i="5"/>
  <c r="F1122" i="5"/>
  <c r="G1121" i="5"/>
  <c r="F1121" i="5"/>
  <c r="G1120" i="5"/>
  <c r="F1120" i="5"/>
  <c r="G1119" i="5"/>
  <c r="F1119" i="5"/>
  <c r="G1118" i="5"/>
  <c r="F1118" i="5"/>
  <c r="G1117" i="5"/>
  <c r="F1117" i="5"/>
  <c r="G1116" i="5"/>
  <c r="F1116" i="5"/>
  <c r="G1115" i="5"/>
  <c r="F1115" i="5"/>
  <c r="G1114" i="5"/>
  <c r="F1114" i="5"/>
  <c r="G1113" i="5"/>
  <c r="F1113" i="5"/>
  <c r="G1112" i="5"/>
  <c r="F1112" i="5"/>
  <c r="G1111" i="5"/>
  <c r="F1111" i="5"/>
  <c r="G1110" i="5"/>
  <c r="F1110" i="5"/>
  <c r="G1109" i="5"/>
  <c r="F1109" i="5"/>
  <c r="G1108" i="5"/>
  <c r="F1108" i="5"/>
  <c r="G1107" i="5"/>
  <c r="F1107" i="5"/>
  <c r="G1106" i="5"/>
  <c r="F1106" i="5"/>
  <c r="G1105" i="5"/>
  <c r="F1105" i="5"/>
  <c r="G1104" i="5"/>
  <c r="F1104" i="5"/>
  <c r="G1103" i="5"/>
  <c r="F1103" i="5"/>
  <c r="G1102" i="5"/>
  <c r="F1102" i="5"/>
  <c r="G1101" i="5"/>
  <c r="F1101" i="5"/>
  <c r="G1100" i="5"/>
  <c r="F1100" i="5"/>
  <c r="G1099" i="5"/>
  <c r="F1099" i="5"/>
  <c r="G1098" i="5"/>
  <c r="F1098" i="5"/>
  <c r="G1097" i="5"/>
  <c r="F1097" i="5"/>
  <c r="G1096" i="5"/>
  <c r="F1096" i="5"/>
  <c r="G1095" i="5"/>
  <c r="F1095" i="5"/>
  <c r="G1094" i="5"/>
  <c r="F1094" i="5"/>
  <c r="G1093" i="5"/>
  <c r="F1093" i="5"/>
  <c r="G1092" i="5"/>
  <c r="F1092" i="5"/>
  <c r="G1091" i="5"/>
  <c r="F1091" i="5"/>
  <c r="G1090" i="5"/>
  <c r="F1090" i="5"/>
  <c r="G1089" i="5"/>
  <c r="F1089" i="5"/>
  <c r="G1088" i="5"/>
  <c r="F1088" i="5"/>
  <c r="G1087" i="5"/>
  <c r="F1087" i="5"/>
  <c r="G1086" i="5"/>
  <c r="F1086" i="5"/>
  <c r="G1085" i="5"/>
  <c r="F1085" i="5"/>
  <c r="G1084" i="5"/>
  <c r="F1084" i="5"/>
  <c r="G1083" i="5"/>
  <c r="F1083" i="5"/>
  <c r="G1082" i="5"/>
  <c r="F1082" i="5"/>
  <c r="G1081" i="5"/>
  <c r="F1081" i="5"/>
  <c r="G1080" i="5"/>
  <c r="F1080" i="5"/>
  <c r="G1079" i="5"/>
  <c r="F1079" i="5"/>
  <c r="G1078" i="5"/>
  <c r="F1078" i="5"/>
  <c r="G1077" i="5"/>
  <c r="F1077" i="5"/>
  <c r="G1076" i="5"/>
  <c r="F1076" i="5"/>
  <c r="G1075" i="5"/>
  <c r="F1075" i="5"/>
  <c r="G1074" i="5"/>
  <c r="F1074" i="5"/>
  <c r="G1073" i="5"/>
  <c r="F1073" i="5"/>
  <c r="G1072" i="5"/>
  <c r="F1072" i="5"/>
  <c r="G1071" i="5"/>
  <c r="F1071" i="5"/>
  <c r="G1070" i="5"/>
  <c r="F1070" i="5"/>
  <c r="G1069" i="5"/>
  <c r="F1069" i="5"/>
  <c r="G1068" i="5"/>
  <c r="F1068" i="5"/>
  <c r="G1067" i="5"/>
  <c r="F1067" i="5"/>
  <c r="G1066" i="5"/>
  <c r="F1066" i="5"/>
  <c r="G1065" i="5"/>
  <c r="F1065" i="5"/>
  <c r="G1064" i="5"/>
  <c r="F1064" i="5"/>
  <c r="G1063" i="5"/>
  <c r="F1063" i="5"/>
  <c r="G1062" i="5"/>
  <c r="F1062" i="5"/>
  <c r="G1061" i="5"/>
  <c r="F1061" i="5"/>
  <c r="G1060" i="5"/>
  <c r="F1060" i="5"/>
  <c r="G1059" i="5"/>
  <c r="F1059" i="5"/>
  <c r="G1058" i="5"/>
  <c r="F1058" i="5"/>
  <c r="G1057" i="5"/>
  <c r="F1057" i="5"/>
  <c r="G1056" i="5"/>
  <c r="F1056" i="5"/>
  <c r="G1055" i="5"/>
  <c r="F1055" i="5"/>
  <c r="G1054" i="5"/>
  <c r="F1054" i="5"/>
  <c r="G1053" i="5"/>
  <c r="F1053" i="5"/>
  <c r="G1052" i="5"/>
  <c r="F1052" i="5"/>
  <c r="G1051" i="5"/>
  <c r="F1051" i="5"/>
  <c r="G1050" i="5"/>
  <c r="F1050" i="5"/>
  <c r="G1049" i="5"/>
  <c r="F1049" i="5"/>
  <c r="G1048" i="5"/>
  <c r="F1048" i="5"/>
  <c r="G1047" i="5"/>
  <c r="F1047" i="5"/>
  <c r="G1046" i="5"/>
  <c r="F1046" i="5"/>
  <c r="G1045" i="5"/>
  <c r="F1045" i="5"/>
  <c r="G1044" i="5"/>
  <c r="F1044" i="5"/>
  <c r="G1043" i="5"/>
  <c r="F1043" i="5"/>
  <c r="G1042" i="5"/>
  <c r="F1042" i="5"/>
  <c r="G1041" i="5"/>
  <c r="F1041" i="5"/>
  <c r="G1040" i="5"/>
  <c r="F1040" i="5"/>
  <c r="G1039" i="5"/>
  <c r="F1039" i="5"/>
  <c r="G1038" i="5"/>
  <c r="F1038" i="5"/>
  <c r="G1037" i="5"/>
  <c r="F1037" i="5"/>
  <c r="G1036" i="5"/>
  <c r="F1036" i="5"/>
  <c r="G1035" i="5"/>
  <c r="F1035" i="5"/>
  <c r="G1034" i="5"/>
  <c r="F1034" i="5"/>
  <c r="G1033" i="5"/>
  <c r="F1033" i="5"/>
  <c r="G1032" i="5"/>
  <c r="F1032" i="5"/>
  <c r="G1031" i="5"/>
  <c r="F1031" i="5"/>
  <c r="G1030" i="5"/>
  <c r="F1030" i="5"/>
  <c r="G1029" i="5"/>
  <c r="F1029" i="5"/>
  <c r="G1028" i="5"/>
  <c r="F1028" i="5"/>
  <c r="G1027" i="5"/>
  <c r="F1027" i="5"/>
  <c r="G1026" i="5"/>
  <c r="F1026" i="5"/>
  <c r="G1025" i="5"/>
  <c r="F1025" i="5"/>
  <c r="G1024" i="5"/>
  <c r="F1024" i="5"/>
  <c r="G1023" i="5"/>
  <c r="F1023" i="5"/>
  <c r="G1022" i="5"/>
  <c r="F1022" i="5"/>
  <c r="G1021" i="5"/>
  <c r="F1021" i="5"/>
  <c r="G1020" i="5"/>
  <c r="F1020" i="5"/>
  <c r="G1019" i="5"/>
  <c r="F1019" i="5"/>
  <c r="G1018" i="5"/>
  <c r="F1018" i="5"/>
  <c r="G1017" i="5"/>
  <c r="F1017" i="5"/>
  <c r="G1016" i="5"/>
  <c r="F1016" i="5"/>
  <c r="G1015" i="5"/>
  <c r="F1015" i="5"/>
  <c r="G1014" i="5"/>
  <c r="F1014" i="5"/>
  <c r="G1013" i="5"/>
  <c r="F1013" i="5"/>
  <c r="G1012" i="5"/>
  <c r="F1012" i="5"/>
  <c r="G1011" i="5"/>
  <c r="F1011" i="5"/>
  <c r="G1010" i="5"/>
  <c r="F1010" i="5"/>
  <c r="G1009" i="5"/>
  <c r="F1009" i="5"/>
  <c r="G1008" i="5"/>
  <c r="F1008" i="5"/>
  <c r="G1007" i="5"/>
  <c r="F1007" i="5"/>
  <c r="G1006" i="5"/>
  <c r="F1006" i="5"/>
  <c r="G1005" i="5"/>
  <c r="F1005" i="5"/>
  <c r="G1004" i="5"/>
  <c r="F1004" i="5"/>
  <c r="G1003" i="5"/>
  <c r="F1003" i="5"/>
  <c r="G1002" i="5"/>
  <c r="F1002" i="5"/>
  <c r="G1001" i="5"/>
  <c r="F1001" i="5"/>
  <c r="G1000" i="5"/>
  <c r="F1000" i="5"/>
  <c r="G999" i="5"/>
  <c r="F999" i="5"/>
  <c r="G998" i="5"/>
  <c r="F998" i="5"/>
  <c r="G997" i="5"/>
  <c r="F997" i="5"/>
  <c r="G996" i="5"/>
  <c r="F996" i="5"/>
  <c r="G995" i="5"/>
  <c r="F995" i="5"/>
  <c r="G994" i="5"/>
  <c r="F994" i="5"/>
  <c r="G993" i="5"/>
  <c r="F993" i="5"/>
  <c r="G992" i="5"/>
  <c r="F992" i="5"/>
  <c r="G991" i="5"/>
  <c r="F991" i="5"/>
  <c r="G990" i="5"/>
  <c r="F990" i="5"/>
  <c r="G989" i="5"/>
  <c r="F989" i="5"/>
  <c r="G988" i="5"/>
  <c r="F988" i="5"/>
  <c r="G987" i="5"/>
  <c r="F987" i="5"/>
  <c r="G986" i="5"/>
  <c r="F986" i="5"/>
  <c r="G985" i="5"/>
  <c r="F985" i="5"/>
  <c r="G984" i="5"/>
  <c r="F984" i="5"/>
  <c r="G983" i="5"/>
  <c r="F983" i="5"/>
  <c r="G982" i="5"/>
  <c r="F982" i="5"/>
  <c r="G981" i="5"/>
  <c r="F981" i="5"/>
  <c r="G980" i="5"/>
  <c r="F980" i="5"/>
  <c r="G979" i="5"/>
  <c r="F979" i="5"/>
  <c r="G978" i="5"/>
  <c r="F978" i="5"/>
  <c r="G977" i="5"/>
  <c r="F977" i="5"/>
  <c r="G976" i="5"/>
  <c r="F976" i="5"/>
  <c r="G975" i="5"/>
  <c r="F975" i="5"/>
  <c r="G974" i="5"/>
  <c r="F974" i="5"/>
  <c r="G973" i="5"/>
  <c r="F973" i="5"/>
  <c r="G972" i="5"/>
  <c r="F972" i="5"/>
  <c r="G971" i="5"/>
  <c r="F971" i="5"/>
  <c r="G970" i="5"/>
  <c r="F970" i="5"/>
  <c r="G969" i="5"/>
  <c r="F969" i="5"/>
  <c r="G968" i="5"/>
  <c r="F968" i="5"/>
  <c r="G967" i="5"/>
  <c r="F967" i="5"/>
  <c r="G966" i="5"/>
  <c r="F966" i="5"/>
  <c r="G965" i="5"/>
  <c r="F965" i="5"/>
  <c r="G964" i="5"/>
  <c r="F964" i="5"/>
  <c r="G963" i="5"/>
  <c r="F963" i="5"/>
  <c r="G962" i="5"/>
  <c r="F962" i="5"/>
  <c r="G961" i="5"/>
  <c r="F961" i="5"/>
  <c r="G960" i="5"/>
  <c r="F960" i="5"/>
  <c r="G959" i="5"/>
  <c r="F959" i="5"/>
  <c r="G958" i="5"/>
  <c r="F958" i="5"/>
  <c r="G957" i="5"/>
  <c r="F957" i="5"/>
  <c r="G956" i="5"/>
  <c r="F956" i="5"/>
  <c r="G955" i="5"/>
  <c r="F955" i="5"/>
  <c r="G954" i="5"/>
  <c r="F954" i="5"/>
  <c r="G953" i="5"/>
  <c r="F953" i="5"/>
  <c r="G952" i="5"/>
  <c r="F952" i="5"/>
  <c r="G951" i="5"/>
  <c r="F951" i="5"/>
  <c r="G950" i="5"/>
  <c r="F950" i="5"/>
  <c r="G949" i="5"/>
  <c r="F949" i="5"/>
  <c r="G948" i="5"/>
  <c r="F948" i="5"/>
  <c r="G947" i="5"/>
  <c r="F947" i="5"/>
  <c r="G946" i="5"/>
  <c r="F946" i="5"/>
  <c r="G945" i="5"/>
  <c r="F945" i="5"/>
  <c r="G944" i="5"/>
  <c r="F944" i="5"/>
  <c r="G943" i="5"/>
  <c r="F943" i="5"/>
  <c r="G942" i="5"/>
  <c r="F942" i="5"/>
  <c r="G941" i="5"/>
  <c r="F941" i="5"/>
  <c r="G940" i="5"/>
  <c r="F940" i="5"/>
  <c r="G939" i="5"/>
  <c r="F939" i="5"/>
  <c r="G938" i="5"/>
  <c r="F938" i="5"/>
  <c r="G937" i="5"/>
  <c r="F937" i="5"/>
  <c r="G936" i="5"/>
  <c r="F936" i="5"/>
  <c r="G935" i="5"/>
  <c r="F935" i="5"/>
  <c r="G934" i="5"/>
  <c r="F934" i="5"/>
  <c r="G933" i="5"/>
  <c r="F933" i="5"/>
  <c r="G932" i="5"/>
  <c r="F932" i="5"/>
  <c r="G931" i="5"/>
  <c r="F931" i="5"/>
  <c r="G930" i="5"/>
  <c r="F930" i="5"/>
  <c r="G929" i="5"/>
  <c r="F929" i="5"/>
  <c r="G928" i="5"/>
  <c r="F928" i="5"/>
  <c r="G927" i="5"/>
  <c r="F927" i="5"/>
  <c r="G926" i="5"/>
  <c r="F926" i="5"/>
  <c r="G925" i="5"/>
  <c r="F925" i="5"/>
  <c r="G924" i="5"/>
  <c r="F924" i="5"/>
  <c r="G923" i="5"/>
  <c r="F923" i="5"/>
  <c r="G922" i="5"/>
  <c r="F922" i="5"/>
  <c r="G921" i="5"/>
  <c r="F921" i="5"/>
  <c r="G920" i="5"/>
  <c r="F920" i="5"/>
  <c r="G919" i="5"/>
  <c r="F919" i="5"/>
  <c r="G918" i="5"/>
  <c r="F918" i="5"/>
  <c r="G917" i="5"/>
  <c r="F917" i="5"/>
  <c r="G916" i="5"/>
  <c r="F916" i="5"/>
  <c r="G915" i="5"/>
  <c r="F915" i="5"/>
  <c r="G914" i="5"/>
  <c r="F914" i="5"/>
  <c r="G913" i="5"/>
  <c r="F913" i="5"/>
  <c r="G912" i="5"/>
  <c r="F912" i="5"/>
  <c r="G911" i="5"/>
  <c r="F911" i="5"/>
  <c r="G910" i="5"/>
  <c r="F910" i="5"/>
  <c r="G909" i="5"/>
  <c r="F909" i="5"/>
  <c r="G908" i="5"/>
  <c r="F908" i="5"/>
  <c r="G907" i="5"/>
  <c r="F907" i="5"/>
  <c r="G906" i="5"/>
  <c r="F906" i="5"/>
  <c r="G905" i="5"/>
  <c r="F905" i="5"/>
  <c r="G904" i="5"/>
  <c r="F904" i="5"/>
  <c r="G903" i="5"/>
  <c r="F903" i="5"/>
  <c r="G902" i="5"/>
  <c r="F902" i="5"/>
  <c r="G901" i="5"/>
  <c r="F901" i="5"/>
  <c r="G900" i="5"/>
  <c r="F900" i="5"/>
  <c r="G899" i="5"/>
  <c r="F899" i="5"/>
  <c r="G898" i="5"/>
  <c r="F898" i="5"/>
  <c r="G897" i="5"/>
  <c r="F897" i="5"/>
  <c r="G896" i="5"/>
  <c r="F896" i="5"/>
  <c r="G895" i="5"/>
  <c r="F895" i="5"/>
  <c r="G894" i="5"/>
  <c r="F894" i="5"/>
  <c r="G893" i="5"/>
  <c r="F893" i="5"/>
  <c r="G892" i="5"/>
  <c r="F892" i="5"/>
  <c r="G891" i="5"/>
  <c r="F891" i="5"/>
  <c r="G890" i="5"/>
  <c r="F890" i="5"/>
  <c r="G889" i="5"/>
  <c r="F889" i="5"/>
  <c r="G888" i="5"/>
  <c r="F888" i="5"/>
  <c r="G887" i="5"/>
  <c r="F887" i="5"/>
  <c r="G886" i="5"/>
  <c r="F886" i="5"/>
  <c r="G885" i="5"/>
  <c r="F885" i="5"/>
  <c r="G884" i="5"/>
  <c r="F884" i="5"/>
  <c r="G883" i="5"/>
  <c r="F883" i="5"/>
  <c r="G882" i="5"/>
  <c r="F882" i="5"/>
  <c r="G881" i="5"/>
  <c r="F881" i="5"/>
  <c r="G880" i="5"/>
  <c r="F880" i="5"/>
  <c r="G879" i="5"/>
  <c r="F879" i="5"/>
  <c r="G878" i="5"/>
  <c r="F878" i="5"/>
  <c r="G877" i="5"/>
  <c r="F877" i="5"/>
  <c r="G876" i="5"/>
  <c r="F876" i="5"/>
  <c r="G875" i="5"/>
  <c r="F875" i="5"/>
  <c r="G874" i="5"/>
  <c r="F874" i="5"/>
  <c r="G873" i="5"/>
  <c r="F873" i="5"/>
  <c r="G872" i="5"/>
  <c r="F872" i="5"/>
  <c r="G871" i="5"/>
  <c r="F871" i="5"/>
  <c r="G870" i="5"/>
  <c r="F870" i="5"/>
  <c r="G869" i="5"/>
  <c r="F869" i="5"/>
  <c r="G868" i="5"/>
  <c r="F868" i="5"/>
  <c r="G867" i="5"/>
  <c r="F867" i="5"/>
  <c r="G866" i="5"/>
  <c r="F866" i="5"/>
  <c r="G865" i="5"/>
  <c r="F865" i="5"/>
  <c r="G864" i="5"/>
  <c r="F864" i="5"/>
  <c r="G863" i="5"/>
  <c r="F863" i="5"/>
  <c r="G862" i="5"/>
  <c r="F862" i="5"/>
  <c r="G861" i="5"/>
  <c r="F861" i="5"/>
  <c r="G860" i="5"/>
  <c r="F860" i="5"/>
  <c r="G859" i="5"/>
  <c r="F859" i="5"/>
  <c r="G858" i="5"/>
  <c r="F858" i="5"/>
  <c r="G857" i="5"/>
  <c r="F857" i="5"/>
  <c r="G856" i="5"/>
  <c r="F856" i="5"/>
  <c r="G855" i="5"/>
  <c r="F855" i="5"/>
  <c r="G854" i="5"/>
  <c r="F854" i="5"/>
  <c r="G853" i="5"/>
  <c r="F853" i="5"/>
  <c r="G852" i="5"/>
  <c r="F852" i="5"/>
  <c r="G851" i="5"/>
  <c r="F851" i="5"/>
  <c r="G850" i="5"/>
  <c r="F850" i="5"/>
  <c r="G849" i="5"/>
  <c r="F849" i="5"/>
  <c r="G848" i="5"/>
  <c r="F848" i="5"/>
  <c r="G847" i="5"/>
  <c r="F847" i="5"/>
  <c r="G846" i="5"/>
  <c r="F846" i="5"/>
  <c r="G845" i="5"/>
  <c r="F845" i="5"/>
  <c r="G844" i="5"/>
  <c r="F844" i="5"/>
  <c r="G843" i="5"/>
  <c r="F843" i="5"/>
  <c r="G842" i="5"/>
  <c r="F842" i="5"/>
  <c r="G841" i="5"/>
  <c r="F841" i="5"/>
  <c r="G840" i="5"/>
  <c r="F840" i="5"/>
  <c r="G839" i="5"/>
  <c r="F839" i="5"/>
  <c r="G838" i="5"/>
  <c r="F838" i="5"/>
  <c r="G837" i="5"/>
  <c r="F837" i="5"/>
  <c r="G836" i="5"/>
  <c r="F836" i="5"/>
  <c r="G835" i="5"/>
  <c r="F835" i="5"/>
  <c r="G834" i="5"/>
  <c r="F834" i="5"/>
  <c r="G833" i="5"/>
  <c r="F833" i="5"/>
  <c r="G832" i="5"/>
  <c r="F832" i="5"/>
  <c r="G831" i="5"/>
  <c r="F831" i="5"/>
  <c r="G830" i="5"/>
  <c r="F830" i="5"/>
  <c r="G829" i="5"/>
  <c r="F829" i="5"/>
  <c r="G828" i="5"/>
  <c r="F828" i="5"/>
  <c r="G827" i="5"/>
  <c r="F827" i="5"/>
  <c r="G826" i="5"/>
  <c r="F826" i="5"/>
  <c r="G825" i="5"/>
  <c r="F825" i="5"/>
  <c r="G824" i="5"/>
  <c r="F824" i="5"/>
  <c r="G823" i="5"/>
  <c r="F823" i="5"/>
  <c r="G822" i="5"/>
  <c r="F822" i="5"/>
  <c r="G821" i="5"/>
  <c r="F821" i="5"/>
  <c r="G820" i="5"/>
  <c r="F820" i="5"/>
  <c r="G819" i="5"/>
  <c r="F819" i="5"/>
  <c r="G818" i="5"/>
  <c r="F818" i="5"/>
  <c r="G817" i="5"/>
  <c r="F817" i="5"/>
  <c r="G816" i="5"/>
  <c r="F816" i="5"/>
  <c r="G815" i="5"/>
  <c r="F815" i="5"/>
  <c r="G814" i="5"/>
  <c r="F814" i="5"/>
  <c r="G813" i="5"/>
  <c r="F813" i="5"/>
  <c r="G812" i="5"/>
  <c r="F812" i="5"/>
  <c r="G811" i="5"/>
  <c r="F811" i="5"/>
  <c r="G810" i="5"/>
  <c r="F810" i="5"/>
  <c r="G809" i="5"/>
  <c r="F809" i="5"/>
  <c r="G808" i="5"/>
  <c r="F808" i="5"/>
  <c r="G807" i="5"/>
  <c r="F807" i="5"/>
  <c r="G806" i="5"/>
  <c r="F806" i="5"/>
  <c r="G805" i="5"/>
  <c r="F805" i="5"/>
  <c r="G804" i="5"/>
  <c r="F804" i="5"/>
  <c r="G803" i="5"/>
  <c r="F803" i="5"/>
  <c r="G802" i="5"/>
  <c r="F802" i="5"/>
  <c r="G801" i="5"/>
  <c r="F801" i="5"/>
  <c r="G800" i="5"/>
  <c r="F800" i="5"/>
  <c r="G799" i="5"/>
  <c r="F799" i="5"/>
  <c r="G798" i="5"/>
  <c r="F798" i="5"/>
  <c r="G797" i="5"/>
  <c r="F797" i="5"/>
  <c r="G796" i="5"/>
  <c r="F796" i="5"/>
  <c r="G795" i="5"/>
  <c r="F795" i="5"/>
  <c r="G794" i="5"/>
  <c r="F794" i="5"/>
  <c r="G793" i="5"/>
  <c r="F793" i="5"/>
  <c r="G792" i="5"/>
  <c r="F792" i="5"/>
  <c r="G791" i="5"/>
  <c r="F791" i="5"/>
  <c r="G790" i="5"/>
  <c r="F790" i="5"/>
  <c r="G789" i="5"/>
  <c r="F789" i="5"/>
  <c r="G788" i="5"/>
  <c r="F788" i="5"/>
  <c r="G787" i="5"/>
  <c r="F787" i="5"/>
  <c r="G786" i="5"/>
  <c r="F786" i="5"/>
  <c r="G785" i="5"/>
  <c r="F785" i="5"/>
  <c r="G784" i="5"/>
  <c r="F784" i="5"/>
  <c r="G783" i="5"/>
  <c r="F783" i="5"/>
  <c r="G782" i="5"/>
  <c r="F782" i="5"/>
  <c r="G781" i="5"/>
  <c r="F781" i="5"/>
  <c r="G780" i="5"/>
  <c r="F780" i="5"/>
  <c r="G779" i="5"/>
  <c r="F779" i="5"/>
  <c r="G778" i="5"/>
  <c r="F778" i="5"/>
  <c r="G777" i="5"/>
  <c r="F777" i="5"/>
  <c r="G776" i="5"/>
  <c r="F776" i="5"/>
  <c r="G775" i="5"/>
  <c r="F775" i="5"/>
  <c r="G774" i="5"/>
  <c r="F774" i="5"/>
  <c r="G773" i="5"/>
  <c r="F773" i="5"/>
  <c r="G772" i="5"/>
  <c r="F772" i="5"/>
  <c r="G771" i="5"/>
  <c r="F771" i="5"/>
  <c r="G770" i="5"/>
  <c r="F770" i="5"/>
  <c r="G769" i="5"/>
  <c r="F769" i="5"/>
  <c r="G768" i="5"/>
  <c r="F768" i="5"/>
  <c r="G767" i="5"/>
  <c r="F767" i="5"/>
  <c r="G766" i="5"/>
  <c r="F766" i="5"/>
  <c r="G765" i="5"/>
  <c r="F765" i="5"/>
  <c r="G764" i="5"/>
  <c r="F764" i="5"/>
  <c r="G763" i="5"/>
  <c r="F763" i="5"/>
  <c r="G762" i="5"/>
  <c r="F762" i="5"/>
  <c r="G761" i="5"/>
  <c r="F761" i="5"/>
  <c r="G760" i="5"/>
  <c r="F760" i="5"/>
  <c r="G759" i="5"/>
  <c r="F759" i="5"/>
  <c r="G758" i="5"/>
  <c r="F758" i="5"/>
  <c r="G757" i="5"/>
  <c r="F757" i="5"/>
  <c r="G756" i="5"/>
  <c r="F756" i="5"/>
  <c r="G755" i="5"/>
  <c r="F755" i="5"/>
  <c r="G754" i="5"/>
  <c r="F754" i="5"/>
  <c r="G753" i="5"/>
  <c r="F753" i="5"/>
  <c r="G752" i="5"/>
  <c r="F752" i="5"/>
  <c r="G751" i="5"/>
  <c r="F751" i="5"/>
  <c r="G750" i="5"/>
  <c r="F750" i="5"/>
  <c r="G749" i="5"/>
  <c r="F749" i="5"/>
  <c r="G748" i="5"/>
  <c r="F748" i="5"/>
  <c r="G747" i="5"/>
  <c r="F747" i="5"/>
  <c r="G746" i="5"/>
  <c r="F746" i="5"/>
  <c r="G745" i="5"/>
  <c r="F745" i="5"/>
  <c r="G744" i="5"/>
  <c r="F744" i="5"/>
  <c r="G743" i="5"/>
  <c r="F743" i="5"/>
  <c r="G742" i="5"/>
  <c r="F742" i="5"/>
  <c r="G741" i="5"/>
  <c r="F741" i="5"/>
  <c r="G740" i="5"/>
  <c r="F740" i="5"/>
  <c r="G739" i="5"/>
  <c r="F739" i="5"/>
  <c r="G738" i="5"/>
  <c r="F738" i="5"/>
  <c r="G737" i="5"/>
  <c r="F737" i="5"/>
  <c r="G736" i="5"/>
  <c r="F736" i="5"/>
  <c r="G735" i="5"/>
  <c r="F735" i="5"/>
  <c r="G734" i="5"/>
  <c r="F734" i="5"/>
  <c r="G733" i="5"/>
  <c r="F733" i="5"/>
  <c r="G732" i="5"/>
  <c r="F732" i="5"/>
  <c r="G731" i="5"/>
  <c r="F731" i="5"/>
  <c r="G730" i="5"/>
  <c r="F730" i="5"/>
  <c r="G729" i="5"/>
  <c r="F729" i="5"/>
  <c r="G728" i="5"/>
  <c r="F728" i="5"/>
  <c r="G727" i="5"/>
  <c r="F727" i="5"/>
  <c r="G726" i="5"/>
  <c r="F726" i="5"/>
  <c r="G725" i="5"/>
  <c r="F725" i="5"/>
  <c r="G724" i="5"/>
  <c r="F724" i="5"/>
  <c r="G723" i="5"/>
  <c r="F723" i="5"/>
  <c r="G722" i="5"/>
  <c r="F722" i="5"/>
  <c r="G721" i="5"/>
  <c r="F721" i="5"/>
  <c r="G720" i="5"/>
  <c r="F720" i="5"/>
  <c r="G719" i="5"/>
  <c r="F719" i="5"/>
  <c r="G718" i="5"/>
  <c r="F718" i="5"/>
  <c r="G717" i="5"/>
  <c r="F717" i="5"/>
  <c r="G716" i="5"/>
  <c r="F716" i="5"/>
  <c r="G715" i="5"/>
  <c r="F715" i="5"/>
  <c r="G714" i="5"/>
  <c r="F714" i="5"/>
  <c r="G713" i="5"/>
  <c r="F713" i="5"/>
  <c r="G712" i="5"/>
  <c r="F712" i="5"/>
  <c r="G711" i="5"/>
  <c r="F711" i="5"/>
  <c r="G710" i="5"/>
  <c r="F710" i="5"/>
  <c r="G709" i="5"/>
  <c r="F709" i="5"/>
  <c r="G708" i="5"/>
  <c r="F708" i="5"/>
  <c r="G707" i="5"/>
  <c r="F707" i="5"/>
  <c r="G706" i="5"/>
  <c r="F706" i="5"/>
  <c r="G705" i="5"/>
  <c r="F705" i="5"/>
  <c r="G704" i="5"/>
  <c r="F704" i="5"/>
  <c r="G703" i="5"/>
  <c r="F703" i="5"/>
  <c r="G702" i="5"/>
  <c r="F702" i="5"/>
  <c r="G701" i="5"/>
  <c r="F701" i="5"/>
  <c r="G700" i="5"/>
  <c r="F700" i="5"/>
  <c r="G699" i="5"/>
  <c r="F699" i="5"/>
  <c r="G698" i="5"/>
  <c r="F698" i="5"/>
  <c r="G697" i="5"/>
  <c r="F697" i="5"/>
  <c r="G696" i="5"/>
  <c r="F696" i="5"/>
  <c r="G695" i="5"/>
  <c r="F695" i="5"/>
  <c r="G694" i="5"/>
  <c r="F694" i="5"/>
  <c r="G693" i="5"/>
  <c r="F693" i="5"/>
  <c r="G692" i="5"/>
  <c r="F692" i="5"/>
  <c r="G691" i="5"/>
  <c r="F691" i="5"/>
  <c r="G690" i="5"/>
  <c r="F690" i="5"/>
  <c r="G689" i="5"/>
  <c r="F689" i="5"/>
  <c r="G688" i="5"/>
  <c r="F688" i="5"/>
  <c r="G687" i="5"/>
  <c r="F687" i="5"/>
  <c r="G686" i="5"/>
  <c r="F686" i="5"/>
  <c r="G685" i="5"/>
  <c r="F685" i="5"/>
  <c r="G684" i="5"/>
  <c r="F684" i="5"/>
  <c r="G683" i="5"/>
  <c r="F683" i="5"/>
  <c r="G682" i="5"/>
  <c r="F682" i="5"/>
  <c r="G681" i="5"/>
  <c r="F681" i="5"/>
  <c r="G680" i="5"/>
  <c r="F680" i="5"/>
  <c r="G679" i="5"/>
  <c r="F679" i="5"/>
  <c r="G678" i="5"/>
  <c r="F678" i="5"/>
  <c r="G677" i="5"/>
  <c r="F677" i="5"/>
  <c r="G676" i="5"/>
  <c r="F676" i="5"/>
  <c r="G675" i="5"/>
  <c r="F675" i="5"/>
  <c r="G674" i="5"/>
  <c r="F674" i="5"/>
  <c r="G673" i="5"/>
  <c r="F673" i="5"/>
  <c r="G672" i="5"/>
  <c r="F672" i="5"/>
  <c r="G671" i="5"/>
  <c r="F671" i="5"/>
  <c r="G670" i="5"/>
  <c r="F670" i="5"/>
  <c r="G669" i="5"/>
  <c r="F669" i="5"/>
  <c r="G668" i="5"/>
  <c r="F668" i="5"/>
  <c r="G667" i="5"/>
  <c r="F667" i="5"/>
  <c r="G666" i="5"/>
  <c r="F666" i="5"/>
  <c r="G665" i="5"/>
  <c r="F665" i="5"/>
  <c r="G664" i="5"/>
  <c r="F664" i="5"/>
  <c r="G663" i="5"/>
  <c r="F663" i="5"/>
  <c r="G662" i="5"/>
  <c r="F662" i="5"/>
  <c r="G661" i="5"/>
  <c r="F661" i="5"/>
  <c r="G660" i="5"/>
  <c r="F660" i="5"/>
  <c r="G659" i="5"/>
  <c r="F659" i="5"/>
  <c r="G658" i="5"/>
  <c r="F658" i="5"/>
  <c r="G657" i="5"/>
  <c r="F657" i="5"/>
  <c r="G656" i="5"/>
  <c r="F656" i="5"/>
  <c r="G655" i="5"/>
  <c r="F655" i="5"/>
  <c r="G654" i="5"/>
  <c r="F654" i="5"/>
  <c r="G653" i="5"/>
  <c r="F653" i="5"/>
  <c r="G652" i="5"/>
  <c r="F652" i="5"/>
  <c r="G651" i="5"/>
  <c r="F651" i="5"/>
  <c r="G650" i="5"/>
  <c r="F650" i="5"/>
  <c r="G649" i="5"/>
  <c r="F649" i="5"/>
  <c r="G648" i="5"/>
  <c r="F648" i="5"/>
  <c r="G647" i="5"/>
  <c r="F647" i="5"/>
  <c r="G646" i="5"/>
  <c r="F646" i="5"/>
  <c r="G645" i="5"/>
  <c r="F645" i="5"/>
  <c r="G644" i="5"/>
  <c r="F644" i="5"/>
  <c r="G643" i="5"/>
  <c r="F643" i="5"/>
  <c r="G642" i="5"/>
  <c r="F642" i="5"/>
  <c r="G641" i="5"/>
  <c r="F641" i="5"/>
  <c r="G640" i="5"/>
  <c r="F640" i="5"/>
  <c r="G639" i="5"/>
  <c r="F639" i="5"/>
  <c r="G638" i="5"/>
  <c r="F638" i="5"/>
  <c r="G637" i="5"/>
  <c r="F637" i="5"/>
  <c r="G636" i="5"/>
  <c r="F636" i="5"/>
  <c r="G635" i="5"/>
  <c r="F635" i="5"/>
  <c r="G634" i="5"/>
  <c r="F634" i="5"/>
  <c r="G633" i="5"/>
  <c r="F633" i="5"/>
  <c r="G632" i="5"/>
  <c r="F632" i="5"/>
  <c r="G631" i="5"/>
  <c r="F631" i="5"/>
  <c r="G630" i="5"/>
  <c r="F630" i="5"/>
  <c r="G629" i="5"/>
  <c r="F629" i="5"/>
  <c r="G628" i="5"/>
  <c r="F628" i="5"/>
  <c r="G627" i="5"/>
  <c r="F627" i="5"/>
  <c r="G626" i="5"/>
  <c r="F626" i="5"/>
  <c r="G625" i="5"/>
  <c r="F625" i="5"/>
  <c r="G624" i="5"/>
  <c r="F624" i="5"/>
  <c r="G623" i="5"/>
  <c r="F623" i="5"/>
  <c r="G622" i="5"/>
  <c r="F622" i="5"/>
  <c r="G621" i="5"/>
  <c r="F621" i="5"/>
  <c r="G620" i="5"/>
  <c r="F620" i="5"/>
  <c r="G619" i="5"/>
  <c r="F619" i="5"/>
  <c r="G618" i="5"/>
  <c r="F618" i="5"/>
  <c r="G617" i="5"/>
  <c r="F617" i="5"/>
  <c r="G616" i="5"/>
  <c r="F616" i="5"/>
  <c r="G615" i="5"/>
  <c r="F615" i="5"/>
  <c r="G614" i="5"/>
  <c r="F614" i="5"/>
  <c r="G613" i="5"/>
  <c r="F613" i="5"/>
  <c r="G612" i="5"/>
  <c r="F612" i="5"/>
  <c r="G611" i="5"/>
  <c r="F611" i="5"/>
  <c r="G610" i="5"/>
  <c r="F610" i="5"/>
  <c r="G609" i="5"/>
  <c r="F609" i="5"/>
  <c r="G608" i="5"/>
  <c r="F608" i="5"/>
  <c r="G607" i="5"/>
  <c r="F607" i="5"/>
  <c r="G606" i="5"/>
  <c r="F606" i="5"/>
  <c r="G605" i="5"/>
  <c r="F605" i="5"/>
  <c r="G604" i="5"/>
  <c r="F604" i="5"/>
  <c r="G603" i="5"/>
  <c r="F603" i="5"/>
  <c r="G602" i="5"/>
  <c r="F602" i="5"/>
  <c r="G601" i="5"/>
  <c r="F601" i="5"/>
  <c r="G600" i="5"/>
  <c r="F600" i="5"/>
  <c r="G599" i="5"/>
  <c r="F599" i="5"/>
  <c r="G598" i="5"/>
  <c r="F598" i="5"/>
  <c r="G597" i="5"/>
  <c r="F597" i="5"/>
  <c r="G596" i="5"/>
  <c r="F596" i="5"/>
  <c r="G595" i="5"/>
  <c r="F595" i="5"/>
  <c r="G594" i="5"/>
  <c r="F594" i="5"/>
  <c r="G593" i="5"/>
  <c r="F593" i="5"/>
  <c r="G592" i="5"/>
  <c r="F592" i="5"/>
  <c r="G591" i="5"/>
  <c r="F591" i="5"/>
  <c r="G590" i="5"/>
  <c r="F590" i="5"/>
  <c r="G589" i="5"/>
  <c r="F589" i="5"/>
  <c r="G588" i="5"/>
  <c r="F588" i="5"/>
  <c r="G587" i="5"/>
  <c r="F587" i="5"/>
  <c r="G586" i="5"/>
  <c r="F586" i="5"/>
  <c r="G585" i="5"/>
  <c r="F585" i="5"/>
  <c r="G584" i="5"/>
  <c r="F584" i="5"/>
  <c r="G583" i="5"/>
  <c r="F583" i="5"/>
  <c r="G582" i="5"/>
  <c r="F582" i="5"/>
  <c r="G581" i="5"/>
  <c r="F581" i="5"/>
  <c r="G580" i="5"/>
  <c r="F580" i="5"/>
  <c r="G579" i="5"/>
  <c r="F579" i="5"/>
  <c r="G578" i="5"/>
  <c r="F578" i="5"/>
  <c r="G577" i="5"/>
  <c r="F577" i="5"/>
  <c r="G576" i="5"/>
  <c r="F576" i="5"/>
  <c r="G575" i="5"/>
  <c r="F575" i="5"/>
  <c r="G574" i="5"/>
  <c r="F574" i="5"/>
  <c r="G573" i="5"/>
  <c r="F573" i="5"/>
  <c r="G572" i="5"/>
  <c r="F572" i="5"/>
  <c r="G571" i="5"/>
  <c r="F571" i="5"/>
  <c r="G570" i="5"/>
  <c r="F570" i="5"/>
  <c r="G569" i="5"/>
  <c r="F569" i="5"/>
  <c r="G568" i="5"/>
  <c r="F568" i="5"/>
  <c r="G567" i="5"/>
  <c r="F567" i="5"/>
  <c r="G566" i="5"/>
  <c r="F566" i="5"/>
  <c r="G565" i="5"/>
  <c r="F565" i="5"/>
  <c r="G564" i="5"/>
  <c r="F564" i="5"/>
  <c r="G563" i="5"/>
  <c r="F563" i="5"/>
  <c r="G562" i="5"/>
  <c r="F562" i="5"/>
  <c r="G561" i="5"/>
  <c r="F561" i="5"/>
  <c r="G560" i="5"/>
  <c r="F560" i="5"/>
  <c r="G559" i="5"/>
  <c r="F559" i="5"/>
  <c r="G558" i="5"/>
  <c r="F558" i="5"/>
  <c r="G557" i="5"/>
  <c r="F557" i="5"/>
  <c r="G556" i="5"/>
  <c r="F556" i="5"/>
  <c r="G555" i="5"/>
  <c r="F555" i="5"/>
  <c r="G554" i="5"/>
  <c r="F554" i="5"/>
  <c r="G553" i="5"/>
  <c r="F553" i="5"/>
  <c r="G552" i="5"/>
  <c r="F552" i="5"/>
  <c r="G551" i="5"/>
  <c r="F551" i="5"/>
  <c r="G550" i="5"/>
  <c r="F550" i="5"/>
  <c r="G549" i="5"/>
  <c r="F549" i="5"/>
  <c r="G548" i="5"/>
  <c r="F548" i="5"/>
  <c r="G547" i="5"/>
  <c r="F547" i="5"/>
  <c r="G546" i="5"/>
  <c r="F546" i="5"/>
  <c r="G545" i="5"/>
  <c r="F545" i="5"/>
  <c r="G544" i="5"/>
  <c r="F544" i="5"/>
  <c r="G543" i="5"/>
  <c r="F543" i="5"/>
  <c r="G542" i="5"/>
  <c r="F542" i="5"/>
  <c r="G541" i="5"/>
  <c r="F541" i="5"/>
  <c r="G540" i="5"/>
  <c r="F540" i="5"/>
  <c r="G539" i="5"/>
  <c r="F539" i="5"/>
  <c r="G538" i="5"/>
  <c r="F538" i="5"/>
  <c r="G537" i="5"/>
  <c r="F537" i="5"/>
  <c r="G536" i="5"/>
  <c r="F536" i="5"/>
  <c r="G535" i="5"/>
  <c r="F535" i="5"/>
  <c r="G534" i="5"/>
  <c r="F534" i="5"/>
  <c r="G533" i="5"/>
  <c r="F533" i="5"/>
  <c r="G532" i="5"/>
  <c r="F532" i="5"/>
  <c r="G531" i="5"/>
  <c r="F531" i="5"/>
  <c r="G530" i="5"/>
  <c r="F530" i="5"/>
  <c r="G529" i="5"/>
  <c r="F529" i="5"/>
  <c r="G528" i="5"/>
  <c r="F528" i="5"/>
  <c r="G527" i="5"/>
  <c r="F527" i="5"/>
  <c r="G526" i="5"/>
  <c r="F526" i="5"/>
  <c r="G525" i="5"/>
  <c r="F525" i="5"/>
  <c r="G524" i="5"/>
  <c r="F524" i="5"/>
  <c r="G523" i="5"/>
  <c r="F523" i="5"/>
  <c r="G522" i="5"/>
  <c r="F522" i="5"/>
  <c r="G521" i="5"/>
  <c r="F521" i="5"/>
  <c r="G520" i="5"/>
  <c r="F520" i="5"/>
  <c r="G519" i="5"/>
  <c r="F519" i="5"/>
  <c r="G518" i="5"/>
  <c r="F518" i="5"/>
  <c r="G517" i="5"/>
  <c r="F517" i="5"/>
  <c r="G516" i="5"/>
  <c r="F516" i="5"/>
  <c r="G515" i="5"/>
  <c r="F515" i="5"/>
  <c r="G514" i="5"/>
  <c r="F514" i="5"/>
  <c r="G513" i="5"/>
  <c r="F513" i="5"/>
  <c r="G512" i="5"/>
  <c r="F512" i="5"/>
  <c r="G511" i="5"/>
  <c r="F511" i="5"/>
  <c r="G510" i="5"/>
  <c r="F510" i="5"/>
  <c r="G509" i="5"/>
  <c r="F509" i="5"/>
  <c r="G508" i="5"/>
  <c r="F508" i="5"/>
  <c r="G507" i="5"/>
  <c r="F507" i="5"/>
  <c r="G506" i="5"/>
  <c r="F506" i="5"/>
  <c r="G505" i="5"/>
  <c r="F505" i="5"/>
  <c r="G504" i="5"/>
  <c r="F504" i="5"/>
  <c r="G503" i="5"/>
  <c r="F503" i="5"/>
  <c r="G502" i="5"/>
  <c r="F502" i="5"/>
  <c r="G501" i="5"/>
  <c r="F501" i="5"/>
  <c r="G500" i="5"/>
  <c r="F500" i="5"/>
  <c r="G499" i="5"/>
  <c r="F499" i="5"/>
  <c r="G498" i="5"/>
  <c r="F498" i="5"/>
  <c r="G497" i="5"/>
  <c r="F497" i="5"/>
  <c r="G496" i="5"/>
  <c r="F496" i="5"/>
  <c r="G495" i="5"/>
  <c r="F495" i="5"/>
  <c r="G494" i="5"/>
  <c r="F494" i="5"/>
  <c r="G493" i="5"/>
  <c r="F493" i="5"/>
  <c r="G492" i="5"/>
  <c r="F492" i="5"/>
  <c r="G491" i="5"/>
  <c r="F491" i="5"/>
  <c r="G490" i="5"/>
  <c r="F490" i="5"/>
  <c r="G489" i="5"/>
  <c r="F489" i="5"/>
  <c r="G488" i="5"/>
  <c r="F488" i="5"/>
  <c r="G487" i="5"/>
  <c r="F487" i="5"/>
  <c r="G486" i="5"/>
  <c r="F486" i="5"/>
  <c r="G485" i="5"/>
  <c r="F485" i="5"/>
  <c r="G484" i="5"/>
  <c r="F484" i="5"/>
  <c r="G483" i="5"/>
  <c r="F483" i="5"/>
  <c r="G482" i="5"/>
  <c r="F482" i="5"/>
  <c r="G481" i="5"/>
  <c r="F481" i="5"/>
  <c r="G480" i="5"/>
  <c r="F480" i="5"/>
  <c r="G479" i="5"/>
  <c r="F479" i="5"/>
  <c r="G478" i="5"/>
  <c r="F478" i="5"/>
  <c r="G477" i="5"/>
  <c r="F477" i="5"/>
  <c r="G476" i="5"/>
  <c r="F476" i="5"/>
  <c r="G475" i="5"/>
  <c r="F475" i="5"/>
  <c r="G474" i="5"/>
  <c r="F474" i="5"/>
  <c r="G473" i="5"/>
  <c r="F473" i="5"/>
  <c r="G472" i="5"/>
  <c r="F472" i="5"/>
  <c r="G471" i="5"/>
  <c r="F471" i="5"/>
  <c r="G470" i="5"/>
  <c r="F470" i="5"/>
  <c r="G469" i="5"/>
  <c r="F469" i="5"/>
  <c r="G468" i="5"/>
  <c r="F468" i="5"/>
  <c r="G467" i="5"/>
  <c r="F467" i="5"/>
  <c r="G466" i="5"/>
  <c r="F466" i="5"/>
  <c r="G465" i="5"/>
  <c r="F465" i="5"/>
  <c r="G464" i="5"/>
  <c r="F464" i="5"/>
  <c r="G463" i="5"/>
  <c r="F463" i="5"/>
  <c r="G462" i="5"/>
  <c r="F462" i="5"/>
  <c r="G461" i="5"/>
  <c r="F461" i="5"/>
  <c r="G460" i="5"/>
  <c r="F460" i="5"/>
  <c r="G459" i="5"/>
  <c r="F459" i="5"/>
  <c r="G458" i="5"/>
  <c r="F458" i="5"/>
  <c r="G457" i="5"/>
  <c r="F457" i="5"/>
  <c r="G456" i="5"/>
  <c r="F456" i="5"/>
  <c r="G455" i="5"/>
  <c r="F455" i="5"/>
  <c r="G454" i="5"/>
  <c r="F454" i="5"/>
  <c r="G453" i="5"/>
  <c r="F453" i="5"/>
  <c r="G452" i="5"/>
  <c r="F452" i="5"/>
  <c r="G451" i="5"/>
  <c r="F451" i="5"/>
  <c r="G450" i="5"/>
  <c r="F450" i="5"/>
  <c r="G449" i="5"/>
  <c r="F449" i="5"/>
  <c r="G448" i="5"/>
  <c r="F448" i="5"/>
  <c r="G447" i="5"/>
  <c r="F447" i="5"/>
  <c r="G446" i="5"/>
  <c r="F446" i="5"/>
  <c r="G445" i="5"/>
  <c r="F445" i="5"/>
  <c r="G444" i="5"/>
  <c r="F444" i="5"/>
  <c r="G443" i="5"/>
  <c r="F443" i="5"/>
  <c r="G442" i="5"/>
  <c r="F442" i="5"/>
  <c r="G441" i="5"/>
  <c r="F441" i="5"/>
  <c r="G440" i="5"/>
  <c r="F440" i="5"/>
  <c r="G439" i="5"/>
  <c r="F439" i="5"/>
  <c r="G438" i="5"/>
  <c r="F438" i="5"/>
  <c r="G437" i="5"/>
  <c r="F437" i="5"/>
  <c r="G436" i="5"/>
  <c r="F436" i="5"/>
  <c r="G435" i="5"/>
  <c r="F435" i="5"/>
  <c r="G434" i="5"/>
  <c r="F434" i="5"/>
  <c r="G433" i="5"/>
  <c r="F433" i="5"/>
  <c r="G432" i="5"/>
  <c r="F432" i="5"/>
  <c r="G431" i="5"/>
  <c r="F431" i="5"/>
  <c r="G430" i="5"/>
  <c r="F430" i="5"/>
  <c r="G429" i="5"/>
  <c r="F429" i="5"/>
  <c r="G428" i="5"/>
  <c r="F428" i="5"/>
  <c r="G427" i="5"/>
  <c r="F427" i="5"/>
  <c r="G426" i="5"/>
  <c r="F426" i="5"/>
  <c r="G425" i="5"/>
  <c r="F425" i="5"/>
  <c r="G424" i="5"/>
  <c r="F424" i="5"/>
  <c r="G423" i="5"/>
  <c r="F423" i="5"/>
  <c r="G422" i="5"/>
  <c r="F422" i="5"/>
  <c r="G421" i="5"/>
  <c r="F421" i="5"/>
  <c r="G420" i="5"/>
  <c r="F420" i="5"/>
  <c r="G419" i="5"/>
  <c r="F419" i="5"/>
  <c r="G418" i="5"/>
  <c r="F418" i="5"/>
  <c r="G417" i="5"/>
  <c r="F417" i="5"/>
  <c r="G416" i="5"/>
  <c r="F416" i="5"/>
  <c r="G415" i="5"/>
  <c r="F415" i="5"/>
  <c r="G414" i="5"/>
  <c r="F414" i="5"/>
  <c r="G413" i="5"/>
  <c r="F413" i="5"/>
  <c r="G412" i="5"/>
  <c r="F412" i="5"/>
  <c r="G411" i="5"/>
  <c r="F411" i="5"/>
  <c r="G410" i="5"/>
  <c r="F410" i="5"/>
  <c r="G409" i="5"/>
  <c r="F409" i="5"/>
  <c r="G408" i="5"/>
  <c r="F408" i="5"/>
  <c r="G407" i="5"/>
  <c r="F407" i="5"/>
  <c r="G406" i="5"/>
  <c r="F406" i="5"/>
  <c r="G405" i="5"/>
  <c r="F405" i="5"/>
  <c r="G404" i="5"/>
  <c r="F404" i="5"/>
  <c r="G403" i="5"/>
  <c r="F403" i="5"/>
  <c r="G402" i="5"/>
  <c r="F402" i="5"/>
  <c r="G401" i="5"/>
  <c r="F401" i="5"/>
  <c r="G400" i="5"/>
  <c r="F400" i="5"/>
  <c r="G399" i="5"/>
  <c r="F399" i="5"/>
  <c r="G398" i="5"/>
  <c r="F398" i="5"/>
  <c r="G397" i="5"/>
  <c r="F397" i="5"/>
  <c r="G396" i="5"/>
  <c r="F396" i="5"/>
  <c r="G395" i="5"/>
  <c r="F395" i="5"/>
  <c r="G394" i="5"/>
  <c r="F394" i="5"/>
  <c r="G393" i="5"/>
  <c r="F393" i="5"/>
  <c r="G392" i="5"/>
  <c r="F392" i="5"/>
  <c r="G391" i="5"/>
  <c r="F391" i="5"/>
  <c r="G390" i="5"/>
  <c r="F390" i="5"/>
  <c r="G389" i="5"/>
  <c r="F389" i="5"/>
  <c r="G388" i="5"/>
  <c r="F388" i="5"/>
  <c r="G387" i="5"/>
  <c r="F387" i="5"/>
  <c r="G386" i="5"/>
  <c r="F386" i="5"/>
  <c r="G385" i="5"/>
  <c r="F385" i="5"/>
  <c r="G384" i="5"/>
  <c r="F384" i="5"/>
  <c r="G383" i="5"/>
  <c r="F383" i="5"/>
  <c r="G382" i="5"/>
  <c r="F382" i="5"/>
  <c r="G381" i="5"/>
  <c r="F381" i="5"/>
  <c r="G380" i="5"/>
  <c r="F380" i="5"/>
  <c r="G379" i="5"/>
  <c r="F379" i="5"/>
  <c r="G378" i="5"/>
  <c r="F378" i="5"/>
  <c r="G377" i="5"/>
  <c r="F377" i="5"/>
  <c r="G376" i="5"/>
  <c r="F376" i="5"/>
  <c r="G375" i="5"/>
  <c r="F375" i="5"/>
  <c r="G374" i="5"/>
  <c r="F374" i="5"/>
  <c r="G373" i="5"/>
  <c r="F373" i="5"/>
  <c r="G372" i="5"/>
  <c r="F372" i="5"/>
  <c r="G371" i="5"/>
  <c r="F371" i="5"/>
  <c r="G370" i="5"/>
  <c r="F370" i="5"/>
  <c r="G369" i="5"/>
  <c r="F369" i="5"/>
  <c r="G368" i="5"/>
  <c r="F368" i="5"/>
  <c r="G367" i="5"/>
  <c r="F367" i="5"/>
  <c r="G366" i="5"/>
  <c r="F366" i="5"/>
  <c r="G365" i="5"/>
  <c r="F365" i="5"/>
  <c r="G364" i="5"/>
  <c r="F364" i="5"/>
  <c r="G363" i="5"/>
  <c r="F363" i="5"/>
  <c r="G362" i="5"/>
  <c r="F362" i="5"/>
  <c r="G361" i="5"/>
  <c r="F361" i="5"/>
  <c r="G360" i="5"/>
  <c r="F360" i="5"/>
  <c r="G359" i="5"/>
  <c r="F359" i="5"/>
  <c r="G358" i="5"/>
  <c r="F358" i="5"/>
  <c r="G357" i="5"/>
  <c r="F357" i="5"/>
  <c r="G356" i="5"/>
  <c r="F356" i="5"/>
  <c r="G355" i="5"/>
  <c r="F355" i="5"/>
  <c r="G354" i="5"/>
  <c r="F354" i="5"/>
  <c r="G353" i="5"/>
  <c r="F353" i="5"/>
  <c r="G352" i="5"/>
  <c r="F352" i="5"/>
  <c r="G351" i="5"/>
  <c r="F351" i="5"/>
  <c r="G350" i="5"/>
  <c r="F350" i="5"/>
  <c r="G349" i="5"/>
  <c r="F349" i="5"/>
  <c r="G348" i="5"/>
  <c r="F348" i="5"/>
  <c r="G347" i="5"/>
  <c r="F347" i="5"/>
  <c r="G346" i="5"/>
  <c r="F346" i="5"/>
  <c r="G345" i="5"/>
  <c r="F345" i="5"/>
  <c r="G344" i="5"/>
  <c r="F344" i="5"/>
  <c r="G343" i="5"/>
  <c r="F343" i="5"/>
  <c r="G342" i="5"/>
  <c r="F342" i="5"/>
  <c r="G341" i="5"/>
  <c r="F341" i="5"/>
  <c r="G340" i="5"/>
  <c r="F340" i="5"/>
  <c r="G339" i="5"/>
  <c r="F339" i="5"/>
  <c r="G338" i="5"/>
  <c r="F338" i="5"/>
  <c r="G337" i="5"/>
  <c r="F337" i="5"/>
  <c r="G336" i="5"/>
  <c r="F336" i="5"/>
  <c r="G335" i="5"/>
  <c r="F335" i="5"/>
  <c r="G334" i="5"/>
  <c r="F334" i="5"/>
  <c r="G333" i="5"/>
  <c r="F333" i="5"/>
  <c r="G332" i="5"/>
  <c r="F332" i="5"/>
  <c r="G331" i="5"/>
  <c r="F331" i="5"/>
  <c r="G330" i="5"/>
  <c r="F330" i="5"/>
  <c r="G329" i="5"/>
  <c r="F329" i="5"/>
  <c r="G328" i="5"/>
  <c r="F328" i="5"/>
  <c r="G327" i="5"/>
  <c r="F327" i="5"/>
  <c r="G326" i="5"/>
  <c r="F326" i="5"/>
  <c r="G325" i="5"/>
  <c r="F325" i="5"/>
  <c r="G324" i="5"/>
  <c r="F324" i="5"/>
  <c r="G323" i="5"/>
  <c r="F323" i="5"/>
  <c r="G322" i="5"/>
  <c r="F322" i="5"/>
  <c r="G321" i="5"/>
  <c r="F321" i="5"/>
  <c r="G320" i="5"/>
  <c r="F320" i="5"/>
  <c r="G319" i="5"/>
  <c r="F319" i="5"/>
  <c r="G318" i="5"/>
  <c r="F318" i="5"/>
  <c r="G317" i="5"/>
  <c r="F317" i="5"/>
  <c r="G316" i="5"/>
  <c r="F316" i="5"/>
  <c r="G315" i="5"/>
  <c r="F315" i="5"/>
  <c r="G314" i="5"/>
  <c r="F314" i="5"/>
  <c r="G313" i="5"/>
  <c r="F313" i="5"/>
  <c r="G312" i="5"/>
  <c r="F312" i="5"/>
  <c r="G311" i="5"/>
  <c r="F311" i="5"/>
  <c r="G310" i="5"/>
  <c r="F310" i="5"/>
  <c r="G309" i="5"/>
  <c r="F309" i="5"/>
  <c r="G308" i="5"/>
  <c r="F308" i="5"/>
  <c r="G307" i="5"/>
  <c r="F307" i="5"/>
  <c r="G306" i="5"/>
  <c r="F306" i="5"/>
  <c r="G305" i="5"/>
  <c r="F305" i="5"/>
  <c r="G304" i="5"/>
  <c r="F304" i="5"/>
  <c r="G303" i="5"/>
  <c r="F303" i="5"/>
  <c r="G302" i="5"/>
  <c r="F302" i="5"/>
  <c r="G301" i="5"/>
  <c r="F301" i="5"/>
  <c r="G300" i="5"/>
  <c r="F300" i="5"/>
  <c r="G299" i="5"/>
  <c r="F299" i="5"/>
  <c r="G298" i="5"/>
  <c r="F298" i="5"/>
  <c r="G297" i="5"/>
  <c r="F297" i="5"/>
  <c r="G296" i="5"/>
  <c r="F296" i="5"/>
  <c r="G295" i="5"/>
  <c r="F295" i="5"/>
  <c r="G294" i="5"/>
  <c r="F294" i="5"/>
  <c r="G293" i="5"/>
  <c r="F293" i="5"/>
  <c r="G292" i="5"/>
  <c r="F292" i="5"/>
  <c r="G291" i="5"/>
  <c r="F291" i="5"/>
  <c r="G290" i="5"/>
  <c r="F290" i="5"/>
  <c r="G289" i="5"/>
  <c r="F289" i="5"/>
  <c r="G288" i="5"/>
  <c r="F288" i="5"/>
  <c r="G287" i="5"/>
  <c r="F287" i="5"/>
  <c r="G286" i="5"/>
  <c r="F286" i="5"/>
  <c r="G285" i="5"/>
  <c r="F285" i="5"/>
  <c r="G284" i="5"/>
  <c r="F284" i="5"/>
  <c r="G283" i="5"/>
  <c r="F283" i="5"/>
  <c r="G282" i="5"/>
  <c r="F282" i="5"/>
  <c r="G281" i="5"/>
  <c r="F281" i="5"/>
  <c r="G280" i="5"/>
  <c r="F280" i="5"/>
  <c r="G279" i="5"/>
  <c r="F279" i="5"/>
  <c r="G278" i="5"/>
  <c r="F278" i="5"/>
  <c r="G277" i="5"/>
  <c r="F277" i="5"/>
  <c r="G276" i="5"/>
  <c r="F276" i="5"/>
  <c r="G275" i="5"/>
  <c r="F275" i="5"/>
  <c r="G274" i="5"/>
  <c r="F274" i="5"/>
  <c r="G273" i="5"/>
  <c r="F273" i="5"/>
  <c r="G272" i="5"/>
  <c r="F272" i="5"/>
  <c r="G271" i="5"/>
  <c r="F271" i="5"/>
  <c r="G270" i="5"/>
  <c r="F270" i="5"/>
  <c r="G269" i="5"/>
  <c r="F269" i="5"/>
  <c r="G268" i="5"/>
  <c r="F268" i="5"/>
  <c r="G267" i="5"/>
  <c r="F267" i="5"/>
  <c r="G266" i="5"/>
  <c r="F266" i="5"/>
  <c r="G265" i="5"/>
  <c r="F265" i="5"/>
  <c r="G264" i="5"/>
  <c r="F264" i="5"/>
  <c r="G263" i="5"/>
  <c r="F263" i="5"/>
  <c r="G262" i="5"/>
  <c r="F262" i="5"/>
  <c r="G261" i="5"/>
  <c r="F261" i="5"/>
  <c r="G260" i="5"/>
  <c r="F260" i="5"/>
  <c r="G259" i="5"/>
  <c r="F259" i="5"/>
  <c r="G258" i="5"/>
  <c r="F258" i="5"/>
  <c r="G257" i="5"/>
  <c r="F257" i="5"/>
  <c r="G256" i="5"/>
  <c r="F256" i="5"/>
  <c r="G255" i="5"/>
  <c r="F255" i="5"/>
  <c r="G254" i="5"/>
  <c r="F254" i="5"/>
  <c r="G253" i="5"/>
  <c r="F253" i="5"/>
  <c r="G252" i="5"/>
  <c r="F252" i="5"/>
  <c r="G251" i="5"/>
  <c r="F251" i="5"/>
  <c r="G250" i="5"/>
  <c r="F250" i="5"/>
  <c r="G249" i="5"/>
  <c r="F249" i="5"/>
  <c r="G248" i="5"/>
  <c r="F248" i="5"/>
  <c r="G247" i="5"/>
  <c r="F247" i="5"/>
  <c r="G246" i="5"/>
  <c r="F246" i="5"/>
  <c r="G245" i="5"/>
  <c r="F245" i="5"/>
  <c r="G244" i="5"/>
  <c r="F244" i="5"/>
  <c r="G243" i="5"/>
  <c r="F243" i="5"/>
  <c r="G242" i="5"/>
  <c r="F242" i="5"/>
  <c r="G241" i="5"/>
  <c r="F241" i="5"/>
  <c r="G240" i="5"/>
  <c r="F240" i="5"/>
  <c r="G239" i="5"/>
  <c r="F239" i="5"/>
  <c r="G238" i="5"/>
  <c r="F238" i="5"/>
  <c r="G237" i="5"/>
  <c r="F237" i="5"/>
  <c r="G236" i="5"/>
  <c r="F236" i="5"/>
  <c r="G235" i="5"/>
  <c r="F235" i="5"/>
  <c r="G234" i="5"/>
  <c r="F234" i="5"/>
  <c r="G233" i="5"/>
  <c r="F233" i="5"/>
  <c r="G232" i="5"/>
  <c r="F232" i="5"/>
  <c r="G231" i="5"/>
  <c r="F231" i="5"/>
  <c r="G230" i="5"/>
  <c r="F230" i="5"/>
  <c r="G229" i="5"/>
  <c r="F229" i="5"/>
  <c r="G228" i="5"/>
  <c r="F228" i="5"/>
  <c r="G227" i="5"/>
  <c r="F227" i="5"/>
  <c r="G226" i="5"/>
  <c r="F226" i="5"/>
  <c r="G225" i="5"/>
  <c r="F225" i="5"/>
  <c r="G224" i="5"/>
  <c r="F224" i="5"/>
  <c r="G223" i="5"/>
  <c r="F223" i="5"/>
  <c r="G222" i="5"/>
  <c r="F222" i="5"/>
  <c r="G221" i="5"/>
  <c r="F221" i="5"/>
  <c r="G220" i="5"/>
  <c r="F220" i="5"/>
  <c r="G219" i="5"/>
  <c r="F219" i="5"/>
  <c r="G218" i="5"/>
  <c r="F218" i="5"/>
  <c r="G217" i="5"/>
  <c r="F217" i="5"/>
  <c r="G216" i="5"/>
  <c r="F216" i="5"/>
  <c r="G215" i="5"/>
  <c r="F215" i="5"/>
  <c r="G214" i="5"/>
  <c r="F214" i="5"/>
  <c r="G213" i="5"/>
  <c r="F213" i="5"/>
  <c r="G212" i="5"/>
  <c r="F212" i="5"/>
  <c r="G211" i="5"/>
  <c r="F211" i="5"/>
  <c r="G210" i="5"/>
  <c r="F210" i="5"/>
  <c r="G209" i="5"/>
  <c r="F209" i="5"/>
  <c r="G208" i="5"/>
  <c r="F208" i="5"/>
  <c r="G207" i="5"/>
  <c r="F207" i="5"/>
  <c r="G206" i="5"/>
  <c r="F206" i="5"/>
  <c r="G205" i="5"/>
  <c r="F205" i="5"/>
  <c r="G204" i="5"/>
  <c r="F204" i="5"/>
  <c r="G203" i="5"/>
  <c r="F203" i="5"/>
  <c r="G202" i="5"/>
  <c r="F202" i="5"/>
  <c r="G201" i="5"/>
  <c r="F201" i="5"/>
  <c r="G200" i="5"/>
  <c r="F200" i="5"/>
  <c r="G199" i="5"/>
  <c r="F199" i="5"/>
  <c r="G198" i="5"/>
  <c r="F198" i="5"/>
  <c r="G197" i="5"/>
  <c r="F197" i="5"/>
  <c r="G196" i="5"/>
  <c r="F196" i="5"/>
  <c r="G195" i="5"/>
  <c r="F195" i="5"/>
  <c r="G194" i="5"/>
  <c r="F194" i="5"/>
  <c r="G193" i="5"/>
  <c r="F193" i="5"/>
  <c r="G192" i="5"/>
  <c r="F192" i="5"/>
  <c r="G191" i="5"/>
  <c r="F191" i="5"/>
  <c r="G190" i="5"/>
  <c r="F190" i="5"/>
  <c r="G189" i="5"/>
  <c r="F189" i="5"/>
  <c r="G188" i="5"/>
  <c r="F188" i="5"/>
  <c r="G187" i="5"/>
  <c r="F187" i="5"/>
  <c r="G186" i="5"/>
  <c r="F186" i="5"/>
  <c r="G185" i="5"/>
  <c r="F185" i="5"/>
  <c r="G184" i="5"/>
  <c r="F184" i="5"/>
  <c r="G183" i="5"/>
  <c r="F183" i="5"/>
  <c r="G182" i="5"/>
  <c r="F182" i="5"/>
  <c r="G181" i="5"/>
  <c r="F181" i="5"/>
  <c r="G180" i="5"/>
  <c r="F180" i="5"/>
  <c r="G179" i="5"/>
  <c r="F179" i="5"/>
  <c r="G178" i="5"/>
  <c r="F178" i="5"/>
  <c r="G177" i="5"/>
  <c r="F177" i="5"/>
  <c r="G176" i="5"/>
  <c r="F176" i="5"/>
  <c r="G175" i="5"/>
  <c r="F175" i="5"/>
  <c r="G174" i="5"/>
  <c r="F174" i="5"/>
  <c r="G173" i="5"/>
  <c r="F173" i="5"/>
  <c r="G172" i="5"/>
  <c r="F172" i="5"/>
  <c r="G171" i="5"/>
  <c r="F171" i="5"/>
  <c r="G170" i="5"/>
  <c r="F170" i="5"/>
  <c r="G169" i="5"/>
  <c r="F169" i="5"/>
  <c r="G168" i="5"/>
  <c r="F168" i="5"/>
  <c r="G167" i="5"/>
  <c r="F167" i="5"/>
  <c r="G166" i="5"/>
  <c r="F166" i="5"/>
  <c r="G165" i="5"/>
  <c r="F165" i="5"/>
  <c r="G164" i="5"/>
  <c r="F164" i="5"/>
  <c r="G163" i="5"/>
  <c r="F163" i="5"/>
  <c r="G162" i="5"/>
  <c r="F162" i="5"/>
  <c r="G161" i="5"/>
  <c r="F161" i="5"/>
  <c r="G160" i="5"/>
  <c r="F160" i="5"/>
  <c r="G159" i="5"/>
  <c r="F159" i="5"/>
  <c r="G158" i="5"/>
  <c r="F158" i="5"/>
  <c r="G157" i="5"/>
  <c r="F157" i="5"/>
  <c r="G156" i="5"/>
  <c r="F156" i="5"/>
  <c r="G155" i="5"/>
  <c r="F155" i="5"/>
  <c r="G154" i="5"/>
  <c r="F154" i="5"/>
  <c r="G153" i="5"/>
  <c r="F153" i="5"/>
  <c r="G152" i="5"/>
  <c r="F152" i="5"/>
  <c r="G151" i="5"/>
  <c r="F151" i="5"/>
  <c r="G150" i="5"/>
  <c r="F150" i="5"/>
  <c r="G149" i="5"/>
  <c r="F149" i="5"/>
  <c r="G148" i="5"/>
  <c r="F148" i="5"/>
  <c r="G147" i="5"/>
  <c r="F147" i="5"/>
  <c r="G146" i="5"/>
  <c r="F146" i="5"/>
  <c r="G145" i="5"/>
  <c r="F145" i="5"/>
  <c r="G144" i="5"/>
  <c r="F144" i="5"/>
  <c r="G143" i="5"/>
  <c r="F143" i="5"/>
  <c r="G142" i="5"/>
  <c r="F142" i="5"/>
  <c r="G141" i="5"/>
  <c r="F141" i="5"/>
  <c r="G140" i="5"/>
  <c r="F140" i="5"/>
  <c r="G139" i="5"/>
  <c r="F139" i="5"/>
  <c r="G138" i="5"/>
  <c r="F138" i="5"/>
  <c r="G137" i="5"/>
  <c r="F137" i="5"/>
  <c r="G136" i="5"/>
  <c r="F136" i="5"/>
  <c r="G135" i="5"/>
  <c r="F135" i="5"/>
  <c r="G134" i="5"/>
  <c r="F134" i="5"/>
  <c r="G133" i="5"/>
  <c r="F133" i="5"/>
  <c r="G132" i="5"/>
  <c r="F132" i="5"/>
  <c r="G131" i="5"/>
  <c r="F131" i="5"/>
  <c r="G130" i="5"/>
  <c r="F130" i="5"/>
  <c r="G129" i="5"/>
  <c r="F129" i="5"/>
  <c r="G128" i="5"/>
  <c r="F128" i="5"/>
  <c r="G127" i="5"/>
  <c r="F127" i="5"/>
  <c r="G126" i="5"/>
  <c r="F126" i="5"/>
  <c r="G125" i="5"/>
  <c r="F125" i="5"/>
  <c r="G124" i="5"/>
  <c r="F124" i="5"/>
  <c r="G123" i="5"/>
  <c r="F123" i="5"/>
  <c r="G122" i="5"/>
  <c r="F122" i="5"/>
  <c r="G121" i="5"/>
  <c r="F121" i="5"/>
  <c r="G120" i="5"/>
  <c r="F120" i="5"/>
  <c r="G119" i="5"/>
  <c r="F119" i="5"/>
  <c r="G118" i="5"/>
  <c r="F118" i="5"/>
  <c r="G117" i="5"/>
  <c r="F117" i="5"/>
  <c r="G116" i="5"/>
  <c r="F116" i="5"/>
  <c r="G115" i="5"/>
  <c r="F115" i="5"/>
  <c r="G114" i="5"/>
  <c r="F114" i="5"/>
  <c r="G113" i="5"/>
  <c r="F113" i="5"/>
  <c r="G112" i="5"/>
  <c r="F112" i="5"/>
  <c r="G111" i="5"/>
  <c r="F111" i="5"/>
  <c r="G110" i="5"/>
  <c r="F110" i="5"/>
  <c r="G109" i="5"/>
  <c r="F109" i="5"/>
  <c r="G108" i="5"/>
  <c r="F108" i="5"/>
  <c r="G107" i="5"/>
  <c r="F107" i="5"/>
  <c r="G106" i="5"/>
  <c r="F106" i="5"/>
  <c r="G105" i="5"/>
  <c r="F105" i="5"/>
  <c r="G104" i="5"/>
  <c r="F104" i="5"/>
  <c r="G103" i="5"/>
  <c r="F103" i="5"/>
  <c r="G102" i="5"/>
  <c r="F102" i="5"/>
  <c r="G101" i="5"/>
  <c r="F101" i="5"/>
  <c r="G100" i="5"/>
  <c r="F100" i="5"/>
  <c r="G99" i="5"/>
  <c r="F99" i="5"/>
  <c r="G98" i="5"/>
  <c r="F98" i="5"/>
  <c r="G97" i="5"/>
  <c r="F97" i="5"/>
  <c r="G96" i="5"/>
  <c r="F96" i="5"/>
  <c r="G95" i="5"/>
  <c r="F95" i="5"/>
  <c r="G94" i="5"/>
  <c r="F94" i="5"/>
  <c r="G93" i="5"/>
  <c r="F93" i="5"/>
  <c r="G92" i="5"/>
  <c r="F92" i="5"/>
  <c r="G91" i="5"/>
  <c r="F91" i="5"/>
  <c r="G90" i="5"/>
  <c r="F90" i="5"/>
  <c r="G89" i="5"/>
  <c r="F89" i="5"/>
  <c r="G88" i="5"/>
  <c r="F88" i="5"/>
  <c r="G87" i="5"/>
  <c r="F87" i="5"/>
  <c r="G86" i="5"/>
  <c r="F86" i="5"/>
  <c r="G85" i="5"/>
  <c r="F85" i="5"/>
  <c r="G84" i="5"/>
  <c r="F84" i="5"/>
  <c r="G83" i="5"/>
  <c r="F83" i="5"/>
  <c r="G82" i="5"/>
  <c r="F82" i="5"/>
  <c r="G81" i="5"/>
  <c r="F81" i="5"/>
  <c r="G80" i="5"/>
  <c r="F80" i="5"/>
  <c r="G79" i="5"/>
  <c r="F79" i="5"/>
  <c r="G78" i="5"/>
  <c r="F78" i="5"/>
  <c r="G77" i="5"/>
  <c r="F77" i="5"/>
  <c r="G76" i="5"/>
  <c r="F76" i="5"/>
  <c r="G75" i="5"/>
  <c r="F75" i="5"/>
  <c r="G74" i="5"/>
  <c r="F74" i="5"/>
  <c r="G73" i="5"/>
  <c r="F73" i="5"/>
  <c r="G72" i="5"/>
  <c r="F72" i="5"/>
  <c r="G71" i="5"/>
  <c r="F71" i="5"/>
  <c r="G70" i="5"/>
  <c r="F70" i="5"/>
  <c r="G69" i="5"/>
  <c r="F69" i="5"/>
  <c r="G68" i="5"/>
  <c r="F68" i="5"/>
  <c r="G67" i="5"/>
  <c r="F67" i="5"/>
  <c r="G66" i="5"/>
  <c r="F66" i="5"/>
  <c r="G65" i="5"/>
  <c r="F65" i="5"/>
  <c r="G64" i="5"/>
  <c r="F64" i="5"/>
  <c r="G63" i="5"/>
  <c r="F63" i="5"/>
  <c r="G62" i="5"/>
  <c r="F62" i="5"/>
  <c r="G61" i="5"/>
  <c r="F61" i="5"/>
  <c r="G60" i="5"/>
  <c r="F60" i="5"/>
  <c r="G59" i="5"/>
  <c r="F59" i="5"/>
  <c r="G58" i="5"/>
  <c r="F58" i="5"/>
  <c r="G57" i="5"/>
  <c r="F57" i="5"/>
  <c r="G56" i="5"/>
  <c r="F56" i="5"/>
  <c r="G55" i="5"/>
  <c r="F55" i="5"/>
  <c r="G54" i="5"/>
  <c r="F54" i="5"/>
  <c r="G53" i="5"/>
  <c r="F53" i="5"/>
  <c r="G52" i="5"/>
  <c r="F52" i="5"/>
  <c r="G51" i="5"/>
  <c r="F51" i="5"/>
  <c r="G50" i="5"/>
  <c r="F50" i="5"/>
  <c r="G49" i="5"/>
  <c r="F49" i="5"/>
  <c r="G48" i="5"/>
  <c r="F48" i="5"/>
  <c r="G47" i="5"/>
  <c r="F47" i="5"/>
  <c r="G46" i="5"/>
  <c r="F46" i="5"/>
  <c r="G45" i="5"/>
  <c r="F45" i="5"/>
  <c r="G44" i="5"/>
  <c r="F44" i="5"/>
  <c r="G43" i="5"/>
  <c r="F43" i="5"/>
  <c r="G42" i="5"/>
  <c r="F42" i="5"/>
  <c r="G41" i="5"/>
  <c r="F41" i="5"/>
  <c r="G40" i="5"/>
  <c r="F40" i="5"/>
  <c r="G39" i="5"/>
  <c r="F39" i="5"/>
  <c r="G38" i="5"/>
  <c r="F38" i="5"/>
  <c r="G37" i="5"/>
  <c r="F37" i="5"/>
  <c r="G36" i="5"/>
  <c r="F36" i="5"/>
  <c r="G35" i="5"/>
  <c r="F35" i="5"/>
  <c r="G34" i="5"/>
  <c r="F34" i="5"/>
  <c r="G33" i="5"/>
  <c r="F33" i="5"/>
  <c r="G32" i="5"/>
  <c r="F32" i="5"/>
  <c r="G31" i="5"/>
  <c r="F31" i="5"/>
  <c r="G30" i="5"/>
  <c r="F30" i="5"/>
  <c r="G29" i="5"/>
  <c r="F29" i="5"/>
  <c r="G28" i="5"/>
  <c r="F28" i="5"/>
  <c r="G27" i="5"/>
  <c r="F27" i="5"/>
  <c r="G26" i="5"/>
  <c r="F26" i="5"/>
  <c r="G25" i="5"/>
  <c r="F25" i="5"/>
  <c r="G24" i="5"/>
  <c r="F24" i="5"/>
  <c r="G23" i="5"/>
  <c r="F23" i="5"/>
  <c r="G22" i="5"/>
  <c r="F22" i="5"/>
  <c r="G21" i="5"/>
  <c r="F21" i="5"/>
  <c r="D2508" i="5"/>
  <c r="D2507" i="5"/>
  <c r="D2506" i="5"/>
  <c r="D2505" i="5"/>
  <c r="D2504" i="5"/>
  <c r="D2503" i="5"/>
  <c r="D2502" i="5"/>
  <c r="D2501" i="5"/>
  <c r="D2500" i="5"/>
  <c r="D2499" i="5"/>
  <c r="D2498" i="5"/>
  <c r="D2497" i="5"/>
  <c r="D2496" i="5"/>
  <c r="D2495" i="5"/>
  <c r="D2494" i="5"/>
  <c r="D2493" i="5"/>
  <c r="D2492" i="5"/>
  <c r="D2491" i="5"/>
  <c r="D2490" i="5"/>
  <c r="D2489" i="5"/>
  <c r="D2488" i="5"/>
  <c r="D2487" i="5"/>
  <c r="D2486" i="5"/>
  <c r="D2485" i="5"/>
  <c r="D2484" i="5"/>
  <c r="D2483" i="5"/>
  <c r="D2482" i="5"/>
  <c r="D2481" i="5"/>
  <c r="D2480" i="5"/>
  <c r="D2479" i="5"/>
  <c r="D2478" i="5"/>
  <c r="D2477" i="5"/>
  <c r="D2476" i="5"/>
  <c r="D2475" i="5"/>
  <c r="D2474" i="5"/>
  <c r="D2473" i="5"/>
  <c r="D2472" i="5"/>
  <c r="D2471" i="5"/>
  <c r="D2470" i="5"/>
  <c r="D2469" i="5"/>
  <c r="D2468" i="5"/>
  <c r="D2467" i="5"/>
  <c r="D2466" i="5"/>
  <c r="D2465" i="5"/>
  <c r="D2464" i="5"/>
  <c r="D2463" i="5"/>
  <c r="D2462" i="5"/>
  <c r="D2461" i="5"/>
  <c r="D2460" i="5"/>
  <c r="D2459" i="5"/>
  <c r="D2458" i="5"/>
  <c r="D2457" i="5"/>
  <c r="D2456" i="5"/>
  <c r="D2455" i="5"/>
  <c r="D2454" i="5"/>
  <c r="D2453" i="5"/>
  <c r="D2452" i="5"/>
  <c r="D2451" i="5"/>
  <c r="D2450" i="5"/>
  <c r="D2449" i="5"/>
  <c r="D2448" i="5"/>
  <c r="D2447" i="5"/>
  <c r="D2446" i="5"/>
  <c r="D2445" i="5"/>
  <c r="D2444" i="5"/>
  <c r="D2443" i="5"/>
  <c r="D2442" i="5"/>
  <c r="D2441" i="5"/>
  <c r="D2440" i="5"/>
  <c r="D2439" i="5"/>
  <c r="D2438" i="5"/>
  <c r="D2437" i="5"/>
  <c r="D2436" i="5"/>
  <c r="D2435" i="5"/>
  <c r="D2434" i="5"/>
  <c r="D2433" i="5"/>
  <c r="D2432" i="5"/>
  <c r="D2431" i="5"/>
  <c r="D2430" i="5"/>
  <c r="D2429" i="5"/>
  <c r="D2428" i="5"/>
  <c r="D2427" i="5"/>
  <c r="D2426" i="5"/>
  <c r="D2425" i="5"/>
  <c r="D2424" i="5"/>
  <c r="D2423" i="5"/>
  <c r="D2422" i="5"/>
  <c r="D2421" i="5"/>
  <c r="D2420" i="5"/>
  <c r="D2419" i="5"/>
  <c r="D2418" i="5"/>
  <c r="D2417" i="5"/>
  <c r="D2416" i="5"/>
  <c r="D2415" i="5"/>
  <c r="D2414" i="5"/>
  <c r="D2413" i="5"/>
  <c r="D2412" i="5"/>
  <c r="D2411" i="5"/>
  <c r="D2410" i="5"/>
  <c r="D2409" i="5"/>
  <c r="D2408" i="5"/>
  <c r="D2407" i="5"/>
  <c r="D2406" i="5"/>
  <c r="D2405" i="5"/>
  <c r="D2404" i="5"/>
  <c r="D2403" i="5"/>
  <c r="D2402" i="5"/>
  <c r="D2401" i="5"/>
  <c r="D2400" i="5"/>
  <c r="D2399" i="5"/>
  <c r="D2398" i="5"/>
  <c r="D2397" i="5"/>
  <c r="D2396" i="5"/>
  <c r="D2395" i="5"/>
  <c r="D2394" i="5"/>
  <c r="D2393" i="5"/>
  <c r="D2392" i="5"/>
  <c r="D2391" i="5"/>
  <c r="D2390" i="5"/>
  <c r="D2389" i="5"/>
  <c r="D2388" i="5"/>
  <c r="D2387" i="5"/>
  <c r="D2386" i="5"/>
  <c r="D2385" i="5"/>
  <c r="D2384" i="5"/>
  <c r="D2383" i="5"/>
  <c r="D2382" i="5"/>
  <c r="D2381" i="5"/>
  <c r="D2380" i="5"/>
  <c r="D2379" i="5"/>
  <c r="D2378" i="5"/>
  <c r="D2377" i="5"/>
  <c r="D2376" i="5"/>
  <c r="D2375" i="5"/>
  <c r="D2374" i="5"/>
  <c r="D2373" i="5"/>
  <c r="D2372" i="5"/>
  <c r="D2371" i="5"/>
  <c r="D2370" i="5"/>
  <c r="D2369" i="5"/>
  <c r="D2368" i="5"/>
  <c r="D2367" i="5"/>
  <c r="D2366" i="5"/>
  <c r="D2365" i="5"/>
  <c r="D2364" i="5"/>
  <c r="D2363" i="5"/>
  <c r="D2362" i="5"/>
  <c r="D2361" i="5"/>
  <c r="D2360" i="5"/>
  <c r="D2359" i="5"/>
  <c r="D2358" i="5"/>
  <c r="D2357" i="5"/>
  <c r="D2356" i="5"/>
  <c r="D2355" i="5"/>
  <c r="D2354" i="5"/>
  <c r="D2353" i="5"/>
  <c r="D2352" i="5"/>
  <c r="D2351" i="5"/>
  <c r="D2350" i="5"/>
  <c r="D2349" i="5"/>
  <c r="D2348" i="5"/>
  <c r="D2347" i="5"/>
  <c r="D2346" i="5"/>
  <c r="D2345" i="5"/>
  <c r="D2344" i="5"/>
  <c r="D2343" i="5"/>
  <c r="D2342" i="5"/>
  <c r="D2341" i="5"/>
  <c r="D2340" i="5"/>
  <c r="D2339" i="5"/>
  <c r="D2338" i="5"/>
  <c r="D2337" i="5"/>
  <c r="D2336" i="5"/>
  <c r="D2335" i="5"/>
  <c r="D2334" i="5"/>
  <c r="D2333" i="5"/>
  <c r="D2332" i="5"/>
  <c r="D2331" i="5"/>
  <c r="D2330" i="5"/>
  <c r="D2329" i="5"/>
  <c r="D2328" i="5"/>
  <c r="D2327" i="5"/>
  <c r="D2326" i="5"/>
  <c r="D2325" i="5"/>
  <c r="D2324" i="5"/>
  <c r="D2323" i="5"/>
  <c r="D2322" i="5"/>
  <c r="D2321" i="5"/>
  <c r="D2320" i="5"/>
  <c r="D2319" i="5"/>
  <c r="D2318" i="5"/>
  <c r="D2317" i="5"/>
  <c r="D2316" i="5"/>
  <c r="D2315" i="5"/>
  <c r="D2314" i="5"/>
  <c r="D2313" i="5"/>
  <c r="D2312" i="5"/>
  <c r="D2311" i="5"/>
  <c r="D2310" i="5"/>
  <c r="D2309" i="5"/>
  <c r="D2308" i="5"/>
  <c r="D2307" i="5"/>
  <c r="D2306" i="5"/>
  <c r="D2305" i="5"/>
  <c r="D2304" i="5"/>
  <c r="D2303" i="5"/>
  <c r="D2302" i="5"/>
  <c r="D2301" i="5"/>
  <c r="D2300" i="5"/>
  <c r="D2299" i="5"/>
  <c r="D2298" i="5"/>
  <c r="D2297" i="5"/>
  <c r="D2296" i="5"/>
  <c r="D2295" i="5"/>
  <c r="D2294" i="5"/>
  <c r="D2293" i="5"/>
  <c r="D2292" i="5"/>
  <c r="D2291" i="5"/>
  <c r="D2290" i="5"/>
  <c r="D2289" i="5"/>
  <c r="D2288" i="5"/>
  <c r="D2287" i="5"/>
  <c r="D2286" i="5"/>
  <c r="D2285" i="5"/>
  <c r="D2284" i="5"/>
  <c r="D2283" i="5"/>
  <c r="D2282" i="5"/>
  <c r="D2281" i="5"/>
  <c r="D2280" i="5"/>
  <c r="D2279" i="5"/>
  <c r="D2278" i="5"/>
  <c r="D2277" i="5"/>
  <c r="D2276" i="5"/>
  <c r="D2275" i="5"/>
  <c r="D2274" i="5"/>
  <c r="D2273" i="5"/>
  <c r="D2272" i="5"/>
  <c r="D2271" i="5"/>
  <c r="D2270" i="5"/>
  <c r="D2269" i="5"/>
  <c r="D2268" i="5"/>
  <c r="D2267" i="5"/>
  <c r="D2266" i="5"/>
  <c r="D2265" i="5"/>
  <c r="D2264" i="5"/>
  <c r="D2263" i="5"/>
  <c r="D2262" i="5"/>
  <c r="D2261" i="5"/>
  <c r="D2260" i="5"/>
  <c r="D2259" i="5"/>
  <c r="D2258" i="5"/>
  <c r="D2257" i="5"/>
  <c r="D2256" i="5"/>
  <c r="D2255" i="5"/>
  <c r="D2254" i="5"/>
  <c r="D2253" i="5"/>
  <c r="D2252" i="5"/>
  <c r="D2251" i="5"/>
  <c r="D2250" i="5"/>
  <c r="D2249" i="5"/>
  <c r="D2248" i="5"/>
  <c r="D2247" i="5"/>
  <c r="D2246" i="5"/>
  <c r="D2245" i="5"/>
  <c r="D2244" i="5"/>
  <c r="D2243" i="5"/>
  <c r="D2242" i="5"/>
  <c r="D2241" i="5"/>
  <c r="D2240" i="5"/>
  <c r="D2239" i="5"/>
  <c r="D2238" i="5"/>
  <c r="D2237" i="5"/>
  <c r="D2236" i="5"/>
  <c r="D2235" i="5"/>
  <c r="D2234" i="5"/>
  <c r="D2233" i="5"/>
  <c r="D2232" i="5"/>
  <c r="D2231" i="5"/>
  <c r="D2230" i="5"/>
  <c r="D2229" i="5"/>
  <c r="D2228" i="5"/>
  <c r="D2227" i="5"/>
  <c r="D2226" i="5"/>
  <c r="D2225" i="5"/>
  <c r="D2224" i="5"/>
  <c r="D2223" i="5"/>
  <c r="D2222" i="5"/>
  <c r="D2221" i="5"/>
  <c r="D2220" i="5"/>
  <c r="D2219" i="5"/>
  <c r="D2218" i="5"/>
  <c r="D2217" i="5"/>
  <c r="D2216" i="5"/>
  <c r="D2215" i="5"/>
  <c r="D2214" i="5"/>
  <c r="D2213" i="5"/>
  <c r="D2212" i="5"/>
  <c r="D2211" i="5"/>
  <c r="D2210" i="5"/>
  <c r="D2209" i="5"/>
  <c r="D2208" i="5"/>
  <c r="D2207" i="5"/>
  <c r="D2206" i="5"/>
  <c r="D2205" i="5"/>
  <c r="D2204" i="5"/>
  <c r="D2203" i="5"/>
  <c r="D2202" i="5"/>
  <c r="D2201" i="5"/>
  <c r="D2200" i="5"/>
  <c r="D2199" i="5"/>
  <c r="D2198" i="5"/>
  <c r="D2197" i="5"/>
  <c r="D2196" i="5"/>
  <c r="D2195" i="5"/>
  <c r="D2194" i="5"/>
  <c r="D2193" i="5"/>
  <c r="D2192" i="5"/>
  <c r="D2191" i="5"/>
  <c r="D2190" i="5"/>
  <c r="D2189" i="5"/>
  <c r="D2188" i="5"/>
  <c r="D2187" i="5"/>
  <c r="D2186" i="5"/>
  <c r="D2185" i="5"/>
  <c r="D2184" i="5"/>
  <c r="D2183" i="5"/>
  <c r="D2182" i="5"/>
  <c r="D2181" i="5"/>
  <c r="D2180" i="5"/>
  <c r="D2179" i="5"/>
  <c r="D2178" i="5"/>
  <c r="D2177" i="5"/>
  <c r="D2176" i="5"/>
  <c r="D2175" i="5"/>
  <c r="D2174" i="5"/>
  <c r="D2173" i="5"/>
  <c r="D2172" i="5"/>
  <c r="D2171" i="5"/>
  <c r="D2170" i="5"/>
  <c r="D2169" i="5"/>
  <c r="D2168" i="5"/>
  <c r="D2167" i="5"/>
  <c r="D2166" i="5"/>
  <c r="D2165" i="5"/>
  <c r="D2164" i="5"/>
  <c r="D2163" i="5"/>
  <c r="D2162" i="5"/>
  <c r="D2161" i="5"/>
  <c r="D2160" i="5"/>
  <c r="D2159" i="5"/>
  <c r="D2158" i="5"/>
  <c r="D2157" i="5"/>
  <c r="D2156" i="5"/>
  <c r="D2155" i="5"/>
  <c r="D2154" i="5"/>
  <c r="D2153" i="5"/>
  <c r="D2152" i="5"/>
  <c r="D2151" i="5"/>
  <c r="D2150" i="5"/>
  <c r="D2149" i="5"/>
  <c r="D2148" i="5"/>
  <c r="D2147" i="5"/>
  <c r="D2146" i="5"/>
  <c r="D2145" i="5"/>
  <c r="D2144" i="5"/>
  <c r="D2143" i="5"/>
  <c r="D2142" i="5"/>
  <c r="D2141" i="5"/>
  <c r="D2140" i="5"/>
  <c r="D2139" i="5"/>
  <c r="D2138" i="5"/>
  <c r="D2137" i="5"/>
  <c r="D2136" i="5"/>
  <c r="D2135" i="5"/>
  <c r="D2134" i="5"/>
  <c r="D2133" i="5"/>
  <c r="D2132" i="5"/>
  <c r="D2131" i="5"/>
  <c r="D2130" i="5"/>
  <c r="D2129" i="5"/>
  <c r="D2128" i="5"/>
  <c r="D2127" i="5"/>
  <c r="D2126" i="5"/>
  <c r="D2125" i="5"/>
  <c r="D2124" i="5"/>
  <c r="D2123" i="5"/>
  <c r="D2122" i="5"/>
  <c r="D2121" i="5"/>
  <c r="D2120" i="5"/>
  <c r="D2119" i="5"/>
  <c r="D2118" i="5"/>
  <c r="D2117" i="5"/>
  <c r="D2116" i="5"/>
  <c r="D2115" i="5"/>
  <c r="D2114" i="5"/>
  <c r="D2113" i="5"/>
  <c r="D2112" i="5"/>
  <c r="D2111" i="5"/>
  <c r="D2110" i="5"/>
  <c r="D2109" i="5"/>
  <c r="D2108" i="5"/>
  <c r="D2107" i="5"/>
  <c r="D2106" i="5"/>
  <c r="D2105" i="5"/>
  <c r="D2104" i="5"/>
  <c r="D2103" i="5"/>
  <c r="D2102" i="5"/>
  <c r="D2101" i="5"/>
  <c r="D2100" i="5"/>
  <c r="D2099" i="5"/>
  <c r="D2098" i="5"/>
  <c r="D2097" i="5"/>
  <c r="D2096" i="5"/>
  <c r="D2095" i="5"/>
  <c r="D2094" i="5"/>
  <c r="D2093" i="5"/>
  <c r="D2092" i="5"/>
  <c r="D2091" i="5"/>
  <c r="D2090" i="5"/>
  <c r="D2089" i="5"/>
  <c r="D2088" i="5"/>
  <c r="D2087" i="5"/>
  <c r="D2086" i="5"/>
  <c r="D2085" i="5"/>
  <c r="D2084" i="5"/>
  <c r="D2083" i="5"/>
  <c r="D2082" i="5"/>
  <c r="D2081" i="5"/>
  <c r="D2080" i="5"/>
  <c r="D2079" i="5"/>
  <c r="D2078" i="5"/>
  <c r="D2077" i="5"/>
  <c r="D2076" i="5"/>
  <c r="D2075" i="5"/>
  <c r="D2074" i="5"/>
  <c r="D2073" i="5"/>
  <c r="D2072" i="5"/>
  <c r="D2071" i="5"/>
  <c r="D2070" i="5"/>
  <c r="D2069" i="5"/>
  <c r="D2068" i="5"/>
  <c r="D2067" i="5"/>
  <c r="D2066" i="5"/>
  <c r="D2065" i="5"/>
  <c r="D2064" i="5"/>
  <c r="D2063" i="5"/>
  <c r="D2062" i="5"/>
  <c r="D2061" i="5"/>
  <c r="D2060" i="5"/>
  <c r="D2059" i="5"/>
  <c r="D2058" i="5"/>
  <c r="D2057" i="5"/>
  <c r="D2056" i="5"/>
  <c r="D2055" i="5"/>
  <c r="D2054" i="5"/>
  <c r="D2053" i="5"/>
  <c r="D2052" i="5"/>
  <c r="D2051" i="5"/>
  <c r="D2050" i="5"/>
  <c r="D2049" i="5"/>
  <c r="D2048" i="5"/>
  <c r="D2047" i="5"/>
  <c r="D2046" i="5"/>
  <c r="D2045" i="5"/>
  <c r="D2044" i="5"/>
  <c r="D2043" i="5"/>
  <c r="D2042" i="5"/>
  <c r="D2041" i="5"/>
  <c r="D2040" i="5"/>
  <c r="D2039" i="5"/>
  <c r="D2038" i="5"/>
  <c r="D2037" i="5"/>
  <c r="D2036" i="5"/>
  <c r="D2035" i="5"/>
  <c r="D2034" i="5"/>
  <c r="D2033" i="5"/>
  <c r="D2032" i="5"/>
  <c r="D2031" i="5"/>
  <c r="D2030" i="5"/>
  <c r="D2029" i="5"/>
  <c r="D2028" i="5"/>
  <c r="D2027" i="5"/>
  <c r="D2026" i="5"/>
  <c r="D2025" i="5"/>
  <c r="D2024" i="5"/>
  <c r="D2023" i="5"/>
  <c r="D2022" i="5"/>
  <c r="D2021" i="5"/>
  <c r="D2020" i="5"/>
  <c r="D2019" i="5"/>
  <c r="D2018" i="5"/>
  <c r="D2017" i="5"/>
  <c r="D2016" i="5"/>
  <c r="D2015" i="5"/>
  <c r="D2014" i="5"/>
  <c r="D2013" i="5"/>
  <c r="D2012" i="5"/>
  <c r="D2011" i="5"/>
  <c r="D2010" i="5"/>
  <c r="D2009" i="5"/>
  <c r="D2008" i="5"/>
  <c r="D2007" i="5"/>
  <c r="D2006" i="5"/>
  <c r="D2005" i="5"/>
  <c r="D2004" i="5"/>
  <c r="D2003" i="5"/>
  <c r="D2002" i="5"/>
  <c r="D2001" i="5"/>
  <c r="D2000" i="5"/>
  <c r="D1999" i="5"/>
  <c r="D1998" i="5"/>
  <c r="D1997" i="5"/>
  <c r="D1996" i="5"/>
  <c r="D1995" i="5"/>
  <c r="D1994" i="5"/>
  <c r="D1993" i="5"/>
  <c r="D1992" i="5"/>
  <c r="D1991" i="5"/>
  <c r="D1990" i="5"/>
  <c r="D1989" i="5"/>
  <c r="D1988" i="5"/>
  <c r="D1987" i="5"/>
  <c r="D1986" i="5"/>
  <c r="D1985" i="5"/>
  <c r="D1984" i="5"/>
  <c r="D1983" i="5"/>
  <c r="D1982" i="5"/>
  <c r="D1981" i="5"/>
  <c r="D1980" i="5"/>
  <c r="D1979" i="5"/>
  <c r="D1978" i="5"/>
  <c r="D1977" i="5"/>
  <c r="D1976" i="5"/>
  <c r="D1975" i="5"/>
  <c r="D1974" i="5"/>
  <c r="D1973" i="5"/>
  <c r="D1972" i="5"/>
  <c r="D1971" i="5"/>
  <c r="D1970" i="5"/>
  <c r="D1969" i="5"/>
  <c r="D1968" i="5"/>
  <c r="D1967" i="5"/>
  <c r="D1966" i="5"/>
  <c r="D1965" i="5"/>
  <c r="D1964" i="5"/>
  <c r="D1963" i="5"/>
  <c r="D1962" i="5"/>
  <c r="D1961" i="5"/>
  <c r="D1960" i="5"/>
  <c r="D1959" i="5"/>
  <c r="D1958" i="5"/>
  <c r="D1957" i="5"/>
  <c r="D1956" i="5"/>
  <c r="D1955" i="5"/>
  <c r="D1954" i="5"/>
  <c r="D1953" i="5"/>
  <c r="D1952" i="5"/>
  <c r="D1951" i="5"/>
  <c r="D1950" i="5"/>
  <c r="D1949" i="5"/>
  <c r="D1948" i="5"/>
  <c r="D1947" i="5"/>
  <c r="D1946" i="5"/>
  <c r="D1945" i="5"/>
  <c r="D1944" i="5"/>
  <c r="D1943" i="5"/>
  <c r="D1942" i="5"/>
  <c r="D1941" i="5"/>
  <c r="D1940" i="5"/>
  <c r="D1939" i="5"/>
  <c r="D1938" i="5"/>
  <c r="D1937" i="5"/>
  <c r="D1936" i="5"/>
  <c r="D1935" i="5"/>
  <c r="D1934" i="5"/>
  <c r="D1933" i="5"/>
  <c r="D1932" i="5"/>
  <c r="D1931" i="5"/>
  <c r="D1930" i="5"/>
  <c r="D1929" i="5"/>
  <c r="D1928" i="5"/>
  <c r="D1927" i="5"/>
  <c r="D1926" i="5"/>
  <c r="D1925" i="5"/>
  <c r="D1924" i="5"/>
  <c r="D1923" i="5"/>
  <c r="D1922" i="5"/>
  <c r="D1921" i="5"/>
  <c r="D1920" i="5"/>
  <c r="D1919" i="5"/>
  <c r="D1918" i="5"/>
  <c r="D1917" i="5"/>
  <c r="D1916" i="5"/>
  <c r="D1915" i="5"/>
  <c r="D1914" i="5"/>
  <c r="D1913" i="5"/>
  <c r="D1912" i="5"/>
  <c r="D1911" i="5"/>
  <c r="D1910" i="5"/>
  <c r="D1909" i="5"/>
  <c r="D1908" i="5"/>
  <c r="D1907" i="5"/>
  <c r="D1906" i="5"/>
  <c r="D1905" i="5"/>
  <c r="D1904" i="5"/>
  <c r="D1903" i="5"/>
  <c r="D1902" i="5"/>
  <c r="D1901" i="5"/>
  <c r="D1900" i="5"/>
  <c r="D1899" i="5"/>
  <c r="D1898" i="5"/>
  <c r="D1897" i="5"/>
  <c r="D1896" i="5"/>
  <c r="D1895" i="5"/>
  <c r="D1894" i="5"/>
  <c r="D1893" i="5"/>
  <c r="D1892" i="5"/>
  <c r="D1891" i="5"/>
  <c r="D1890" i="5"/>
  <c r="D1889" i="5"/>
  <c r="D1888" i="5"/>
  <c r="D1887" i="5"/>
  <c r="D1886" i="5"/>
  <c r="D1885" i="5"/>
  <c r="D1884" i="5"/>
  <c r="D1883" i="5"/>
  <c r="D1882" i="5"/>
  <c r="D1881" i="5"/>
  <c r="D1880" i="5"/>
  <c r="D1879" i="5"/>
  <c r="D1878" i="5"/>
  <c r="D1877" i="5"/>
  <c r="D1876" i="5"/>
  <c r="D1875" i="5"/>
  <c r="D1874" i="5"/>
  <c r="D1873" i="5"/>
  <c r="D1872" i="5"/>
  <c r="D1871" i="5"/>
  <c r="D1870" i="5"/>
  <c r="D1869" i="5"/>
  <c r="D1868" i="5"/>
  <c r="D1867" i="5"/>
  <c r="D1866" i="5"/>
  <c r="D1865" i="5"/>
  <c r="D1864" i="5"/>
  <c r="D1863" i="5"/>
  <c r="D1862" i="5"/>
  <c r="D1861" i="5"/>
  <c r="D1860" i="5"/>
  <c r="D1859" i="5"/>
  <c r="D1858" i="5"/>
  <c r="D1857" i="5"/>
  <c r="D1856" i="5"/>
  <c r="D1855" i="5"/>
  <c r="D1854" i="5"/>
  <c r="D1853" i="5"/>
  <c r="D1852" i="5"/>
  <c r="D1851" i="5"/>
  <c r="D1850" i="5"/>
  <c r="D1849" i="5"/>
  <c r="D1848" i="5"/>
  <c r="D1847" i="5"/>
  <c r="D1846" i="5"/>
  <c r="D1845" i="5"/>
  <c r="D1844" i="5"/>
  <c r="D1843" i="5"/>
  <c r="D1842" i="5"/>
  <c r="D1841" i="5"/>
  <c r="D1840" i="5"/>
  <c r="D1839" i="5"/>
  <c r="D1838" i="5"/>
  <c r="D1837" i="5"/>
  <c r="D1836" i="5"/>
  <c r="D1835" i="5"/>
  <c r="D1834" i="5"/>
  <c r="D1833" i="5"/>
  <c r="D1832" i="5"/>
  <c r="D1831" i="5"/>
  <c r="D1830" i="5"/>
  <c r="D1829" i="5"/>
  <c r="D1828" i="5"/>
  <c r="D1827" i="5"/>
  <c r="D1826" i="5"/>
  <c r="D1825" i="5"/>
  <c r="D1824" i="5"/>
  <c r="D1823" i="5"/>
  <c r="D1822" i="5"/>
  <c r="D1821" i="5"/>
  <c r="D1820" i="5"/>
  <c r="D1819" i="5"/>
  <c r="D1818" i="5"/>
  <c r="D1817" i="5"/>
  <c r="D1816" i="5"/>
  <c r="D1815" i="5"/>
  <c r="D1814" i="5"/>
  <c r="D1813" i="5"/>
  <c r="D1812" i="5"/>
  <c r="D1811" i="5"/>
  <c r="D1810" i="5"/>
  <c r="D1809" i="5"/>
  <c r="D1808" i="5"/>
  <c r="D1807" i="5"/>
  <c r="D1806" i="5"/>
  <c r="D1805" i="5"/>
  <c r="D1804" i="5"/>
  <c r="D1803" i="5"/>
  <c r="D1802" i="5"/>
  <c r="D1801" i="5"/>
  <c r="D1800" i="5"/>
  <c r="D1799" i="5"/>
  <c r="D1798" i="5"/>
  <c r="D1797" i="5"/>
  <c r="D1796" i="5"/>
  <c r="D1795" i="5"/>
  <c r="D1794" i="5"/>
  <c r="D1793" i="5"/>
  <c r="D1792" i="5"/>
  <c r="D1791" i="5"/>
  <c r="D1790" i="5"/>
  <c r="D1789" i="5"/>
  <c r="D1788" i="5"/>
  <c r="D1787" i="5"/>
  <c r="D1786" i="5"/>
  <c r="D1785" i="5"/>
  <c r="D1784" i="5"/>
  <c r="D1783" i="5"/>
  <c r="D1782" i="5"/>
  <c r="D1781" i="5"/>
  <c r="D1780" i="5"/>
  <c r="D1779" i="5"/>
  <c r="D1778" i="5"/>
  <c r="D1777" i="5"/>
  <c r="D1776" i="5"/>
  <c r="D1775" i="5"/>
  <c r="D1774" i="5"/>
  <c r="D1773" i="5"/>
  <c r="D1772" i="5"/>
  <c r="D1771" i="5"/>
  <c r="D1770" i="5"/>
  <c r="D1769" i="5"/>
  <c r="D1768" i="5"/>
  <c r="D1767" i="5"/>
  <c r="D1766" i="5"/>
  <c r="D1765" i="5"/>
  <c r="D1764" i="5"/>
  <c r="D1763" i="5"/>
  <c r="D1762" i="5"/>
  <c r="D1761" i="5"/>
  <c r="D1760" i="5"/>
  <c r="D1759" i="5"/>
  <c r="D1758" i="5"/>
  <c r="D1757" i="5"/>
  <c r="D1756" i="5"/>
  <c r="D1755" i="5"/>
  <c r="D1754" i="5"/>
  <c r="D1753" i="5"/>
  <c r="D1752" i="5"/>
  <c r="D1751" i="5"/>
  <c r="D1750" i="5"/>
  <c r="D1749" i="5"/>
  <c r="D1748" i="5"/>
  <c r="D1747" i="5"/>
  <c r="D1746" i="5"/>
  <c r="D1745" i="5"/>
  <c r="D1744" i="5"/>
  <c r="D1743" i="5"/>
  <c r="D1742" i="5"/>
  <c r="D1741" i="5"/>
  <c r="D1740" i="5"/>
  <c r="D1739" i="5"/>
  <c r="D1738" i="5"/>
  <c r="D1737" i="5"/>
  <c r="D1736" i="5"/>
  <c r="D1735" i="5"/>
  <c r="D1734" i="5"/>
  <c r="D1733" i="5"/>
  <c r="D1732" i="5"/>
  <c r="D1731" i="5"/>
  <c r="D1730" i="5"/>
  <c r="D1729" i="5"/>
  <c r="D1728" i="5"/>
  <c r="D1727" i="5"/>
  <c r="D1726" i="5"/>
  <c r="D1725" i="5"/>
  <c r="D1724" i="5"/>
  <c r="D1723" i="5"/>
  <c r="D1722" i="5"/>
  <c r="D1721" i="5"/>
  <c r="D1720" i="5"/>
  <c r="D1719" i="5"/>
  <c r="D1718" i="5"/>
  <c r="D1717" i="5"/>
  <c r="D1716" i="5"/>
  <c r="D1715" i="5"/>
  <c r="D1714" i="5"/>
  <c r="D1713" i="5"/>
  <c r="D1712" i="5"/>
  <c r="D1711" i="5"/>
  <c r="D1710" i="5"/>
  <c r="D1709" i="5"/>
  <c r="D1708" i="5"/>
  <c r="D1707" i="5"/>
  <c r="D1706" i="5"/>
  <c r="D1705" i="5"/>
  <c r="D1704" i="5"/>
  <c r="D1703" i="5"/>
  <c r="D1702" i="5"/>
  <c r="D1701" i="5"/>
  <c r="D1700" i="5"/>
  <c r="D1699" i="5"/>
  <c r="D1698" i="5"/>
  <c r="D1697" i="5"/>
  <c r="D1696" i="5"/>
  <c r="D1695" i="5"/>
  <c r="D1694" i="5"/>
  <c r="D1693" i="5"/>
  <c r="D1692" i="5"/>
  <c r="D1691" i="5"/>
  <c r="D1690" i="5"/>
  <c r="D1689" i="5"/>
  <c r="D1688" i="5"/>
  <c r="D1687" i="5"/>
  <c r="D1686" i="5"/>
  <c r="D1685" i="5"/>
  <c r="D1684" i="5"/>
  <c r="D1683" i="5"/>
  <c r="D1682" i="5"/>
  <c r="D1681" i="5"/>
  <c r="D1680" i="5"/>
  <c r="D1679" i="5"/>
  <c r="D1678" i="5"/>
  <c r="D1677" i="5"/>
  <c r="D1676" i="5"/>
  <c r="D1675" i="5"/>
  <c r="D1674" i="5"/>
  <c r="D1673" i="5"/>
  <c r="D1672" i="5"/>
  <c r="D1671" i="5"/>
  <c r="D1670" i="5"/>
  <c r="D1669" i="5"/>
  <c r="D1668" i="5"/>
  <c r="D1667" i="5"/>
  <c r="D1666" i="5"/>
  <c r="D1665" i="5"/>
  <c r="D1664" i="5"/>
  <c r="D1663" i="5"/>
  <c r="D1662" i="5"/>
  <c r="D1661" i="5"/>
  <c r="D1660" i="5"/>
  <c r="D1659" i="5"/>
  <c r="D1658" i="5"/>
  <c r="D1657" i="5"/>
  <c r="D1656" i="5"/>
  <c r="D1655" i="5"/>
  <c r="D1654" i="5"/>
  <c r="D1653" i="5"/>
  <c r="D1652" i="5"/>
  <c r="D1651" i="5"/>
  <c r="D1650" i="5"/>
  <c r="D1649" i="5"/>
  <c r="D1648" i="5"/>
  <c r="D1647" i="5"/>
  <c r="D1646" i="5"/>
  <c r="D1645" i="5"/>
  <c r="D1644" i="5"/>
  <c r="D1643" i="5"/>
  <c r="D1642" i="5"/>
  <c r="D1641" i="5"/>
  <c r="D1640" i="5"/>
  <c r="D1639" i="5"/>
  <c r="D1638" i="5"/>
  <c r="D1637" i="5"/>
  <c r="D1636" i="5"/>
  <c r="D1635" i="5"/>
  <c r="D1634" i="5"/>
  <c r="D1633" i="5"/>
  <c r="D1632" i="5"/>
  <c r="D1631" i="5"/>
  <c r="D1630" i="5"/>
  <c r="D1629" i="5"/>
  <c r="D1628" i="5"/>
  <c r="D1627" i="5"/>
  <c r="D1626" i="5"/>
  <c r="D1625" i="5"/>
  <c r="D1624" i="5"/>
  <c r="D1623" i="5"/>
  <c r="D1622" i="5"/>
  <c r="D1621" i="5"/>
  <c r="D1620" i="5"/>
  <c r="D1619" i="5"/>
  <c r="D1618" i="5"/>
  <c r="D1617" i="5"/>
  <c r="D1616" i="5"/>
  <c r="D1615" i="5"/>
  <c r="D1614" i="5"/>
  <c r="D1613" i="5"/>
  <c r="D1612" i="5"/>
  <c r="D1611" i="5"/>
  <c r="D1610" i="5"/>
  <c r="D1609" i="5"/>
  <c r="D1608" i="5"/>
  <c r="D1607" i="5"/>
  <c r="D1606" i="5"/>
  <c r="D1605" i="5"/>
  <c r="D1604" i="5"/>
  <c r="D1603" i="5"/>
  <c r="D1602" i="5"/>
  <c r="D1601" i="5"/>
  <c r="D1600" i="5"/>
  <c r="D1599" i="5"/>
  <c r="D1598" i="5"/>
  <c r="D1597" i="5"/>
  <c r="D1596" i="5"/>
  <c r="D1595" i="5"/>
  <c r="D1594" i="5"/>
  <c r="D1593" i="5"/>
  <c r="D1592" i="5"/>
  <c r="D1591" i="5"/>
  <c r="D1590" i="5"/>
  <c r="D1589" i="5"/>
  <c r="D1588" i="5"/>
  <c r="D1587" i="5"/>
  <c r="D1586" i="5"/>
  <c r="D1585" i="5"/>
  <c r="D1584" i="5"/>
  <c r="D1583" i="5"/>
  <c r="D1582" i="5"/>
  <c r="D1581" i="5"/>
  <c r="D1580" i="5"/>
  <c r="D1579" i="5"/>
  <c r="D1578" i="5"/>
  <c r="D1577" i="5"/>
  <c r="D1576" i="5"/>
  <c r="D1575" i="5"/>
  <c r="D1574" i="5"/>
  <c r="D1573" i="5"/>
  <c r="D1572" i="5"/>
  <c r="D1571" i="5"/>
  <c r="D1570" i="5"/>
  <c r="D1569" i="5"/>
  <c r="D1568" i="5"/>
  <c r="D1567" i="5"/>
  <c r="D1566" i="5"/>
  <c r="D1565" i="5"/>
  <c r="D1564" i="5"/>
  <c r="D1563" i="5"/>
  <c r="D1562" i="5"/>
  <c r="D1561" i="5"/>
  <c r="D1560" i="5"/>
  <c r="D1559" i="5"/>
  <c r="D1558" i="5"/>
  <c r="D1557" i="5"/>
  <c r="D1556" i="5"/>
  <c r="D1555" i="5"/>
  <c r="D1554" i="5"/>
  <c r="D1553" i="5"/>
  <c r="D1552" i="5"/>
  <c r="D1551" i="5"/>
  <c r="D1550" i="5"/>
  <c r="D1549" i="5"/>
  <c r="D1548" i="5"/>
  <c r="D1547" i="5"/>
  <c r="D1546" i="5"/>
  <c r="D1545" i="5"/>
  <c r="D1544" i="5"/>
  <c r="D1543" i="5"/>
  <c r="D1542" i="5"/>
  <c r="D1541" i="5"/>
  <c r="D1540" i="5"/>
  <c r="D1539" i="5"/>
  <c r="D1538" i="5"/>
  <c r="D1537" i="5"/>
  <c r="D1536" i="5"/>
  <c r="D1535" i="5"/>
  <c r="D1534" i="5"/>
  <c r="D1533" i="5"/>
  <c r="D1532" i="5"/>
  <c r="D1531" i="5"/>
  <c r="D1530" i="5"/>
  <c r="D1529" i="5"/>
  <c r="D1528" i="5"/>
  <c r="D1527" i="5"/>
  <c r="D1526" i="5"/>
  <c r="D1525" i="5"/>
  <c r="D1524" i="5"/>
  <c r="D1523" i="5"/>
  <c r="D1522" i="5"/>
  <c r="D1521" i="5"/>
  <c r="D1520" i="5"/>
  <c r="D1519" i="5"/>
  <c r="D1518" i="5"/>
  <c r="D1517" i="5"/>
  <c r="D1516" i="5"/>
  <c r="D1515" i="5"/>
  <c r="D1514" i="5"/>
  <c r="D1513" i="5"/>
  <c r="D1512" i="5"/>
  <c r="D1511" i="5"/>
  <c r="D1510" i="5"/>
  <c r="D1509" i="5"/>
  <c r="D1508" i="5"/>
  <c r="D1507" i="5"/>
  <c r="D1506" i="5"/>
  <c r="D1505" i="5"/>
  <c r="D1504" i="5"/>
  <c r="D1503" i="5"/>
  <c r="D1502" i="5"/>
  <c r="D1501" i="5"/>
  <c r="D1500" i="5"/>
  <c r="D1499" i="5"/>
  <c r="D1498" i="5"/>
  <c r="D1497" i="5"/>
  <c r="D1496" i="5"/>
  <c r="D1495" i="5"/>
  <c r="D1494" i="5"/>
  <c r="D1493" i="5"/>
  <c r="D1492" i="5"/>
  <c r="D1491" i="5"/>
  <c r="D1490" i="5"/>
  <c r="D1489" i="5"/>
  <c r="D1488" i="5"/>
  <c r="D1487" i="5"/>
  <c r="D1486" i="5"/>
  <c r="D1485" i="5"/>
  <c r="D1484" i="5"/>
  <c r="D1483" i="5"/>
  <c r="D1482" i="5"/>
  <c r="D1481" i="5"/>
  <c r="D1480" i="5"/>
  <c r="D1479" i="5"/>
  <c r="D1478" i="5"/>
  <c r="D1477" i="5"/>
  <c r="D1476" i="5"/>
  <c r="D1475" i="5"/>
  <c r="D1474" i="5"/>
  <c r="D1473" i="5"/>
  <c r="D1472" i="5"/>
  <c r="D1471" i="5"/>
  <c r="D1470" i="5"/>
  <c r="D1469" i="5"/>
  <c r="D1468" i="5"/>
  <c r="D1467" i="5"/>
  <c r="D1466" i="5"/>
  <c r="D1465" i="5"/>
  <c r="D1464" i="5"/>
  <c r="D1463" i="5"/>
  <c r="D1462" i="5"/>
  <c r="D1461" i="5"/>
  <c r="D1460" i="5"/>
  <c r="D1459" i="5"/>
  <c r="D1458" i="5"/>
  <c r="D1457" i="5"/>
  <c r="D1456" i="5"/>
  <c r="D1455" i="5"/>
  <c r="D1454" i="5"/>
  <c r="D1453" i="5"/>
  <c r="D1452" i="5"/>
  <c r="D1451" i="5"/>
  <c r="D1450" i="5"/>
  <c r="D1449" i="5"/>
  <c r="D1448" i="5"/>
  <c r="D1447" i="5"/>
  <c r="D1446" i="5"/>
  <c r="D1445" i="5"/>
  <c r="D1444" i="5"/>
  <c r="D1443" i="5"/>
  <c r="D1442" i="5"/>
  <c r="D1441" i="5"/>
  <c r="D1440" i="5"/>
  <c r="D1439" i="5"/>
  <c r="D1438" i="5"/>
  <c r="D1437" i="5"/>
  <c r="D1436" i="5"/>
  <c r="D1435" i="5"/>
  <c r="D1434" i="5"/>
  <c r="D1433" i="5"/>
  <c r="D1432" i="5"/>
  <c r="D1431" i="5"/>
  <c r="D1430" i="5"/>
  <c r="D1429" i="5"/>
  <c r="D1428" i="5"/>
  <c r="D1427" i="5"/>
  <c r="D1426" i="5"/>
  <c r="D1425" i="5"/>
  <c r="D1424" i="5"/>
  <c r="D1423" i="5"/>
  <c r="D1422" i="5"/>
  <c r="D1421" i="5"/>
  <c r="D1420" i="5"/>
  <c r="D1419" i="5"/>
  <c r="D1418" i="5"/>
  <c r="D1417" i="5"/>
  <c r="D1416" i="5"/>
  <c r="D1415" i="5"/>
  <c r="D1414" i="5"/>
  <c r="D1413" i="5"/>
  <c r="D1412" i="5"/>
  <c r="D1411" i="5"/>
  <c r="D1410" i="5"/>
  <c r="D1409" i="5"/>
  <c r="D1408" i="5"/>
  <c r="D1407" i="5"/>
  <c r="D1406" i="5"/>
  <c r="D1405" i="5"/>
  <c r="D1404" i="5"/>
  <c r="D1403" i="5"/>
  <c r="D1402" i="5"/>
  <c r="D1401" i="5"/>
  <c r="D1400" i="5"/>
  <c r="D1399" i="5"/>
  <c r="D1398" i="5"/>
  <c r="D1397" i="5"/>
  <c r="D1396" i="5"/>
  <c r="D1395" i="5"/>
  <c r="D1394" i="5"/>
  <c r="D1393" i="5"/>
  <c r="D1392" i="5"/>
  <c r="D1391" i="5"/>
  <c r="D1390" i="5"/>
  <c r="D1389" i="5"/>
  <c r="D1388" i="5"/>
  <c r="D1387" i="5"/>
  <c r="D1386" i="5"/>
  <c r="D1385" i="5"/>
  <c r="D1384" i="5"/>
  <c r="D1383" i="5"/>
  <c r="D1382" i="5"/>
  <c r="D1381" i="5"/>
  <c r="D1380" i="5"/>
  <c r="D1379" i="5"/>
  <c r="D1378" i="5"/>
  <c r="D1377" i="5"/>
  <c r="D1376" i="5"/>
  <c r="D1375" i="5"/>
  <c r="D1374" i="5"/>
  <c r="D1373" i="5"/>
  <c r="D1372" i="5"/>
  <c r="D1371" i="5"/>
  <c r="D1370" i="5"/>
  <c r="D1369" i="5"/>
  <c r="D1368" i="5"/>
  <c r="D1367" i="5"/>
  <c r="D1366" i="5"/>
  <c r="D1365" i="5"/>
  <c r="D1364" i="5"/>
  <c r="D1363" i="5"/>
  <c r="D1362" i="5"/>
  <c r="D1361" i="5"/>
  <c r="D1360" i="5"/>
  <c r="D1359" i="5"/>
  <c r="D1358" i="5"/>
  <c r="D1357" i="5"/>
  <c r="D1356" i="5"/>
  <c r="D1355" i="5"/>
  <c r="D1354" i="5"/>
  <c r="D1353" i="5"/>
  <c r="D1352" i="5"/>
  <c r="D1351" i="5"/>
  <c r="D1350" i="5"/>
  <c r="D1349" i="5"/>
  <c r="D1348" i="5"/>
  <c r="D1347" i="5"/>
  <c r="D1346" i="5"/>
  <c r="D1345" i="5"/>
  <c r="D1344" i="5"/>
  <c r="D1343" i="5"/>
  <c r="D1342" i="5"/>
  <c r="D1341" i="5"/>
  <c r="D1340" i="5"/>
  <c r="D1339" i="5"/>
  <c r="D1338" i="5"/>
  <c r="D1337" i="5"/>
  <c r="D1336" i="5"/>
  <c r="D1335" i="5"/>
  <c r="D1334" i="5"/>
  <c r="D1333" i="5"/>
  <c r="D1332" i="5"/>
  <c r="D1331" i="5"/>
  <c r="D1330" i="5"/>
  <c r="D1329" i="5"/>
  <c r="D1328" i="5"/>
  <c r="D1327" i="5"/>
  <c r="D1326" i="5"/>
  <c r="D1325" i="5"/>
  <c r="D1324" i="5"/>
  <c r="D1323" i="5"/>
  <c r="D1322" i="5"/>
  <c r="D1321" i="5"/>
  <c r="D1320" i="5"/>
  <c r="D1319" i="5"/>
  <c r="D1318" i="5"/>
  <c r="D1317" i="5"/>
  <c r="D1316" i="5"/>
  <c r="D1315" i="5"/>
  <c r="D1314" i="5"/>
  <c r="D1313" i="5"/>
  <c r="D1312" i="5"/>
  <c r="D1311" i="5"/>
  <c r="D1310" i="5"/>
  <c r="D1309" i="5"/>
  <c r="D1308" i="5"/>
  <c r="D1307" i="5"/>
  <c r="D1306" i="5"/>
  <c r="D1305" i="5"/>
  <c r="D1304" i="5"/>
  <c r="D1303" i="5"/>
  <c r="D1302" i="5"/>
  <c r="D1301" i="5"/>
  <c r="D1300" i="5"/>
  <c r="D1299" i="5"/>
  <c r="D1298" i="5"/>
  <c r="D1297" i="5"/>
  <c r="D1296" i="5"/>
  <c r="D1295" i="5"/>
  <c r="D1294" i="5"/>
  <c r="D1293" i="5"/>
  <c r="D1292" i="5"/>
  <c r="D1291" i="5"/>
  <c r="D1290" i="5"/>
  <c r="D1289" i="5"/>
  <c r="D1288" i="5"/>
  <c r="D1287" i="5"/>
  <c r="D1286" i="5"/>
  <c r="D1285" i="5"/>
  <c r="D1284" i="5"/>
  <c r="D1283" i="5"/>
  <c r="D1282" i="5"/>
  <c r="D1281" i="5"/>
  <c r="D1280" i="5"/>
  <c r="D1279" i="5"/>
  <c r="D1278" i="5"/>
  <c r="D1277" i="5"/>
  <c r="D1276" i="5"/>
  <c r="D1275" i="5"/>
  <c r="D1274" i="5"/>
  <c r="D1273" i="5"/>
  <c r="D1272" i="5"/>
  <c r="D1271" i="5"/>
  <c r="D1270" i="5"/>
  <c r="D1269" i="5"/>
  <c r="D1268" i="5"/>
  <c r="D1267" i="5"/>
  <c r="D1266" i="5"/>
  <c r="D1265" i="5"/>
  <c r="D1264" i="5"/>
  <c r="D1263" i="5"/>
  <c r="D1262" i="5"/>
  <c r="D1261" i="5"/>
  <c r="D1260" i="5"/>
  <c r="D1259" i="5"/>
  <c r="D1258" i="5"/>
  <c r="D1257" i="5"/>
  <c r="D1256" i="5"/>
  <c r="D1255" i="5"/>
  <c r="D1254" i="5"/>
  <c r="D1253" i="5"/>
  <c r="D1252" i="5"/>
  <c r="D1251" i="5"/>
  <c r="D1250" i="5"/>
  <c r="D1249" i="5"/>
  <c r="D1248" i="5"/>
  <c r="D1247" i="5"/>
  <c r="D1246" i="5"/>
  <c r="D1245" i="5"/>
  <c r="D1244" i="5"/>
  <c r="D1243" i="5"/>
  <c r="D1242" i="5"/>
  <c r="D1241" i="5"/>
  <c r="D1240" i="5"/>
  <c r="D1239" i="5"/>
  <c r="D1238" i="5"/>
  <c r="D1237" i="5"/>
  <c r="D1236" i="5"/>
  <c r="D1235" i="5"/>
  <c r="D1234" i="5"/>
  <c r="D1233" i="5"/>
  <c r="D1232" i="5"/>
  <c r="D1231" i="5"/>
  <c r="D1230" i="5"/>
  <c r="D1229" i="5"/>
  <c r="D1228" i="5"/>
  <c r="D1227" i="5"/>
  <c r="D1226" i="5"/>
  <c r="D1225" i="5"/>
  <c r="D1224" i="5"/>
  <c r="D1223" i="5"/>
  <c r="D1222" i="5"/>
  <c r="D1221" i="5"/>
  <c r="D1220" i="5"/>
  <c r="D1219" i="5"/>
  <c r="D1218" i="5"/>
  <c r="D1217" i="5"/>
  <c r="D1216" i="5"/>
  <c r="D1215" i="5"/>
  <c r="D1214" i="5"/>
  <c r="D1213" i="5"/>
  <c r="D1212" i="5"/>
  <c r="D1211" i="5"/>
  <c r="D1210" i="5"/>
  <c r="D1209" i="5"/>
  <c r="D1208" i="5"/>
  <c r="D1207" i="5"/>
  <c r="D1206" i="5"/>
  <c r="D1205" i="5"/>
  <c r="D1204" i="5"/>
  <c r="D1203" i="5"/>
  <c r="D1202" i="5"/>
  <c r="D1201" i="5"/>
  <c r="D1200" i="5"/>
  <c r="D1199" i="5"/>
  <c r="D1198" i="5"/>
  <c r="D1197" i="5"/>
  <c r="D1196" i="5"/>
  <c r="D1195" i="5"/>
  <c r="D1194" i="5"/>
  <c r="D1193" i="5"/>
  <c r="D1192" i="5"/>
  <c r="D1191" i="5"/>
  <c r="D1190" i="5"/>
  <c r="D1189" i="5"/>
  <c r="D1188" i="5"/>
  <c r="D1187" i="5"/>
  <c r="D1186" i="5"/>
  <c r="D1185" i="5"/>
  <c r="D1184" i="5"/>
  <c r="D1183" i="5"/>
  <c r="D1182" i="5"/>
  <c r="D1181" i="5"/>
  <c r="D1180" i="5"/>
  <c r="D1179" i="5"/>
  <c r="D1178" i="5"/>
  <c r="D1177" i="5"/>
  <c r="D1176" i="5"/>
  <c r="D1175" i="5"/>
  <c r="D1174" i="5"/>
  <c r="D1173" i="5"/>
  <c r="D1172" i="5"/>
  <c r="D1171" i="5"/>
  <c r="D1170" i="5"/>
  <c r="D1169" i="5"/>
  <c r="D1168" i="5"/>
  <c r="D1167" i="5"/>
  <c r="D1166" i="5"/>
  <c r="D1165" i="5"/>
  <c r="D1164" i="5"/>
  <c r="D1163" i="5"/>
  <c r="D1162" i="5"/>
  <c r="D1161" i="5"/>
  <c r="D1160" i="5"/>
  <c r="D1159" i="5"/>
  <c r="D1158" i="5"/>
  <c r="D1157" i="5"/>
  <c r="D1156" i="5"/>
  <c r="D1155" i="5"/>
  <c r="D1154" i="5"/>
  <c r="D1153" i="5"/>
  <c r="D1152" i="5"/>
  <c r="D1151" i="5"/>
  <c r="D1150" i="5"/>
  <c r="D1149" i="5"/>
  <c r="D1148" i="5"/>
  <c r="D1147" i="5"/>
  <c r="D1146" i="5"/>
  <c r="D1145" i="5"/>
  <c r="D1144" i="5"/>
  <c r="D1143" i="5"/>
  <c r="D1142" i="5"/>
  <c r="D1141" i="5"/>
  <c r="D1140" i="5"/>
  <c r="D1139" i="5"/>
  <c r="D1138" i="5"/>
  <c r="D1137" i="5"/>
  <c r="D1136" i="5"/>
  <c r="D1135" i="5"/>
  <c r="D1134" i="5"/>
  <c r="D1133" i="5"/>
  <c r="D1132" i="5"/>
  <c r="D1131" i="5"/>
  <c r="D1130" i="5"/>
  <c r="D1129" i="5"/>
  <c r="D1128" i="5"/>
  <c r="D1127" i="5"/>
  <c r="D1126" i="5"/>
  <c r="D1125" i="5"/>
  <c r="D1124" i="5"/>
  <c r="D1123" i="5"/>
  <c r="D1122" i="5"/>
  <c r="D1121" i="5"/>
  <c r="D1120" i="5"/>
  <c r="D1119" i="5"/>
  <c r="D1118" i="5"/>
  <c r="D1117" i="5"/>
  <c r="D1116" i="5"/>
  <c r="D1115" i="5"/>
  <c r="D1114" i="5"/>
  <c r="D1113" i="5"/>
  <c r="D1112" i="5"/>
  <c r="D1111" i="5"/>
  <c r="D1110" i="5"/>
  <c r="D1109" i="5"/>
  <c r="D1108" i="5"/>
  <c r="D1107" i="5"/>
  <c r="D1106" i="5"/>
  <c r="D1105" i="5"/>
  <c r="D1104" i="5"/>
  <c r="D1103" i="5"/>
  <c r="D1102" i="5"/>
  <c r="D1101" i="5"/>
  <c r="D1100" i="5"/>
  <c r="D1099" i="5"/>
  <c r="D1098" i="5"/>
  <c r="D1097" i="5"/>
  <c r="D1096" i="5"/>
  <c r="D1095" i="5"/>
  <c r="D1094" i="5"/>
  <c r="D1093" i="5"/>
  <c r="D1092" i="5"/>
  <c r="D1091" i="5"/>
  <c r="D1090" i="5"/>
  <c r="D1089" i="5"/>
  <c r="D1088" i="5"/>
  <c r="D1087" i="5"/>
  <c r="D1086" i="5"/>
  <c r="D1085" i="5"/>
  <c r="D1084" i="5"/>
  <c r="D1083" i="5"/>
  <c r="D1082" i="5"/>
  <c r="D1081" i="5"/>
  <c r="D1080" i="5"/>
  <c r="D1079" i="5"/>
  <c r="D1078" i="5"/>
  <c r="D1077" i="5"/>
  <c r="D1076" i="5"/>
  <c r="D1075" i="5"/>
  <c r="D1074" i="5"/>
  <c r="D1073" i="5"/>
  <c r="D1072" i="5"/>
  <c r="D1071" i="5"/>
  <c r="D1070" i="5"/>
  <c r="D1069" i="5"/>
  <c r="D1068" i="5"/>
  <c r="D1067" i="5"/>
  <c r="D1066" i="5"/>
  <c r="D1065" i="5"/>
  <c r="D1064" i="5"/>
  <c r="D1063" i="5"/>
  <c r="D1062" i="5"/>
  <c r="D1061" i="5"/>
  <c r="D1060" i="5"/>
  <c r="D1059" i="5"/>
  <c r="D1058" i="5"/>
  <c r="D1057" i="5"/>
  <c r="D1056" i="5"/>
  <c r="D1055" i="5"/>
  <c r="D1054" i="5"/>
  <c r="D1053" i="5"/>
  <c r="D1052" i="5"/>
  <c r="D1051" i="5"/>
  <c r="D1050" i="5"/>
  <c r="D1049" i="5"/>
  <c r="D1048" i="5"/>
  <c r="D1047" i="5"/>
  <c r="D1046" i="5"/>
  <c r="D1045" i="5"/>
  <c r="D1044" i="5"/>
  <c r="D1043" i="5"/>
  <c r="D1042" i="5"/>
  <c r="D1041" i="5"/>
  <c r="D1040" i="5"/>
  <c r="D1039" i="5"/>
  <c r="D1038" i="5"/>
  <c r="D1037" i="5"/>
  <c r="D1036" i="5"/>
  <c r="D1035" i="5"/>
  <c r="D1034" i="5"/>
  <c r="D1033" i="5"/>
  <c r="D1032" i="5"/>
  <c r="D1031" i="5"/>
  <c r="D1030" i="5"/>
  <c r="D1029" i="5"/>
  <c r="D1028" i="5"/>
  <c r="D1027" i="5"/>
  <c r="D1026" i="5"/>
  <c r="D1025" i="5"/>
  <c r="D1024" i="5"/>
  <c r="D1023" i="5"/>
  <c r="D1022" i="5"/>
  <c r="D1021" i="5"/>
  <c r="D1020" i="5"/>
  <c r="D1019" i="5"/>
  <c r="D1018" i="5"/>
  <c r="D1017" i="5"/>
  <c r="D1016" i="5"/>
  <c r="D1015" i="5"/>
  <c r="D1014" i="5"/>
  <c r="D1013" i="5"/>
  <c r="D1012" i="5"/>
  <c r="D1011" i="5"/>
  <c r="D1010" i="5"/>
  <c r="D1009" i="5"/>
  <c r="D1008" i="5"/>
  <c r="D1007" i="5"/>
  <c r="D1006" i="5"/>
  <c r="D1005" i="5"/>
  <c r="D1004" i="5"/>
  <c r="D1003" i="5"/>
  <c r="D1002" i="5"/>
  <c r="D1001" i="5"/>
  <c r="D1000" i="5"/>
  <c r="D999" i="5"/>
  <c r="D998" i="5"/>
  <c r="D997" i="5"/>
  <c r="D996" i="5"/>
  <c r="D995" i="5"/>
  <c r="D994" i="5"/>
  <c r="D993" i="5"/>
  <c r="D992" i="5"/>
  <c r="D991" i="5"/>
  <c r="D990" i="5"/>
  <c r="D989" i="5"/>
  <c r="D988" i="5"/>
  <c r="D987" i="5"/>
  <c r="D986" i="5"/>
  <c r="D985" i="5"/>
  <c r="D984" i="5"/>
  <c r="D983" i="5"/>
  <c r="D982" i="5"/>
  <c r="D981" i="5"/>
  <c r="D980" i="5"/>
  <c r="D979" i="5"/>
  <c r="D978" i="5"/>
  <c r="D977" i="5"/>
  <c r="D976" i="5"/>
  <c r="D975" i="5"/>
  <c r="D974" i="5"/>
  <c r="D973" i="5"/>
  <c r="D972" i="5"/>
  <c r="D971" i="5"/>
  <c r="D970" i="5"/>
  <c r="D969" i="5"/>
  <c r="D968" i="5"/>
  <c r="D967" i="5"/>
  <c r="D966" i="5"/>
  <c r="D965" i="5"/>
  <c r="D964" i="5"/>
  <c r="D963" i="5"/>
  <c r="D962" i="5"/>
  <c r="D961" i="5"/>
  <c r="D960" i="5"/>
  <c r="D959" i="5"/>
  <c r="D958" i="5"/>
  <c r="D957" i="5"/>
  <c r="D956" i="5"/>
  <c r="D955" i="5"/>
  <c r="D954" i="5"/>
  <c r="D953" i="5"/>
  <c r="D952" i="5"/>
  <c r="D951" i="5"/>
  <c r="D950" i="5"/>
  <c r="D949" i="5"/>
  <c r="D948" i="5"/>
  <c r="D947" i="5"/>
  <c r="D946" i="5"/>
  <c r="D945" i="5"/>
  <c r="D944" i="5"/>
  <c r="D943" i="5"/>
  <c r="D942" i="5"/>
  <c r="D941" i="5"/>
  <c r="D940" i="5"/>
  <c r="D939" i="5"/>
  <c r="D938" i="5"/>
  <c r="D937" i="5"/>
  <c r="D936" i="5"/>
  <c r="D935" i="5"/>
  <c r="D934" i="5"/>
  <c r="D933" i="5"/>
  <c r="D932" i="5"/>
  <c r="D931" i="5"/>
  <c r="D930" i="5"/>
  <c r="D929" i="5"/>
  <c r="D928" i="5"/>
  <c r="D927" i="5"/>
  <c r="D926" i="5"/>
  <c r="D925" i="5"/>
  <c r="D924" i="5"/>
  <c r="D923" i="5"/>
  <c r="D922" i="5"/>
  <c r="D921" i="5"/>
  <c r="D920" i="5"/>
  <c r="D919" i="5"/>
  <c r="D918" i="5"/>
  <c r="D917" i="5"/>
  <c r="D916" i="5"/>
  <c r="D915" i="5"/>
  <c r="D914" i="5"/>
  <c r="D913" i="5"/>
  <c r="D912" i="5"/>
  <c r="D911" i="5"/>
  <c r="D910" i="5"/>
  <c r="D909" i="5"/>
  <c r="D908" i="5"/>
  <c r="D907" i="5"/>
  <c r="D906" i="5"/>
  <c r="D905" i="5"/>
  <c r="D904" i="5"/>
  <c r="D903" i="5"/>
  <c r="D902" i="5"/>
  <c r="D901" i="5"/>
  <c r="D900" i="5"/>
  <c r="D899" i="5"/>
  <c r="D898" i="5"/>
  <c r="D897" i="5"/>
  <c r="D896" i="5"/>
  <c r="D895" i="5"/>
  <c r="D894" i="5"/>
  <c r="D893" i="5"/>
  <c r="D892" i="5"/>
  <c r="D891" i="5"/>
  <c r="D890" i="5"/>
  <c r="D889" i="5"/>
  <c r="D888" i="5"/>
  <c r="D887" i="5"/>
  <c r="D886" i="5"/>
  <c r="D885" i="5"/>
  <c r="D884" i="5"/>
  <c r="D883" i="5"/>
  <c r="D882" i="5"/>
  <c r="D881" i="5"/>
  <c r="D880" i="5"/>
  <c r="D879" i="5"/>
  <c r="D878" i="5"/>
  <c r="D877" i="5"/>
  <c r="D876" i="5"/>
  <c r="D875" i="5"/>
  <c r="D874" i="5"/>
  <c r="D873" i="5"/>
  <c r="D872" i="5"/>
  <c r="D871" i="5"/>
  <c r="D870" i="5"/>
  <c r="D869" i="5"/>
  <c r="D868" i="5"/>
  <c r="D867" i="5"/>
  <c r="D866" i="5"/>
  <c r="D865" i="5"/>
  <c r="D864" i="5"/>
  <c r="D863" i="5"/>
  <c r="D862" i="5"/>
  <c r="D861" i="5"/>
  <c r="D860" i="5"/>
  <c r="D859" i="5"/>
  <c r="D858" i="5"/>
  <c r="D857" i="5"/>
  <c r="D856" i="5"/>
  <c r="D855" i="5"/>
  <c r="D854" i="5"/>
  <c r="D853" i="5"/>
  <c r="D852" i="5"/>
  <c r="D851" i="5"/>
  <c r="D850" i="5"/>
  <c r="D849" i="5"/>
  <c r="D848" i="5"/>
  <c r="D847" i="5"/>
  <c r="D846" i="5"/>
  <c r="D845" i="5"/>
  <c r="D844" i="5"/>
  <c r="D843" i="5"/>
  <c r="D842" i="5"/>
  <c r="D841" i="5"/>
  <c r="D840" i="5"/>
  <c r="D839" i="5"/>
  <c r="D838" i="5"/>
  <c r="D837" i="5"/>
  <c r="D836" i="5"/>
  <c r="D835" i="5"/>
  <c r="D834" i="5"/>
  <c r="D833" i="5"/>
  <c r="D832" i="5"/>
  <c r="D831" i="5"/>
  <c r="D830" i="5"/>
  <c r="D829" i="5"/>
  <c r="D828" i="5"/>
  <c r="D827" i="5"/>
  <c r="D826" i="5"/>
  <c r="D825" i="5"/>
  <c r="D824" i="5"/>
  <c r="D823" i="5"/>
  <c r="D822" i="5"/>
  <c r="D821" i="5"/>
  <c r="D820" i="5"/>
  <c r="D819" i="5"/>
  <c r="D818" i="5"/>
  <c r="D817" i="5"/>
  <c r="D816" i="5"/>
  <c r="D815" i="5"/>
  <c r="D814" i="5"/>
  <c r="D813" i="5"/>
  <c r="D812" i="5"/>
  <c r="D811" i="5"/>
  <c r="D810" i="5"/>
  <c r="D809" i="5"/>
  <c r="D808" i="5"/>
  <c r="D807" i="5"/>
  <c r="D806" i="5"/>
  <c r="D805" i="5"/>
  <c r="D804" i="5"/>
  <c r="D803" i="5"/>
  <c r="D802" i="5"/>
  <c r="D801" i="5"/>
  <c r="D800" i="5"/>
  <c r="D799" i="5"/>
  <c r="D798" i="5"/>
  <c r="D797" i="5"/>
  <c r="D796" i="5"/>
  <c r="D795" i="5"/>
  <c r="D794" i="5"/>
  <c r="D793" i="5"/>
  <c r="D792" i="5"/>
  <c r="D791" i="5"/>
  <c r="D790" i="5"/>
  <c r="D789" i="5"/>
  <c r="D788" i="5"/>
  <c r="D787" i="5"/>
  <c r="D786" i="5"/>
  <c r="D785" i="5"/>
  <c r="D784" i="5"/>
  <c r="D783" i="5"/>
  <c r="D782" i="5"/>
  <c r="D781" i="5"/>
  <c r="D780" i="5"/>
  <c r="D779" i="5"/>
  <c r="D778" i="5"/>
  <c r="D777" i="5"/>
  <c r="D776" i="5"/>
  <c r="D775" i="5"/>
  <c r="D774" i="5"/>
  <c r="D773" i="5"/>
  <c r="D772" i="5"/>
  <c r="D771" i="5"/>
  <c r="D770" i="5"/>
  <c r="D769" i="5"/>
  <c r="D768" i="5"/>
  <c r="D767" i="5"/>
  <c r="D766" i="5"/>
  <c r="D765" i="5"/>
  <c r="D764" i="5"/>
  <c r="D763" i="5"/>
  <c r="D762" i="5"/>
  <c r="D761" i="5"/>
  <c r="D760" i="5"/>
  <c r="D759" i="5"/>
  <c r="D758" i="5"/>
  <c r="D757" i="5"/>
  <c r="D756" i="5"/>
  <c r="D755" i="5"/>
  <c r="D754" i="5"/>
  <c r="D753" i="5"/>
  <c r="D752" i="5"/>
  <c r="D751" i="5"/>
  <c r="D750" i="5"/>
  <c r="D749" i="5"/>
  <c r="D748" i="5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D669" i="5"/>
  <c r="D668" i="5"/>
  <c r="D667" i="5"/>
  <c r="D666" i="5"/>
  <c r="D665" i="5"/>
  <c r="D664" i="5"/>
  <c r="D663" i="5"/>
  <c r="D662" i="5"/>
  <c r="D661" i="5"/>
  <c r="D660" i="5"/>
  <c r="D659" i="5"/>
  <c r="D658" i="5"/>
  <c r="D657" i="5"/>
  <c r="D656" i="5"/>
  <c r="D655" i="5"/>
  <c r="D654" i="5"/>
  <c r="D653" i="5"/>
  <c r="D652" i="5"/>
  <c r="D651" i="5"/>
  <c r="D650" i="5"/>
  <c r="D649" i="5"/>
  <c r="D648" i="5"/>
  <c r="D647" i="5"/>
  <c r="D646" i="5"/>
  <c r="D645" i="5"/>
  <c r="D644" i="5"/>
  <c r="D643" i="5"/>
  <c r="D642" i="5"/>
  <c r="D641" i="5"/>
  <c r="D640" i="5"/>
  <c r="D639" i="5"/>
  <c r="D638" i="5"/>
  <c r="D637" i="5"/>
  <c r="D636" i="5"/>
  <c r="D635" i="5"/>
  <c r="D634" i="5"/>
  <c r="D633" i="5"/>
  <c r="D632" i="5"/>
  <c r="D631" i="5"/>
  <c r="D630" i="5"/>
  <c r="D629" i="5"/>
  <c r="D628" i="5"/>
  <c r="D627" i="5"/>
  <c r="D626" i="5"/>
  <c r="D625" i="5"/>
  <c r="D624" i="5"/>
  <c r="D623" i="5"/>
  <c r="D622" i="5"/>
  <c r="D621" i="5"/>
  <c r="D620" i="5"/>
  <c r="D619" i="5"/>
  <c r="D618" i="5"/>
  <c r="D617" i="5"/>
  <c r="D616" i="5"/>
  <c r="D615" i="5"/>
  <c r="D614" i="5"/>
  <c r="D613" i="5"/>
  <c r="D612" i="5"/>
  <c r="D611" i="5"/>
  <c r="D610" i="5"/>
  <c r="D609" i="5"/>
  <c r="D608" i="5"/>
  <c r="D607" i="5"/>
  <c r="D606" i="5"/>
  <c r="D605" i="5"/>
  <c r="D604" i="5"/>
  <c r="D603" i="5"/>
  <c r="D602" i="5"/>
  <c r="D601" i="5"/>
  <c r="D600" i="5"/>
  <c r="D599" i="5"/>
  <c r="D598" i="5"/>
  <c r="D597" i="5"/>
  <c r="D596" i="5"/>
  <c r="D595" i="5"/>
  <c r="D594" i="5"/>
  <c r="D593" i="5"/>
  <c r="D592" i="5"/>
  <c r="D591" i="5"/>
  <c r="D590" i="5"/>
  <c r="D589" i="5"/>
  <c r="D588" i="5"/>
  <c r="D587" i="5"/>
  <c r="D586" i="5"/>
  <c r="D585" i="5"/>
  <c r="D584" i="5"/>
  <c r="D583" i="5"/>
  <c r="D582" i="5"/>
  <c r="D581" i="5"/>
  <c r="D580" i="5"/>
  <c r="D579" i="5"/>
  <c r="D578" i="5"/>
  <c r="D577" i="5"/>
  <c r="D576" i="5"/>
  <c r="D575" i="5"/>
  <c r="D574" i="5"/>
  <c r="D573" i="5"/>
  <c r="D572" i="5"/>
  <c r="D571" i="5"/>
  <c r="D570" i="5"/>
  <c r="D569" i="5"/>
  <c r="D568" i="5"/>
  <c r="D567" i="5"/>
  <c r="D566" i="5"/>
  <c r="D565" i="5"/>
  <c r="D564" i="5"/>
  <c r="D563" i="5"/>
  <c r="D562" i="5"/>
  <c r="D561" i="5"/>
  <c r="D560" i="5"/>
  <c r="D559" i="5"/>
  <c r="D558" i="5"/>
  <c r="D557" i="5"/>
  <c r="D556" i="5"/>
  <c r="D555" i="5"/>
  <c r="D554" i="5"/>
  <c r="D553" i="5"/>
  <c r="D552" i="5"/>
  <c r="D551" i="5"/>
  <c r="D550" i="5"/>
  <c r="D549" i="5"/>
  <c r="D548" i="5"/>
  <c r="D547" i="5"/>
  <c r="D546" i="5"/>
  <c r="D545" i="5"/>
  <c r="D544" i="5"/>
  <c r="D543" i="5"/>
  <c r="D542" i="5"/>
  <c r="D541" i="5"/>
  <c r="D540" i="5"/>
  <c r="D539" i="5"/>
  <c r="D538" i="5"/>
  <c r="D537" i="5"/>
  <c r="D536" i="5"/>
  <c r="D535" i="5"/>
  <c r="D534" i="5"/>
  <c r="D533" i="5"/>
  <c r="D532" i="5"/>
  <c r="D531" i="5"/>
  <c r="D530" i="5"/>
  <c r="D529" i="5"/>
  <c r="D528" i="5"/>
  <c r="D527" i="5"/>
  <c r="D526" i="5"/>
  <c r="D525" i="5"/>
  <c r="D524" i="5"/>
  <c r="D523" i="5"/>
  <c r="D522" i="5"/>
  <c r="D521" i="5"/>
  <c r="D520" i="5"/>
  <c r="D519" i="5"/>
  <c r="D518" i="5"/>
  <c r="D517" i="5"/>
  <c r="D516" i="5"/>
  <c r="D515" i="5"/>
  <c r="D514" i="5"/>
  <c r="D513" i="5"/>
  <c r="D512" i="5"/>
  <c r="D511" i="5"/>
  <c r="D510" i="5"/>
  <c r="D509" i="5"/>
  <c r="D508" i="5"/>
  <c r="D507" i="5"/>
  <c r="D506" i="5"/>
  <c r="D505" i="5"/>
  <c r="D504" i="5"/>
  <c r="D503" i="5"/>
  <c r="D502" i="5"/>
  <c r="D501" i="5"/>
  <c r="D500" i="5"/>
  <c r="D499" i="5"/>
  <c r="D498" i="5"/>
  <c r="D497" i="5"/>
  <c r="D496" i="5"/>
  <c r="D495" i="5"/>
  <c r="D494" i="5"/>
  <c r="D493" i="5"/>
  <c r="D492" i="5"/>
  <c r="D491" i="5"/>
  <c r="D490" i="5"/>
  <c r="D489" i="5"/>
  <c r="D488" i="5"/>
  <c r="D487" i="5"/>
  <c r="D486" i="5"/>
  <c r="D485" i="5"/>
  <c r="D484" i="5"/>
  <c r="D483" i="5"/>
  <c r="D482" i="5"/>
  <c r="D481" i="5"/>
  <c r="D480" i="5"/>
  <c r="D479" i="5"/>
  <c r="D478" i="5"/>
  <c r="D477" i="5"/>
  <c r="D476" i="5"/>
  <c r="D475" i="5"/>
  <c r="D474" i="5"/>
  <c r="D473" i="5"/>
  <c r="D472" i="5"/>
  <c r="D471" i="5"/>
  <c r="D470" i="5"/>
  <c r="D469" i="5"/>
  <c r="D468" i="5"/>
  <c r="D467" i="5"/>
  <c r="D466" i="5"/>
  <c r="D465" i="5"/>
  <c r="D464" i="5"/>
  <c r="D463" i="5"/>
  <c r="D462" i="5"/>
  <c r="D461" i="5"/>
  <c r="D460" i="5"/>
  <c r="D459" i="5"/>
  <c r="D458" i="5"/>
  <c r="D457" i="5"/>
  <c r="D456" i="5"/>
  <c r="D455" i="5"/>
  <c r="D454" i="5"/>
  <c r="D453" i="5"/>
  <c r="D452" i="5"/>
  <c r="D451" i="5"/>
  <c r="D450" i="5"/>
  <c r="D449" i="5"/>
  <c r="D448" i="5"/>
  <c r="D447" i="5"/>
  <c r="D446" i="5"/>
  <c r="D445" i="5"/>
  <c r="D444" i="5"/>
  <c r="D443" i="5"/>
  <c r="D442" i="5"/>
  <c r="D441" i="5"/>
  <c r="D440" i="5"/>
  <c r="D439" i="5"/>
  <c r="D438" i="5"/>
  <c r="D437" i="5"/>
  <c r="D436" i="5"/>
  <c r="D435" i="5"/>
  <c r="D434" i="5"/>
  <c r="D433" i="5"/>
  <c r="D432" i="5"/>
  <c r="D431" i="5"/>
  <c r="D430" i="5"/>
  <c r="D429" i="5"/>
  <c r="D428" i="5"/>
  <c r="D427" i="5"/>
  <c r="D426" i="5"/>
  <c r="D425" i="5"/>
  <c r="D424" i="5"/>
  <c r="D423" i="5"/>
  <c r="D422" i="5"/>
  <c r="D421" i="5"/>
  <c r="D420" i="5"/>
  <c r="D419" i="5"/>
  <c r="D418" i="5"/>
  <c r="D417" i="5"/>
  <c r="D416" i="5"/>
  <c r="D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D401" i="5"/>
  <c r="D400" i="5"/>
  <c r="D399" i="5"/>
  <c r="D398" i="5"/>
  <c r="D397" i="5"/>
  <c r="D396" i="5"/>
  <c r="D395" i="5"/>
  <c r="D394" i="5"/>
  <c r="D393" i="5"/>
  <c r="D392" i="5"/>
  <c r="D391" i="5"/>
  <c r="D390" i="5"/>
  <c r="D389" i="5"/>
  <c r="D388" i="5"/>
  <c r="D387" i="5"/>
  <c r="D386" i="5"/>
  <c r="D385" i="5"/>
  <c r="D384" i="5"/>
  <c r="D383" i="5"/>
  <c r="D382" i="5"/>
  <c r="D381" i="5"/>
  <c r="D380" i="5"/>
  <c r="D379" i="5"/>
  <c r="D378" i="5"/>
  <c r="D377" i="5"/>
  <c r="D376" i="5"/>
  <c r="D375" i="5"/>
  <c r="D374" i="5"/>
  <c r="D373" i="5"/>
  <c r="D372" i="5"/>
  <c r="D371" i="5"/>
  <c r="D370" i="5"/>
  <c r="D369" i="5"/>
  <c r="D368" i="5"/>
  <c r="D367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D317" i="5"/>
  <c r="D316" i="5"/>
  <c r="D315" i="5"/>
  <c r="D314" i="5"/>
  <c r="D313" i="5"/>
  <c r="D312" i="5"/>
  <c r="D311" i="5"/>
  <c r="D310" i="5"/>
  <c r="D309" i="5"/>
  <c r="D308" i="5"/>
  <c r="D307" i="5"/>
  <c r="D306" i="5"/>
  <c r="D305" i="5"/>
  <c r="D304" i="5"/>
  <c r="D303" i="5"/>
  <c r="D302" i="5"/>
  <c r="D301" i="5"/>
  <c r="D300" i="5"/>
  <c r="D299" i="5"/>
  <c r="D298" i="5"/>
  <c r="D297" i="5"/>
  <c r="D296" i="5"/>
  <c r="D295" i="5"/>
  <c r="D294" i="5"/>
  <c r="D293" i="5"/>
  <c r="D292" i="5"/>
  <c r="D291" i="5"/>
  <c r="D290" i="5"/>
  <c r="D289" i="5"/>
  <c r="D288" i="5"/>
  <c r="D287" i="5"/>
  <c r="D286" i="5"/>
  <c r="D285" i="5"/>
  <c r="D284" i="5"/>
  <c r="D283" i="5"/>
  <c r="D282" i="5"/>
  <c r="D281" i="5"/>
  <c r="D280" i="5"/>
  <c r="D279" i="5"/>
  <c r="D278" i="5"/>
  <c r="D277" i="5"/>
  <c r="D276" i="5"/>
  <c r="D275" i="5"/>
  <c r="D274" i="5"/>
  <c r="D273" i="5"/>
  <c r="D272" i="5"/>
  <c r="D271" i="5"/>
  <c r="D270" i="5"/>
  <c r="D269" i="5"/>
  <c r="D268" i="5"/>
  <c r="D267" i="5"/>
  <c r="D266" i="5"/>
  <c r="D265" i="5"/>
  <c r="D264" i="5"/>
  <c r="D263" i="5"/>
  <c r="D262" i="5"/>
  <c r="D261" i="5"/>
  <c r="D260" i="5"/>
  <c r="D259" i="5"/>
  <c r="D258" i="5"/>
  <c r="D257" i="5"/>
  <c r="D256" i="5"/>
  <c r="D255" i="5"/>
  <c r="D254" i="5"/>
  <c r="D253" i="5"/>
  <c r="D252" i="5"/>
  <c r="D251" i="5"/>
  <c r="D250" i="5"/>
  <c r="D249" i="5"/>
  <c r="D248" i="5"/>
  <c r="D247" i="5"/>
  <c r="D246" i="5"/>
  <c r="D245" i="5"/>
  <c r="D244" i="5"/>
  <c r="D243" i="5"/>
  <c r="D242" i="5"/>
  <c r="D241" i="5"/>
  <c r="D240" i="5"/>
  <c r="D239" i="5"/>
  <c r="D238" i="5"/>
  <c r="D237" i="5"/>
  <c r="D236" i="5"/>
  <c r="D235" i="5"/>
  <c r="D234" i="5"/>
  <c r="D233" i="5"/>
  <c r="D232" i="5"/>
  <c r="D231" i="5"/>
  <c r="D230" i="5"/>
  <c r="D229" i="5"/>
  <c r="D228" i="5"/>
  <c r="D227" i="5"/>
  <c r="D226" i="5"/>
  <c r="D225" i="5"/>
  <c r="D224" i="5"/>
  <c r="D223" i="5"/>
  <c r="D222" i="5"/>
  <c r="D221" i="5"/>
  <c r="D220" i="5"/>
  <c r="D219" i="5"/>
  <c r="D218" i="5"/>
  <c r="D217" i="5"/>
  <c r="D216" i="5"/>
  <c r="D215" i="5"/>
  <c r="D214" i="5"/>
  <c r="D213" i="5"/>
  <c r="D212" i="5"/>
  <c r="D211" i="5"/>
  <c r="D210" i="5"/>
  <c r="D209" i="5"/>
  <c r="D208" i="5"/>
  <c r="D207" i="5"/>
  <c r="D206" i="5"/>
  <c r="D205" i="5"/>
  <c r="D204" i="5"/>
  <c r="D203" i="5"/>
  <c r="D202" i="5"/>
  <c r="D201" i="5"/>
  <c r="D200" i="5"/>
  <c r="D199" i="5"/>
  <c r="D198" i="5"/>
  <c r="D197" i="5"/>
  <c r="D196" i="5"/>
  <c r="D195" i="5"/>
  <c r="D194" i="5"/>
  <c r="D193" i="5"/>
  <c r="D192" i="5"/>
  <c r="D191" i="5"/>
  <c r="D190" i="5"/>
  <c r="D189" i="5"/>
  <c r="D188" i="5"/>
  <c r="D187" i="5"/>
  <c r="D186" i="5"/>
  <c r="D185" i="5"/>
  <c r="D184" i="5"/>
  <c r="D18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D139" i="5"/>
  <c r="D138" i="5"/>
  <c r="D137" i="5"/>
  <c r="D136" i="5"/>
  <c r="D135" i="5"/>
  <c r="D134" i="5"/>
  <c r="D133" i="5"/>
  <c r="D132" i="5"/>
  <c r="D131" i="5"/>
  <c r="D130" i="5"/>
  <c r="D129" i="5"/>
  <c r="D128" i="5"/>
  <c r="D127" i="5"/>
  <c r="D126" i="5"/>
  <c r="D125" i="5"/>
  <c r="D124" i="5"/>
  <c r="D123" i="5"/>
  <c r="D122" i="5"/>
  <c r="D121" i="5"/>
  <c r="D120" i="5"/>
  <c r="D119" i="5"/>
  <c r="D118" i="5"/>
  <c r="D117" i="5"/>
  <c r="D116" i="5"/>
  <c r="D115" i="5"/>
  <c r="D114" i="5"/>
  <c r="D113" i="5"/>
  <c r="D112" i="5"/>
  <c r="D111" i="5"/>
  <c r="D110" i="5"/>
  <c r="D109" i="5"/>
  <c r="D108" i="5"/>
  <c r="D107" i="5"/>
  <c r="D106" i="5"/>
  <c r="D105" i="5"/>
  <c r="D104" i="5"/>
  <c r="D103" i="5"/>
  <c r="D102" i="5"/>
  <c r="D101" i="5"/>
  <c r="D100" i="5"/>
  <c r="D99" i="5"/>
  <c r="D98" i="5"/>
  <c r="D97" i="5"/>
  <c r="D96" i="5"/>
  <c r="D95" i="5"/>
  <c r="D94" i="5"/>
  <c r="D93" i="5"/>
  <c r="D92" i="5"/>
  <c r="D91" i="5"/>
  <c r="D90" i="5"/>
  <c r="D89" i="5"/>
  <c r="D88" i="5"/>
  <c r="D87" i="5"/>
  <c r="D86" i="5"/>
  <c r="D85" i="5"/>
  <c r="D84" i="5"/>
  <c r="D83" i="5"/>
  <c r="D82" i="5"/>
  <c r="D81" i="5"/>
  <c r="D80" i="5"/>
  <c r="D79" i="5"/>
  <c r="D78" i="5"/>
  <c r="D77" i="5"/>
  <c r="D76" i="5"/>
  <c r="D75" i="5"/>
  <c r="D74" i="5"/>
  <c r="D73" i="5"/>
  <c r="D72" i="5"/>
  <c r="D71" i="5"/>
  <c r="D70" i="5"/>
  <c r="D69" i="5"/>
  <c r="D68" i="5"/>
  <c r="D67" i="5"/>
  <c r="D66" i="5"/>
  <c r="D65" i="5"/>
  <c r="D64" i="5"/>
  <c r="D63" i="5"/>
  <c r="D62" i="5"/>
  <c r="D61" i="5"/>
  <c r="D60" i="5"/>
  <c r="D59" i="5"/>
  <c r="D58" i="5"/>
  <c r="D57" i="5"/>
  <c r="D56" i="5"/>
  <c r="D5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C2508" i="5"/>
  <c r="C2507" i="5"/>
  <c r="C2506" i="5"/>
  <c r="C2505" i="5"/>
  <c r="C2504" i="5"/>
  <c r="C2503" i="5"/>
  <c r="C2502" i="5"/>
  <c r="C2501" i="5"/>
  <c r="C2500" i="5"/>
  <c r="C2499" i="5"/>
  <c r="C2498" i="5"/>
  <c r="C2497" i="5"/>
  <c r="C2496" i="5"/>
  <c r="C2495" i="5"/>
  <c r="C2494" i="5"/>
  <c r="C2493" i="5"/>
  <c r="C2492" i="5"/>
  <c r="C2491" i="5"/>
  <c r="C2490" i="5"/>
  <c r="C2489" i="5"/>
  <c r="C2488" i="5"/>
  <c r="C2487" i="5"/>
  <c r="C2486" i="5"/>
  <c r="C2485" i="5"/>
  <c r="C2484" i="5"/>
  <c r="C2483" i="5"/>
  <c r="C2482" i="5"/>
  <c r="C2481" i="5"/>
  <c r="C2480" i="5"/>
  <c r="C2479" i="5"/>
  <c r="C2478" i="5"/>
  <c r="C2477" i="5"/>
  <c r="C2476" i="5"/>
  <c r="C2475" i="5"/>
  <c r="C2474" i="5"/>
  <c r="C2473" i="5"/>
  <c r="C2472" i="5"/>
  <c r="C2471" i="5"/>
  <c r="C2470" i="5"/>
  <c r="C2469" i="5"/>
  <c r="C2468" i="5"/>
  <c r="C2467" i="5"/>
  <c r="C2466" i="5"/>
  <c r="C2465" i="5"/>
  <c r="C2464" i="5"/>
  <c r="C2463" i="5"/>
  <c r="C2462" i="5"/>
  <c r="C2461" i="5"/>
  <c r="C2460" i="5"/>
  <c r="C2459" i="5"/>
  <c r="C2458" i="5"/>
  <c r="C2457" i="5"/>
  <c r="C2456" i="5"/>
  <c r="C2455" i="5"/>
  <c r="C2454" i="5"/>
  <c r="C2453" i="5"/>
  <c r="C2452" i="5"/>
  <c r="C2451" i="5"/>
  <c r="C2450" i="5"/>
  <c r="C2449" i="5"/>
  <c r="C2448" i="5"/>
  <c r="C2447" i="5"/>
  <c r="C2446" i="5"/>
  <c r="C2445" i="5"/>
  <c r="C2444" i="5"/>
  <c r="C2443" i="5"/>
  <c r="C2442" i="5"/>
  <c r="C2441" i="5"/>
  <c r="C2440" i="5"/>
  <c r="C2439" i="5"/>
  <c r="C2438" i="5"/>
  <c r="C2437" i="5"/>
  <c r="C2436" i="5"/>
  <c r="C2435" i="5"/>
  <c r="C2434" i="5"/>
  <c r="C2433" i="5"/>
  <c r="C2432" i="5"/>
  <c r="C2431" i="5"/>
  <c r="C2430" i="5"/>
  <c r="C2429" i="5"/>
  <c r="C2428" i="5"/>
  <c r="C2427" i="5"/>
  <c r="C2426" i="5"/>
  <c r="C2425" i="5"/>
  <c r="C2424" i="5"/>
  <c r="C2423" i="5"/>
  <c r="C2422" i="5"/>
  <c r="C2421" i="5"/>
  <c r="C2420" i="5"/>
  <c r="C2419" i="5"/>
  <c r="C2418" i="5"/>
  <c r="C2417" i="5"/>
  <c r="C2416" i="5"/>
  <c r="C2415" i="5"/>
  <c r="C2414" i="5"/>
  <c r="C2413" i="5"/>
  <c r="C2412" i="5"/>
  <c r="C2411" i="5"/>
  <c r="C2410" i="5"/>
  <c r="C2409" i="5"/>
  <c r="C2408" i="5"/>
  <c r="C2407" i="5"/>
  <c r="C2406" i="5"/>
  <c r="C2405" i="5"/>
  <c r="C2404" i="5"/>
  <c r="C2403" i="5"/>
  <c r="C2402" i="5"/>
  <c r="C2401" i="5"/>
  <c r="C2400" i="5"/>
  <c r="C2399" i="5"/>
  <c r="C2398" i="5"/>
  <c r="C2397" i="5"/>
  <c r="C2396" i="5"/>
  <c r="C2395" i="5"/>
  <c r="C2394" i="5"/>
  <c r="C2393" i="5"/>
  <c r="C2392" i="5"/>
  <c r="C2391" i="5"/>
  <c r="C2390" i="5"/>
  <c r="C2389" i="5"/>
  <c r="C2388" i="5"/>
  <c r="C2387" i="5"/>
  <c r="C2386" i="5"/>
  <c r="C2385" i="5"/>
  <c r="C2384" i="5"/>
  <c r="C2383" i="5"/>
  <c r="C2382" i="5"/>
  <c r="C2381" i="5"/>
  <c r="C2380" i="5"/>
  <c r="C2379" i="5"/>
  <c r="C2378" i="5"/>
  <c r="C2377" i="5"/>
  <c r="C2376" i="5"/>
  <c r="C2375" i="5"/>
  <c r="C2374" i="5"/>
  <c r="C2373" i="5"/>
  <c r="C2372" i="5"/>
  <c r="C2371" i="5"/>
  <c r="C2370" i="5"/>
  <c r="C2369" i="5"/>
  <c r="C2368" i="5"/>
  <c r="C2367" i="5"/>
  <c r="C2366" i="5"/>
  <c r="C2365" i="5"/>
  <c r="C2364" i="5"/>
  <c r="C2363" i="5"/>
  <c r="C2362" i="5"/>
  <c r="C2361" i="5"/>
  <c r="C2360" i="5"/>
  <c r="C2359" i="5"/>
  <c r="C2358" i="5"/>
  <c r="C2357" i="5"/>
  <c r="C2356" i="5"/>
  <c r="C2355" i="5"/>
  <c r="C2354" i="5"/>
  <c r="C2353" i="5"/>
  <c r="C2352" i="5"/>
  <c r="C2351" i="5"/>
  <c r="C2350" i="5"/>
  <c r="C2349" i="5"/>
  <c r="C2348" i="5"/>
  <c r="C2347" i="5"/>
  <c r="C2346" i="5"/>
  <c r="C2345" i="5"/>
  <c r="C2344" i="5"/>
  <c r="C2343" i="5"/>
  <c r="C2342" i="5"/>
  <c r="C2341" i="5"/>
  <c r="C2340" i="5"/>
  <c r="C2339" i="5"/>
  <c r="C2338" i="5"/>
  <c r="C2337" i="5"/>
  <c r="C2336" i="5"/>
  <c r="C2335" i="5"/>
  <c r="C2334" i="5"/>
  <c r="C2333" i="5"/>
  <c r="C2332" i="5"/>
  <c r="C2331" i="5"/>
  <c r="C2330" i="5"/>
  <c r="C2329" i="5"/>
  <c r="C2328" i="5"/>
  <c r="C2327" i="5"/>
  <c r="C2326" i="5"/>
  <c r="C2325" i="5"/>
  <c r="C2324" i="5"/>
  <c r="C2323" i="5"/>
  <c r="C2322" i="5"/>
  <c r="C2321" i="5"/>
  <c r="C2320" i="5"/>
  <c r="C2319" i="5"/>
  <c r="C2318" i="5"/>
  <c r="C2317" i="5"/>
  <c r="C2316" i="5"/>
  <c r="C2315" i="5"/>
  <c r="C2314" i="5"/>
  <c r="C2313" i="5"/>
  <c r="C2312" i="5"/>
  <c r="C2311" i="5"/>
  <c r="C2310" i="5"/>
  <c r="C2309" i="5"/>
  <c r="C2308" i="5"/>
  <c r="C2307" i="5"/>
  <c r="C2306" i="5"/>
  <c r="C2305" i="5"/>
  <c r="C2304" i="5"/>
  <c r="C2303" i="5"/>
  <c r="C2302" i="5"/>
  <c r="C2301" i="5"/>
  <c r="C2300" i="5"/>
  <c r="C2299" i="5"/>
  <c r="C2298" i="5"/>
  <c r="C2297" i="5"/>
  <c r="C2296" i="5"/>
  <c r="C2295" i="5"/>
  <c r="C2294" i="5"/>
  <c r="C2293" i="5"/>
  <c r="C2292" i="5"/>
  <c r="C2291" i="5"/>
  <c r="C2290" i="5"/>
  <c r="C2289" i="5"/>
  <c r="C2288" i="5"/>
  <c r="C2287" i="5"/>
  <c r="C2286" i="5"/>
  <c r="C2285" i="5"/>
  <c r="C2284" i="5"/>
  <c r="C2283" i="5"/>
  <c r="C2282" i="5"/>
  <c r="C2281" i="5"/>
  <c r="C2280" i="5"/>
  <c r="C2279" i="5"/>
  <c r="C2278" i="5"/>
  <c r="C2277" i="5"/>
  <c r="C2276" i="5"/>
  <c r="C2275" i="5"/>
  <c r="C2274" i="5"/>
  <c r="C2273" i="5"/>
  <c r="C2272" i="5"/>
  <c r="C2271" i="5"/>
  <c r="C2270" i="5"/>
  <c r="C2269" i="5"/>
  <c r="C2268" i="5"/>
  <c r="C2267" i="5"/>
  <c r="C2266" i="5"/>
  <c r="C2265" i="5"/>
  <c r="C2264" i="5"/>
  <c r="C2263" i="5"/>
  <c r="C2262" i="5"/>
  <c r="C2261" i="5"/>
  <c r="C2260" i="5"/>
  <c r="C2259" i="5"/>
  <c r="C2258" i="5"/>
  <c r="C2257" i="5"/>
  <c r="C2256" i="5"/>
  <c r="C2255" i="5"/>
  <c r="C2254" i="5"/>
  <c r="C2253" i="5"/>
  <c r="C2252" i="5"/>
  <c r="C2251" i="5"/>
  <c r="C2250" i="5"/>
  <c r="C2249" i="5"/>
  <c r="C2248" i="5"/>
  <c r="C2247" i="5"/>
  <c r="C2246" i="5"/>
  <c r="C2245" i="5"/>
  <c r="C2244" i="5"/>
  <c r="C2243" i="5"/>
  <c r="C2242" i="5"/>
  <c r="C2241" i="5"/>
  <c r="C2240" i="5"/>
  <c r="C2239" i="5"/>
  <c r="C2238" i="5"/>
  <c r="C2237" i="5"/>
  <c r="C2236" i="5"/>
  <c r="C2235" i="5"/>
  <c r="C2234" i="5"/>
  <c r="C2233" i="5"/>
  <c r="C2232" i="5"/>
  <c r="C2231" i="5"/>
  <c r="C2230" i="5"/>
  <c r="C2229" i="5"/>
  <c r="C2228" i="5"/>
  <c r="C2227" i="5"/>
  <c r="C2226" i="5"/>
  <c r="C2225" i="5"/>
  <c r="C2224" i="5"/>
  <c r="C2223" i="5"/>
  <c r="C2222" i="5"/>
  <c r="C2221" i="5"/>
  <c r="C2220" i="5"/>
  <c r="C2219" i="5"/>
  <c r="C2218" i="5"/>
  <c r="C2217" i="5"/>
  <c r="C2216" i="5"/>
  <c r="C2215" i="5"/>
  <c r="C2214" i="5"/>
  <c r="C2213" i="5"/>
  <c r="C2212" i="5"/>
  <c r="C2211" i="5"/>
  <c r="C2210" i="5"/>
  <c r="C2209" i="5"/>
  <c r="C2208" i="5"/>
  <c r="C2207" i="5"/>
  <c r="C2206" i="5"/>
  <c r="C2205" i="5"/>
  <c r="C2204" i="5"/>
  <c r="C2203" i="5"/>
  <c r="C2202" i="5"/>
  <c r="C2201" i="5"/>
  <c r="C2200" i="5"/>
  <c r="C2199" i="5"/>
  <c r="C2198" i="5"/>
  <c r="C2197" i="5"/>
  <c r="C2196" i="5"/>
  <c r="C2195" i="5"/>
  <c r="C2194" i="5"/>
  <c r="C2193" i="5"/>
  <c r="C2192" i="5"/>
  <c r="C2191" i="5"/>
  <c r="C2190" i="5"/>
  <c r="C2189" i="5"/>
  <c r="C2188" i="5"/>
  <c r="C2187" i="5"/>
  <c r="C2186" i="5"/>
  <c r="C2185" i="5"/>
  <c r="C2184" i="5"/>
  <c r="C2183" i="5"/>
  <c r="C2182" i="5"/>
  <c r="C2181" i="5"/>
  <c r="C2180" i="5"/>
  <c r="C2179" i="5"/>
  <c r="C2178" i="5"/>
  <c r="C2177" i="5"/>
  <c r="C2176" i="5"/>
  <c r="C2175" i="5"/>
  <c r="C2174" i="5"/>
  <c r="C2173" i="5"/>
  <c r="C2172" i="5"/>
  <c r="C2171" i="5"/>
  <c r="C2170" i="5"/>
  <c r="C2169" i="5"/>
  <c r="C2168" i="5"/>
  <c r="C2167" i="5"/>
  <c r="C2166" i="5"/>
  <c r="C2165" i="5"/>
  <c r="C2164" i="5"/>
  <c r="C2163" i="5"/>
  <c r="C2162" i="5"/>
  <c r="C2161" i="5"/>
  <c r="C2160" i="5"/>
  <c r="C2159" i="5"/>
  <c r="C2158" i="5"/>
  <c r="C2157" i="5"/>
  <c r="C2156" i="5"/>
  <c r="C2155" i="5"/>
  <c r="C2154" i="5"/>
  <c r="C2153" i="5"/>
  <c r="C2152" i="5"/>
  <c r="C2151" i="5"/>
  <c r="C2150" i="5"/>
  <c r="C2149" i="5"/>
  <c r="C2148" i="5"/>
  <c r="C2147" i="5"/>
  <c r="C2146" i="5"/>
  <c r="C2145" i="5"/>
  <c r="C2144" i="5"/>
  <c r="C2143" i="5"/>
  <c r="C2142" i="5"/>
  <c r="C2141" i="5"/>
  <c r="C2140" i="5"/>
  <c r="C2139" i="5"/>
  <c r="C2138" i="5"/>
  <c r="C2137" i="5"/>
  <c r="C2136" i="5"/>
  <c r="C2135" i="5"/>
  <c r="C2134" i="5"/>
  <c r="C2133" i="5"/>
  <c r="C2132" i="5"/>
  <c r="C2131" i="5"/>
  <c r="C2130" i="5"/>
  <c r="C2129" i="5"/>
  <c r="C2128" i="5"/>
  <c r="C2127" i="5"/>
  <c r="C2126" i="5"/>
  <c r="C2125" i="5"/>
  <c r="C2124" i="5"/>
  <c r="C2123" i="5"/>
  <c r="C2122" i="5"/>
  <c r="C2121" i="5"/>
  <c r="C2120" i="5"/>
  <c r="C2119" i="5"/>
  <c r="C2118" i="5"/>
  <c r="C2117" i="5"/>
  <c r="C2116" i="5"/>
  <c r="C2115" i="5"/>
  <c r="C2114" i="5"/>
  <c r="C2113" i="5"/>
  <c r="C2112" i="5"/>
  <c r="C2111" i="5"/>
  <c r="C2110" i="5"/>
  <c r="C2109" i="5"/>
  <c r="C2108" i="5"/>
  <c r="C2107" i="5"/>
  <c r="C2106" i="5"/>
  <c r="C2105" i="5"/>
  <c r="C2104" i="5"/>
  <c r="C2103" i="5"/>
  <c r="C2102" i="5"/>
  <c r="C2101" i="5"/>
  <c r="C2100" i="5"/>
  <c r="C2099" i="5"/>
  <c r="C2098" i="5"/>
  <c r="C2097" i="5"/>
  <c r="C2096" i="5"/>
  <c r="C2095" i="5"/>
  <c r="C2094" i="5"/>
  <c r="C2093" i="5"/>
  <c r="C2092" i="5"/>
  <c r="C2091" i="5"/>
  <c r="C2090" i="5"/>
  <c r="C2089" i="5"/>
  <c r="C2088" i="5"/>
  <c r="C2087" i="5"/>
  <c r="C2086" i="5"/>
  <c r="C2085" i="5"/>
  <c r="C2084" i="5"/>
  <c r="C2083" i="5"/>
  <c r="C2082" i="5"/>
  <c r="C2081" i="5"/>
  <c r="C2080" i="5"/>
  <c r="C2079" i="5"/>
  <c r="C2078" i="5"/>
  <c r="C2077" i="5"/>
  <c r="C2076" i="5"/>
  <c r="C2075" i="5"/>
  <c r="C2074" i="5"/>
  <c r="C2073" i="5"/>
  <c r="C2072" i="5"/>
  <c r="C2071" i="5"/>
  <c r="C2070" i="5"/>
  <c r="C2069" i="5"/>
  <c r="C2068" i="5"/>
  <c r="C2067" i="5"/>
  <c r="C2066" i="5"/>
  <c r="C2065" i="5"/>
  <c r="C2064" i="5"/>
  <c r="C2063" i="5"/>
  <c r="C2062" i="5"/>
  <c r="C2061" i="5"/>
  <c r="C2060" i="5"/>
  <c r="C2059" i="5"/>
  <c r="C2058" i="5"/>
  <c r="C2057" i="5"/>
  <c r="C2056" i="5"/>
  <c r="C2055" i="5"/>
  <c r="C2054" i="5"/>
  <c r="C2053" i="5"/>
  <c r="C2052" i="5"/>
  <c r="C2051" i="5"/>
  <c r="C2050" i="5"/>
  <c r="C2049" i="5"/>
  <c r="C2048" i="5"/>
  <c r="C2047" i="5"/>
  <c r="C2046" i="5"/>
  <c r="C2045" i="5"/>
  <c r="C2044" i="5"/>
  <c r="C2043" i="5"/>
  <c r="C2042" i="5"/>
  <c r="C2041" i="5"/>
  <c r="C2040" i="5"/>
  <c r="C2039" i="5"/>
  <c r="C2038" i="5"/>
  <c r="C2037" i="5"/>
  <c r="C2036" i="5"/>
  <c r="C2035" i="5"/>
  <c r="C2034" i="5"/>
  <c r="C2033" i="5"/>
  <c r="C2032" i="5"/>
  <c r="C2031" i="5"/>
  <c r="C2030" i="5"/>
  <c r="C2029" i="5"/>
  <c r="C2028" i="5"/>
  <c r="C2027" i="5"/>
  <c r="C2026" i="5"/>
  <c r="C2025" i="5"/>
  <c r="C2024" i="5"/>
  <c r="C2023" i="5"/>
  <c r="C2022" i="5"/>
  <c r="C2021" i="5"/>
  <c r="C2020" i="5"/>
  <c r="C2019" i="5"/>
  <c r="C2018" i="5"/>
  <c r="C2017" i="5"/>
  <c r="C2016" i="5"/>
  <c r="C2015" i="5"/>
  <c r="C2014" i="5"/>
  <c r="C2013" i="5"/>
  <c r="C2012" i="5"/>
  <c r="C2011" i="5"/>
  <c r="C2010" i="5"/>
  <c r="C2009" i="5"/>
  <c r="C2008" i="5"/>
  <c r="C2007" i="5"/>
  <c r="C2006" i="5"/>
  <c r="C2005" i="5"/>
  <c r="C2004" i="5"/>
  <c r="C2003" i="5"/>
  <c r="C2002" i="5"/>
  <c r="C2001" i="5"/>
  <c r="C2000" i="5"/>
  <c r="C1999" i="5"/>
  <c r="C1998" i="5"/>
  <c r="C1997" i="5"/>
  <c r="C1996" i="5"/>
  <c r="C1995" i="5"/>
  <c r="C1994" i="5"/>
  <c r="C1993" i="5"/>
  <c r="C1992" i="5"/>
  <c r="C1991" i="5"/>
  <c r="C1990" i="5"/>
  <c r="C1989" i="5"/>
  <c r="C1988" i="5"/>
  <c r="C1987" i="5"/>
  <c r="C1986" i="5"/>
  <c r="C1985" i="5"/>
  <c r="C1984" i="5"/>
  <c r="C1983" i="5"/>
  <c r="C1982" i="5"/>
  <c r="C1981" i="5"/>
  <c r="C1980" i="5"/>
  <c r="C1979" i="5"/>
  <c r="C1978" i="5"/>
  <c r="C1977" i="5"/>
  <c r="C1976" i="5"/>
  <c r="C1975" i="5"/>
  <c r="C1974" i="5"/>
  <c r="C1973" i="5"/>
  <c r="C1972" i="5"/>
  <c r="C1971" i="5"/>
  <c r="C1970" i="5"/>
  <c r="C1969" i="5"/>
  <c r="C1968" i="5"/>
  <c r="C1967" i="5"/>
  <c r="C1966" i="5"/>
  <c r="C1965" i="5"/>
  <c r="C1964" i="5"/>
  <c r="C1963" i="5"/>
  <c r="C1962" i="5"/>
  <c r="C1961" i="5"/>
  <c r="C1960" i="5"/>
  <c r="C1959" i="5"/>
  <c r="C1958" i="5"/>
  <c r="C1957" i="5"/>
  <c r="C1956" i="5"/>
  <c r="C1955" i="5"/>
  <c r="C1954" i="5"/>
  <c r="C1953" i="5"/>
  <c r="C1952" i="5"/>
  <c r="C1951" i="5"/>
  <c r="C1950" i="5"/>
  <c r="C1949" i="5"/>
  <c r="C1948" i="5"/>
  <c r="C1947" i="5"/>
  <c r="C1946" i="5"/>
  <c r="C1945" i="5"/>
  <c r="C1944" i="5"/>
  <c r="C1943" i="5"/>
  <c r="C1942" i="5"/>
  <c r="C1941" i="5"/>
  <c r="C1940" i="5"/>
  <c r="C1939" i="5"/>
  <c r="C1938" i="5"/>
  <c r="C1937" i="5"/>
  <c r="C1936" i="5"/>
  <c r="C1935" i="5"/>
  <c r="C1934" i="5"/>
  <c r="C1933" i="5"/>
  <c r="C1932" i="5"/>
  <c r="C1931" i="5"/>
  <c r="C1930" i="5"/>
  <c r="C1929" i="5"/>
  <c r="C1928" i="5"/>
  <c r="C1927" i="5"/>
  <c r="C1926" i="5"/>
  <c r="C1925" i="5"/>
  <c r="C1924" i="5"/>
  <c r="C1923" i="5"/>
  <c r="C1922" i="5"/>
  <c r="C1921" i="5"/>
  <c r="C1920" i="5"/>
  <c r="C1919" i="5"/>
  <c r="C1918" i="5"/>
  <c r="C1917" i="5"/>
  <c r="C1916" i="5"/>
  <c r="C1915" i="5"/>
  <c r="C1914" i="5"/>
  <c r="C1913" i="5"/>
  <c r="C1912" i="5"/>
  <c r="C1911" i="5"/>
  <c r="C1910" i="5"/>
  <c r="C1909" i="5"/>
  <c r="C1908" i="5"/>
  <c r="C1907" i="5"/>
  <c r="C1906" i="5"/>
  <c r="C1905" i="5"/>
  <c r="C1904" i="5"/>
  <c r="C1903" i="5"/>
  <c r="C1902" i="5"/>
  <c r="C1901" i="5"/>
  <c r="C1900" i="5"/>
  <c r="C1899" i="5"/>
  <c r="C1898" i="5"/>
  <c r="C1897" i="5"/>
  <c r="C1896" i="5"/>
  <c r="C1895" i="5"/>
  <c r="C1894" i="5"/>
  <c r="C1893" i="5"/>
  <c r="C1892" i="5"/>
  <c r="C1891" i="5"/>
  <c r="C1890" i="5"/>
  <c r="C1889" i="5"/>
  <c r="C1888" i="5"/>
  <c r="C1887" i="5"/>
  <c r="C1886" i="5"/>
  <c r="C1885" i="5"/>
  <c r="C1884" i="5"/>
  <c r="C1883" i="5"/>
  <c r="C1882" i="5"/>
  <c r="C1881" i="5"/>
  <c r="C1880" i="5"/>
  <c r="C1879" i="5"/>
  <c r="C1878" i="5"/>
  <c r="C1877" i="5"/>
  <c r="C1876" i="5"/>
  <c r="C1875" i="5"/>
  <c r="C1874" i="5"/>
  <c r="C1873" i="5"/>
  <c r="C1872" i="5"/>
  <c r="C1871" i="5"/>
  <c r="C1870" i="5"/>
  <c r="C1869" i="5"/>
  <c r="C1868" i="5"/>
  <c r="C1867" i="5"/>
  <c r="C1866" i="5"/>
  <c r="C1865" i="5"/>
  <c r="C1864" i="5"/>
  <c r="C1863" i="5"/>
  <c r="C1862" i="5"/>
  <c r="C1861" i="5"/>
  <c r="C1860" i="5"/>
  <c r="C1859" i="5"/>
  <c r="C1858" i="5"/>
  <c r="C1857" i="5"/>
  <c r="C1856" i="5"/>
  <c r="C1855" i="5"/>
  <c r="C1854" i="5"/>
  <c r="C1853" i="5"/>
  <c r="C1852" i="5"/>
  <c r="C1851" i="5"/>
  <c r="C1850" i="5"/>
  <c r="C1849" i="5"/>
  <c r="C1848" i="5"/>
  <c r="C1847" i="5"/>
  <c r="C1846" i="5"/>
  <c r="C1845" i="5"/>
  <c r="C1844" i="5"/>
  <c r="C1843" i="5"/>
  <c r="C1842" i="5"/>
  <c r="C1841" i="5"/>
  <c r="C1840" i="5"/>
  <c r="C1839" i="5"/>
  <c r="C1838" i="5"/>
  <c r="C1837" i="5"/>
  <c r="C1836" i="5"/>
  <c r="C1835" i="5"/>
  <c r="C1834" i="5"/>
  <c r="C1833" i="5"/>
  <c r="C1832" i="5"/>
  <c r="C1831" i="5"/>
  <c r="C1830" i="5"/>
  <c r="C1829" i="5"/>
  <c r="C1828" i="5"/>
  <c r="C1827" i="5"/>
  <c r="C1826" i="5"/>
  <c r="C1825" i="5"/>
  <c r="C1824" i="5"/>
  <c r="C1823" i="5"/>
  <c r="C1822" i="5"/>
  <c r="C1821" i="5"/>
  <c r="C1820" i="5"/>
  <c r="C1819" i="5"/>
  <c r="C1818" i="5"/>
  <c r="C1817" i="5"/>
  <c r="C1816" i="5"/>
  <c r="C1815" i="5"/>
  <c r="C1814" i="5"/>
  <c r="C1813" i="5"/>
  <c r="C1812" i="5"/>
  <c r="C1811" i="5"/>
  <c r="C1810" i="5"/>
  <c r="C1809" i="5"/>
  <c r="C1808" i="5"/>
  <c r="C1807" i="5"/>
  <c r="C1806" i="5"/>
  <c r="C1805" i="5"/>
  <c r="C1804" i="5"/>
  <c r="C1803" i="5"/>
  <c r="C1802" i="5"/>
  <c r="C1801" i="5"/>
  <c r="C1800" i="5"/>
  <c r="C1799" i="5"/>
  <c r="C1798" i="5"/>
  <c r="C1797" i="5"/>
  <c r="C1796" i="5"/>
  <c r="C1795" i="5"/>
  <c r="C1794" i="5"/>
  <c r="C1793" i="5"/>
  <c r="C1792" i="5"/>
  <c r="C1791" i="5"/>
  <c r="C1790" i="5"/>
  <c r="C1789" i="5"/>
  <c r="C1788" i="5"/>
  <c r="C1787" i="5"/>
  <c r="C1786" i="5"/>
  <c r="C1785" i="5"/>
  <c r="C1784" i="5"/>
  <c r="C1783" i="5"/>
  <c r="C1782" i="5"/>
  <c r="C1781" i="5"/>
  <c r="C1780" i="5"/>
  <c r="C1779" i="5"/>
  <c r="C1778" i="5"/>
  <c r="C1777" i="5"/>
  <c r="C1776" i="5"/>
  <c r="C1775" i="5"/>
  <c r="C1774" i="5"/>
  <c r="C1773" i="5"/>
  <c r="C1772" i="5"/>
  <c r="C1771" i="5"/>
  <c r="C1770" i="5"/>
  <c r="C1769" i="5"/>
  <c r="C1768" i="5"/>
  <c r="C1767" i="5"/>
  <c r="C1766" i="5"/>
  <c r="C1765" i="5"/>
  <c r="C1764" i="5"/>
  <c r="C1763" i="5"/>
  <c r="C1762" i="5"/>
  <c r="C1761" i="5"/>
  <c r="C1760" i="5"/>
  <c r="C1759" i="5"/>
  <c r="C1758" i="5"/>
  <c r="C1757" i="5"/>
  <c r="C1756" i="5"/>
  <c r="C1755" i="5"/>
  <c r="C1754" i="5"/>
  <c r="C1753" i="5"/>
  <c r="C1752" i="5"/>
  <c r="C1751" i="5"/>
  <c r="C1750" i="5"/>
  <c r="C1749" i="5"/>
  <c r="C1748" i="5"/>
  <c r="C1747" i="5"/>
  <c r="C1746" i="5"/>
  <c r="C1745" i="5"/>
  <c r="C1744" i="5"/>
  <c r="C1743" i="5"/>
  <c r="C1742" i="5"/>
  <c r="C1741" i="5"/>
  <c r="C1740" i="5"/>
  <c r="C1739" i="5"/>
  <c r="C1738" i="5"/>
  <c r="C1737" i="5"/>
  <c r="C1736" i="5"/>
  <c r="C1735" i="5"/>
  <c r="C1734" i="5"/>
  <c r="C1733" i="5"/>
  <c r="C1732" i="5"/>
  <c r="C1731" i="5"/>
  <c r="C1730" i="5"/>
  <c r="C1729" i="5"/>
  <c r="C1728" i="5"/>
  <c r="C1727" i="5"/>
  <c r="C1726" i="5"/>
  <c r="C1725" i="5"/>
  <c r="C1724" i="5"/>
  <c r="C1723" i="5"/>
  <c r="C1722" i="5"/>
  <c r="C1721" i="5"/>
  <c r="C1720" i="5"/>
  <c r="C1719" i="5"/>
  <c r="C1718" i="5"/>
  <c r="C1717" i="5"/>
  <c r="C1716" i="5"/>
  <c r="C1715" i="5"/>
  <c r="C1714" i="5"/>
  <c r="C1713" i="5"/>
  <c r="C1712" i="5"/>
  <c r="C1711" i="5"/>
  <c r="C1710" i="5"/>
  <c r="C1709" i="5"/>
  <c r="C1708" i="5"/>
  <c r="C1707" i="5"/>
  <c r="C1706" i="5"/>
  <c r="C1705" i="5"/>
  <c r="C1704" i="5"/>
  <c r="C1703" i="5"/>
  <c r="C1702" i="5"/>
  <c r="C1701" i="5"/>
  <c r="C1700" i="5"/>
  <c r="C1699" i="5"/>
  <c r="C1698" i="5"/>
  <c r="C1697" i="5"/>
  <c r="C1696" i="5"/>
  <c r="C1695" i="5"/>
  <c r="C1694" i="5"/>
  <c r="C1693" i="5"/>
  <c r="C1692" i="5"/>
  <c r="C1691" i="5"/>
  <c r="C1690" i="5"/>
  <c r="C1689" i="5"/>
  <c r="C1688" i="5"/>
  <c r="C1687" i="5"/>
  <c r="C1686" i="5"/>
  <c r="C1685" i="5"/>
  <c r="C1684" i="5"/>
  <c r="C1683" i="5"/>
  <c r="C1682" i="5"/>
  <c r="C1681" i="5"/>
  <c r="C1680" i="5"/>
  <c r="C1679" i="5"/>
  <c r="C1678" i="5"/>
  <c r="C1677" i="5"/>
  <c r="C1676" i="5"/>
  <c r="C1675" i="5"/>
  <c r="C1674" i="5"/>
  <c r="C1673" i="5"/>
  <c r="C1672" i="5"/>
  <c r="C1671" i="5"/>
  <c r="C1670" i="5"/>
  <c r="C1669" i="5"/>
  <c r="C1668" i="5"/>
  <c r="C1667" i="5"/>
  <c r="C1666" i="5"/>
  <c r="C1665" i="5"/>
  <c r="C1664" i="5"/>
  <c r="C1663" i="5"/>
  <c r="C1662" i="5"/>
  <c r="C1661" i="5"/>
  <c r="C1660" i="5"/>
  <c r="C1659" i="5"/>
  <c r="C1658" i="5"/>
  <c r="C1657" i="5"/>
  <c r="C1656" i="5"/>
  <c r="C1655" i="5"/>
  <c r="C1654" i="5"/>
  <c r="C1653" i="5"/>
  <c r="C1652" i="5"/>
  <c r="C1651" i="5"/>
  <c r="C1650" i="5"/>
  <c r="C1649" i="5"/>
  <c r="C1648" i="5"/>
  <c r="C1647" i="5"/>
  <c r="C1646" i="5"/>
  <c r="C1645" i="5"/>
  <c r="C1644" i="5"/>
  <c r="C1643" i="5"/>
  <c r="C1642" i="5"/>
  <c r="C1641" i="5"/>
  <c r="C1640" i="5"/>
  <c r="C1639" i="5"/>
  <c r="C1638" i="5"/>
  <c r="C1637" i="5"/>
  <c r="C1636" i="5"/>
  <c r="C1635" i="5"/>
  <c r="C1634" i="5"/>
  <c r="C1633" i="5"/>
  <c r="C1632" i="5"/>
  <c r="C1631" i="5"/>
  <c r="C1630" i="5"/>
  <c r="C1629" i="5"/>
  <c r="C1628" i="5"/>
  <c r="C1627" i="5"/>
  <c r="C1626" i="5"/>
  <c r="C1625" i="5"/>
  <c r="C1624" i="5"/>
  <c r="C1623" i="5"/>
  <c r="C1622" i="5"/>
  <c r="C1621" i="5"/>
  <c r="C1620" i="5"/>
  <c r="C1619" i="5"/>
  <c r="C1618" i="5"/>
  <c r="C1617" i="5"/>
  <c r="C1616" i="5"/>
  <c r="C1615" i="5"/>
  <c r="C1614" i="5"/>
  <c r="C1613" i="5"/>
  <c r="C1612" i="5"/>
  <c r="C1611" i="5"/>
  <c r="C1610" i="5"/>
  <c r="C1609" i="5"/>
  <c r="C1608" i="5"/>
  <c r="C1607" i="5"/>
  <c r="C1606" i="5"/>
  <c r="C1605" i="5"/>
  <c r="C1604" i="5"/>
  <c r="C1603" i="5"/>
  <c r="C1602" i="5"/>
  <c r="C1601" i="5"/>
  <c r="C1600" i="5"/>
  <c r="C1599" i="5"/>
  <c r="C1598" i="5"/>
  <c r="C1597" i="5"/>
  <c r="C1596" i="5"/>
  <c r="C1595" i="5"/>
  <c r="C1594" i="5"/>
  <c r="C1593" i="5"/>
  <c r="C1592" i="5"/>
  <c r="C1591" i="5"/>
  <c r="C1590" i="5"/>
  <c r="C1589" i="5"/>
  <c r="C1588" i="5"/>
  <c r="C1587" i="5"/>
  <c r="C1586" i="5"/>
  <c r="C1585" i="5"/>
  <c r="C1584" i="5"/>
  <c r="C1583" i="5"/>
  <c r="C1582" i="5"/>
  <c r="C1581" i="5"/>
  <c r="C1580" i="5"/>
  <c r="C1579" i="5"/>
  <c r="C1578" i="5"/>
  <c r="C1577" i="5"/>
  <c r="C1576" i="5"/>
  <c r="C1575" i="5"/>
  <c r="C1574" i="5"/>
  <c r="C1573" i="5"/>
  <c r="C1572" i="5"/>
  <c r="C1571" i="5"/>
  <c r="C1570" i="5"/>
  <c r="C1569" i="5"/>
  <c r="C1568" i="5"/>
  <c r="C1567" i="5"/>
  <c r="C1566" i="5"/>
  <c r="C1565" i="5"/>
  <c r="C1564" i="5"/>
  <c r="C1563" i="5"/>
  <c r="C1562" i="5"/>
  <c r="C1561" i="5"/>
  <c r="C1560" i="5"/>
  <c r="C1559" i="5"/>
  <c r="C1558" i="5"/>
  <c r="C1557" i="5"/>
  <c r="C1556" i="5"/>
  <c r="C1555" i="5"/>
  <c r="C1554" i="5"/>
  <c r="C1553" i="5"/>
  <c r="C1552" i="5"/>
  <c r="C1551" i="5"/>
  <c r="C1550" i="5"/>
  <c r="C1549" i="5"/>
  <c r="C1548" i="5"/>
  <c r="C1547" i="5"/>
  <c r="C1546" i="5"/>
  <c r="C1545" i="5"/>
  <c r="C1544" i="5"/>
  <c r="C1543" i="5"/>
  <c r="C1542" i="5"/>
  <c r="C1541" i="5"/>
  <c r="C1540" i="5"/>
  <c r="C1539" i="5"/>
  <c r="C1538" i="5"/>
  <c r="C1537" i="5"/>
  <c r="C1536" i="5"/>
  <c r="C1535" i="5"/>
  <c r="C1534" i="5"/>
  <c r="C1533" i="5"/>
  <c r="C1532" i="5"/>
  <c r="C1531" i="5"/>
  <c r="C1530" i="5"/>
  <c r="C1529" i="5"/>
  <c r="C1528" i="5"/>
  <c r="C1527" i="5"/>
  <c r="C1526" i="5"/>
  <c r="C1525" i="5"/>
  <c r="C1524" i="5"/>
  <c r="C1523" i="5"/>
  <c r="C1522" i="5"/>
  <c r="C1521" i="5"/>
  <c r="C1520" i="5"/>
  <c r="C1519" i="5"/>
  <c r="C1518" i="5"/>
  <c r="C1517" i="5"/>
  <c r="C1516" i="5"/>
  <c r="C1515" i="5"/>
  <c r="C1514" i="5"/>
  <c r="C1513" i="5"/>
  <c r="C1512" i="5"/>
  <c r="C1511" i="5"/>
  <c r="C1510" i="5"/>
  <c r="C1509" i="5"/>
  <c r="C1508" i="5"/>
  <c r="C1507" i="5"/>
  <c r="C1506" i="5"/>
  <c r="C1505" i="5"/>
  <c r="C1504" i="5"/>
  <c r="C1503" i="5"/>
  <c r="C1502" i="5"/>
  <c r="C1501" i="5"/>
  <c r="C1500" i="5"/>
  <c r="C1499" i="5"/>
  <c r="C1498" i="5"/>
  <c r="C1497" i="5"/>
  <c r="C1496" i="5"/>
  <c r="C1495" i="5"/>
  <c r="C1494" i="5"/>
  <c r="C1493" i="5"/>
  <c r="C1492" i="5"/>
  <c r="C1491" i="5"/>
  <c r="C1490" i="5"/>
  <c r="C1489" i="5"/>
  <c r="C1488" i="5"/>
  <c r="C1487" i="5"/>
  <c r="C1486" i="5"/>
  <c r="C1485" i="5"/>
  <c r="C1484" i="5"/>
  <c r="C1483" i="5"/>
  <c r="C1482" i="5"/>
  <c r="C1481" i="5"/>
  <c r="C1480" i="5"/>
  <c r="C1479" i="5"/>
  <c r="C1478" i="5"/>
  <c r="C1477" i="5"/>
  <c r="C1476" i="5"/>
  <c r="C1475" i="5"/>
  <c r="C1474" i="5"/>
  <c r="C1473" i="5"/>
  <c r="C1472" i="5"/>
  <c r="C1471" i="5"/>
  <c r="C1470" i="5"/>
  <c r="C1469" i="5"/>
  <c r="C1468" i="5"/>
  <c r="C1467" i="5"/>
  <c r="C1466" i="5"/>
  <c r="C1465" i="5"/>
  <c r="C1464" i="5"/>
  <c r="C1463" i="5"/>
  <c r="C1462" i="5"/>
  <c r="C1461" i="5"/>
  <c r="C1460" i="5"/>
  <c r="C1459" i="5"/>
  <c r="C1458" i="5"/>
  <c r="C1457" i="5"/>
  <c r="C1456" i="5"/>
  <c r="C1455" i="5"/>
  <c r="C1454" i="5"/>
  <c r="C1453" i="5"/>
  <c r="C1452" i="5"/>
  <c r="C1451" i="5"/>
  <c r="C1450" i="5"/>
  <c r="C1449" i="5"/>
  <c r="C1448" i="5"/>
  <c r="C1447" i="5"/>
  <c r="C1446" i="5"/>
  <c r="C1445" i="5"/>
  <c r="C1444" i="5"/>
  <c r="C1443" i="5"/>
  <c r="C1442" i="5"/>
  <c r="C1441" i="5"/>
  <c r="C1440" i="5"/>
  <c r="C1439" i="5"/>
  <c r="C1438" i="5"/>
  <c r="C1437" i="5"/>
  <c r="C1436" i="5"/>
  <c r="C1435" i="5"/>
  <c r="C1434" i="5"/>
  <c r="C1433" i="5"/>
  <c r="C1432" i="5"/>
  <c r="C1431" i="5"/>
  <c r="C1430" i="5"/>
  <c r="C1429" i="5"/>
  <c r="C1428" i="5"/>
  <c r="C1427" i="5"/>
  <c r="C1426" i="5"/>
  <c r="C1425" i="5"/>
  <c r="C1424" i="5"/>
  <c r="C1423" i="5"/>
  <c r="C1422" i="5"/>
  <c r="C1421" i="5"/>
  <c r="C1420" i="5"/>
  <c r="C1419" i="5"/>
  <c r="C1418" i="5"/>
  <c r="C1417" i="5"/>
  <c r="C1416" i="5"/>
  <c r="C1415" i="5"/>
  <c r="C1414" i="5"/>
  <c r="C1413" i="5"/>
  <c r="C1412" i="5"/>
  <c r="C1411" i="5"/>
  <c r="C1410" i="5"/>
  <c r="C1409" i="5"/>
  <c r="C1408" i="5"/>
  <c r="C1407" i="5"/>
  <c r="C1406" i="5"/>
  <c r="C1405" i="5"/>
  <c r="C1404" i="5"/>
  <c r="C1403" i="5"/>
  <c r="C1402" i="5"/>
  <c r="C1401" i="5"/>
  <c r="C1400" i="5"/>
  <c r="C1399" i="5"/>
  <c r="C1398" i="5"/>
  <c r="C1397" i="5"/>
  <c r="C1396" i="5"/>
  <c r="C1395" i="5"/>
  <c r="C1394" i="5"/>
  <c r="C1393" i="5"/>
  <c r="C1392" i="5"/>
  <c r="C1391" i="5"/>
  <c r="C1390" i="5"/>
  <c r="C1389" i="5"/>
  <c r="C1388" i="5"/>
  <c r="C1387" i="5"/>
  <c r="C1386" i="5"/>
  <c r="C1385" i="5"/>
  <c r="C1384" i="5"/>
  <c r="C1383" i="5"/>
  <c r="C1382" i="5"/>
  <c r="C1381" i="5"/>
  <c r="C1380" i="5"/>
  <c r="C1379" i="5"/>
  <c r="C1378" i="5"/>
  <c r="C1377" i="5"/>
  <c r="C1376" i="5"/>
  <c r="C1375" i="5"/>
  <c r="C1374" i="5"/>
  <c r="C1373" i="5"/>
  <c r="C1372" i="5"/>
  <c r="C1371" i="5"/>
  <c r="C1370" i="5"/>
  <c r="C1369" i="5"/>
  <c r="C1368" i="5"/>
  <c r="C1367" i="5"/>
  <c r="C1366" i="5"/>
  <c r="C1365" i="5"/>
  <c r="C1364" i="5"/>
  <c r="C1363" i="5"/>
  <c r="C1362" i="5"/>
  <c r="C1361" i="5"/>
  <c r="C1360" i="5"/>
  <c r="C1359" i="5"/>
  <c r="C1358" i="5"/>
  <c r="C1357" i="5"/>
  <c r="C1356" i="5"/>
  <c r="C1355" i="5"/>
  <c r="C1354" i="5"/>
  <c r="C1353" i="5"/>
  <c r="C1352" i="5"/>
  <c r="C1351" i="5"/>
  <c r="C1350" i="5"/>
  <c r="C1349" i="5"/>
  <c r="C1348" i="5"/>
  <c r="C1347" i="5"/>
  <c r="C1346" i="5"/>
  <c r="C1345" i="5"/>
  <c r="C1344" i="5"/>
  <c r="C1343" i="5"/>
  <c r="C1342" i="5"/>
  <c r="C1341" i="5"/>
  <c r="C1340" i="5"/>
  <c r="C1339" i="5"/>
  <c r="C1338" i="5"/>
  <c r="C1337" i="5"/>
  <c r="C1336" i="5"/>
  <c r="C1335" i="5"/>
  <c r="C1334" i="5"/>
  <c r="C1333" i="5"/>
  <c r="C1332" i="5"/>
  <c r="C1331" i="5"/>
  <c r="C1330" i="5"/>
  <c r="C1329" i="5"/>
  <c r="C1328" i="5"/>
  <c r="C1327" i="5"/>
  <c r="C1326" i="5"/>
  <c r="C1325" i="5"/>
  <c r="C1324" i="5"/>
  <c r="C1323" i="5"/>
  <c r="C1322" i="5"/>
  <c r="C1321" i="5"/>
  <c r="C1320" i="5"/>
  <c r="C1319" i="5"/>
  <c r="C1318" i="5"/>
  <c r="C1317" i="5"/>
  <c r="C1316" i="5"/>
  <c r="C1315" i="5"/>
  <c r="C1314" i="5"/>
  <c r="C1313" i="5"/>
  <c r="C1312" i="5"/>
  <c r="C1311" i="5"/>
  <c r="C1310" i="5"/>
  <c r="C1309" i="5"/>
  <c r="C1308" i="5"/>
  <c r="C1307" i="5"/>
  <c r="C1306" i="5"/>
  <c r="C1305" i="5"/>
  <c r="C1304" i="5"/>
  <c r="C1303" i="5"/>
  <c r="C1302" i="5"/>
  <c r="C1301" i="5"/>
  <c r="C1300" i="5"/>
  <c r="C1299" i="5"/>
  <c r="C1298" i="5"/>
  <c r="C1297" i="5"/>
  <c r="C1296" i="5"/>
  <c r="C1295" i="5"/>
  <c r="C1294" i="5"/>
  <c r="C1293" i="5"/>
  <c r="C1292" i="5"/>
  <c r="C1291" i="5"/>
  <c r="C1290" i="5"/>
  <c r="C1289" i="5"/>
  <c r="C1288" i="5"/>
  <c r="C1287" i="5"/>
  <c r="C1286" i="5"/>
  <c r="C1285" i="5"/>
  <c r="C1284" i="5"/>
  <c r="C1283" i="5"/>
  <c r="C1282" i="5"/>
  <c r="C1281" i="5"/>
  <c r="C1280" i="5"/>
  <c r="C1279" i="5"/>
  <c r="C1278" i="5"/>
  <c r="C1277" i="5"/>
  <c r="C1276" i="5"/>
  <c r="C1275" i="5"/>
  <c r="C1274" i="5"/>
  <c r="C1273" i="5"/>
  <c r="C1272" i="5"/>
  <c r="C1271" i="5"/>
  <c r="C1270" i="5"/>
  <c r="C1269" i="5"/>
  <c r="C1268" i="5"/>
  <c r="C1267" i="5"/>
  <c r="C1266" i="5"/>
  <c r="C1265" i="5"/>
  <c r="C1264" i="5"/>
  <c r="C1263" i="5"/>
  <c r="C1262" i="5"/>
  <c r="C1261" i="5"/>
  <c r="C1260" i="5"/>
  <c r="C1259" i="5"/>
  <c r="C1258" i="5"/>
  <c r="C1257" i="5"/>
  <c r="C1256" i="5"/>
  <c r="C1255" i="5"/>
  <c r="C1254" i="5"/>
  <c r="C1253" i="5"/>
  <c r="C1252" i="5"/>
  <c r="C1251" i="5"/>
  <c r="C1250" i="5"/>
  <c r="C1249" i="5"/>
  <c r="C1248" i="5"/>
  <c r="C1247" i="5"/>
  <c r="C1246" i="5"/>
  <c r="C1245" i="5"/>
  <c r="C1244" i="5"/>
  <c r="C1243" i="5"/>
  <c r="C1242" i="5"/>
  <c r="C1241" i="5"/>
  <c r="C1240" i="5"/>
  <c r="C1239" i="5"/>
  <c r="C1238" i="5"/>
  <c r="C1237" i="5"/>
  <c r="C1236" i="5"/>
  <c r="C1235" i="5"/>
  <c r="C1234" i="5"/>
  <c r="C1233" i="5"/>
  <c r="C1232" i="5"/>
  <c r="C1231" i="5"/>
  <c r="C1230" i="5"/>
  <c r="C1229" i="5"/>
  <c r="C1228" i="5"/>
  <c r="C1227" i="5"/>
  <c r="C1226" i="5"/>
  <c r="C1225" i="5"/>
  <c r="C1224" i="5"/>
  <c r="C1223" i="5"/>
  <c r="C1222" i="5"/>
  <c r="C1221" i="5"/>
  <c r="C1220" i="5"/>
  <c r="C1219" i="5"/>
  <c r="C1218" i="5"/>
  <c r="C1217" i="5"/>
  <c r="C1216" i="5"/>
  <c r="C1215" i="5"/>
  <c r="C1214" i="5"/>
  <c r="C1213" i="5"/>
  <c r="C1212" i="5"/>
  <c r="C1211" i="5"/>
  <c r="C1210" i="5"/>
  <c r="C1209" i="5"/>
  <c r="C1208" i="5"/>
  <c r="C1207" i="5"/>
  <c r="C1206" i="5"/>
  <c r="C1205" i="5"/>
  <c r="C1204" i="5"/>
  <c r="C1203" i="5"/>
  <c r="C1202" i="5"/>
  <c r="C1201" i="5"/>
  <c r="C1200" i="5"/>
  <c r="C1199" i="5"/>
  <c r="C1198" i="5"/>
  <c r="C1197" i="5"/>
  <c r="C1196" i="5"/>
  <c r="C1195" i="5"/>
  <c r="C1194" i="5"/>
  <c r="C1193" i="5"/>
  <c r="C1192" i="5"/>
  <c r="C1191" i="5"/>
  <c r="C1190" i="5"/>
  <c r="C1189" i="5"/>
  <c r="C1188" i="5"/>
  <c r="C1187" i="5"/>
  <c r="C1186" i="5"/>
  <c r="C1185" i="5"/>
  <c r="C1184" i="5"/>
  <c r="C1183" i="5"/>
  <c r="C1182" i="5"/>
  <c r="C1181" i="5"/>
  <c r="C1180" i="5"/>
  <c r="C1179" i="5"/>
  <c r="C1178" i="5"/>
  <c r="C1177" i="5"/>
  <c r="C1176" i="5"/>
  <c r="C1175" i="5"/>
  <c r="C1174" i="5"/>
  <c r="C1173" i="5"/>
  <c r="C1172" i="5"/>
  <c r="C1171" i="5"/>
  <c r="C1170" i="5"/>
  <c r="C1169" i="5"/>
  <c r="C1168" i="5"/>
  <c r="C1167" i="5"/>
  <c r="C1166" i="5"/>
  <c r="C1165" i="5"/>
  <c r="C1164" i="5"/>
  <c r="C1163" i="5"/>
  <c r="C1162" i="5"/>
  <c r="C1161" i="5"/>
  <c r="C1160" i="5"/>
  <c r="C1159" i="5"/>
  <c r="C1158" i="5"/>
  <c r="C1157" i="5"/>
  <c r="C1156" i="5"/>
  <c r="C1155" i="5"/>
  <c r="C1154" i="5"/>
  <c r="C1153" i="5"/>
  <c r="C1152" i="5"/>
  <c r="C1151" i="5"/>
  <c r="C1150" i="5"/>
  <c r="C1149" i="5"/>
  <c r="C1148" i="5"/>
  <c r="C1147" i="5"/>
  <c r="C1146" i="5"/>
  <c r="C1145" i="5"/>
  <c r="C1144" i="5"/>
  <c r="C1143" i="5"/>
  <c r="C1142" i="5"/>
  <c r="C1141" i="5"/>
  <c r="C1140" i="5"/>
  <c r="C1139" i="5"/>
  <c r="C1138" i="5"/>
  <c r="C1137" i="5"/>
  <c r="C1136" i="5"/>
  <c r="C1135" i="5"/>
  <c r="C1134" i="5"/>
  <c r="C1133" i="5"/>
  <c r="C1132" i="5"/>
  <c r="C1131" i="5"/>
  <c r="C1130" i="5"/>
  <c r="C1129" i="5"/>
  <c r="C1128" i="5"/>
  <c r="C1127" i="5"/>
  <c r="C1126" i="5"/>
  <c r="C1125" i="5"/>
  <c r="C1124" i="5"/>
  <c r="C1123" i="5"/>
  <c r="C1122" i="5"/>
  <c r="C1121" i="5"/>
  <c r="C1120" i="5"/>
  <c r="C1119" i="5"/>
  <c r="C1118" i="5"/>
  <c r="C1117" i="5"/>
  <c r="C1116" i="5"/>
  <c r="C1115" i="5"/>
  <c r="C1114" i="5"/>
  <c r="C1113" i="5"/>
  <c r="C1112" i="5"/>
  <c r="C1111" i="5"/>
  <c r="C1110" i="5"/>
  <c r="C1109" i="5"/>
  <c r="C1108" i="5"/>
  <c r="C1107" i="5"/>
  <c r="C1106" i="5"/>
  <c r="C1105" i="5"/>
  <c r="C1104" i="5"/>
  <c r="C1103" i="5"/>
  <c r="C1102" i="5"/>
  <c r="C1101" i="5"/>
  <c r="C1100" i="5"/>
  <c r="C1099" i="5"/>
  <c r="C1098" i="5"/>
  <c r="C1097" i="5"/>
  <c r="C1096" i="5"/>
  <c r="C1095" i="5"/>
  <c r="C1094" i="5"/>
  <c r="C1093" i="5"/>
  <c r="C1092" i="5"/>
  <c r="C1091" i="5"/>
  <c r="C1090" i="5"/>
  <c r="C1089" i="5"/>
  <c r="C1088" i="5"/>
  <c r="C1087" i="5"/>
  <c r="C1086" i="5"/>
  <c r="C1085" i="5"/>
  <c r="C1084" i="5"/>
  <c r="C1083" i="5"/>
  <c r="C1082" i="5"/>
  <c r="C1081" i="5"/>
  <c r="C1080" i="5"/>
  <c r="C1079" i="5"/>
  <c r="C1078" i="5"/>
  <c r="C1077" i="5"/>
  <c r="C1076" i="5"/>
  <c r="C1075" i="5"/>
  <c r="C1074" i="5"/>
  <c r="C1073" i="5"/>
  <c r="C1072" i="5"/>
  <c r="C1071" i="5"/>
  <c r="C1070" i="5"/>
  <c r="C1069" i="5"/>
  <c r="C1068" i="5"/>
  <c r="C1067" i="5"/>
  <c r="C1066" i="5"/>
  <c r="C1065" i="5"/>
  <c r="C1064" i="5"/>
  <c r="C1063" i="5"/>
  <c r="C1062" i="5"/>
  <c r="C1061" i="5"/>
  <c r="C1060" i="5"/>
  <c r="C1059" i="5"/>
  <c r="C1058" i="5"/>
  <c r="C1057" i="5"/>
  <c r="C1056" i="5"/>
  <c r="C1055" i="5"/>
  <c r="C1054" i="5"/>
  <c r="C1053" i="5"/>
  <c r="C1052" i="5"/>
  <c r="C1051" i="5"/>
  <c r="C1050" i="5"/>
  <c r="C1049" i="5"/>
  <c r="C1048" i="5"/>
  <c r="C1047" i="5"/>
  <c r="C1046" i="5"/>
  <c r="C1045" i="5"/>
  <c r="C1044" i="5"/>
  <c r="C1043" i="5"/>
  <c r="C1042" i="5"/>
  <c r="C1041" i="5"/>
  <c r="C1040" i="5"/>
  <c r="C1039" i="5"/>
  <c r="C1038" i="5"/>
  <c r="C1037" i="5"/>
  <c r="C1036" i="5"/>
  <c r="C1035" i="5"/>
  <c r="C1034" i="5"/>
  <c r="C1033" i="5"/>
  <c r="C1032" i="5"/>
  <c r="C1031" i="5"/>
  <c r="C1030" i="5"/>
  <c r="C1029" i="5"/>
  <c r="C1028" i="5"/>
  <c r="C1027" i="5"/>
  <c r="C1026" i="5"/>
  <c r="C1025" i="5"/>
  <c r="C1024" i="5"/>
  <c r="C1023" i="5"/>
  <c r="C1022" i="5"/>
  <c r="C1021" i="5"/>
  <c r="C1020" i="5"/>
  <c r="C1019" i="5"/>
  <c r="C1018" i="5"/>
  <c r="C1017" i="5"/>
  <c r="C1016" i="5"/>
  <c r="C1015" i="5"/>
  <c r="C1014" i="5"/>
  <c r="C1013" i="5"/>
  <c r="C1012" i="5"/>
  <c r="C1011" i="5"/>
  <c r="C1010" i="5"/>
  <c r="C1009" i="5"/>
  <c r="C1008" i="5"/>
  <c r="C1007" i="5"/>
  <c r="C1006" i="5"/>
  <c r="C1005" i="5"/>
  <c r="C1004" i="5"/>
  <c r="C1003" i="5"/>
  <c r="C1002" i="5"/>
  <c r="C1001" i="5"/>
  <c r="C1000" i="5"/>
  <c r="C999" i="5"/>
  <c r="C998" i="5"/>
  <c r="C997" i="5"/>
  <c r="C996" i="5"/>
  <c r="C995" i="5"/>
  <c r="C994" i="5"/>
  <c r="C993" i="5"/>
  <c r="C992" i="5"/>
  <c r="C991" i="5"/>
  <c r="C990" i="5"/>
  <c r="C989" i="5"/>
  <c r="C988" i="5"/>
  <c r="C987" i="5"/>
  <c r="C986" i="5"/>
  <c r="C985" i="5"/>
  <c r="C984" i="5"/>
  <c r="C983" i="5"/>
  <c r="C982" i="5"/>
  <c r="C981" i="5"/>
  <c r="C980" i="5"/>
  <c r="C979" i="5"/>
  <c r="C978" i="5"/>
  <c r="C977" i="5"/>
  <c r="C976" i="5"/>
  <c r="C975" i="5"/>
  <c r="C974" i="5"/>
  <c r="C973" i="5"/>
  <c r="C972" i="5"/>
  <c r="C971" i="5"/>
  <c r="C970" i="5"/>
  <c r="C969" i="5"/>
  <c r="C968" i="5"/>
  <c r="C967" i="5"/>
  <c r="C966" i="5"/>
  <c r="C965" i="5"/>
  <c r="C964" i="5"/>
  <c r="C963" i="5"/>
  <c r="C962" i="5"/>
  <c r="C961" i="5"/>
  <c r="C960" i="5"/>
  <c r="C959" i="5"/>
  <c r="C958" i="5"/>
  <c r="C957" i="5"/>
  <c r="C956" i="5"/>
  <c r="C955" i="5"/>
  <c r="C954" i="5"/>
  <c r="C953" i="5"/>
  <c r="C952" i="5"/>
  <c r="C951" i="5"/>
  <c r="C950" i="5"/>
  <c r="C949" i="5"/>
  <c r="C948" i="5"/>
  <c r="C947" i="5"/>
  <c r="C946" i="5"/>
  <c r="C945" i="5"/>
  <c r="C944" i="5"/>
  <c r="C943" i="5"/>
  <c r="C942" i="5"/>
  <c r="C941" i="5"/>
  <c r="C940" i="5"/>
  <c r="C939" i="5"/>
  <c r="C938" i="5"/>
  <c r="C937" i="5"/>
  <c r="C936" i="5"/>
  <c r="C935" i="5"/>
  <c r="C934" i="5"/>
  <c r="C933" i="5"/>
  <c r="C932" i="5"/>
  <c r="C931" i="5"/>
  <c r="C930" i="5"/>
  <c r="C929" i="5"/>
  <c r="C928" i="5"/>
  <c r="C927" i="5"/>
  <c r="C926" i="5"/>
  <c r="C925" i="5"/>
  <c r="C924" i="5"/>
  <c r="C923" i="5"/>
  <c r="C922" i="5"/>
  <c r="C921" i="5"/>
  <c r="C920" i="5"/>
  <c r="C919" i="5"/>
  <c r="C918" i="5"/>
  <c r="C917" i="5"/>
  <c r="C916" i="5"/>
  <c r="C915" i="5"/>
  <c r="C914" i="5"/>
  <c r="C913" i="5"/>
  <c r="C912" i="5"/>
  <c r="C911" i="5"/>
  <c r="C910" i="5"/>
  <c r="C909" i="5"/>
  <c r="C908" i="5"/>
  <c r="C907" i="5"/>
  <c r="C906" i="5"/>
  <c r="C905" i="5"/>
  <c r="C904" i="5"/>
  <c r="C903" i="5"/>
  <c r="C902" i="5"/>
  <c r="C901" i="5"/>
  <c r="C900" i="5"/>
  <c r="C899" i="5"/>
  <c r="C898" i="5"/>
  <c r="C897" i="5"/>
  <c r="C896" i="5"/>
  <c r="C895" i="5"/>
  <c r="C894" i="5"/>
  <c r="C893" i="5"/>
  <c r="C892" i="5"/>
  <c r="C891" i="5"/>
  <c r="C890" i="5"/>
  <c r="C889" i="5"/>
  <c r="C888" i="5"/>
  <c r="C887" i="5"/>
  <c r="C886" i="5"/>
  <c r="C885" i="5"/>
  <c r="C884" i="5"/>
  <c r="C883" i="5"/>
  <c r="C882" i="5"/>
  <c r="C881" i="5"/>
  <c r="C880" i="5"/>
  <c r="C879" i="5"/>
  <c r="C878" i="5"/>
  <c r="C877" i="5"/>
  <c r="C876" i="5"/>
  <c r="C875" i="5"/>
  <c r="C874" i="5"/>
  <c r="C873" i="5"/>
  <c r="C872" i="5"/>
  <c r="C871" i="5"/>
  <c r="C870" i="5"/>
  <c r="C869" i="5"/>
  <c r="C868" i="5"/>
  <c r="C867" i="5"/>
  <c r="C866" i="5"/>
  <c r="C865" i="5"/>
  <c r="C864" i="5"/>
  <c r="C863" i="5"/>
  <c r="C862" i="5"/>
  <c r="C861" i="5"/>
  <c r="C860" i="5"/>
  <c r="C859" i="5"/>
  <c r="C858" i="5"/>
  <c r="C857" i="5"/>
  <c r="C856" i="5"/>
  <c r="C855" i="5"/>
  <c r="C854" i="5"/>
  <c r="C853" i="5"/>
  <c r="C852" i="5"/>
  <c r="C851" i="5"/>
  <c r="C850" i="5"/>
  <c r="C849" i="5"/>
  <c r="C848" i="5"/>
  <c r="C847" i="5"/>
  <c r="C846" i="5"/>
  <c r="C845" i="5"/>
  <c r="C844" i="5"/>
  <c r="C843" i="5"/>
  <c r="C842" i="5"/>
  <c r="C841" i="5"/>
  <c r="C840" i="5"/>
  <c r="C839" i="5"/>
  <c r="C838" i="5"/>
  <c r="C837" i="5"/>
  <c r="C836" i="5"/>
  <c r="C835" i="5"/>
  <c r="C834" i="5"/>
  <c r="C833" i="5"/>
  <c r="C832" i="5"/>
  <c r="C831" i="5"/>
  <c r="C830" i="5"/>
  <c r="C829" i="5"/>
  <c r="C828" i="5"/>
  <c r="C827" i="5"/>
  <c r="C826" i="5"/>
  <c r="C825" i="5"/>
  <c r="C824" i="5"/>
  <c r="C823" i="5"/>
  <c r="C822" i="5"/>
  <c r="C821" i="5"/>
  <c r="C820" i="5"/>
  <c r="C819" i="5"/>
  <c r="C818" i="5"/>
  <c r="C817" i="5"/>
  <c r="C816" i="5"/>
  <c r="C815" i="5"/>
  <c r="C814" i="5"/>
  <c r="C813" i="5"/>
  <c r="C812" i="5"/>
  <c r="C811" i="5"/>
  <c r="C810" i="5"/>
  <c r="C809" i="5"/>
  <c r="C808" i="5"/>
  <c r="C807" i="5"/>
  <c r="C806" i="5"/>
  <c r="C805" i="5"/>
  <c r="C804" i="5"/>
  <c r="C803" i="5"/>
  <c r="C802" i="5"/>
  <c r="C801" i="5"/>
  <c r="C800" i="5"/>
  <c r="C799" i="5"/>
  <c r="C798" i="5"/>
  <c r="C797" i="5"/>
  <c r="C796" i="5"/>
  <c r="C795" i="5"/>
  <c r="C794" i="5"/>
  <c r="C793" i="5"/>
  <c r="C792" i="5"/>
  <c r="C791" i="5"/>
  <c r="C790" i="5"/>
  <c r="C789" i="5"/>
  <c r="C788" i="5"/>
  <c r="C787" i="5"/>
  <c r="C786" i="5"/>
  <c r="C785" i="5"/>
  <c r="C784" i="5"/>
  <c r="C783" i="5"/>
  <c r="C782" i="5"/>
  <c r="C781" i="5"/>
  <c r="C780" i="5"/>
  <c r="C779" i="5"/>
  <c r="C778" i="5"/>
  <c r="C777" i="5"/>
  <c r="C776" i="5"/>
  <c r="C775" i="5"/>
  <c r="C774" i="5"/>
  <c r="C773" i="5"/>
  <c r="C772" i="5"/>
  <c r="C771" i="5"/>
  <c r="C770" i="5"/>
  <c r="C769" i="5"/>
  <c r="C768" i="5"/>
  <c r="C767" i="5"/>
  <c r="C766" i="5"/>
  <c r="C765" i="5"/>
  <c r="C764" i="5"/>
  <c r="C763" i="5"/>
  <c r="C762" i="5"/>
  <c r="C761" i="5"/>
  <c r="C760" i="5"/>
  <c r="C759" i="5"/>
  <c r="C758" i="5"/>
  <c r="C757" i="5"/>
  <c r="C756" i="5"/>
  <c r="C755" i="5"/>
  <c r="C754" i="5"/>
  <c r="C753" i="5"/>
  <c r="C752" i="5"/>
  <c r="C751" i="5"/>
  <c r="C750" i="5"/>
  <c r="C749" i="5"/>
  <c r="C748" i="5"/>
  <c r="C747" i="5"/>
  <c r="C746" i="5"/>
  <c r="C745" i="5"/>
  <c r="C744" i="5"/>
  <c r="C743" i="5"/>
  <c r="C742" i="5"/>
  <c r="C741" i="5"/>
  <c r="C740" i="5"/>
  <c r="C739" i="5"/>
  <c r="C738" i="5"/>
  <c r="C737" i="5"/>
  <c r="C736" i="5"/>
  <c r="C735" i="5"/>
  <c r="C734" i="5"/>
  <c r="C733" i="5"/>
  <c r="C732" i="5"/>
  <c r="C731" i="5"/>
  <c r="C730" i="5"/>
  <c r="C729" i="5"/>
  <c r="C728" i="5"/>
  <c r="C727" i="5"/>
  <c r="C726" i="5"/>
  <c r="C725" i="5"/>
  <c r="C724" i="5"/>
  <c r="C723" i="5"/>
  <c r="C722" i="5"/>
  <c r="C721" i="5"/>
  <c r="C720" i="5"/>
  <c r="C719" i="5"/>
  <c r="C718" i="5"/>
  <c r="C717" i="5"/>
  <c r="C716" i="5"/>
  <c r="C715" i="5"/>
  <c r="C714" i="5"/>
  <c r="C713" i="5"/>
  <c r="C712" i="5"/>
  <c r="C711" i="5"/>
  <c r="C710" i="5"/>
  <c r="C709" i="5"/>
  <c r="C708" i="5"/>
  <c r="C707" i="5"/>
  <c r="C706" i="5"/>
  <c r="C705" i="5"/>
  <c r="C704" i="5"/>
  <c r="C703" i="5"/>
  <c r="C702" i="5"/>
  <c r="C701" i="5"/>
  <c r="C700" i="5"/>
  <c r="C699" i="5"/>
  <c r="C698" i="5"/>
  <c r="C697" i="5"/>
  <c r="C696" i="5"/>
  <c r="C695" i="5"/>
  <c r="C694" i="5"/>
  <c r="C693" i="5"/>
  <c r="C692" i="5"/>
  <c r="C691" i="5"/>
  <c r="C690" i="5"/>
  <c r="C689" i="5"/>
  <c r="C688" i="5"/>
  <c r="C687" i="5"/>
  <c r="C686" i="5"/>
  <c r="C685" i="5"/>
  <c r="C684" i="5"/>
  <c r="C683" i="5"/>
  <c r="C682" i="5"/>
  <c r="C681" i="5"/>
  <c r="C680" i="5"/>
  <c r="C679" i="5"/>
  <c r="C678" i="5"/>
  <c r="C677" i="5"/>
  <c r="C676" i="5"/>
  <c r="C675" i="5"/>
  <c r="C674" i="5"/>
  <c r="C673" i="5"/>
  <c r="C672" i="5"/>
  <c r="C671" i="5"/>
  <c r="C670" i="5"/>
  <c r="C669" i="5"/>
  <c r="C668" i="5"/>
  <c r="C667" i="5"/>
  <c r="C666" i="5"/>
  <c r="C665" i="5"/>
  <c r="C664" i="5"/>
  <c r="C663" i="5"/>
  <c r="C662" i="5"/>
  <c r="C661" i="5"/>
  <c r="C660" i="5"/>
  <c r="C659" i="5"/>
  <c r="C658" i="5"/>
  <c r="C657" i="5"/>
  <c r="C656" i="5"/>
  <c r="C655" i="5"/>
  <c r="C654" i="5"/>
  <c r="C653" i="5"/>
  <c r="C652" i="5"/>
  <c r="C651" i="5"/>
  <c r="C650" i="5"/>
  <c r="C649" i="5"/>
  <c r="C648" i="5"/>
  <c r="C647" i="5"/>
  <c r="C646" i="5"/>
  <c r="C645" i="5"/>
  <c r="C644" i="5"/>
  <c r="C643" i="5"/>
  <c r="C642" i="5"/>
  <c r="C641" i="5"/>
  <c r="C640" i="5"/>
  <c r="C639" i="5"/>
  <c r="C638" i="5"/>
  <c r="C637" i="5"/>
  <c r="C636" i="5"/>
  <c r="C635" i="5"/>
  <c r="C634" i="5"/>
  <c r="C633" i="5"/>
  <c r="C632" i="5"/>
  <c r="C631" i="5"/>
  <c r="C630" i="5"/>
  <c r="C629" i="5"/>
  <c r="C628" i="5"/>
  <c r="C627" i="5"/>
  <c r="C626" i="5"/>
  <c r="C625" i="5"/>
  <c r="C624" i="5"/>
  <c r="C623" i="5"/>
  <c r="C622" i="5"/>
  <c r="C621" i="5"/>
  <c r="C620" i="5"/>
  <c r="C619" i="5"/>
  <c r="C618" i="5"/>
  <c r="C617" i="5"/>
  <c r="C616" i="5"/>
  <c r="C615" i="5"/>
  <c r="C614" i="5"/>
  <c r="C613" i="5"/>
  <c r="C612" i="5"/>
  <c r="C611" i="5"/>
  <c r="C610" i="5"/>
  <c r="C609" i="5"/>
  <c r="C608" i="5"/>
  <c r="C607" i="5"/>
  <c r="C606" i="5"/>
  <c r="C605" i="5"/>
  <c r="C604" i="5"/>
  <c r="C603" i="5"/>
  <c r="C602" i="5"/>
  <c r="C601" i="5"/>
  <c r="C600" i="5"/>
  <c r="C599" i="5"/>
  <c r="C598" i="5"/>
  <c r="C597" i="5"/>
  <c r="C596" i="5"/>
  <c r="C595" i="5"/>
  <c r="C594" i="5"/>
  <c r="C593" i="5"/>
  <c r="C592" i="5"/>
  <c r="C591" i="5"/>
  <c r="C590" i="5"/>
  <c r="C589" i="5"/>
  <c r="C588" i="5"/>
  <c r="C587" i="5"/>
  <c r="C586" i="5"/>
  <c r="C585" i="5"/>
  <c r="C584" i="5"/>
  <c r="C583" i="5"/>
  <c r="C582" i="5"/>
  <c r="C581" i="5"/>
  <c r="C580" i="5"/>
  <c r="C579" i="5"/>
  <c r="C578" i="5"/>
  <c r="C577" i="5"/>
  <c r="C576" i="5"/>
  <c r="C575" i="5"/>
  <c r="C574" i="5"/>
  <c r="C573" i="5"/>
  <c r="C572" i="5"/>
  <c r="C571" i="5"/>
  <c r="C570" i="5"/>
  <c r="C569" i="5"/>
  <c r="C568" i="5"/>
  <c r="C567" i="5"/>
  <c r="C566" i="5"/>
  <c r="C565" i="5"/>
  <c r="C564" i="5"/>
  <c r="C563" i="5"/>
  <c r="C562" i="5"/>
  <c r="C561" i="5"/>
  <c r="C560" i="5"/>
  <c r="C559" i="5"/>
  <c r="C558" i="5"/>
  <c r="C557" i="5"/>
  <c r="C556" i="5"/>
  <c r="C555" i="5"/>
  <c r="C554" i="5"/>
  <c r="C553" i="5"/>
  <c r="C552" i="5"/>
  <c r="C551" i="5"/>
  <c r="C550" i="5"/>
  <c r="C549" i="5"/>
  <c r="C548" i="5"/>
  <c r="C547" i="5"/>
  <c r="C546" i="5"/>
  <c r="C545" i="5"/>
  <c r="C544" i="5"/>
  <c r="C543" i="5"/>
  <c r="C542" i="5"/>
  <c r="C541" i="5"/>
  <c r="C540" i="5"/>
  <c r="C539" i="5"/>
  <c r="C538" i="5"/>
  <c r="C537" i="5"/>
  <c r="C536" i="5"/>
  <c r="C535" i="5"/>
  <c r="C534" i="5"/>
  <c r="C533" i="5"/>
  <c r="C532" i="5"/>
  <c r="C531" i="5"/>
  <c r="C530" i="5"/>
  <c r="C529" i="5"/>
  <c r="C528" i="5"/>
  <c r="C527" i="5"/>
  <c r="C526" i="5"/>
  <c r="C525" i="5"/>
  <c r="C524" i="5"/>
  <c r="C523" i="5"/>
  <c r="C522" i="5"/>
  <c r="C521" i="5"/>
  <c r="C520" i="5"/>
  <c r="C519" i="5"/>
  <c r="C518" i="5"/>
  <c r="C517" i="5"/>
  <c r="C516" i="5"/>
  <c r="C515" i="5"/>
  <c r="C514" i="5"/>
  <c r="C513" i="5"/>
  <c r="C512" i="5"/>
  <c r="C511" i="5"/>
  <c r="C510" i="5"/>
  <c r="C509" i="5"/>
  <c r="C508" i="5"/>
  <c r="C507" i="5"/>
  <c r="C506" i="5"/>
  <c r="C505" i="5"/>
  <c r="C504" i="5"/>
  <c r="C503" i="5"/>
  <c r="C502" i="5"/>
  <c r="C501" i="5"/>
  <c r="C500" i="5"/>
  <c r="C499" i="5"/>
  <c r="C498" i="5"/>
  <c r="C497" i="5"/>
  <c r="C496" i="5"/>
  <c r="C495" i="5"/>
  <c r="C494" i="5"/>
  <c r="C493" i="5"/>
  <c r="C492" i="5"/>
  <c r="C491" i="5"/>
  <c r="C490" i="5"/>
  <c r="C489" i="5"/>
  <c r="C488" i="5"/>
  <c r="C487" i="5"/>
  <c r="C486" i="5"/>
  <c r="C485" i="5"/>
  <c r="C484" i="5"/>
  <c r="C483" i="5"/>
  <c r="C482" i="5"/>
  <c r="C481" i="5"/>
  <c r="C480" i="5"/>
  <c r="C479" i="5"/>
  <c r="C478" i="5"/>
  <c r="C477" i="5"/>
  <c r="C476" i="5"/>
  <c r="C475" i="5"/>
  <c r="C474" i="5"/>
  <c r="C473" i="5"/>
  <c r="C472" i="5"/>
  <c r="C471" i="5"/>
  <c r="C470" i="5"/>
  <c r="C469" i="5"/>
  <c r="C468" i="5"/>
  <c r="C467" i="5"/>
  <c r="C466" i="5"/>
  <c r="C465" i="5"/>
  <c r="C464" i="5"/>
  <c r="C463" i="5"/>
  <c r="C462" i="5"/>
  <c r="C461" i="5"/>
  <c r="C460" i="5"/>
  <c r="C459" i="5"/>
  <c r="C458" i="5"/>
  <c r="C457" i="5"/>
  <c r="C456" i="5"/>
  <c r="C455" i="5"/>
  <c r="C454" i="5"/>
  <c r="C453" i="5"/>
  <c r="C452" i="5"/>
  <c r="C451" i="5"/>
  <c r="C450" i="5"/>
  <c r="C449" i="5"/>
  <c r="C448" i="5"/>
  <c r="C447" i="5"/>
  <c r="C446" i="5"/>
  <c r="C445" i="5"/>
  <c r="C444" i="5"/>
  <c r="C443" i="5"/>
  <c r="C442" i="5"/>
  <c r="C441" i="5"/>
  <c r="C440" i="5"/>
  <c r="C439" i="5"/>
  <c r="C438" i="5"/>
  <c r="C437" i="5"/>
  <c r="C436" i="5"/>
  <c r="C435" i="5"/>
  <c r="C434" i="5"/>
  <c r="C433" i="5"/>
  <c r="C432" i="5"/>
  <c r="C431" i="5"/>
  <c r="C430" i="5"/>
  <c r="C429" i="5"/>
  <c r="C428" i="5"/>
  <c r="C427" i="5"/>
  <c r="C426" i="5"/>
  <c r="C425" i="5"/>
  <c r="C424" i="5"/>
  <c r="C423" i="5"/>
  <c r="C422" i="5"/>
  <c r="C421" i="5"/>
  <c r="C420" i="5"/>
  <c r="C419" i="5"/>
  <c r="C418" i="5"/>
  <c r="C417" i="5"/>
  <c r="C416" i="5"/>
  <c r="C415" i="5"/>
  <c r="C414" i="5"/>
  <c r="C413" i="5"/>
  <c r="C412" i="5"/>
  <c r="C411" i="5"/>
  <c r="C410" i="5"/>
  <c r="C409" i="5"/>
  <c r="C408" i="5"/>
  <c r="C407" i="5"/>
  <c r="C406" i="5"/>
  <c r="C405" i="5"/>
  <c r="C404" i="5"/>
  <c r="C403" i="5"/>
  <c r="C402" i="5"/>
  <c r="C401" i="5"/>
  <c r="C400" i="5"/>
  <c r="C399" i="5"/>
  <c r="C398" i="5"/>
  <c r="C397" i="5"/>
  <c r="C396" i="5"/>
  <c r="C395" i="5"/>
  <c r="C394" i="5"/>
  <c r="C393" i="5"/>
  <c r="C392" i="5"/>
  <c r="C391" i="5"/>
  <c r="C390" i="5"/>
  <c r="C389" i="5"/>
  <c r="C388" i="5"/>
  <c r="C387" i="5"/>
  <c r="C386" i="5"/>
  <c r="C385" i="5"/>
  <c r="C384" i="5"/>
  <c r="C383" i="5"/>
  <c r="C382" i="5"/>
  <c r="C381" i="5"/>
  <c r="C380" i="5"/>
  <c r="C379" i="5"/>
  <c r="C378" i="5"/>
  <c r="C377" i="5"/>
  <c r="C376" i="5"/>
  <c r="C375" i="5"/>
  <c r="C374" i="5"/>
  <c r="C373" i="5"/>
  <c r="C372" i="5"/>
  <c r="C371" i="5"/>
  <c r="C370" i="5"/>
  <c r="C369" i="5"/>
  <c r="C368" i="5"/>
  <c r="C367" i="5"/>
  <c r="C366" i="5"/>
  <c r="C365" i="5"/>
  <c r="C364" i="5"/>
  <c r="C363" i="5"/>
  <c r="C362" i="5"/>
  <c r="C361" i="5"/>
  <c r="C360" i="5"/>
  <c r="C359" i="5"/>
  <c r="C358" i="5"/>
  <c r="C357" i="5"/>
  <c r="C356" i="5"/>
  <c r="C355" i="5"/>
  <c r="C354" i="5"/>
  <c r="C353" i="5"/>
  <c r="C352" i="5"/>
  <c r="C351" i="5"/>
  <c r="C350" i="5"/>
  <c r="C349" i="5"/>
  <c r="C348" i="5"/>
  <c r="C347" i="5"/>
  <c r="C346" i="5"/>
  <c r="C345" i="5"/>
  <c r="C344" i="5"/>
  <c r="C343" i="5"/>
  <c r="C342" i="5"/>
  <c r="C341" i="5"/>
  <c r="C340" i="5"/>
  <c r="C339" i="5"/>
  <c r="C338" i="5"/>
  <c r="C337" i="5"/>
  <c r="C336" i="5"/>
  <c r="C335" i="5"/>
  <c r="C334" i="5"/>
  <c r="C333" i="5"/>
  <c r="C332" i="5"/>
  <c r="C331" i="5"/>
  <c r="C330" i="5"/>
  <c r="C329" i="5"/>
  <c r="C328" i="5"/>
  <c r="C327" i="5"/>
  <c r="C326" i="5"/>
  <c r="C325" i="5"/>
  <c r="C324" i="5"/>
  <c r="C323" i="5"/>
  <c r="C322" i="5"/>
  <c r="C321" i="5"/>
  <c r="C320" i="5"/>
  <c r="C319" i="5"/>
  <c r="C318" i="5"/>
  <c r="C317" i="5"/>
  <c r="C316" i="5"/>
  <c r="C315" i="5"/>
  <c r="C314" i="5"/>
  <c r="C313" i="5"/>
  <c r="C312" i="5"/>
  <c r="C311" i="5"/>
  <c r="C310" i="5"/>
  <c r="C309" i="5"/>
  <c r="C308" i="5"/>
  <c r="C307" i="5"/>
  <c r="C306" i="5"/>
  <c r="C305" i="5"/>
  <c r="C304" i="5"/>
  <c r="C303" i="5"/>
  <c r="C302" i="5"/>
  <c r="C301" i="5"/>
  <c r="C300" i="5"/>
  <c r="C299" i="5"/>
  <c r="C298" i="5"/>
  <c r="C297" i="5"/>
  <c r="C296" i="5"/>
  <c r="C295" i="5"/>
  <c r="C294" i="5"/>
  <c r="C293" i="5"/>
  <c r="C292" i="5"/>
  <c r="C291" i="5"/>
  <c r="C290" i="5"/>
  <c r="C289" i="5"/>
  <c r="C288" i="5"/>
  <c r="C287" i="5"/>
  <c r="C286" i="5"/>
  <c r="C285" i="5"/>
  <c r="C284" i="5"/>
  <c r="C283" i="5"/>
  <c r="C282" i="5"/>
  <c r="C281" i="5"/>
  <c r="C280" i="5"/>
  <c r="C279" i="5"/>
  <c r="C278" i="5"/>
  <c r="C277" i="5"/>
  <c r="C276" i="5"/>
  <c r="C275" i="5"/>
  <c r="C274" i="5"/>
  <c r="C273" i="5"/>
  <c r="C272" i="5"/>
  <c r="C271" i="5"/>
  <c r="C270" i="5"/>
  <c r="C269" i="5"/>
  <c r="C268" i="5"/>
  <c r="C267" i="5"/>
  <c r="C266" i="5"/>
  <c r="C265" i="5"/>
  <c r="C264" i="5"/>
  <c r="C263" i="5"/>
  <c r="C262" i="5"/>
  <c r="C261" i="5"/>
  <c r="C260" i="5"/>
  <c r="C259" i="5"/>
  <c r="C258" i="5"/>
  <c r="C257" i="5"/>
  <c r="C256" i="5"/>
  <c r="C255" i="5"/>
  <c r="C254" i="5"/>
  <c r="C253" i="5"/>
  <c r="C252" i="5"/>
  <c r="C251" i="5"/>
  <c r="C250" i="5"/>
  <c r="C249" i="5"/>
  <c r="C248" i="5"/>
  <c r="C247" i="5"/>
  <c r="C246" i="5"/>
  <c r="C245" i="5"/>
  <c r="C244" i="5"/>
  <c r="C243" i="5"/>
  <c r="C242" i="5"/>
  <c r="C241" i="5"/>
  <c r="C240" i="5"/>
  <c r="C239" i="5"/>
  <c r="C238" i="5"/>
  <c r="C237" i="5"/>
  <c r="C236" i="5"/>
  <c r="C235" i="5"/>
  <c r="C234" i="5"/>
  <c r="C233" i="5"/>
  <c r="C232" i="5"/>
  <c r="C231" i="5"/>
  <c r="C230" i="5"/>
  <c r="C229" i="5"/>
  <c r="C228" i="5"/>
  <c r="C227" i="5"/>
  <c r="C226" i="5"/>
  <c r="C225" i="5"/>
  <c r="C224" i="5"/>
  <c r="C223" i="5"/>
  <c r="C222" i="5"/>
  <c r="C221" i="5"/>
  <c r="C220" i="5"/>
  <c r="C219" i="5"/>
  <c r="C218" i="5"/>
  <c r="C217" i="5"/>
  <c r="C216" i="5"/>
  <c r="C215" i="5"/>
  <c r="C214" i="5"/>
  <c r="C213" i="5"/>
  <c r="C212" i="5"/>
  <c r="C211" i="5"/>
  <c r="C210" i="5"/>
  <c r="C209" i="5"/>
  <c r="C208" i="5"/>
  <c r="C207" i="5"/>
  <c r="C206" i="5"/>
  <c r="C205" i="5"/>
  <c r="C204" i="5"/>
  <c r="C203" i="5"/>
  <c r="C202" i="5"/>
  <c r="C201" i="5"/>
  <c r="C200" i="5"/>
  <c r="C199" i="5"/>
  <c r="C198" i="5"/>
  <c r="C197" i="5"/>
  <c r="C196" i="5"/>
  <c r="C195" i="5"/>
  <c r="C194" i="5"/>
  <c r="C193" i="5"/>
  <c r="C192" i="5"/>
  <c r="C191" i="5"/>
  <c r="C190" i="5"/>
  <c r="C189" i="5"/>
  <c r="C188" i="5"/>
  <c r="C187" i="5"/>
  <c r="C186" i="5"/>
  <c r="C185" i="5"/>
  <c r="C184" i="5"/>
  <c r="C183" i="5"/>
  <c r="C182" i="5"/>
  <c r="C181" i="5"/>
  <c r="C180" i="5"/>
  <c r="C179" i="5"/>
  <c r="C178" i="5"/>
  <c r="C177" i="5"/>
  <c r="C176" i="5"/>
  <c r="C175" i="5"/>
  <c r="C174" i="5"/>
  <c r="C173" i="5"/>
  <c r="C172" i="5"/>
  <c r="C171" i="5"/>
  <c r="C170" i="5"/>
  <c r="C169" i="5"/>
  <c r="C168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4" i="4"/>
  <c r="I25" i="2"/>
  <c r="ALV4" i="2"/>
  <c r="ALV5" i="2" s="1"/>
  <c r="ALV6" i="2" s="1"/>
  <c r="ALV7" i="2" s="1"/>
  <c r="ALV8" i="2" s="1"/>
  <c r="ALV9" i="2" s="1"/>
  <c r="ALV10" i="2" s="1"/>
  <c r="ALV11" i="2" s="1"/>
  <c r="ALV12" i="2" s="1"/>
  <c r="ALV13" i="2" s="1"/>
  <c r="ALV14" i="2" s="1"/>
  <c r="ALV15" i="2" s="1"/>
  <c r="ALV16" i="2" s="1"/>
  <c r="ALV17" i="2" s="1"/>
  <c r="ALV18" i="2" s="1"/>
  <c r="ALV19" i="2" s="1"/>
  <c r="ALV20" i="2" s="1"/>
  <c r="ALV21" i="2" s="1"/>
  <c r="ALV22" i="2" s="1"/>
  <c r="ALV23" i="2" s="1"/>
  <c r="ALU4" i="2"/>
  <c r="ALU5" i="2" s="1"/>
  <c r="ALU6" i="2" s="1"/>
  <c r="ALU7" i="2" s="1"/>
  <c r="ALU8" i="2" s="1"/>
  <c r="ALU9" i="2" s="1"/>
  <c r="ALU10" i="2" s="1"/>
  <c r="ALU11" i="2" s="1"/>
  <c r="ALU12" i="2" s="1"/>
  <c r="ALU13" i="2" s="1"/>
  <c r="ALU14" i="2" s="1"/>
  <c r="ALU15" i="2" s="1"/>
  <c r="ALU16" i="2" s="1"/>
  <c r="ALU17" i="2" s="1"/>
  <c r="ALU18" i="2" s="1"/>
  <c r="ALU19" i="2" s="1"/>
  <c r="ALU20" i="2" s="1"/>
  <c r="ALU21" i="2" s="1"/>
  <c r="ALU22" i="2" s="1"/>
  <c r="ALU23" i="2" s="1"/>
  <c r="ALT4" i="2"/>
  <c r="ALT5" i="2" s="1"/>
  <c r="ALT6" i="2" s="1"/>
  <c r="ALT7" i="2" s="1"/>
  <c r="ALT8" i="2" s="1"/>
  <c r="ALT9" i="2" s="1"/>
  <c r="ALT10" i="2" s="1"/>
  <c r="ALT11" i="2" s="1"/>
  <c r="ALT12" i="2" s="1"/>
  <c r="ALT13" i="2" s="1"/>
  <c r="ALT14" i="2" s="1"/>
  <c r="ALT15" i="2" s="1"/>
  <c r="ALT16" i="2" s="1"/>
  <c r="ALT17" i="2" s="1"/>
  <c r="ALT18" i="2" s="1"/>
  <c r="ALT19" i="2" s="1"/>
  <c r="ALT20" i="2" s="1"/>
  <c r="ALT21" i="2" s="1"/>
  <c r="ALT22" i="2" s="1"/>
  <c r="ALT23" i="2" s="1"/>
  <c r="ALS4" i="2"/>
  <c r="ALS5" i="2" s="1"/>
  <c r="ALS6" i="2" s="1"/>
  <c r="ALS7" i="2" s="1"/>
  <c r="ALS8" i="2" s="1"/>
  <c r="ALS9" i="2" s="1"/>
  <c r="ALS10" i="2" s="1"/>
  <c r="ALS11" i="2" s="1"/>
  <c r="ALS12" i="2" s="1"/>
  <c r="ALS13" i="2" s="1"/>
  <c r="ALS14" i="2" s="1"/>
  <c r="ALS15" i="2" s="1"/>
  <c r="ALS16" i="2" s="1"/>
  <c r="ALS17" i="2" s="1"/>
  <c r="ALS18" i="2" s="1"/>
  <c r="ALS19" i="2" s="1"/>
  <c r="ALS20" i="2" s="1"/>
  <c r="ALS21" i="2" s="1"/>
  <c r="ALS22" i="2" s="1"/>
  <c r="ALS23" i="2" s="1"/>
  <c r="ALR4" i="2"/>
  <c r="ALR5" i="2" s="1"/>
  <c r="ALR6" i="2" s="1"/>
  <c r="ALR7" i="2" s="1"/>
  <c r="ALR8" i="2" s="1"/>
  <c r="ALR9" i="2" s="1"/>
  <c r="ALR10" i="2" s="1"/>
  <c r="ALR11" i="2" s="1"/>
  <c r="ALR12" i="2" s="1"/>
  <c r="ALR13" i="2" s="1"/>
  <c r="ALR14" i="2" s="1"/>
  <c r="ALR15" i="2" s="1"/>
  <c r="ALR16" i="2" s="1"/>
  <c r="ALR17" i="2" s="1"/>
  <c r="ALR18" i="2" s="1"/>
  <c r="ALR19" i="2" s="1"/>
  <c r="ALR20" i="2" s="1"/>
  <c r="ALR21" i="2" s="1"/>
  <c r="ALR22" i="2" s="1"/>
  <c r="ALR23" i="2" s="1"/>
  <c r="ALQ4" i="2"/>
  <c r="ALQ5" i="2" s="1"/>
  <c r="ALQ6" i="2" s="1"/>
  <c r="ALQ7" i="2" s="1"/>
  <c r="ALQ8" i="2" s="1"/>
  <c r="ALQ9" i="2" s="1"/>
  <c r="ALQ10" i="2" s="1"/>
  <c r="ALQ11" i="2" s="1"/>
  <c r="ALQ12" i="2" s="1"/>
  <c r="ALQ13" i="2" s="1"/>
  <c r="ALQ14" i="2" s="1"/>
  <c r="ALQ15" i="2" s="1"/>
  <c r="ALQ16" i="2" s="1"/>
  <c r="ALQ17" i="2" s="1"/>
  <c r="ALQ18" i="2" s="1"/>
  <c r="ALQ19" i="2" s="1"/>
  <c r="ALQ20" i="2" s="1"/>
  <c r="ALQ21" i="2" s="1"/>
  <c r="ALQ22" i="2" s="1"/>
  <c r="ALQ23" i="2" s="1"/>
  <c r="ALP4" i="2"/>
  <c r="ALP5" i="2" s="1"/>
  <c r="ALP6" i="2" s="1"/>
  <c r="ALP7" i="2" s="1"/>
  <c r="ALP8" i="2" s="1"/>
  <c r="ALP9" i="2" s="1"/>
  <c r="ALP10" i="2" s="1"/>
  <c r="ALP11" i="2" s="1"/>
  <c r="ALP12" i="2" s="1"/>
  <c r="ALP13" i="2" s="1"/>
  <c r="ALP14" i="2" s="1"/>
  <c r="ALP15" i="2" s="1"/>
  <c r="ALP16" i="2" s="1"/>
  <c r="ALP17" i="2" s="1"/>
  <c r="ALP18" i="2" s="1"/>
  <c r="ALP19" i="2" s="1"/>
  <c r="ALP20" i="2" s="1"/>
  <c r="ALP21" i="2" s="1"/>
  <c r="ALP22" i="2" s="1"/>
  <c r="ALP23" i="2" s="1"/>
  <c r="ALO4" i="2"/>
  <c r="ALO5" i="2" s="1"/>
  <c r="ALO6" i="2" s="1"/>
  <c r="ALO7" i="2" s="1"/>
  <c r="ALO8" i="2" s="1"/>
  <c r="ALO9" i="2" s="1"/>
  <c r="ALO10" i="2" s="1"/>
  <c r="ALO11" i="2" s="1"/>
  <c r="ALO12" i="2" s="1"/>
  <c r="ALO13" i="2" s="1"/>
  <c r="ALO14" i="2" s="1"/>
  <c r="ALO15" i="2" s="1"/>
  <c r="ALO16" i="2" s="1"/>
  <c r="ALO17" i="2" s="1"/>
  <c r="ALO18" i="2" s="1"/>
  <c r="ALO19" i="2" s="1"/>
  <c r="ALO20" i="2" s="1"/>
  <c r="ALO21" i="2" s="1"/>
  <c r="ALO22" i="2" s="1"/>
  <c r="ALO23" i="2" s="1"/>
  <c r="ALN4" i="2"/>
  <c r="ALN5" i="2" s="1"/>
  <c r="ALN6" i="2" s="1"/>
  <c r="ALN7" i="2" s="1"/>
  <c r="ALN8" i="2" s="1"/>
  <c r="ALN9" i="2" s="1"/>
  <c r="ALN10" i="2" s="1"/>
  <c r="ALN11" i="2" s="1"/>
  <c r="ALN12" i="2" s="1"/>
  <c r="ALN13" i="2" s="1"/>
  <c r="ALN14" i="2" s="1"/>
  <c r="ALN15" i="2" s="1"/>
  <c r="ALN16" i="2" s="1"/>
  <c r="ALN17" i="2" s="1"/>
  <c r="ALN18" i="2" s="1"/>
  <c r="ALN19" i="2" s="1"/>
  <c r="ALN20" i="2" s="1"/>
  <c r="ALN21" i="2" s="1"/>
  <c r="ALN22" i="2" s="1"/>
  <c r="ALN23" i="2" s="1"/>
  <c r="ALM4" i="2"/>
  <c r="ALM5" i="2" s="1"/>
  <c r="ALM6" i="2" s="1"/>
  <c r="ALM7" i="2" s="1"/>
  <c r="ALM8" i="2" s="1"/>
  <c r="ALM9" i="2" s="1"/>
  <c r="ALM10" i="2" s="1"/>
  <c r="ALM11" i="2" s="1"/>
  <c r="ALM12" i="2" s="1"/>
  <c r="ALM13" i="2" s="1"/>
  <c r="ALM14" i="2" s="1"/>
  <c r="ALM15" i="2" s="1"/>
  <c r="ALM16" i="2" s="1"/>
  <c r="ALM17" i="2" s="1"/>
  <c r="ALM18" i="2" s="1"/>
  <c r="ALM19" i="2" s="1"/>
  <c r="ALM20" i="2" s="1"/>
  <c r="ALM21" i="2" s="1"/>
  <c r="ALM22" i="2" s="1"/>
  <c r="ALM23" i="2" s="1"/>
  <c r="ALL4" i="2"/>
  <c r="ALL5" i="2" s="1"/>
  <c r="ALL6" i="2" s="1"/>
  <c r="ALL7" i="2" s="1"/>
  <c r="ALL8" i="2" s="1"/>
  <c r="ALL9" i="2" s="1"/>
  <c r="ALL10" i="2" s="1"/>
  <c r="ALL11" i="2" s="1"/>
  <c r="ALL12" i="2" s="1"/>
  <c r="ALL13" i="2" s="1"/>
  <c r="ALL14" i="2" s="1"/>
  <c r="ALL15" i="2" s="1"/>
  <c r="ALL16" i="2" s="1"/>
  <c r="ALL17" i="2" s="1"/>
  <c r="ALL18" i="2" s="1"/>
  <c r="ALL19" i="2" s="1"/>
  <c r="ALL20" i="2" s="1"/>
  <c r="ALL21" i="2" s="1"/>
  <c r="ALL22" i="2" s="1"/>
  <c r="ALL23" i="2" s="1"/>
  <c r="ALK4" i="2"/>
  <c r="ALK5" i="2" s="1"/>
  <c r="ALK6" i="2" s="1"/>
  <c r="ALK7" i="2" s="1"/>
  <c r="ALK8" i="2" s="1"/>
  <c r="ALK9" i="2" s="1"/>
  <c r="ALK10" i="2" s="1"/>
  <c r="ALK11" i="2" s="1"/>
  <c r="ALK12" i="2" s="1"/>
  <c r="ALK13" i="2" s="1"/>
  <c r="ALK14" i="2" s="1"/>
  <c r="ALK15" i="2" s="1"/>
  <c r="ALK16" i="2" s="1"/>
  <c r="ALK17" i="2" s="1"/>
  <c r="ALK18" i="2" s="1"/>
  <c r="ALK19" i="2" s="1"/>
  <c r="ALK20" i="2" s="1"/>
  <c r="ALK21" i="2" s="1"/>
  <c r="ALK22" i="2" s="1"/>
  <c r="ALK23" i="2" s="1"/>
  <c r="ALJ4" i="2"/>
  <c r="ALJ5" i="2" s="1"/>
  <c r="ALJ6" i="2" s="1"/>
  <c r="ALJ7" i="2" s="1"/>
  <c r="ALJ8" i="2" s="1"/>
  <c r="ALJ9" i="2" s="1"/>
  <c r="ALJ10" i="2" s="1"/>
  <c r="ALJ11" i="2" s="1"/>
  <c r="ALJ12" i="2" s="1"/>
  <c r="ALJ13" i="2" s="1"/>
  <c r="ALJ14" i="2" s="1"/>
  <c r="ALJ15" i="2" s="1"/>
  <c r="ALJ16" i="2" s="1"/>
  <c r="ALJ17" i="2" s="1"/>
  <c r="ALJ18" i="2" s="1"/>
  <c r="ALJ19" i="2" s="1"/>
  <c r="ALJ20" i="2" s="1"/>
  <c r="ALJ21" i="2" s="1"/>
  <c r="ALJ22" i="2" s="1"/>
  <c r="ALJ23" i="2" s="1"/>
  <c r="ALI4" i="2"/>
  <c r="ALI5" i="2" s="1"/>
  <c r="ALI6" i="2" s="1"/>
  <c r="ALI7" i="2" s="1"/>
  <c r="ALI8" i="2" s="1"/>
  <c r="ALI9" i="2" s="1"/>
  <c r="ALI10" i="2" s="1"/>
  <c r="ALI11" i="2" s="1"/>
  <c r="ALI12" i="2" s="1"/>
  <c r="ALI13" i="2" s="1"/>
  <c r="ALI14" i="2" s="1"/>
  <c r="ALI15" i="2" s="1"/>
  <c r="ALI16" i="2" s="1"/>
  <c r="ALI17" i="2" s="1"/>
  <c r="ALI18" i="2" s="1"/>
  <c r="ALI19" i="2" s="1"/>
  <c r="ALI20" i="2" s="1"/>
  <c r="ALI21" i="2" s="1"/>
  <c r="ALI22" i="2" s="1"/>
  <c r="ALI23" i="2" s="1"/>
  <c r="ALH4" i="2"/>
  <c r="ALH5" i="2" s="1"/>
  <c r="ALH6" i="2" s="1"/>
  <c r="ALH7" i="2" s="1"/>
  <c r="ALH8" i="2" s="1"/>
  <c r="ALH9" i="2" s="1"/>
  <c r="ALH10" i="2" s="1"/>
  <c r="ALH11" i="2" s="1"/>
  <c r="ALH12" i="2" s="1"/>
  <c r="ALH13" i="2" s="1"/>
  <c r="ALH14" i="2" s="1"/>
  <c r="ALH15" i="2" s="1"/>
  <c r="ALH16" i="2" s="1"/>
  <c r="ALH17" i="2" s="1"/>
  <c r="ALH18" i="2" s="1"/>
  <c r="ALH19" i="2" s="1"/>
  <c r="ALH20" i="2" s="1"/>
  <c r="ALH21" i="2" s="1"/>
  <c r="ALH22" i="2" s="1"/>
  <c r="ALH23" i="2" s="1"/>
  <c r="ALG4" i="2"/>
  <c r="ALG5" i="2" s="1"/>
  <c r="ALG6" i="2" s="1"/>
  <c r="ALG7" i="2" s="1"/>
  <c r="ALG8" i="2" s="1"/>
  <c r="ALG9" i="2" s="1"/>
  <c r="ALG10" i="2" s="1"/>
  <c r="ALG11" i="2" s="1"/>
  <c r="ALG12" i="2" s="1"/>
  <c r="ALG13" i="2" s="1"/>
  <c r="ALG14" i="2" s="1"/>
  <c r="ALG15" i="2" s="1"/>
  <c r="ALG16" i="2" s="1"/>
  <c r="ALG17" i="2" s="1"/>
  <c r="ALG18" i="2" s="1"/>
  <c r="ALG19" i="2" s="1"/>
  <c r="ALG20" i="2" s="1"/>
  <c r="ALG21" i="2" s="1"/>
  <c r="ALG22" i="2" s="1"/>
  <c r="ALG23" i="2" s="1"/>
  <c r="ALF4" i="2"/>
  <c r="ALF5" i="2" s="1"/>
  <c r="ALF6" i="2" s="1"/>
  <c r="ALF7" i="2" s="1"/>
  <c r="ALF8" i="2" s="1"/>
  <c r="ALF9" i="2" s="1"/>
  <c r="ALF10" i="2" s="1"/>
  <c r="ALF11" i="2" s="1"/>
  <c r="ALF12" i="2" s="1"/>
  <c r="ALF13" i="2" s="1"/>
  <c r="ALF14" i="2" s="1"/>
  <c r="ALF15" i="2" s="1"/>
  <c r="ALF16" i="2" s="1"/>
  <c r="ALF17" i="2" s="1"/>
  <c r="ALF18" i="2" s="1"/>
  <c r="ALF19" i="2" s="1"/>
  <c r="ALF20" i="2" s="1"/>
  <c r="ALF21" i="2" s="1"/>
  <c r="ALF22" i="2" s="1"/>
  <c r="ALF23" i="2" s="1"/>
  <c r="ALE4" i="2"/>
  <c r="ALE5" i="2" s="1"/>
  <c r="ALE6" i="2" s="1"/>
  <c r="ALE7" i="2" s="1"/>
  <c r="ALE8" i="2" s="1"/>
  <c r="ALE9" i="2" s="1"/>
  <c r="ALE10" i="2" s="1"/>
  <c r="ALE11" i="2" s="1"/>
  <c r="ALE12" i="2" s="1"/>
  <c r="ALE13" i="2" s="1"/>
  <c r="ALE14" i="2" s="1"/>
  <c r="ALE15" i="2" s="1"/>
  <c r="ALE16" i="2" s="1"/>
  <c r="ALE17" i="2" s="1"/>
  <c r="ALE18" i="2" s="1"/>
  <c r="ALE19" i="2" s="1"/>
  <c r="ALE20" i="2" s="1"/>
  <c r="ALE21" i="2" s="1"/>
  <c r="ALE22" i="2" s="1"/>
  <c r="ALE23" i="2" s="1"/>
  <c r="ALD4" i="2"/>
  <c r="ALD5" i="2" s="1"/>
  <c r="ALD6" i="2" s="1"/>
  <c r="ALD7" i="2" s="1"/>
  <c r="ALD8" i="2" s="1"/>
  <c r="ALD9" i="2" s="1"/>
  <c r="ALD10" i="2" s="1"/>
  <c r="ALD11" i="2" s="1"/>
  <c r="ALD12" i="2" s="1"/>
  <c r="ALD13" i="2" s="1"/>
  <c r="ALD14" i="2" s="1"/>
  <c r="ALD15" i="2" s="1"/>
  <c r="ALD16" i="2" s="1"/>
  <c r="ALD17" i="2" s="1"/>
  <c r="ALD18" i="2" s="1"/>
  <c r="ALD19" i="2" s="1"/>
  <c r="ALD20" i="2" s="1"/>
  <c r="ALD21" i="2" s="1"/>
  <c r="ALD22" i="2" s="1"/>
  <c r="ALD23" i="2" s="1"/>
  <c r="ALC4" i="2"/>
  <c r="ALC5" i="2" s="1"/>
  <c r="ALC6" i="2" s="1"/>
  <c r="ALC7" i="2" s="1"/>
  <c r="ALC8" i="2" s="1"/>
  <c r="ALC9" i="2" s="1"/>
  <c r="ALC10" i="2" s="1"/>
  <c r="ALC11" i="2" s="1"/>
  <c r="ALC12" i="2" s="1"/>
  <c r="ALC13" i="2" s="1"/>
  <c r="ALC14" i="2" s="1"/>
  <c r="ALC15" i="2" s="1"/>
  <c r="ALC16" i="2" s="1"/>
  <c r="ALC17" i="2" s="1"/>
  <c r="ALC18" i="2" s="1"/>
  <c r="ALC19" i="2" s="1"/>
  <c r="ALC20" i="2" s="1"/>
  <c r="ALC21" i="2" s="1"/>
  <c r="ALC22" i="2" s="1"/>
  <c r="ALC23" i="2" s="1"/>
  <c r="ALB4" i="2"/>
  <c r="ALB5" i="2" s="1"/>
  <c r="ALB6" i="2" s="1"/>
  <c r="ALB7" i="2" s="1"/>
  <c r="ALB8" i="2" s="1"/>
  <c r="ALB9" i="2" s="1"/>
  <c r="ALB10" i="2" s="1"/>
  <c r="ALB11" i="2" s="1"/>
  <c r="ALB12" i="2" s="1"/>
  <c r="ALB13" i="2" s="1"/>
  <c r="ALB14" i="2" s="1"/>
  <c r="ALB15" i="2" s="1"/>
  <c r="ALB16" i="2" s="1"/>
  <c r="ALB17" i="2" s="1"/>
  <c r="ALB18" i="2" s="1"/>
  <c r="ALB19" i="2" s="1"/>
  <c r="ALB20" i="2" s="1"/>
  <c r="ALB21" i="2" s="1"/>
  <c r="ALB22" i="2" s="1"/>
  <c r="ALB23" i="2" s="1"/>
  <c r="ALA4" i="2"/>
  <c r="ALA5" i="2" s="1"/>
  <c r="ALA6" i="2" s="1"/>
  <c r="ALA7" i="2" s="1"/>
  <c r="ALA8" i="2" s="1"/>
  <c r="ALA9" i="2" s="1"/>
  <c r="ALA10" i="2" s="1"/>
  <c r="ALA11" i="2" s="1"/>
  <c r="ALA12" i="2" s="1"/>
  <c r="ALA13" i="2" s="1"/>
  <c r="ALA14" i="2" s="1"/>
  <c r="ALA15" i="2" s="1"/>
  <c r="ALA16" i="2" s="1"/>
  <c r="ALA17" i="2" s="1"/>
  <c r="ALA18" i="2" s="1"/>
  <c r="ALA19" i="2" s="1"/>
  <c r="ALA20" i="2" s="1"/>
  <c r="ALA21" i="2" s="1"/>
  <c r="ALA22" i="2" s="1"/>
  <c r="ALA23" i="2" s="1"/>
  <c r="AKZ4" i="2"/>
  <c r="AKZ5" i="2" s="1"/>
  <c r="AKZ6" i="2" s="1"/>
  <c r="AKZ7" i="2" s="1"/>
  <c r="AKZ8" i="2" s="1"/>
  <c r="AKZ9" i="2" s="1"/>
  <c r="AKZ10" i="2" s="1"/>
  <c r="AKZ11" i="2" s="1"/>
  <c r="AKZ12" i="2" s="1"/>
  <c r="AKZ13" i="2" s="1"/>
  <c r="AKZ14" i="2" s="1"/>
  <c r="AKZ15" i="2" s="1"/>
  <c r="AKZ16" i="2" s="1"/>
  <c r="AKZ17" i="2" s="1"/>
  <c r="AKZ18" i="2" s="1"/>
  <c r="AKZ19" i="2" s="1"/>
  <c r="AKZ20" i="2" s="1"/>
  <c r="AKZ21" i="2" s="1"/>
  <c r="AKZ22" i="2" s="1"/>
  <c r="AKZ23" i="2" s="1"/>
  <c r="AKY4" i="2"/>
  <c r="AKY5" i="2" s="1"/>
  <c r="AKY6" i="2" s="1"/>
  <c r="AKY7" i="2" s="1"/>
  <c r="AKY8" i="2" s="1"/>
  <c r="AKY9" i="2" s="1"/>
  <c r="AKY10" i="2" s="1"/>
  <c r="AKY11" i="2" s="1"/>
  <c r="AKY12" i="2" s="1"/>
  <c r="AKY13" i="2" s="1"/>
  <c r="AKY14" i="2" s="1"/>
  <c r="AKY15" i="2" s="1"/>
  <c r="AKY16" i="2" s="1"/>
  <c r="AKY17" i="2" s="1"/>
  <c r="AKY18" i="2" s="1"/>
  <c r="AKY19" i="2" s="1"/>
  <c r="AKY20" i="2" s="1"/>
  <c r="AKY21" i="2" s="1"/>
  <c r="AKY22" i="2" s="1"/>
  <c r="AKY23" i="2" s="1"/>
  <c r="AKX4" i="2"/>
  <c r="AKX5" i="2" s="1"/>
  <c r="AKX6" i="2" s="1"/>
  <c r="AKX7" i="2" s="1"/>
  <c r="AKX8" i="2" s="1"/>
  <c r="AKX9" i="2" s="1"/>
  <c r="AKX10" i="2" s="1"/>
  <c r="AKX11" i="2" s="1"/>
  <c r="AKX12" i="2" s="1"/>
  <c r="AKX13" i="2" s="1"/>
  <c r="AKX14" i="2" s="1"/>
  <c r="AKX15" i="2" s="1"/>
  <c r="AKX16" i="2" s="1"/>
  <c r="AKX17" i="2" s="1"/>
  <c r="AKX18" i="2" s="1"/>
  <c r="AKX19" i="2" s="1"/>
  <c r="AKX20" i="2" s="1"/>
  <c r="AKX21" i="2" s="1"/>
  <c r="AKX22" i="2" s="1"/>
  <c r="AKX23" i="2" s="1"/>
  <c r="AKW4" i="2"/>
  <c r="AKW5" i="2" s="1"/>
  <c r="AKW6" i="2" s="1"/>
  <c r="AKW7" i="2" s="1"/>
  <c r="AKW8" i="2" s="1"/>
  <c r="AKW9" i="2" s="1"/>
  <c r="AKW10" i="2" s="1"/>
  <c r="AKW11" i="2" s="1"/>
  <c r="AKW12" i="2" s="1"/>
  <c r="AKW13" i="2" s="1"/>
  <c r="AKW14" i="2" s="1"/>
  <c r="AKW15" i="2" s="1"/>
  <c r="AKW16" i="2" s="1"/>
  <c r="AKW17" i="2" s="1"/>
  <c r="AKW18" i="2" s="1"/>
  <c r="AKW19" i="2" s="1"/>
  <c r="AKW20" i="2" s="1"/>
  <c r="AKW21" i="2" s="1"/>
  <c r="AKW22" i="2" s="1"/>
  <c r="AKW23" i="2" s="1"/>
  <c r="AKV4" i="2"/>
  <c r="AKV5" i="2" s="1"/>
  <c r="AKV6" i="2" s="1"/>
  <c r="AKV7" i="2" s="1"/>
  <c r="AKV8" i="2" s="1"/>
  <c r="AKV9" i="2" s="1"/>
  <c r="AKV10" i="2" s="1"/>
  <c r="AKV11" i="2" s="1"/>
  <c r="AKV12" i="2" s="1"/>
  <c r="AKV13" i="2" s="1"/>
  <c r="AKV14" i="2" s="1"/>
  <c r="AKV15" i="2" s="1"/>
  <c r="AKV16" i="2" s="1"/>
  <c r="AKV17" i="2" s="1"/>
  <c r="AKV18" i="2" s="1"/>
  <c r="AKV19" i="2" s="1"/>
  <c r="AKV20" i="2" s="1"/>
  <c r="AKV21" i="2" s="1"/>
  <c r="AKV22" i="2" s="1"/>
  <c r="AKV23" i="2" s="1"/>
  <c r="AKU4" i="2"/>
  <c r="AKU5" i="2" s="1"/>
  <c r="AKU6" i="2" s="1"/>
  <c r="AKU7" i="2" s="1"/>
  <c r="AKU8" i="2" s="1"/>
  <c r="AKU9" i="2" s="1"/>
  <c r="AKU10" i="2" s="1"/>
  <c r="AKU11" i="2" s="1"/>
  <c r="AKU12" i="2" s="1"/>
  <c r="AKU13" i="2" s="1"/>
  <c r="AKU14" i="2" s="1"/>
  <c r="AKU15" i="2" s="1"/>
  <c r="AKU16" i="2" s="1"/>
  <c r="AKU17" i="2" s="1"/>
  <c r="AKU18" i="2" s="1"/>
  <c r="AKU19" i="2" s="1"/>
  <c r="AKU20" i="2" s="1"/>
  <c r="AKU21" i="2" s="1"/>
  <c r="AKU22" i="2" s="1"/>
  <c r="AKU23" i="2" s="1"/>
  <c r="AKT4" i="2"/>
  <c r="AKT5" i="2" s="1"/>
  <c r="AKT6" i="2" s="1"/>
  <c r="AKT7" i="2" s="1"/>
  <c r="AKT8" i="2" s="1"/>
  <c r="AKT9" i="2" s="1"/>
  <c r="AKT10" i="2" s="1"/>
  <c r="AKT11" i="2" s="1"/>
  <c r="AKT12" i="2" s="1"/>
  <c r="AKT13" i="2" s="1"/>
  <c r="AKT14" i="2" s="1"/>
  <c r="AKT15" i="2" s="1"/>
  <c r="AKT16" i="2" s="1"/>
  <c r="AKT17" i="2" s="1"/>
  <c r="AKT18" i="2" s="1"/>
  <c r="AKT19" i="2" s="1"/>
  <c r="AKT20" i="2" s="1"/>
  <c r="AKT21" i="2" s="1"/>
  <c r="AKT22" i="2" s="1"/>
  <c r="AKT23" i="2" s="1"/>
  <c r="AKS4" i="2"/>
  <c r="AKS5" i="2" s="1"/>
  <c r="AKS6" i="2" s="1"/>
  <c r="AKS7" i="2" s="1"/>
  <c r="AKS8" i="2" s="1"/>
  <c r="AKS9" i="2" s="1"/>
  <c r="AKS10" i="2" s="1"/>
  <c r="AKS11" i="2" s="1"/>
  <c r="AKS12" i="2" s="1"/>
  <c r="AKS13" i="2" s="1"/>
  <c r="AKS14" i="2" s="1"/>
  <c r="AKS15" i="2" s="1"/>
  <c r="AKS16" i="2" s="1"/>
  <c r="AKS17" i="2" s="1"/>
  <c r="AKS18" i="2" s="1"/>
  <c r="AKS19" i="2" s="1"/>
  <c r="AKS20" i="2" s="1"/>
  <c r="AKS21" i="2" s="1"/>
  <c r="AKS22" i="2" s="1"/>
  <c r="AKS23" i="2" s="1"/>
  <c r="AKR4" i="2"/>
  <c r="AKR5" i="2" s="1"/>
  <c r="AKR6" i="2" s="1"/>
  <c r="AKR7" i="2" s="1"/>
  <c r="AKR8" i="2" s="1"/>
  <c r="AKR9" i="2" s="1"/>
  <c r="AKR10" i="2" s="1"/>
  <c r="AKR11" i="2" s="1"/>
  <c r="AKR12" i="2" s="1"/>
  <c r="AKR13" i="2" s="1"/>
  <c r="AKR14" i="2" s="1"/>
  <c r="AKR15" i="2" s="1"/>
  <c r="AKR16" i="2" s="1"/>
  <c r="AKR17" i="2" s="1"/>
  <c r="AKR18" i="2" s="1"/>
  <c r="AKR19" i="2" s="1"/>
  <c r="AKR20" i="2" s="1"/>
  <c r="AKR21" i="2" s="1"/>
  <c r="AKR22" i="2" s="1"/>
  <c r="AKR23" i="2" s="1"/>
  <c r="AKQ4" i="2"/>
  <c r="AKQ5" i="2" s="1"/>
  <c r="AKQ6" i="2" s="1"/>
  <c r="AKQ7" i="2" s="1"/>
  <c r="AKQ8" i="2" s="1"/>
  <c r="AKQ9" i="2" s="1"/>
  <c r="AKQ10" i="2" s="1"/>
  <c r="AKQ11" i="2" s="1"/>
  <c r="AKQ12" i="2" s="1"/>
  <c r="AKQ13" i="2" s="1"/>
  <c r="AKQ14" i="2" s="1"/>
  <c r="AKQ15" i="2" s="1"/>
  <c r="AKQ16" i="2" s="1"/>
  <c r="AKQ17" i="2" s="1"/>
  <c r="AKQ18" i="2" s="1"/>
  <c r="AKQ19" i="2" s="1"/>
  <c r="AKQ20" i="2" s="1"/>
  <c r="AKQ21" i="2" s="1"/>
  <c r="AKQ22" i="2" s="1"/>
  <c r="AKQ23" i="2" s="1"/>
  <c r="AKP4" i="2"/>
  <c r="AKP5" i="2" s="1"/>
  <c r="AKP6" i="2" s="1"/>
  <c r="AKP7" i="2" s="1"/>
  <c r="AKP8" i="2" s="1"/>
  <c r="AKP9" i="2" s="1"/>
  <c r="AKP10" i="2" s="1"/>
  <c r="AKP11" i="2" s="1"/>
  <c r="AKP12" i="2" s="1"/>
  <c r="AKP13" i="2" s="1"/>
  <c r="AKP14" i="2" s="1"/>
  <c r="AKP15" i="2" s="1"/>
  <c r="AKP16" i="2" s="1"/>
  <c r="AKP17" i="2" s="1"/>
  <c r="AKP18" i="2" s="1"/>
  <c r="AKP19" i="2" s="1"/>
  <c r="AKP20" i="2" s="1"/>
  <c r="AKP21" i="2" s="1"/>
  <c r="AKP22" i="2" s="1"/>
  <c r="AKP23" i="2" s="1"/>
  <c r="AKO4" i="2"/>
  <c r="AKO5" i="2" s="1"/>
  <c r="AKO6" i="2" s="1"/>
  <c r="AKO7" i="2" s="1"/>
  <c r="AKO8" i="2" s="1"/>
  <c r="AKO9" i="2" s="1"/>
  <c r="AKO10" i="2" s="1"/>
  <c r="AKO11" i="2" s="1"/>
  <c r="AKO12" i="2" s="1"/>
  <c r="AKO13" i="2" s="1"/>
  <c r="AKO14" i="2" s="1"/>
  <c r="AKO15" i="2" s="1"/>
  <c r="AKO16" i="2" s="1"/>
  <c r="AKO17" i="2" s="1"/>
  <c r="AKO18" i="2" s="1"/>
  <c r="AKO19" i="2" s="1"/>
  <c r="AKO20" i="2" s="1"/>
  <c r="AKO21" i="2" s="1"/>
  <c r="AKO22" i="2" s="1"/>
  <c r="AKO23" i="2" s="1"/>
  <c r="AKN4" i="2"/>
  <c r="AKN5" i="2" s="1"/>
  <c r="AKN6" i="2" s="1"/>
  <c r="AKN7" i="2" s="1"/>
  <c r="AKN8" i="2" s="1"/>
  <c r="AKN9" i="2" s="1"/>
  <c r="AKN10" i="2" s="1"/>
  <c r="AKN11" i="2" s="1"/>
  <c r="AKN12" i="2" s="1"/>
  <c r="AKN13" i="2" s="1"/>
  <c r="AKN14" i="2" s="1"/>
  <c r="AKN15" i="2" s="1"/>
  <c r="AKN16" i="2" s="1"/>
  <c r="AKN17" i="2" s="1"/>
  <c r="AKN18" i="2" s="1"/>
  <c r="AKN19" i="2" s="1"/>
  <c r="AKN20" i="2" s="1"/>
  <c r="AKN21" i="2" s="1"/>
  <c r="AKN22" i="2" s="1"/>
  <c r="AKN23" i="2" s="1"/>
  <c r="AKM4" i="2"/>
  <c r="AKM5" i="2" s="1"/>
  <c r="AKM6" i="2" s="1"/>
  <c r="AKM7" i="2" s="1"/>
  <c r="AKM8" i="2" s="1"/>
  <c r="AKM9" i="2" s="1"/>
  <c r="AKM10" i="2" s="1"/>
  <c r="AKM11" i="2" s="1"/>
  <c r="AKM12" i="2" s="1"/>
  <c r="AKM13" i="2" s="1"/>
  <c r="AKM14" i="2" s="1"/>
  <c r="AKM15" i="2" s="1"/>
  <c r="AKM16" i="2" s="1"/>
  <c r="AKM17" i="2" s="1"/>
  <c r="AKM18" i="2" s="1"/>
  <c r="AKM19" i="2" s="1"/>
  <c r="AKM20" i="2" s="1"/>
  <c r="AKM21" i="2" s="1"/>
  <c r="AKM22" i="2" s="1"/>
  <c r="AKM23" i="2" s="1"/>
  <c r="AKL4" i="2"/>
  <c r="AKL5" i="2" s="1"/>
  <c r="AKL6" i="2" s="1"/>
  <c r="AKL7" i="2" s="1"/>
  <c r="AKL8" i="2" s="1"/>
  <c r="AKL9" i="2" s="1"/>
  <c r="AKL10" i="2" s="1"/>
  <c r="AKL11" i="2" s="1"/>
  <c r="AKL12" i="2" s="1"/>
  <c r="AKL13" i="2" s="1"/>
  <c r="AKL14" i="2" s="1"/>
  <c r="AKL15" i="2" s="1"/>
  <c r="AKL16" i="2" s="1"/>
  <c r="AKL17" i="2" s="1"/>
  <c r="AKL18" i="2" s="1"/>
  <c r="AKL19" i="2" s="1"/>
  <c r="AKL20" i="2" s="1"/>
  <c r="AKL21" i="2" s="1"/>
  <c r="AKL22" i="2" s="1"/>
  <c r="AKL23" i="2" s="1"/>
  <c r="AKK4" i="2"/>
  <c r="AKK5" i="2" s="1"/>
  <c r="AKK6" i="2" s="1"/>
  <c r="AKK7" i="2" s="1"/>
  <c r="AKK8" i="2" s="1"/>
  <c r="AKK9" i="2" s="1"/>
  <c r="AKK10" i="2" s="1"/>
  <c r="AKK11" i="2" s="1"/>
  <c r="AKK12" i="2" s="1"/>
  <c r="AKK13" i="2" s="1"/>
  <c r="AKK14" i="2" s="1"/>
  <c r="AKK15" i="2" s="1"/>
  <c r="AKK16" i="2" s="1"/>
  <c r="AKK17" i="2" s="1"/>
  <c r="AKK18" i="2" s="1"/>
  <c r="AKK19" i="2" s="1"/>
  <c r="AKK20" i="2" s="1"/>
  <c r="AKK21" i="2" s="1"/>
  <c r="AKK22" i="2" s="1"/>
  <c r="AKK23" i="2" s="1"/>
  <c r="AKJ4" i="2"/>
  <c r="AKJ5" i="2" s="1"/>
  <c r="AKJ6" i="2" s="1"/>
  <c r="AKJ7" i="2" s="1"/>
  <c r="AKJ8" i="2" s="1"/>
  <c r="AKJ9" i="2" s="1"/>
  <c r="AKJ10" i="2" s="1"/>
  <c r="AKJ11" i="2" s="1"/>
  <c r="AKJ12" i="2" s="1"/>
  <c r="AKJ13" i="2" s="1"/>
  <c r="AKJ14" i="2" s="1"/>
  <c r="AKJ15" i="2" s="1"/>
  <c r="AKJ16" i="2" s="1"/>
  <c r="AKJ17" i="2" s="1"/>
  <c r="AKJ18" i="2" s="1"/>
  <c r="AKJ19" i="2" s="1"/>
  <c r="AKJ20" i="2" s="1"/>
  <c r="AKJ21" i="2" s="1"/>
  <c r="AKJ22" i="2" s="1"/>
  <c r="AKJ23" i="2" s="1"/>
  <c r="AKI4" i="2"/>
  <c r="AKI5" i="2" s="1"/>
  <c r="AKI6" i="2" s="1"/>
  <c r="AKI7" i="2" s="1"/>
  <c r="AKI8" i="2" s="1"/>
  <c r="AKI9" i="2" s="1"/>
  <c r="AKI10" i="2" s="1"/>
  <c r="AKI11" i="2" s="1"/>
  <c r="AKI12" i="2" s="1"/>
  <c r="AKI13" i="2" s="1"/>
  <c r="AKI14" i="2" s="1"/>
  <c r="AKI15" i="2" s="1"/>
  <c r="AKI16" i="2" s="1"/>
  <c r="AKI17" i="2" s="1"/>
  <c r="AKI18" i="2" s="1"/>
  <c r="AKI19" i="2" s="1"/>
  <c r="AKI20" i="2" s="1"/>
  <c r="AKI21" i="2" s="1"/>
  <c r="AKI22" i="2" s="1"/>
  <c r="AKI23" i="2" s="1"/>
  <c r="AKH4" i="2"/>
  <c r="AKH5" i="2" s="1"/>
  <c r="AKH6" i="2" s="1"/>
  <c r="AKH7" i="2" s="1"/>
  <c r="AKH8" i="2" s="1"/>
  <c r="AKH9" i="2" s="1"/>
  <c r="AKH10" i="2" s="1"/>
  <c r="AKH11" i="2" s="1"/>
  <c r="AKH12" i="2" s="1"/>
  <c r="AKH13" i="2" s="1"/>
  <c r="AKH14" i="2" s="1"/>
  <c r="AKH15" i="2" s="1"/>
  <c r="AKH16" i="2" s="1"/>
  <c r="AKH17" i="2" s="1"/>
  <c r="AKH18" i="2" s="1"/>
  <c r="AKH19" i="2" s="1"/>
  <c r="AKH20" i="2" s="1"/>
  <c r="AKH21" i="2" s="1"/>
  <c r="AKH22" i="2" s="1"/>
  <c r="AKH23" i="2" s="1"/>
  <c r="AKG4" i="2"/>
  <c r="AKG5" i="2" s="1"/>
  <c r="AKG6" i="2" s="1"/>
  <c r="AKG7" i="2" s="1"/>
  <c r="AKG8" i="2" s="1"/>
  <c r="AKG9" i="2" s="1"/>
  <c r="AKG10" i="2" s="1"/>
  <c r="AKG11" i="2" s="1"/>
  <c r="AKG12" i="2" s="1"/>
  <c r="AKG13" i="2" s="1"/>
  <c r="AKG14" i="2" s="1"/>
  <c r="AKG15" i="2" s="1"/>
  <c r="AKG16" i="2" s="1"/>
  <c r="AKG17" i="2" s="1"/>
  <c r="AKG18" i="2" s="1"/>
  <c r="AKG19" i="2" s="1"/>
  <c r="AKG20" i="2" s="1"/>
  <c r="AKG21" i="2" s="1"/>
  <c r="AKG22" i="2" s="1"/>
  <c r="AKG23" i="2" s="1"/>
  <c r="AKF4" i="2"/>
  <c r="AKF5" i="2" s="1"/>
  <c r="AKF6" i="2" s="1"/>
  <c r="AKF7" i="2" s="1"/>
  <c r="AKF8" i="2" s="1"/>
  <c r="AKF9" i="2" s="1"/>
  <c r="AKF10" i="2" s="1"/>
  <c r="AKF11" i="2" s="1"/>
  <c r="AKF12" i="2" s="1"/>
  <c r="AKF13" i="2" s="1"/>
  <c r="AKF14" i="2" s="1"/>
  <c r="AKF15" i="2" s="1"/>
  <c r="AKF16" i="2" s="1"/>
  <c r="AKF17" i="2" s="1"/>
  <c r="AKF18" i="2" s="1"/>
  <c r="AKF19" i="2" s="1"/>
  <c r="AKF20" i="2" s="1"/>
  <c r="AKF21" i="2" s="1"/>
  <c r="AKF22" i="2" s="1"/>
  <c r="AKF23" i="2" s="1"/>
  <c r="AKE4" i="2"/>
  <c r="AKE5" i="2" s="1"/>
  <c r="AKE6" i="2" s="1"/>
  <c r="AKE7" i="2" s="1"/>
  <c r="AKE8" i="2" s="1"/>
  <c r="AKE9" i="2" s="1"/>
  <c r="AKE10" i="2" s="1"/>
  <c r="AKE11" i="2" s="1"/>
  <c r="AKE12" i="2" s="1"/>
  <c r="AKE13" i="2" s="1"/>
  <c r="AKE14" i="2" s="1"/>
  <c r="AKE15" i="2" s="1"/>
  <c r="AKE16" i="2" s="1"/>
  <c r="AKE17" i="2" s="1"/>
  <c r="AKE18" i="2" s="1"/>
  <c r="AKE19" i="2" s="1"/>
  <c r="AKE20" i="2" s="1"/>
  <c r="AKE21" i="2" s="1"/>
  <c r="AKE22" i="2" s="1"/>
  <c r="AKE23" i="2" s="1"/>
  <c r="AKD4" i="2"/>
  <c r="AKD5" i="2" s="1"/>
  <c r="AKD6" i="2" s="1"/>
  <c r="AKD7" i="2" s="1"/>
  <c r="AKD8" i="2" s="1"/>
  <c r="AKD9" i="2" s="1"/>
  <c r="AKD10" i="2" s="1"/>
  <c r="AKD11" i="2" s="1"/>
  <c r="AKD12" i="2" s="1"/>
  <c r="AKD13" i="2" s="1"/>
  <c r="AKD14" i="2" s="1"/>
  <c r="AKD15" i="2" s="1"/>
  <c r="AKD16" i="2" s="1"/>
  <c r="AKD17" i="2" s="1"/>
  <c r="AKD18" i="2" s="1"/>
  <c r="AKD19" i="2" s="1"/>
  <c r="AKD20" i="2" s="1"/>
  <c r="AKD21" i="2" s="1"/>
  <c r="AKD22" i="2" s="1"/>
  <c r="AKD23" i="2" s="1"/>
  <c r="AKC4" i="2"/>
  <c r="AKC5" i="2" s="1"/>
  <c r="AKC6" i="2" s="1"/>
  <c r="AKC7" i="2" s="1"/>
  <c r="AKC8" i="2" s="1"/>
  <c r="AKC9" i="2" s="1"/>
  <c r="AKC10" i="2" s="1"/>
  <c r="AKC11" i="2" s="1"/>
  <c r="AKC12" i="2" s="1"/>
  <c r="AKC13" i="2" s="1"/>
  <c r="AKC14" i="2" s="1"/>
  <c r="AKC15" i="2" s="1"/>
  <c r="AKC16" i="2" s="1"/>
  <c r="AKC17" i="2" s="1"/>
  <c r="AKC18" i="2" s="1"/>
  <c r="AKC19" i="2" s="1"/>
  <c r="AKC20" i="2" s="1"/>
  <c r="AKC21" i="2" s="1"/>
  <c r="AKC22" i="2" s="1"/>
  <c r="AKC23" i="2" s="1"/>
  <c r="AKB4" i="2"/>
  <c r="AKB5" i="2" s="1"/>
  <c r="AKB6" i="2" s="1"/>
  <c r="AKB7" i="2" s="1"/>
  <c r="AKB8" i="2" s="1"/>
  <c r="AKB9" i="2" s="1"/>
  <c r="AKB10" i="2" s="1"/>
  <c r="AKB11" i="2" s="1"/>
  <c r="AKB12" i="2" s="1"/>
  <c r="AKB13" i="2" s="1"/>
  <c r="AKB14" i="2" s="1"/>
  <c r="AKB15" i="2" s="1"/>
  <c r="AKB16" i="2" s="1"/>
  <c r="AKB17" i="2" s="1"/>
  <c r="AKB18" i="2" s="1"/>
  <c r="AKB19" i="2" s="1"/>
  <c r="AKB20" i="2" s="1"/>
  <c r="AKB21" i="2" s="1"/>
  <c r="AKB22" i="2" s="1"/>
  <c r="AKB23" i="2" s="1"/>
  <c r="AKA4" i="2"/>
  <c r="AKA5" i="2" s="1"/>
  <c r="AKA6" i="2" s="1"/>
  <c r="AKA7" i="2" s="1"/>
  <c r="AKA8" i="2" s="1"/>
  <c r="AKA9" i="2" s="1"/>
  <c r="AKA10" i="2" s="1"/>
  <c r="AKA11" i="2" s="1"/>
  <c r="AKA12" i="2" s="1"/>
  <c r="AKA13" i="2" s="1"/>
  <c r="AKA14" i="2" s="1"/>
  <c r="AKA15" i="2" s="1"/>
  <c r="AKA16" i="2" s="1"/>
  <c r="AKA17" i="2" s="1"/>
  <c r="AKA18" i="2" s="1"/>
  <c r="AKA19" i="2" s="1"/>
  <c r="AKA20" i="2" s="1"/>
  <c r="AKA21" i="2" s="1"/>
  <c r="AKA22" i="2" s="1"/>
  <c r="AKA23" i="2" s="1"/>
  <c r="AJZ4" i="2"/>
  <c r="AJZ5" i="2" s="1"/>
  <c r="AJZ6" i="2" s="1"/>
  <c r="AJZ7" i="2" s="1"/>
  <c r="AJZ8" i="2" s="1"/>
  <c r="AJZ9" i="2" s="1"/>
  <c r="AJZ10" i="2" s="1"/>
  <c r="AJZ11" i="2" s="1"/>
  <c r="AJZ12" i="2" s="1"/>
  <c r="AJZ13" i="2" s="1"/>
  <c r="AJZ14" i="2" s="1"/>
  <c r="AJZ15" i="2" s="1"/>
  <c r="AJZ16" i="2" s="1"/>
  <c r="AJZ17" i="2" s="1"/>
  <c r="AJZ18" i="2" s="1"/>
  <c r="AJZ19" i="2" s="1"/>
  <c r="AJZ20" i="2" s="1"/>
  <c r="AJZ21" i="2" s="1"/>
  <c r="AJZ22" i="2" s="1"/>
  <c r="AJZ23" i="2" s="1"/>
  <c r="AJY4" i="2"/>
  <c r="AJY5" i="2" s="1"/>
  <c r="AJY6" i="2" s="1"/>
  <c r="AJY7" i="2" s="1"/>
  <c r="AJY8" i="2" s="1"/>
  <c r="AJY9" i="2" s="1"/>
  <c r="AJY10" i="2" s="1"/>
  <c r="AJY11" i="2" s="1"/>
  <c r="AJY12" i="2" s="1"/>
  <c r="AJY13" i="2" s="1"/>
  <c r="AJY14" i="2" s="1"/>
  <c r="AJY15" i="2" s="1"/>
  <c r="AJY16" i="2" s="1"/>
  <c r="AJY17" i="2" s="1"/>
  <c r="AJY18" i="2" s="1"/>
  <c r="AJY19" i="2" s="1"/>
  <c r="AJY20" i="2" s="1"/>
  <c r="AJY21" i="2" s="1"/>
  <c r="AJY22" i="2" s="1"/>
  <c r="AJY23" i="2" s="1"/>
  <c r="AJX4" i="2"/>
  <c r="AJX5" i="2" s="1"/>
  <c r="AJX6" i="2" s="1"/>
  <c r="AJX7" i="2" s="1"/>
  <c r="AJX8" i="2" s="1"/>
  <c r="AJX9" i="2" s="1"/>
  <c r="AJX10" i="2" s="1"/>
  <c r="AJX11" i="2" s="1"/>
  <c r="AJX12" i="2" s="1"/>
  <c r="AJX13" i="2" s="1"/>
  <c r="AJX14" i="2" s="1"/>
  <c r="AJX15" i="2" s="1"/>
  <c r="AJX16" i="2" s="1"/>
  <c r="AJX17" i="2" s="1"/>
  <c r="AJX18" i="2" s="1"/>
  <c r="AJX19" i="2" s="1"/>
  <c r="AJX20" i="2" s="1"/>
  <c r="AJX21" i="2" s="1"/>
  <c r="AJX22" i="2" s="1"/>
  <c r="AJX23" i="2" s="1"/>
  <c r="AJW4" i="2"/>
  <c r="AJW5" i="2" s="1"/>
  <c r="AJW6" i="2" s="1"/>
  <c r="AJW7" i="2" s="1"/>
  <c r="AJW8" i="2" s="1"/>
  <c r="AJW9" i="2" s="1"/>
  <c r="AJW10" i="2" s="1"/>
  <c r="AJW11" i="2" s="1"/>
  <c r="AJW12" i="2" s="1"/>
  <c r="AJW13" i="2" s="1"/>
  <c r="AJW14" i="2" s="1"/>
  <c r="AJW15" i="2" s="1"/>
  <c r="AJW16" i="2" s="1"/>
  <c r="AJW17" i="2" s="1"/>
  <c r="AJW18" i="2" s="1"/>
  <c r="AJW19" i="2" s="1"/>
  <c r="AJW20" i="2" s="1"/>
  <c r="AJW21" i="2" s="1"/>
  <c r="AJW22" i="2" s="1"/>
  <c r="AJW23" i="2" s="1"/>
  <c r="AJV4" i="2"/>
  <c r="AJV5" i="2" s="1"/>
  <c r="AJV6" i="2" s="1"/>
  <c r="AJV7" i="2" s="1"/>
  <c r="AJV8" i="2" s="1"/>
  <c r="AJV9" i="2" s="1"/>
  <c r="AJV10" i="2" s="1"/>
  <c r="AJV11" i="2" s="1"/>
  <c r="AJV12" i="2" s="1"/>
  <c r="AJV13" i="2" s="1"/>
  <c r="AJV14" i="2" s="1"/>
  <c r="AJV15" i="2" s="1"/>
  <c r="AJV16" i="2" s="1"/>
  <c r="AJV17" i="2" s="1"/>
  <c r="AJV18" i="2" s="1"/>
  <c r="AJV19" i="2" s="1"/>
  <c r="AJV20" i="2" s="1"/>
  <c r="AJV21" i="2" s="1"/>
  <c r="AJV22" i="2" s="1"/>
  <c r="AJV23" i="2" s="1"/>
  <c r="AJU4" i="2"/>
  <c r="AJU5" i="2" s="1"/>
  <c r="AJU6" i="2" s="1"/>
  <c r="AJU7" i="2" s="1"/>
  <c r="AJU8" i="2" s="1"/>
  <c r="AJU9" i="2" s="1"/>
  <c r="AJU10" i="2" s="1"/>
  <c r="AJU11" i="2" s="1"/>
  <c r="AJU12" i="2" s="1"/>
  <c r="AJU13" i="2" s="1"/>
  <c r="AJU14" i="2" s="1"/>
  <c r="AJU15" i="2" s="1"/>
  <c r="AJU16" i="2" s="1"/>
  <c r="AJU17" i="2" s="1"/>
  <c r="AJU18" i="2" s="1"/>
  <c r="AJU19" i="2" s="1"/>
  <c r="AJU20" i="2" s="1"/>
  <c r="AJU21" i="2" s="1"/>
  <c r="AJU22" i="2" s="1"/>
  <c r="AJU23" i="2" s="1"/>
  <c r="AJT4" i="2"/>
  <c r="AJT5" i="2" s="1"/>
  <c r="AJT6" i="2" s="1"/>
  <c r="AJT7" i="2" s="1"/>
  <c r="AJT8" i="2" s="1"/>
  <c r="AJT9" i="2" s="1"/>
  <c r="AJT10" i="2" s="1"/>
  <c r="AJT11" i="2" s="1"/>
  <c r="AJT12" i="2" s="1"/>
  <c r="AJT13" i="2" s="1"/>
  <c r="AJT14" i="2" s="1"/>
  <c r="AJT15" i="2" s="1"/>
  <c r="AJT16" i="2" s="1"/>
  <c r="AJT17" i="2" s="1"/>
  <c r="AJT18" i="2" s="1"/>
  <c r="AJT19" i="2" s="1"/>
  <c r="AJT20" i="2" s="1"/>
  <c r="AJT21" i="2" s="1"/>
  <c r="AJT22" i="2" s="1"/>
  <c r="AJT23" i="2" s="1"/>
  <c r="AJS4" i="2"/>
  <c r="AJS5" i="2" s="1"/>
  <c r="AJS6" i="2" s="1"/>
  <c r="AJS7" i="2" s="1"/>
  <c r="AJS8" i="2" s="1"/>
  <c r="AJS9" i="2" s="1"/>
  <c r="AJS10" i="2" s="1"/>
  <c r="AJS11" i="2" s="1"/>
  <c r="AJS12" i="2" s="1"/>
  <c r="AJS13" i="2" s="1"/>
  <c r="AJS14" i="2" s="1"/>
  <c r="AJS15" i="2" s="1"/>
  <c r="AJS16" i="2" s="1"/>
  <c r="AJS17" i="2" s="1"/>
  <c r="AJS18" i="2" s="1"/>
  <c r="AJS19" i="2" s="1"/>
  <c r="AJS20" i="2" s="1"/>
  <c r="AJS21" i="2" s="1"/>
  <c r="AJS22" i="2" s="1"/>
  <c r="AJS23" i="2" s="1"/>
  <c r="AJR4" i="2"/>
  <c r="AJR5" i="2" s="1"/>
  <c r="AJR6" i="2" s="1"/>
  <c r="AJR7" i="2" s="1"/>
  <c r="AJR8" i="2" s="1"/>
  <c r="AJR9" i="2" s="1"/>
  <c r="AJR10" i="2" s="1"/>
  <c r="AJR11" i="2" s="1"/>
  <c r="AJR12" i="2" s="1"/>
  <c r="AJR13" i="2" s="1"/>
  <c r="AJR14" i="2" s="1"/>
  <c r="AJR15" i="2" s="1"/>
  <c r="AJR16" i="2" s="1"/>
  <c r="AJR17" i="2" s="1"/>
  <c r="AJR18" i="2" s="1"/>
  <c r="AJR19" i="2" s="1"/>
  <c r="AJR20" i="2" s="1"/>
  <c r="AJR21" i="2" s="1"/>
  <c r="AJR22" i="2" s="1"/>
  <c r="AJR23" i="2" s="1"/>
  <c r="AJQ4" i="2"/>
  <c r="AJQ5" i="2" s="1"/>
  <c r="AJQ6" i="2" s="1"/>
  <c r="AJQ7" i="2" s="1"/>
  <c r="AJQ8" i="2" s="1"/>
  <c r="AJQ9" i="2" s="1"/>
  <c r="AJQ10" i="2" s="1"/>
  <c r="AJQ11" i="2" s="1"/>
  <c r="AJQ12" i="2" s="1"/>
  <c r="AJQ13" i="2" s="1"/>
  <c r="AJQ14" i="2" s="1"/>
  <c r="AJQ15" i="2" s="1"/>
  <c r="AJQ16" i="2" s="1"/>
  <c r="AJQ17" i="2" s="1"/>
  <c r="AJQ18" i="2" s="1"/>
  <c r="AJQ19" i="2" s="1"/>
  <c r="AJQ20" i="2" s="1"/>
  <c r="AJQ21" i="2" s="1"/>
  <c r="AJQ22" i="2" s="1"/>
  <c r="AJQ23" i="2" s="1"/>
  <c r="AJP4" i="2"/>
  <c r="AJP5" i="2" s="1"/>
  <c r="AJP6" i="2" s="1"/>
  <c r="AJP7" i="2" s="1"/>
  <c r="AJP8" i="2" s="1"/>
  <c r="AJP9" i="2" s="1"/>
  <c r="AJP10" i="2" s="1"/>
  <c r="AJP11" i="2" s="1"/>
  <c r="AJP12" i="2" s="1"/>
  <c r="AJP13" i="2" s="1"/>
  <c r="AJP14" i="2" s="1"/>
  <c r="AJP15" i="2" s="1"/>
  <c r="AJP16" i="2" s="1"/>
  <c r="AJP17" i="2" s="1"/>
  <c r="AJP18" i="2" s="1"/>
  <c r="AJP19" i="2" s="1"/>
  <c r="AJP20" i="2" s="1"/>
  <c r="AJP21" i="2" s="1"/>
  <c r="AJP22" i="2" s="1"/>
  <c r="AJP23" i="2" s="1"/>
  <c r="AJO4" i="2"/>
  <c r="AJO5" i="2" s="1"/>
  <c r="AJO6" i="2" s="1"/>
  <c r="AJO7" i="2" s="1"/>
  <c r="AJO8" i="2" s="1"/>
  <c r="AJO9" i="2" s="1"/>
  <c r="AJO10" i="2" s="1"/>
  <c r="AJO11" i="2" s="1"/>
  <c r="AJO12" i="2" s="1"/>
  <c r="AJO13" i="2" s="1"/>
  <c r="AJO14" i="2" s="1"/>
  <c r="AJO15" i="2" s="1"/>
  <c r="AJO16" i="2" s="1"/>
  <c r="AJO17" i="2" s="1"/>
  <c r="AJO18" i="2" s="1"/>
  <c r="AJO19" i="2" s="1"/>
  <c r="AJO20" i="2" s="1"/>
  <c r="AJO21" i="2" s="1"/>
  <c r="AJO22" i="2" s="1"/>
  <c r="AJO23" i="2" s="1"/>
  <c r="AJN4" i="2"/>
  <c r="AJN5" i="2" s="1"/>
  <c r="AJN6" i="2" s="1"/>
  <c r="AJN7" i="2" s="1"/>
  <c r="AJN8" i="2" s="1"/>
  <c r="AJN9" i="2" s="1"/>
  <c r="AJN10" i="2" s="1"/>
  <c r="AJN11" i="2" s="1"/>
  <c r="AJN12" i="2" s="1"/>
  <c r="AJN13" i="2" s="1"/>
  <c r="AJN14" i="2" s="1"/>
  <c r="AJN15" i="2" s="1"/>
  <c r="AJN16" i="2" s="1"/>
  <c r="AJN17" i="2" s="1"/>
  <c r="AJN18" i="2" s="1"/>
  <c r="AJN19" i="2" s="1"/>
  <c r="AJN20" i="2" s="1"/>
  <c r="AJN21" i="2" s="1"/>
  <c r="AJN22" i="2" s="1"/>
  <c r="AJN23" i="2" s="1"/>
  <c r="AJM4" i="2"/>
  <c r="AJM5" i="2" s="1"/>
  <c r="AJM6" i="2" s="1"/>
  <c r="AJM7" i="2" s="1"/>
  <c r="AJM8" i="2" s="1"/>
  <c r="AJM9" i="2" s="1"/>
  <c r="AJM10" i="2" s="1"/>
  <c r="AJM11" i="2" s="1"/>
  <c r="AJM12" i="2" s="1"/>
  <c r="AJM13" i="2" s="1"/>
  <c r="AJM14" i="2" s="1"/>
  <c r="AJM15" i="2" s="1"/>
  <c r="AJM16" i="2" s="1"/>
  <c r="AJM17" i="2" s="1"/>
  <c r="AJM18" i="2" s="1"/>
  <c r="AJM19" i="2" s="1"/>
  <c r="AJM20" i="2" s="1"/>
  <c r="AJM21" i="2" s="1"/>
  <c r="AJM22" i="2" s="1"/>
  <c r="AJM23" i="2" s="1"/>
  <c r="AJL4" i="2"/>
  <c r="AJL5" i="2" s="1"/>
  <c r="AJL6" i="2" s="1"/>
  <c r="AJL7" i="2" s="1"/>
  <c r="AJL8" i="2" s="1"/>
  <c r="AJL9" i="2" s="1"/>
  <c r="AJL10" i="2" s="1"/>
  <c r="AJL11" i="2" s="1"/>
  <c r="AJL12" i="2" s="1"/>
  <c r="AJL13" i="2" s="1"/>
  <c r="AJL14" i="2" s="1"/>
  <c r="AJL15" i="2" s="1"/>
  <c r="AJL16" i="2" s="1"/>
  <c r="AJL17" i="2" s="1"/>
  <c r="AJL18" i="2" s="1"/>
  <c r="AJL19" i="2" s="1"/>
  <c r="AJL20" i="2" s="1"/>
  <c r="AJL21" i="2" s="1"/>
  <c r="AJL22" i="2" s="1"/>
  <c r="AJL23" i="2" s="1"/>
  <c r="AJK4" i="2"/>
  <c r="AJK5" i="2" s="1"/>
  <c r="AJK6" i="2" s="1"/>
  <c r="AJK7" i="2" s="1"/>
  <c r="AJK8" i="2" s="1"/>
  <c r="AJK9" i="2" s="1"/>
  <c r="AJK10" i="2" s="1"/>
  <c r="AJK11" i="2" s="1"/>
  <c r="AJK12" i="2" s="1"/>
  <c r="AJK13" i="2" s="1"/>
  <c r="AJK14" i="2" s="1"/>
  <c r="AJK15" i="2" s="1"/>
  <c r="AJK16" i="2" s="1"/>
  <c r="AJK17" i="2" s="1"/>
  <c r="AJK18" i="2" s="1"/>
  <c r="AJK19" i="2" s="1"/>
  <c r="AJK20" i="2" s="1"/>
  <c r="AJK21" i="2" s="1"/>
  <c r="AJK22" i="2" s="1"/>
  <c r="AJK23" i="2" s="1"/>
  <c r="AJJ4" i="2"/>
  <c r="AJJ5" i="2" s="1"/>
  <c r="AJJ6" i="2" s="1"/>
  <c r="AJJ7" i="2" s="1"/>
  <c r="AJJ8" i="2" s="1"/>
  <c r="AJJ9" i="2" s="1"/>
  <c r="AJJ10" i="2" s="1"/>
  <c r="AJJ11" i="2" s="1"/>
  <c r="AJJ12" i="2" s="1"/>
  <c r="AJJ13" i="2" s="1"/>
  <c r="AJJ14" i="2" s="1"/>
  <c r="AJJ15" i="2" s="1"/>
  <c r="AJJ16" i="2" s="1"/>
  <c r="AJJ17" i="2" s="1"/>
  <c r="AJJ18" i="2" s="1"/>
  <c r="AJJ19" i="2" s="1"/>
  <c r="AJJ20" i="2" s="1"/>
  <c r="AJJ21" i="2" s="1"/>
  <c r="AJJ22" i="2" s="1"/>
  <c r="AJJ23" i="2" s="1"/>
  <c r="AJI4" i="2"/>
  <c r="AJI5" i="2" s="1"/>
  <c r="AJI6" i="2" s="1"/>
  <c r="AJI7" i="2" s="1"/>
  <c r="AJI8" i="2" s="1"/>
  <c r="AJI9" i="2" s="1"/>
  <c r="AJI10" i="2" s="1"/>
  <c r="AJI11" i="2" s="1"/>
  <c r="AJI12" i="2" s="1"/>
  <c r="AJI13" i="2" s="1"/>
  <c r="AJI14" i="2" s="1"/>
  <c r="AJI15" i="2" s="1"/>
  <c r="AJI16" i="2" s="1"/>
  <c r="AJI17" i="2" s="1"/>
  <c r="AJI18" i="2" s="1"/>
  <c r="AJI19" i="2" s="1"/>
  <c r="AJI20" i="2" s="1"/>
  <c r="AJI21" i="2" s="1"/>
  <c r="AJI22" i="2" s="1"/>
  <c r="AJI23" i="2" s="1"/>
  <c r="AJH4" i="2"/>
  <c r="AJH5" i="2" s="1"/>
  <c r="AJH6" i="2" s="1"/>
  <c r="AJH7" i="2" s="1"/>
  <c r="AJH8" i="2" s="1"/>
  <c r="AJH9" i="2" s="1"/>
  <c r="AJH10" i="2" s="1"/>
  <c r="AJH11" i="2" s="1"/>
  <c r="AJH12" i="2" s="1"/>
  <c r="AJH13" i="2" s="1"/>
  <c r="AJH14" i="2" s="1"/>
  <c r="AJH15" i="2" s="1"/>
  <c r="AJH16" i="2" s="1"/>
  <c r="AJH17" i="2" s="1"/>
  <c r="AJH18" i="2" s="1"/>
  <c r="AJH19" i="2" s="1"/>
  <c r="AJH20" i="2" s="1"/>
  <c r="AJH21" i="2" s="1"/>
  <c r="AJH22" i="2" s="1"/>
  <c r="AJH23" i="2" s="1"/>
  <c r="AJG4" i="2"/>
  <c r="AJG5" i="2" s="1"/>
  <c r="AJG6" i="2" s="1"/>
  <c r="AJG7" i="2" s="1"/>
  <c r="AJG8" i="2" s="1"/>
  <c r="AJG9" i="2" s="1"/>
  <c r="AJG10" i="2" s="1"/>
  <c r="AJG11" i="2" s="1"/>
  <c r="AJG12" i="2" s="1"/>
  <c r="AJG13" i="2" s="1"/>
  <c r="AJG14" i="2" s="1"/>
  <c r="AJG15" i="2" s="1"/>
  <c r="AJG16" i="2" s="1"/>
  <c r="AJG17" i="2" s="1"/>
  <c r="AJG18" i="2" s="1"/>
  <c r="AJG19" i="2" s="1"/>
  <c r="AJG20" i="2" s="1"/>
  <c r="AJG21" i="2" s="1"/>
  <c r="AJG22" i="2" s="1"/>
  <c r="AJG23" i="2" s="1"/>
  <c r="AJF4" i="2"/>
  <c r="AJF5" i="2" s="1"/>
  <c r="AJF6" i="2" s="1"/>
  <c r="AJF7" i="2" s="1"/>
  <c r="AJF8" i="2" s="1"/>
  <c r="AJF9" i="2" s="1"/>
  <c r="AJF10" i="2" s="1"/>
  <c r="AJF11" i="2" s="1"/>
  <c r="AJF12" i="2" s="1"/>
  <c r="AJF13" i="2" s="1"/>
  <c r="AJF14" i="2" s="1"/>
  <c r="AJF15" i="2" s="1"/>
  <c r="AJF16" i="2" s="1"/>
  <c r="AJF17" i="2" s="1"/>
  <c r="AJF18" i="2" s="1"/>
  <c r="AJF19" i="2" s="1"/>
  <c r="AJF20" i="2" s="1"/>
  <c r="AJF21" i="2" s="1"/>
  <c r="AJF22" i="2" s="1"/>
  <c r="AJF23" i="2" s="1"/>
  <c r="AJE4" i="2"/>
  <c r="AJE5" i="2" s="1"/>
  <c r="AJE6" i="2" s="1"/>
  <c r="AJE7" i="2" s="1"/>
  <c r="AJE8" i="2" s="1"/>
  <c r="AJE9" i="2" s="1"/>
  <c r="AJE10" i="2" s="1"/>
  <c r="AJE11" i="2" s="1"/>
  <c r="AJE12" i="2" s="1"/>
  <c r="AJE13" i="2" s="1"/>
  <c r="AJE14" i="2" s="1"/>
  <c r="AJE15" i="2" s="1"/>
  <c r="AJE16" i="2" s="1"/>
  <c r="AJE17" i="2" s="1"/>
  <c r="AJE18" i="2" s="1"/>
  <c r="AJE19" i="2" s="1"/>
  <c r="AJE20" i="2" s="1"/>
  <c r="AJE21" i="2" s="1"/>
  <c r="AJE22" i="2" s="1"/>
  <c r="AJE23" i="2" s="1"/>
  <c r="AJD4" i="2"/>
  <c r="AJD5" i="2" s="1"/>
  <c r="AJD6" i="2" s="1"/>
  <c r="AJD7" i="2" s="1"/>
  <c r="AJD8" i="2" s="1"/>
  <c r="AJD9" i="2" s="1"/>
  <c r="AJD10" i="2" s="1"/>
  <c r="AJD11" i="2" s="1"/>
  <c r="AJD12" i="2" s="1"/>
  <c r="AJD13" i="2" s="1"/>
  <c r="AJD14" i="2" s="1"/>
  <c r="AJD15" i="2" s="1"/>
  <c r="AJD16" i="2" s="1"/>
  <c r="AJD17" i="2" s="1"/>
  <c r="AJD18" i="2" s="1"/>
  <c r="AJD19" i="2" s="1"/>
  <c r="AJD20" i="2" s="1"/>
  <c r="AJD21" i="2" s="1"/>
  <c r="AJD22" i="2" s="1"/>
  <c r="AJD23" i="2" s="1"/>
  <c r="AJC4" i="2"/>
  <c r="AJC5" i="2" s="1"/>
  <c r="AJC6" i="2" s="1"/>
  <c r="AJC7" i="2" s="1"/>
  <c r="AJC8" i="2" s="1"/>
  <c r="AJC9" i="2" s="1"/>
  <c r="AJC10" i="2" s="1"/>
  <c r="AJC11" i="2" s="1"/>
  <c r="AJC12" i="2" s="1"/>
  <c r="AJC13" i="2" s="1"/>
  <c r="AJC14" i="2" s="1"/>
  <c r="AJC15" i="2" s="1"/>
  <c r="AJC16" i="2" s="1"/>
  <c r="AJC17" i="2" s="1"/>
  <c r="AJC18" i="2" s="1"/>
  <c r="AJC19" i="2" s="1"/>
  <c r="AJC20" i="2" s="1"/>
  <c r="AJC21" i="2" s="1"/>
  <c r="AJC22" i="2" s="1"/>
  <c r="AJC23" i="2" s="1"/>
  <c r="AJB4" i="2"/>
  <c r="AJB5" i="2" s="1"/>
  <c r="AJB6" i="2" s="1"/>
  <c r="AJB7" i="2" s="1"/>
  <c r="AJB8" i="2" s="1"/>
  <c r="AJB9" i="2" s="1"/>
  <c r="AJB10" i="2" s="1"/>
  <c r="AJB11" i="2" s="1"/>
  <c r="AJB12" i="2" s="1"/>
  <c r="AJB13" i="2" s="1"/>
  <c r="AJB14" i="2" s="1"/>
  <c r="AJB15" i="2" s="1"/>
  <c r="AJB16" i="2" s="1"/>
  <c r="AJB17" i="2" s="1"/>
  <c r="AJB18" i="2" s="1"/>
  <c r="AJB19" i="2" s="1"/>
  <c r="AJB20" i="2" s="1"/>
  <c r="AJB21" i="2" s="1"/>
  <c r="AJB22" i="2" s="1"/>
  <c r="AJB23" i="2" s="1"/>
  <c r="AJA4" i="2"/>
  <c r="AJA5" i="2" s="1"/>
  <c r="AJA6" i="2" s="1"/>
  <c r="AJA7" i="2" s="1"/>
  <c r="AJA8" i="2" s="1"/>
  <c r="AJA9" i="2" s="1"/>
  <c r="AJA10" i="2" s="1"/>
  <c r="AJA11" i="2" s="1"/>
  <c r="AJA12" i="2" s="1"/>
  <c r="AJA13" i="2" s="1"/>
  <c r="AJA14" i="2" s="1"/>
  <c r="AJA15" i="2" s="1"/>
  <c r="AJA16" i="2" s="1"/>
  <c r="AJA17" i="2" s="1"/>
  <c r="AJA18" i="2" s="1"/>
  <c r="AJA19" i="2" s="1"/>
  <c r="AJA20" i="2" s="1"/>
  <c r="AJA21" i="2" s="1"/>
  <c r="AJA22" i="2" s="1"/>
  <c r="AJA23" i="2" s="1"/>
  <c r="AIZ4" i="2"/>
  <c r="AIZ5" i="2" s="1"/>
  <c r="AIZ6" i="2" s="1"/>
  <c r="AIZ7" i="2" s="1"/>
  <c r="AIZ8" i="2" s="1"/>
  <c r="AIZ9" i="2" s="1"/>
  <c r="AIZ10" i="2" s="1"/>
  <c r="AIZ11" i="2" s="1"/>
  <c r="AIZ12" i="2" s="1"/>
  <c r="AIZ13" i="2" s="1"/>
  <c r="AIZ14" i="2" s="1"/>
  <c r="AIZ15" i="2" s="1"/>
  <c r="AIZ16" i="2" s="1"/>
  <c r="AIZ17" i="2" s="1"/>
  <c r="AIZ18" i="2" s="1"/>
  <c r="AIZ19" i="2" s="1"/>
  <c r="AIZ20" i="2" s="1"/>
  <c r="AIZ21" i="2" s="1"/>
  <c r="AIZ22" i="2" s="1"/>
  <c r="AIZ23" i="2" s="1"/>
  <c r="AIY4" i="2"/>
  <c r="AIY5" i="2" s="1"/>
  <c r="AIY6" i="2" s="1"/>
  <c r="AIY7" i="2" s="1"/>
  <c r="AIY8" i="2" s="1"/>
  <c r="AIY9" i="2" s="1"/>
  <c r="AIY10" i="2" s="1"/>
  <c r="AIY11" i="2" s="1"/>
  <c r="AIY12" i="2" s="1"/>
  <c r="AIY13" i="2" s="1"/>
  <c r="AIY14" i="2" s="1"/>
  <c r="AIY15" i="2" s="1"/>
  <c r="AIY16" i="2" s="1"/>
  <c r="AIY17" i="2" s="1"/>
  <c r="AIY18" i="2" s="1"/>
  <c r="AIY19" i="2" s="1"/>
  <c r="AIY20" i="2" s="1"/>
  <c r="AIY21" i="2" s="1"/>
  <c r="AIY22" i="2" s="1"/>
  <c r="AIY23" i="2" s="1"/>
  <c r="AIX4" i="2"/>
  <c r="AIX5" i="2" s="1"/>
  <c r="AIX6" i="2" s="1"/>
  <c r="AIX7" i="2" s="1"/>
  <c r="AIX8" i="2" s="1"/>
  <c r="AIX9" i="2" s="1"/>
  <c r="AIX10" i="2" s="1"/>
  <c r="AIX11" i="2" s="1"/>
  <c r="AIX12" i="2" s="1"/>
  <c r="AIX13" i="2" s="1"/>
  <c r="AIX14" i="2" s="1"/>
  <c r="AIX15" i="2" s="1"/>
  <c r="AIX16" i="2" s="1"/>
  <c r="AIX17" i="2" s="1"/>
  <c r="AIX18" i="2" s="1"/>
  <c r="AIX19" i="2" s="1"/>
  <c r="AIX20" i="2" s="1"/>
  <c r="AIX21" i="2" s="1"/>
  <c r="AIX22" i="2" s="1"/>
  <c r="AIX23" i="2" s="1"/>
  <c r="AIW4" i="2"/>
  <c r="AIW5" i="2" s="1"/>
  <c r="AIW6" i="2" s="1"/>
  <c r="AIW7" i="2" s="1"/>
  <c r="AIW8" i="2" s="1"/>
  <c r="AIW9" i="2" s="1"/>
  <c r="AIW10" i="2" s="1"/>
  <c r="AIW11" i="2" s="1"/>
  <c r="AIW12" i="2" s="1"/>
  <c r="AIW13" i="2" s="1"/>
  <c r="AIW14" i="2" s="1"/>
  <c r="AIW15" i="2" s="1"/>
  <c r="AIW16" i="2" s="1"/>
  <c r="AIW17" i="2" s="1"/>
  <c r="AIW18" i="2" s="1"/>
  <c r="AIW19" i="2" s="1"/>
  <c r="AIW20" i="2" s="1"/>
  <c r="AIW21" i="2" s="1"/>
  <c r="AIW22" i="2" s="1"/>
  <c r="AIW23" i="2" s="1"/>
  <c r="AIV4" i="2"/>
  <c r="AIV5" i="2" s="1"/>
  <c r="AIV6" i="2" s="1"/>
  <c r="AIV7" i="2" s="1"/>
  <c r="AIV8" i="2" s="1"/>
  <c r="AIV9" i="2" s="1"/>
  <c r="AIV10" i="2" s="1"/>
  <c r="AIV11" i="2" s="1"/>
  <c r="AIV12" i="2" s="1"/>
  <c r="AIV13" i="2" s="1"/>
  <c r="AIV14" i="2" s="1"/>
  <c r="AIV15" i="2" s="1"/>
  <c r="AIV16" i="2" s="1"/>
  <c r="AIV17" i="2" s="1"/>
  <c r="AIV18" i="2" s="1"/>
  <c r="AIV19" i="2" s="1"/>
  <c r="AIV20" i="2" s="1"/>
  <c r="AIV21" i="2" s="1"/>
  <c r="AIV22" i="2" s="1"/>
  <c r="AIV23" i="2" s="1"/>
  <c r="AIU4" i="2"/>
  <c r="AIU5" i="2" s="1"/>
  <c r="AIU6" i="2" s="1"/>
  <c r="AIU7" i="2" s="1"/>
  <c r="AIU8" i="2" s="1"/>
  <c r="AIU9" i="2" s="1"/>
  <c r="AIU10" i="2" s="1"/>
  <c r="AIU11" i="2" s="1"/>
  <c r="AIU12" i="2" s="1"/>
  <c r="AIU13" i="2" s="1"/>
  <c r="AIU14" i="2" s="1"/>
  <c r="AIU15" i="2" s="1"/>
  <c r="AIU16" i="2" s="1"/>
  <c r="AIU17" i="2" s="1"/>
  <c r="AIU18" i="2" s="1"/>
  <c r="AIU19" i="2" s="1"/>
  <c r="AIU20" i="2" s="1"/>
  <c r="AIU21" i="2" s="1"/>
  <c r="AIU22" i="2" s="1"/>
  <c r="AIU23" i="2" s="1"/>
  <c r="AIT4" i="2"/>
  <c r="AIT5" i="2" s="1"/>
  <c r="AIT6" i="2" s="1"/>
  <c r="AIT7" i="2" s="1"/>
  <c r="AIT8" i="2" s="1"/>
  <c r="AIT9" i="2" s="1"/>
  <c r="AIT10" i="2" s="1"/>
  <c r="AIT11" i="2" s="1"/>
  <c r="AIT12" i="2" s="1"/>
  <c r="AIT13" i="2" s="1"/>
  <c r="AIT14" i="2" s="1"/>
  <c r="AIT15" i="2" s="1"/>
  <c r="AIT16" i="2" s="1"/>
  <c r="AIT17" i="2" s="1"/>
  <c r="AIT18" i="2" s="1"/>
  <c r="AIT19" i="2" s="1"/>
  <c r="AIT20" i="2" s="1"/>
  <c r="AIT21" i="2" s="1"/>
  <c r="AIT22" i="2" s="1"/>
  <c r="AIT23" i="2" s="1"/>
  <c r="AIS4" i="2"/>
  <c r="AIS5" i="2" s="1"/>
  <c r="AIS6" i="2" s="1"/>
  <c r="AIS7" i="2" s="1"/>
  <c r="AIS8" i="2" s="1"/>
  <c r="AIS9" i="2" s="1"/>
  <c r="AIS10" i="2" s="1"/>
  <c r="AIS11" i="2" s="1"/>
  <c r="AIS12" i="2" s="1"/>
  <c r="AIS13" i="2" s="1"/>
  <c r="AIS14" i="2" s="1"/>
  <c r="AIS15" i="2" s="1"/>
  <c r="AIS16" i="2" s="1"/>
  <c r="AIS17" i="2" s="1"/>
  <c r="AIS18" i="2" s="1"/>
  <c r="AIS19" i="2" s="1"/>
  <c r="AIS20" i="2" s="1"/>
  <c r="AIS21" i="2" s="1"/>
  <c r="AIS22" i="2" s="1"/>
  <c r="AIS23" i="2" s="1"/>
  <c r="AIR4" i="2"/>
  <c r="AIR5" i="2" s="1"/>
  <c r="AIR6" i="2" s="1"/>
  <c r="AIR7" i="2" s="1"/>
  <c r="AIR8" i="2" s="1"/>
  <c r="AIR9" i="2" s="1"/>
  <c r="AIR10" i="2" s="1"/>
  <c r="AIR11" i="2" s="1"/>
  <c r="AIR12" i="2" s="1"/>
  <c r="AIR13" i="2" s="1"/>
  <c r="AIR14" i="2" s="1"/>
  <c r="AIR15" i="2" s="1"/>
  <c r="AIR16" i="2" s="1"/>
  <c r="AIR17" i="2" s="1"/>
  <c r="AIR18" i="2" s="1"/>
  <c r="AIR19" i="2" s="1"/>
  <c r="AIR20" i="2" s="1"/>
  <c r="AIR21" i="2" s="1"/>
  <c r="AIR22" i="2" s="1"/>
  <c r="AIR23" i="2" s="1"/>
  <c r="AIQ4" i="2"/>
  <c r="AIQ5" i="2" s="1"/>
  <c r="AIQ6" i="2" s="1"/>
  <c r="AIQ7" i="2" s="1"/>
  <c r="AIQ8" i="2" s="1"/>
  <c r="AIQ9" i="2" s="1"/>
  <c r="AIQ10" i="2" s="1"/>
  <c r="AIQ11" i="2" s="1"/>
  <c r="AIQ12" i="2" s="1"/>
  <c r="AIQ13" i="2" s="1"/>
  <c r="AIQ14" i="2" s="1"/>
  <c r="AIQ15" i="2" s="1"/>
  <c r="AIQ16" i="2" s="1"/>
  <c r="AIQ17" i="2" s="1"/>
  <c r="AIQ18" i="2" s="1"/>
  <c r="AIQ19" i="2" s="1"/>
  <c r="AIQ20" i="2" s="1"/>
  <c r="AIQ21" i="2" s="1"/>
  <c r="AIQ22" i="2" s="1"/>
  <c r="AIQ23" i="2" s="1"/>
  <c r="AIP4" i="2"/>
  <c r="AIP5" i="2" s="1"/>
  <c r="AIP6" i="2" s="1"/>
  <c r="AIP7" i="2" s="1"/>
  <c r="AIP8" i="2" s="1"/>
  <c r="AIP9" i="2" s="1"/>
  <c r="AIP10" i="2" s="1"/>
  <c r="AIP11" i="2" s="1"/>
  <c r="AIP12" i="2" s="1"/>
  <c r="AIP13" i="2" s="1"/>
  <c r="AIP14" i="2" s="1"/>
  <c r="AIP15" i="2" s="1"/>
  <c r="AIP16" i="2" s="1"/>
  <c r="AIP17" i="2" s="1"/>
  <c r="AIP18" i="2" s="1"/>
  <c r="AIP19" i="2" s="1"/>
  <c r="AIP20" i="2" s="1"/>
  <c r="AIP21" i="2" s="1"/>
  <c r="AIP22" i="2" s="1"/>
  <c r="AIP23" i="2" s="1"/>
  <c r="AIO4" i="2"/>
  <c r="AIO5" i="2" s="1"/>
  <c r="AIO6" i="2" s="1"/>
  <c r="AIO7" i="2" s="1"/>
  <c r="AIO8" i="2" s="1"/>
  <c r="AIO9" i="2" s="1"/>
  <c r="AIO10" i="2" s="1"/>
  <c r="AIO11" i="2" s="1"/>
  <c r="AIO12" i="2" s="1"/>
  <c r="AIO13" i="2" s="1"/>
  <c r="AIO14" i="2" s="1"/>
  <c r="AIO15" i="2" s="1"/>
  <c r="AIO16" i="2" s="1"/>
  <c r="AIO17" i="2" s="1"/>
  <c r="AIO18" i="2" s="1"/>
  <c r="AIO19" i="2" s="1"/>
  <c r="AIO20" i="2" s="1"/>
  <c r="AIO21" i="2" s="1"/>
  <c r="AIO22" i="2" s="1"/>
  <c r="AIO23" i="2" s="1"/>
  <c r="AIN4" i="2"/>
  <c r="AIN5" i="2" s="1"/>
  <c r="AIN6" i="2" s="1"/>
  <c r="AIN7" i="2" s="1"/>
  <c r="AIN8" i="2" s="1"/>
  <c r="AIN9" i="2" s="1"/>
  <c r="AIN10" i="2" s="1"/>
  <c r="AIN11" i="2" s="1"/>
  <c r="AIN12" i="2" s="1"/>
  <c r="AIN13" i="2" s="1"/>
  <c r="AIN14" i="2" s="1"/>
  <c r="AIN15" i="2" s="1"/>
  <c r="AIN16" i="2" s="1"/>
  <c r="AIN17" i="2" s="1"/>
  <c r="AIN18" i="2" s="1"/>
  <c r="AIN19" i="2" s="1"/>
  <c r="AIN20" i="2" s="1"/>
  <c r="AIN21" i="2" s="1"/>
  <c r="AIN22" i="2" s="1"/>
  <c r="AIN23" i="2" s="1"/>
  <c r="AIM4" i="2"/>
  <c r="AIM5" i="2" s="1"/>
  <c r="AIM6" i="2" s="1"/>
  <c r="AIM7" i="2" s="1"/>
  <c r="AIM8" i="2" s="1"/>
  <c r="AIM9" i="2" s="1"/>
  <c r="AIM10" i="2" s="1"/>
  <c r="AIM11" i="2" s="1"/>
  <c r="AIM12" i="2" s="1"/>
  <c r="AIM13" i="2" s="1"/>
  <c r="AIM14" i="2" s="1"/>
  <c r="AIM15" i="2" s="1"/>
  <c r="AIM16" i="2" s="1"/>
  <c r="AIM17" i="2" s="1"/>
  <c r="AIM18" i="2" s="1"/>
  <c r="AIM19" i="2" s="1"/>
  <c r="AIM20" i="2" s="1"/>
  <c r="AIM21" i="2" s="1"/>
  <c r="AIM22" i="2" s="1"/>
  <c r="AIM23" i="2" s="1"/>
  <c r="AIL4" i="2"/>
  <c r="AIL5" i="2" s="1"/>
  <c r="AIL6" i="2" s="1"/>
  <c r="AIL7" i="2" s="1"/>
  <c r="AIL8" i="2" s="1"/>
  <c r="AIL9" i="2" s="1"/>
  <c r="AIL10" i="2" s="1"/>
  <c r="AIL11" i="2" s="1"/>
  <c r="AIL12" i="2" s="1"/>
  <c r="AIL13" i="2" s="1"/>
  <c r="AIL14" i="2" s="1"/>
  <c r="AIL15" i="2" s="1"/>
  <c r="AIL16" i="2" s="1"/>
  <c r="AIL17" i="2" s="1"/>
  <c r="AIL18" i="2" s="1"/>
  <c r="AIL19" i="2" s="1"/>
  <c r="AIL20" i="2" s="1"/>
  <c r="AIL21" i="2" s="1"/>
  <c r="AIL22" i="2" s="1"/>
  <c r="AIL23" i="2" s="1"/>
  <c r="AIK4" i="2"/>
  <c r="AIK5" i="2" s="1"/>
  <c r="AIK6" i="2" s="1"/>
  <c r="AIK7" i="2" s="1"/>
  <c r="AIK8" i="2" s="1"/>
  <c r="AIK9" i="2" s="1"/>
  <c r="AIK10" i="2" s="1"/>
  <c r="AIK11" i="2" s="1"/>
  <c r="AIK12" i="2" s="1"/>
  <c r="AIK13" i="2" s="1"/>
  <c r="AIK14" i="2" s="1"/>
  <c r="AIK15" i="2" s="1"/>
  <c r="AIK16" i="2" s="1"/>
  <c r="AIK17" i="2" s="1"/>
  <c r="AIK18" i="2" s="1"/>
  <c r="AIK19" i="2" s="1"/>
  <c r="AIK20" i="2" s="1"/>
  <c r="AIK21" i="2" s="1"/>
  <c r="AIK22" i="2" s="1"/>
  <c r="AIK23" i="2" s="1"/>
  <c r="AIJ4" i="2"/>
  <c r="AIJ5" i="2" s="1"/>
  <c r="AIJ6" i="2" s="1"/>
  <c r="AIJ7" i="2" s="1"/>
  <c r="AIJ8" i="2" s="1"/>
  <c r="AIJ9" i="2" s="1"/>
  <c r="AIJ10" i="2" s="1"/>
  <c r="AIJ11" i="2" s="1"/>
  <c r="AIJ12" i="2" s="1"/>
  <c r="AIJ13" i="2" s="1"/>
  <c r="AIJ14" i="2" s="1"/>
  <c r="AIJ15" i="2" s="1"/>
  <c r="AIJ16" i="2" s="1"/>
  <c r="AIJ17" i="2" s="1"/>
  <c r="AIJ18" i="2" s="1"/>
  <c r="AIJ19" i="2" s="1"/>
  <c r="AIJ20" i="2" s="1"/>
  <c r="AIJ21" i="2" s="1"/>
  <c r="AIJ22" i="2" s="1"/>
  <c r="AIJ23" i="2" s="1"/>
  <c r="AII4" i="2"/>
  <c r="AII5" i="2" s="1"/>
  <c r="AII6" i="2" s="1"/>
  <c r="AII7" i="2" s="1"/>
  <c r="AII8" i="2" s="1"/>
  <c r="AII9" i="2" s="1"/>
  <c r="AII10" i="2" s="1"/>
  <c r="AII11" i="2" s="1"/>
  <c r="AII12" i="2" s="1"/>
  <c r="AII13" i="2" s="1"/>
  <c r="AII14" i="2" s="1"/>
  <c r="AII15" i="2" s="1"/>
  <c r="AII16" i="2" s="1"/>
  <c r="AII17" i="2" s="1"/>
  <c r="AII18" i="2" s="1"/>
  <c r="AII19" i="2" s="1"/>
  <c r="AII20" i="2" s="1"/>
  <c r="AII21" i="2" s="1"/>
  <c r="AII22" i="2" s="1"/>
  <c r="AII23" i="2" s="1"/>
  <c r="AIH4" i="2"/>
  <c r="AIH5" i="2" s="1"/>
  <c r="AIH6" i="2" s="1"/>
  <c r="AIH7" i="2" s="1"/>
  <c r="AIH8" i="2" s="1"/>
  <c r="AIH9" i="2" s="1"/>
  <c r="AIH10" i="2" s="1"/>
  <c r="AIH11" i="2" s="1"/>
  <c r="AIH12" i="2" s="1"/>
  <c r="AIH13" i="2" s="1"/>
  <c r="AIH14" i="2" s="1"/>
  <c r="AIH15" i="2" s="1"/>
  <c r="AIH16" i="2" s="1"/>
  <c r="AIH17" i="2" s="1"/>
  <c r="AIH18" i="2" s="1"/>
  <c r="AIH19" i="2" s="1"/>
  <c r="AIH20" i="2" s="1"/>
  <c r="AIH21" i="2" s="1"/>
  <c r="AIH22" i="2" s="1"/>
  <c r="AIH23" i="2" s="1"/>
  <c r="AIG4" i="2"/>
  <c r="AIG5" i="2" s="1"/>
  <c r="AIG6" i="2" s="1"/>
  <c r="AIG7" i="2" s="1"/>
  <c r="AIG8" i="2" s="1"/>
  <c r="AIG9" i="2" s="1"/>
  <c r="AIG10" i="2" s="1"/>
  <c r="AIG11" i="2" s="1"/>
  <c r="AIG12" i="2" s="1"/>
  <c r="AIG13" i="2" s="1"/>
  <c r="AIG14" i="2" s="1"/>
  <c r="AIG15" i="2" s="1"/>
  <c r="AIG16" i="2" s="1"/>
  <c r="AIG17" i="2" s="1"/>
  <c r="AIG18" i="2" s="1"/>
  <c r="AIG19" i="2" s="1"/>
  <c r="AIG20" i="2" s="1"/>
  <c r="AIG21" i="2" s="1"/>
  <c r="AIG22" i="2" s="1"/>
  <c r="AIG23" i="2" s="1"/>
  <c r="AIF4" i="2"/>
  <c r="AIF5" i="2" s="1"/>
  <c r="AIF6" i="2" s="1"/>
  <c r="AIF7" i="2" s="1"/>
  <c r="AIF8" i="2" s="1"/>
  <c r="AIF9" i="2" s="1"/>
  <c r="AIF10" i="2" s="1"/>
  <c r="AIF11" i="2" s="1"/>
  <c r="AIF12" i="2" s="1"/>
  <c r="AIF13" i="2" s="1"/>
  <c r="AIF14" i="2" s="1"/>
  <c r="AIF15" i="2" s="1"/>
  <c r="AIF16" i="2" s="1"/>
  <c r="AIF17" i="2" s="1"/>
  <c r="AIF18" i="2" s="1"/>
  <c r="AIF19" i="2" s="1"/>
  <c r="AIF20" i="2" s="1"/>
  <c r="AIF21" i="2" s="1"/>
  <c r="AIF22" i="2" s="1"/>
  <c r="AIF23" i="2" s="1"/>
  <c r="AIE4" i="2"/>
  <c r="AIE5" i="2" s="1"/>
  <c r="AIE6" i="2" s="1"/>
  <c r="AIE7" i="2" s="1"/>
  <c r="AIE8" i="2" s="1"/>
  <c r="AIE9" i="2" s="1"/>
  <c r="AIE10" i="2" s="1"/>
  <c r="AIE11" i="2" s="1"/>
  <c r="AIE12" i="2" s="1"/>
  <c r="AIE13" i="2" s="1"/>
  <c r="AIE14" i="2" s="1"/>
  <c r="AIE15" i="2" s="1"/>
  <c r="AIE16" i="2" s="1"/>
  <c r="AIE17" i="2" s="1"/>
  <c r="AIE18" i="2" s="1"/>
  <c r="AIE19" i="2" s="1"/>
  <c r="AIE20" i="2" s="1"/>
  <c r="AIE21" i="2" s="1"/>
  <c r="AIE22" i="2" s="1"/>
  <c r="AIE23" i="2" s="1"/>
  <c r="AID4" i="2"/>
  <c r="AID5" i="2" s="1"/>
  <c r="AID6" i="2" s="1"/>
  <c r="AID7" i="2" s="1"/>
  <c r="AID8" i="2" s="1"/>
  <c r="AID9" i="2" s="1"/>
  <c r="AID10" i="2" s="1"/>
  <c r="AID11" i="2" s="1"/>
  <c r="AID12" i="2" s="1"/>
  <c r="AID13" i="2" s="1"/>
  <c r="AID14" i="2" s="1"/>
  <c r="AID15" i="2" s="1"/>
  <c r="AID16" i="2" s="1"/>
  <c r="AID17" i="2" s="1"/>
  <c r="AID18" i="2" s="1"/>
  <c r="AID19" i="2" s="1"/>
  <c r="AID20" i="2" s="1"/>
  <c r="AID21" i="2" s="1"/>
  <c r="AID22" i="2" s="1"/>
  <c r="AID23" i="2" s="1"/>
  <c r="AIC4" i="2"/>
  <c r="AIC5" i="2" s="1"/>
  <c r="AIC6" i="2" s="1"/>
  <c r="AIC7" i="2" s="1"/>
  <c r="AIC8" i="2" s="1"/>
  <c r="AIC9" i="2" s="1"/>
  <c r="AIC10" i="2" s="1"/>
  <c r="AIC11" i="2" s="1"/>
  <c r="AIC12" i="2" s="1"/>
  <c r="AIC13" i="2" s="1"/>
  <c r="AIC14" i="2" s="1"/>
  <c r="AIC15" i="2" s="1"/>
  <c r="AIC16" i="2" s="1"/>
  <c r="AIC17" i="2" s="1"/>
  <c r="AIC18" i="2" s="1"/>
  <c r="AIC19" i="2" s="1"/>
  <c r="AIC20" i="2" s="1"/>
  <c r="AIC21" i="2" s="1"/>
  <c r="AIC22" i="2" s="1"/>
  <c r="AIC23" i="2" s="1"/>
  <c r="AIB4" i="2"/>
  <c r="AIB5" i="2" s="1"/>
  <c r="AIB6" i="2" s="1"/>
  <c r="AIB7" i="2" s="1"/>
  <c r="AIB8" i="2" s="1"/>
  <c r="AIB9" i="2" s="1"/>
  <c r="AIB10" i="2" s="1"/>
  <c r="AIB11" i="2" s="1"/>
  <c r="AIB12" i="2" s="1"/>
  <c r="AIB13" i="2" s="1"/>
  <c r="AIB14" i="2" s="1"/>
  <c r="AIB15" i="2" s="1"/>
  <c r="AIB16" i="2" s="1"/>
  <c r="AIB17" i="2" s="1"/>
  <c r="AIB18" i="2" s="1"/>
  <c r="AIB19" i="2" s="1"/>
  <c r="AIB20" i="2" s="1"/>
  <c r="AIB21" i="2" s="1"/>
  <c r="AIB22" i="2" s="1"/>
  <c r="AIB23" i="2" s="1"/>
  <c r="AIA4" i="2"/>
  <c r="AIA5" i="2" s="1"/>
  <c r="AIA6" i="2" s="1"/>
  <c r="AIA7" i="2" s="1"/>
  <c r="AIA8" i="2" s="1"/>
  <c r="AIA9" i="2" s="1"/>
  <c r="AIA10" i="2" s="1"/>
  <c r="AIA11" i="2" s="1"/>
  <c r="AIA12" i="2" s="1"/>
  <c r="AIA13" i="2" s="1"/>
  <c r="AIA14" i="2" s="1"/>
  <c r="AIA15" i="2" s="1"/>
  <c r="AIA16" i="2" s="1"/>
  <c r="AIA17" i="2" s="1"/>
  <c r="AIA18" i="2" s="1"/>
  <c r="AIA19" i="2" s="1"/>
  <c r="AIA20" i="2" s="1"/>
  <c r="AIA21" i="2" s="1"/>
  <c r="AIA22" i="2" s="1"/>
  <c r="AIA23" i="2" s="1"/>
  <c r="AHZ4" i="2"/>
  <c r="AHZ5" i="2" s="1"/>
  <c r="AHZ6" i="2" s="1"/>
  <c r="AHZ7" i="2" s="1"/>
  <c r="AHZ8" i="2" s="1"/>
  <c r="AHZ9" i="2" s="1"/>
  <c r="AHZ10" i="2" s="1"/>
  <c r="AHZ11" i="2" s="1"/>
  <c r="AHZ12" i="2" s="1"/>
  <c r="AHZ13" i="2" s="1"/>
  <c r="AHZ14" i="2" s="1"/>
  <c r="AHZ15" i="2" s="1"/>
  <c r="AHZ16" i="2" s="1"/>
  <c r="AHZ17" i="2" s="1"/>
  <c r="AHZ18" i="2" s="1"/>
  <c r="AHZ19" i="2" s="1"/>
  <c r="AHZ20" i="2" s="1"/>
  <c r="AHZ21" i="2" s="1"/>
  <c r="AHZ22" i="2" s="1"/>
  <c r="AHZ23" i="2" s="1"/>
  <c r="AHY4" i="2"/>
  <c r="AHY5" i="2" s="1"/>
  <c r="AHY6" i="2" s="1"/>
  <c r="AHY7" i="2" s="1"/>
  <c r="AHY8" i="2" s="1"/>
  <c r="AHY9" i="2" s="1"/>
  <c r="AHY10" i="2" s="1"/>
  <c r="AHY11" i="2" s="1"/>
  <c r="AHY12" i="2" s="1"/>
  <c r="AHY13" i="2" s="1"/>
  <c r="AHY14" i="2" s="1"/>
  <c r="AHY15" i="2" s="1"/>
  <c r="AHY16" i="2" s="1"/>
  <c r="AHY17" i="2" s="1"/>
  <c r="AHY18" i="2" s="1"/>
  <c r="AHY19" i="2" s="1"/>
  <c r="AHY20" i="2" s="1"/>
  <c r="AHY21" i="2" s="1"/>
  <c r="AHY22" i="2" s="1"/>
  <c r="AHY23" i="2" s="1"/>
  <c r="AHX4" i="2"/>
  <c r="AHX5" i="2" s="1"/>
  <c r="AHX6" i="2" s="1"/>
  <c r="AHX7" i="2" s="1"/>
  <c r="AHX8" i="2" s="1"/>
  <c r="AHX9" i="2" s="1"/>
  <c r="AHX10" i="2" s="1"/>
  <c r="AHX11" i="2" s="1"/>
  <c r="AHX12" i="2" s="1"/>
  <c r="AHX13" i="2" s="1"/>
  <c r="AHX14" i="2" s="1"/>
  <c r="AHX15" i="2" s="1"/>
  <c r="AHX16" i="2" s="1"/>
  <c r="AHX17" i="2" s="1"/>
  <c r="AHX18" i="2" s="1"/>
  <c r="AHX19" i="2" s="1"/>
  <c r="AHX20" i="2" s="1"/>
  <c r="AHX21" i="2" s="1"/>
  <c r="AHX22" i="2" s="1"/>
  <c r="AHX23" i="2" s="1"/>
  <c r="AHW4" i="2"/>
  <c r="AHW5" i="2" s="1"/>
  <c r="AHW6" i="2" s="1"/>
  <c r="AHW7" i="2" s="1"/>
  <c r="AHW8" i="2" s="1"/>
  <c r="AHW9" i="2" s="1"/>
  <c r="AHW10" i="2" s="1"/>
  <c r="AHW11" i="2" s="1"/>
  <c r="AHW12" i="2" s="1"/>
  <c r="AHW13" i="2" s="1"/>
  <c r="AHW14" i="2" s="1"/>
  <c r="AHW15" i="2" s="1"/>
  <c r="AHW16" i="2" s="1"/>
  <c r="AHW17" i="2" s="1"/>
  <c r="AHW18" i="2" s="1"/>
  <c r="AHW19" i="2" s="1"/>
  <c r="AHW20" i="2" s="1"/>
  <c r="AHW21" i="2" s="1"/>
  <c r="AHW22" i="2" s="1"/>
  <c r="AHW23" i="2" s="1"/>
  <c r="AHV4" i="2"/>
  <c r="AHV5" i="2" s="1"/>
  <c r="AHV6" i="2" s="1"/>
  <c r="AHV7" i="2" s="1"/>
  <c r="AHV8" i="2" s="1"/>
  <c r="AHV9" i="2" s="1"/>
  <c r="AHV10" i="2" s="1"/>
  <c r="AHV11" i="2" s="1"/>
  <c r="AHV12" i="2" s="1"/>
  <c r="AHV13" i="2" s="1"/>
  <c r="AHV14" i="2" s="1"/>
  <c r="AHV15" i="2" s="1"/>
  <c r="AHV16" i="2" s="1"/>
  <c r="AHV17" i="2" s="1"/>
  <c r="AHV18" i="2" s="1"/>
  <c r="AHV19" i="2" s="1"/>
  <c r="AHV20" i="2" s="1"/>
  <c r="AHV21" i="2" s="1"/>
  <c r="AHV22" i="2" s="1"/>
  <c r="AHV23" i="2" s="1"/>
  <c r="AHU4" i="2"/>
  <c r="AHU5" i="2" s="1"/>
  <c r="AHU6" i="2" s="1"/>
  <c r="AHU7" i="2" s="1"/>
  <c r="AHU8" i="2" s="1"/>
  <c r="AHU9" i="2" s="1"/>
  <c r="AHU10" i="2" s="1"/>
  <c r="AHU11" i="2" s="1"/>
  <c r="AHU12" i="2" s="1"/>
  <c r="AHU13" i="2" s="1"/>
  <c r="AHU14" i="2" s="1"/>
  <c r="AHU15" i="2" s="1"/>
  <c r="AHU16" i="2" s="1"/>
  <c r="AHU17" i="2" s="1"/>
  <c r="AHU18" i="2" s="1"/>
  <c r="AHU19" i="2" s="1"/>
  <c r="AHU20" i="2" s="1"/>
  <c r="AHU21" i="2" s="1"/>
  <c r="AHU22" i="2" s="1"/>
  <c r="AHU23" i="2" s="1"/>
  <c r="AHT4" i="2"/>
  <c r="AHT5" i="2" s="1"/>
  <c r="AHT6" i="2" s="1"/>
  <c r="AHT7" i="2" s="1"/>
  <c r="AHT8" i="2" s="1"/>
  <c r="AHT9" i="2" s="1"/>
  <c r="AHT10" i="2" s="1"/>
  <c r="AHT11" i="2" s="1"/>
  <c r="AHT12" i="2" s="1"/>
  <c r="AHT13" i="2" s="1"/>
  <c r="AHT14" i="2" s="1"/>
  <c r="AHT15" i="2" s="1"/>
  <c r="AHT16" i="2" s="1"/>
  <c r="AHT17" i="2" s="1"/>
  <c r="AHT18" i="2" s="1"/>
  <c r="AHT19" i="2" s="1"/>
  <c r="AHT20" i="2" s="1"/>
  <c r="AHT21" i="2" s="1"/>
  <c r="AHT22" i="2" s="1"/>
  <c r="AHT23" i="2" s="1"/>
  <c r="AHS4" i="2"/>
  <c r="AHS5" i="2" s="1"/>
  <c r="AHS6" i="2" s="1"/>
  <c r="AHS7" i="2" s="1"/>
  <c r="AHS8" i="2" s="1"/>
  <c r="AHS9" i="2" s="1"/>
  <c r="AHS10" i="2" s="1"/>
  <c r="AHS11" i="2" s="1"/>
  <c r="AHS12" i="2" s="1"/>
  <c r="AHS13" i="2" s="1"/>
  <c r="AHS14" i="2" s="1"/>
  <c r="AHS15" i="2" s="1"/>
  <c r="AHS16" i="2" s="1"/>
  <c r="AHS17" i="2" s="1"/>
  <c r="AHS18" i="2" s="1"/>
  <c r="AHS19" i="2" s="1"/>
  <c r="AHS20" i="2" s="1"/>
  <c r="AHS21" i="2" s="1"/>
  <c r="AHS22" i="2" s="1"/>
  <c r="AHS23" i="2" s="1"/>
  <c r="AHR4" i="2"/>
  <c r="AHR5" i="2" s="1"/>
  <c r="AHR6" i="2" s="1"/>
  <c r="AHR7" i="2" s="1"/>
  <c r="AHR8" i="2" s="1"/>
  <c r="AHR9" i="2" s="1"/>
  <c r="AHR10" i="2" s="1"/>
  <c r="AHR11" i="2" s="1"/>
  <c r="AHR12" i="2" s="1"/>
  <c r="AHR13" i="2" s="1"/>
  <c r="AHR14" i="2" s="1"/>
  <c r="AHR15" i="2" s="1"/>
  <c r="AHR16" i="2" s="1"/>
  <c r="AHR17" i="2" s="1"/>
  <c r="AHR18" i="2" s="1"/>
  <c r="AHR19" i="2" s="1"/>
  <c r="AHR20" i="2" s="1"/>
  <c r="AHR21" i="2" s="1"/>
  <c r="AHR22" i="2" s="1"/>
  <c r="AHR23" i="2" s="1"/>
  <c r="AHQ4" i="2"/>
  <c r="AHQ5" i="2" s="1"/>
  <c r="AHQ6" i="2" s="1"/>
  <c r="AHQ7" i="2" s="1"/>
  <c r="AHQ8" i="2" s="1"/>
  <c r="AHQ9" i="2" s="1"/>
  <c r="AHQ10" i="2" s="1"/>
  <c r="AHQ11" i="2" s="1"/>
  <c r="AHQ12" i="2" s="1"/>
  <c r="AHQ13" i="2" s="1"/>
  <c r="AHQ14" i="2" s="1"/>
  <c r="AHQ15" i="2" s="1"/>
  <c r="AHQ16" i="2" s="1"/>
  <c r="AHQ17" i="2" s="1"/>
  <c r="AHQ18" i="2" s="1"/>
  <c r="AHQ19" i="2" s="1"/>
  <c r="AHQ20" i="2" s="1"/>
  <c r="AHQ21" i="2" s="1"/>
  <c r="AHQ22" i="2" s="1"/>
  <c r="AHQ23" i="2" s="1"/>
  <c r="AHP4" i="2"/>
  <c r="AHP5" i="2" s="1"/>
  <c r="AHP6" i="2" s="1"/>
  <c r="AHP7" i="2" s="1"/>
  <c r="AHP8" i="2" s="1"/>
  <c r="AHP9" i="2" s="1"/>
  <c r="AHP10" i="2" s="1"/>
  <c r="AHP11" i="2" s="1"/>
  <c r="AHP12" i="2" s="1"/>
  <c r="AHP13" i="2" s="1"/>
  <c r="AHP14" i="2" s="1"/>
  <c r="AHP15" i="2" s="1"/>
  <c r="AHP16" i="2" s="1"/>
  <c r="AHP17" i="2" s="1"/>
  <c r="AHP18" i="2" s="1"/>
  <c r="AHP19" i="2" s="1"/>
  <c r="AHP20" i="2" s="1"/>
  <c r="AHP21" i="2" s="1"/>
  <c r="AHP22" i="2" s="1"/>
  <c r="AHP23" i="2" s="1"/>
  <c r="AHO4" i="2"/>
  <c r="AHO5" i="2" s="1"/>
  <c r="AHO6" i="2" s="1"/>
  <c r="AHO7" i="2" s="1"/>
  <c r="AHO8" i="2" s="1"/>
  <c r="AHO9" i="2" s="1"/>
  <c r="AHO10" i="2" s="1"/>
  <c r="AHO11" i="2" s="1"/>
  <c r="AHO12" i="2" s="1"/>
  <c r="AHO13" i="2" s="1"/>
  <c r="AHO14" i="2" s="1"/>
  <c r="AHO15" i="2" s="1"/>
  <c r="AHO16" i="2" s="1"/>
  <c r="AHO17" i="2" s="1"/>
  <c r="AHO18" i="2" s="1"/>
  <c r="AHO19" i="2" s="1"/>
  <c r="AHO20" i="2" s="1"/>
  <c r="AHO21" i="2" s="1"/>
  <c r="AHO22" i="2" s="1"/>
  <c r="AHO23" i="2" s="1"/>
  <c r="AHN4" i="2"/>
  <c r="AHN5" i="2" s="1"/>
  <c r="AHN6" i="2" s="1"/>
  <c r="AHN7" i="2" s="1"/>
  <c r="AHN8" i="2" s="1"/>
  <c r="AHN9" i="2" s="1"/>
  <c r="AHN10" i="2" s="1"/>
  <c r="AHN11" i="2" s="1"/>
  <c r="AHN12" i="2" s="1"/>
  <c r="AHN13" i="2" s="1"/>
  <c r="AHN14" i="2" s="1"/>
  <c r="AHN15" i="2" s="1"/>
  <c r="AHN16" i="2" s="1"/>
  <c r="AHN17" i="2" s="1"/>
  <c r="AHN18" i="2" s="1"/>
  <c r="AHN19" i="2" s="1"/>
  <c r="AHN20" i="2" s="1"/>
  <c r="AHN21" i="2" s="1"/>
  <c r="AHN22" i="2" s="1"/>
  <c r="AHN23" i="2" s="1"/>
  <c r="AHM4" i="2"/>
  <c r="AHM5" i="2" s="1"/>
  <c r="AHM6" i="2" s="1"/>
  <c r="AHM7" i="2" s="1"/>
  <c r="AHM8" i="2" s="1"/>
  <c r="AHM9" i="2" s="1"/>
  <c r="AHM10" i="2" s="1"/>
  <c r="AHM11" i="2" s="1"/>
  <c r="AHM12" i="2" s="1"/>
  <c r="AHM13" i="2" s="1"/>
  <c r="AHM14" i="2" s="1"/>
  <c r="AHM15" i="2" s="1"/>
  <c r="AHM16" i="2" s="1"/>
  <c r="AHM17" i="2" s="1"/>
  <c r="AHM18" i="2" s="1"/>
  <c r="AHM19" i="2" s="1"/>
  <c r="AHM20" i="2" s="1"/>
  <c r="AHM21" i="2" s="1"/>
  <c r="AHM22" i="2" s="1"/>
  <c r="AHM23" i="2" s="1"/>
  <c r="AHL4" i="2"/>
  <c r="AHL5" i="2" s="1"/>
  <c r="AHL6" i="2" s="1"/>
  <c r="AHL7" i="2" s="1"/>
  <c r="AHL8" i="2" s="1"/>
  <c r="AHL9" i="2" s="1"/>
  <c r="AHL10" i="2" s="1"/>
  <c r="AHL11" i="2" s="1"/>
  <c r="AHL12" i="2" s="1"/>
  <c r="AHL13" i="2" s="1"/>
  <c r="AHL14" i="2" s="1"/>
  <c r="AHL15" i="2" s="1"/>
  <c r="AHL16" i="2" s="1"/>
  <c r="AHL17" i="2" s="1"/>
  <c r="AHL18" i="2" s="1"/>
  <c r="AHL19" i="2" s="1"/>
  <c r="AHL20" i="2" s="1"/>
  <c r="AHL21" i="2" s="1"/>
  <c r="AHL22" i="2" s="1"/>
  <c r="AHL23" i="2" s="1"/>
  <c r="AHK4" i="2"/>
  <c r="AHK5" i="2" s="1"/>
  <c r="AHK6" i="2" s="1"/>
  <c r="AHK7" i="2" s="1"/>
  <c r="AHK8" i="2" s="1"/>
  <c r="AHK9" i="2" s="1"/>
  <c r="AHK10" i="2" s="1"/>
  <c r="AHK11" i="2" s="1"/>
  <c r="AHK12" i="2" s="1"/>
  <c r="AHK13" i="2" s="1"/>
  <c r="AHK14" i="2" s="1"/>
  <c r="AHK15" i="2" s="1"/>
  <c r="AHK16" i="2" s="1"/>
  <c r="AHK17" i="2" s="1"/>
  <c r="AHK18" i="2" s="1"/>
  <c r="AHK19" i="2" s="1"/>
  <c r="AHK20" i="2" s="1"/>
  <c r="AHK21" i="2" s="1"/>
  <c r="AHK22" i="2" s="1"/>
  <c r="AHK23" i="2" s="1"/>
  <c r="AHJ4" i="2"/>
  <c r="AHJ5" i="2" s="1"/>
  <c r="AHJ6" i="2" s="1"/>
  <c r="AHJ7" i="2" s="1"/>
  <c r="AHJ8" i="2" s="1"/>
  <c r="AHJ9" i="2" s="1"/>
  <c r="AHJ10" i="2" s="1"/>
  <c r="AHJ11" i="2" s="1"/>
  <c r="AHJ12" i="2" s="1"/>
  <c r="AHJ13" i="2" s="1"/>
  <c r="AHJ14" i="2" s="1"/>
  <c r="AHJ15" i="2" s="1"/>
  <c r="AHJ16" i="2" s="1"/>
  <c r="AHJ17" i="2" s="1"/>
  <c r="AHJ18" i="2" s="1"/>
  <c r="AHJ19" i="2" s="1"/>
  <c r="AHJ20" i="2" s="1"/>
  <c r="AHJ21" i="2" s="1"/>
  <c r="AHJ22" i="2" s="1"/>
  <c r="AHJ23" i="2" s="1"/>
  <c r="AHI4" i="2"/>
  <c r="AHI5" i="2" s="1"/>
  <c r="AHI6" i="2" s="1"/>
  <c r="AHI7" i="2" s="1"/>
  <c r="AHI8" i="2" s="1"/>
  <c r="AHI9" i="2" s="1"/>
  <c r="AHI10" i="2" s="1"/>
  <c r="AHI11" i="2" s="1"/>
  <c r="AHI12" i="2" s="1"/>
  <c r="AHI13" i="2" s="1"/>
  <c r="AHI14" i="2" s="1"/>
  <c r="AHI15" i="2" s="1"/>
  <c r="AHI16" i="2" s="1"/>
  <c r="AHI17" i="2" s="1"/>
  <c r="AHI18" i="2" s="1"/>
  <c r="AHI19" i="2" s="1"/>
  <c r="AHI20" i="2" s="1"/>
  <c r="AHI21" i="2" s="1"/>
  <c r="AHI22" i="2" s="1"/>
  <c r="AHI23" i="2" s="1"/>
  <c r="AHH4" i="2"/>
  <c r="AHH5" i="2" s="1"/>
  <c r="AHH6" i="2" s="1"/>
  <c r="AHH7" i="2" s="1"/>
  <c r="AHH8" i="2" s="1"/>
  <c r="AHH9" i="2" s="1"/>
  <c r="AHH10" i="2" s="1"/>
  <c r="AHH11" i="2" s="1"/>
  <c r="AHH12" i="2" s="1"/>
  <c r="AHH13" i="2" s="1"/>
  <c r="AHH14" i="2" s="1"/>
  <c r="AHH15" i="2" s="1"/>
  <c r="AHH16" i="2" s="1"/>
  <c r="AHH17" i="2" s="1"/>
  <c r="AHH18" i="2" s="1"/>
  <c r="AHH19" i="2" s="1"/>
  <c r="AHH20" i="2" s="1"/>
  <c r="AHH21" i="2" s="1"/>
  <c r="AHH22" i="2" s="1"/>
  <c r="AHH23" i="2" s="1"/>
  <c r="AHG4" i="2"/>
  <c r="AHG5" i="2" s="1"/>
  <c r="AHG6" i="2" s="1"/>
  <c r="AHG7" i="2" s="1"/>
  <c r="AHG8" i="2" s="1"/>
  <c r="AHG9" i="2" s="1"/>
  <c r="AHG10" i="2" s="1"/>
  <c r="AHG11" i="2" s="1"/>
  <c r="AHG12" i="2" s="1"/>
  <c r="AHG13" i="2" s="1"/>
  <c r="AHG14" i="2" s="1"/>
  <c r="AHG15" i="2" s="1"/>
  <c r="AHG16" i="2" s="1"/>
  <c r="AHG17" i="2" s="1"/>
  <c r="AHG18" i="2" s="1"/>
  <c r="AHG19" i="2" s="1"/>
  <c r="AHG20" i="2" s="1"/>
  <c r="AHG21" i="2" s="1"/>
  <c r="AHG22" i="2" s="1"/>
  <c r="AHG23" i="2" s="1"/>
  <c r="AHF4" i="2"/>
  <c r="AHF5" i="2" s="1"/>
  <c r="AHF6" i="2" s="1"/>
  <c r="AHF7" i="2" s="1"/>
  <c r="AHF8" i="2" s="1"/>
  <c r="AHF9" i="2" s="1"/>
  <c r="AHF10" i="2" s="1"/>
  <c r="AHF11" i="2" s="1"/>
  <c r="AHF12" i="2" s="1"/>
  <c r="AHF13" i="2" s="1"/>
  <c r="AHF14" i="2" s="1"/>
  <c r="AHF15" i="2" s="1"/>
  <c r="AHF16" i="2" s="1"/>
  <c r="AHF17" i="2" s="1"/>
  <c r="AHF18" i="2" s="1"/>
  <c r="AHF19" i="2" s="1"/>
  <c r="AHF20" i="2" s="1"/>
  <c r="AHF21" i="2" s="1"/>
  <c r="AHF22" i="2" s="1"/>
  <c r="AHF23" i="2" s="1"/>
  <c r="AHE4" i="2"/>
  <c r="AHE5" i="2" s="1"/>
  <c r="AHE6" i="2" s="1"/>
  <c r="AHE7" i="2" s="1"/>
  <c r="AHE8" i="2" s="1"/>
  <c r="AHE9" i="2" s="1"/>
  <c r="AHE10" i="2" s="1"/>
  <c r="AHE11" i="2" s="1"/>
  <c r="AHE12" i="2" s="1"/>
  <c r="AHE13" i="2" s="1"/>
  <c r="AHE14" i="2" s="1"/>
  <c r="AHE15" i="2" s="1"/>
  <c r="AHE16" i="2" s="1"/>
  <c r="AHE17" i="2" s="1"/>
  <c r="AHE18" i="2" s="1"/>
  <c r="AHE19" i="2" s="1"/>
  <c r="AHE20" i="2" s="1"/>
  <c r="AHE21" i="2" s="1"/>
  <c r="AHE22" i="2" s="1"/>
  <c r="AHE23" i="2" s="1"/>
  <c r="AHD4" i="2"/>
  <c r="AHD5" i="2" s="1"/>
  <c r="AHD6" i="2" s="1"/>
  <c r="AHD7" i="2" s="1"/>
  <c r="AHD8" i="2" s="1"/>
  <c r="AHD9" i="2" s="1"/>
  <c r="AHD10" i="2" s="1"/>
  <c r="AHD11" i="2" s="1"/>
  <c r="AHD12" i="2" s="1"/>
  <c r="AHD13" i="2" s="1"/>
  <c r="AHD14" i="2" s="1"/>
  <c r="AHD15" i="2" s="1"/>
  <c r="AHD16" i="2" s="1"/>
  <c r="AHD17" i="2" s="1"/>
  <c r="AHD18" i="2" s="1"/>
  <c r="AHD19" i="2" s="1"/>
  <c r="AHD20" i="2" s="1"/>
  <c r="AHD21" i="2" s="1"/>
  <c r="AHD22" i="2" s="1"/>
  <c r="AHD23" i="2" s="1"/>
  <c r="AHC4" i="2"/>
  <c r="AHC5" i="2" s="1"/>
  <c r="AHC6" i="2" s="1"/>
  <c r="AHC7" i="2" s="1"/>
  <c r="AHC8" i="2" s="1"/>
  <c r="AHC9" i="2" s="1"/>
  <c r="AHC10" i="2" s="1"/>
  <c r="AHC11" i="2" s="1"/>
  <c r="AHC12" i="2" s="1"/>
  <c r="AHC13" i="2" s="1"/>
  <c r="AHC14" i="2" s="1"/>
  <c r="AHC15" i="2" s="1"/>
  <c r="AHC16" i="2" s="1"/>
  <c r="AHC17" i="2" s="1"/>
  <c r="AHC18" i="2" s="1"/>
  <c r="AHC19" i="2" s="1"/>
  <c r="AHC20" i="2" s="1"/>
  <c r="AHC21" i="2" s="1"/>
  <c r="AHC22" i="2" s="1"/>
  <c r="AHC23" i="2" s="1"/>
  <c r="AHB4" i="2"/>
  <c r="AHB5" i="2" s="1"/>
  <c r="AHB6" i="2" s="1"/>
  <c r="AHB7" i="2" s="1"/>
  <c r="AHB8" i="2" s="1"/>
  <c r="AHB9" i="2" s="1"/>
  <c r="AHB10" i="2" s="1"/>
  <c r="AHB11" i="2" s="1"/>
  <c r="AHB12" i="2" s="1"/>
  <c r="AHB13" i="2" s="1"/>
  <c r="AHB14" i="2" s="1"/>
  <c r="AHB15" i="2" s="1"/>
  <c r="AHB16" i="2" s="1"/>
  <c r="AHB17" i="2" s="1"/>
  <c r="AHB18" i="2" s="1"/>
  <c r="AHB19" i="2" s="1"/>
  <c r="AHB20" i="2" s="1"/>
  <c r="AHB21" i="2" s="1"/>
  <c r="AHB22" i="2" s="1"/>
  <c r="AHB23" i="2" s="1"/>
  <c r="AHA4" i="2"/>
  <c r="AHA5" i="2" s="1"/>
  <c r="AHA6" i="2" s="1"/>
  <c r="AHA7" i="2" s="1"/>
  <c r="AHA8" i="2" s="1"/>
  <c r="AHA9" i="2" s="1"/>
  <c r="AHA10" i="2" s="1"/>
  <c r="AHA11" i="2" s="1"/>
  <c r="AHA12" i="2" s="1"/>
  <c r="AHA13" i="2" s="1"/>
  <c r="AHA14" i="2" s="1"/>
  <c r="AHA15" i="2" s="1"/>
  <c r="AHA16" i="2" s="1"/>
  <c r="AHA17" i="2" s="1"/>
  <c r="AHA18" i="2" s="1"/>
  <c r="AHA19" i="2" s="1"/>
  <c r="AHA20" i="2" s="1"/>
  <c r="AHA21" i="2" s="1"/>
  <c r="AHA22" i="2" s="1"/>
  <c r="AHA23" i="2" s="1"/>
  <c r="AGZ4" i="2"/>
  <c r="AGZ5" i="2" s="1"/>
  <c r="AGZ6" i="2" s="1"/>
  <c r="AGZ7" i="2" s="1"/>
  <c r="AGZ8" i="2" s="1"/>
  <c r="AGZ9" i="2" s="1"/>
  <c r="AGZ10" i="2" s="1"/>
  <c r="AGZ11" i="2" s="1"/>
  <c r="AGZ12" i="2" s="1"/>
  <c r="AGZ13" i="2" s="1"/>
  <c r="AGZ14" i="2" s="1"/>
  <c r="AGZ15" i="2" s="1"/>
  <c r="AGZ16" i="2" s="1"/>
  <c r="AGZ17" i="2" s="1"/>
  <c r="AGZ18" i="2" s="1"/>
  <c r="AGZ19" i="2" s="1"/>
  <c r="AGZ20" i="2" s="1"/>
  <c r="AGZ21" i="2" s="1"/>
  <c r="AGZ22" i="2" s="1"/>
  <c r="AGZ23" i="2" s="1"/>
  <c r="AGY4" i="2"/>
  <c r="AGY5" i="2" s="1"/>
  <c r="AGY6" i="2" s="1"/>
  <c r="AGY7" i="2" s="1"/>
  <c r="AGY8" i="2" s="1"/>
  <c r="AGY9" i="2" s="1"/>
  <c r="AGY10" i="2" s="1"/>
  <c r="AGY11" i="2" s="1"/>
  <c r="AGY12" i="2" s="1"/>
  <c r="AGY13" i="2" s="1"/>
  <c r="AGY14" i="2" s="1"/>
  <c r="AGY15" i="2" s="1"/>
  <c r="AGY16" i="2" s="1"/>
  <c r="AGY17" i="2" s="1"/>
  <c r="AGY18" i="2" s="1"/>
  <c r="AGY19" i="2" s="1"/>
  <c r="AGY20" i="2" s="1"/>
  <c r="AGY21" i="2" s="1"/>
  <c r="AGY22" i="2" s="1"/>
  <c r="AGY23" i="2" s="1"/>
  <c r="AGX4" i="2"/>
  <c r="AGX5" i="2" s="1"/>
  <c r="AGX6" i="2" s="1"/>
  <c r="AGX7" i="2" s="1"/>
  <c r="AGX8" i="2" s="1"/>
  <c r="AGX9" i="2" s="1"/>
  <c r="AGX10" i="2" s="1"/>
  <c r="AGX11" i="2" s="1"/>
  <c r="AGX12" i="2" s="1"/>
  <c r="AGX13" i="2" s="1"/>
  <c r="AGX14" i="2" s="1"/>
  <c r="AGX15" i="2" s="1"/>
  <c r="AGX16" i="2" s="1"/>
  <c r="AGX17" i="2" s="1"/>
  <c r="AGX18" i="2" s="1"/>
  <c r="AGX19" i="2" s="1"/>
  <c r="AGX20" i="2" s="1"/>
  <c r="AGX21" i="2" s="1"/>
  <c r="AGX22" i="2" s="1"/>
  <c r="AGX23" i="2" s="1"/>
  <c r="AGW4" i="2"/>
  <c r="AGW5" i="2" s="1"/>
  <c r="AGW6" i="2" s="1"/>
  <c r="AGW7" i="2" s="1"/>
  <c r="AGW8" i="2" s="1"/>
  <c r="AGW9" i="2" s="1"/>
  <c r="AGW10" i="2" s="1"/>
  <c r="AGW11" i="2" s="1"/>
  <c r="AGW12" i="2" s="1"/>
  <c r="AGW13" i="2" s="1"/>
  <c r="AGW14" i="2" s="1"/>
  <c r="AGW15" i="2" s="1"/>
  <c r="AGW16" i="2" s="1"/>
  <c r="AGW17" i="2" s="1"/>
  <c r="AGW18" i="2" s="1"/>
  <c r="AGW19" i="2" s="1"/>
  <c r="AGW20" i="2" s="1"/>
  <c r="AGW21" i="2" s="1"/>
  <c r="AGW22" i="2" s="1"/>
  <c r="AGW23" i="2" s="1"/>
  <c r="AGV4" i="2"/>
  <c r="AGV5" i="2" s="1"/>
  <c r="AGV6" i="2" s="1"/>
  <c r="AGV7" i="2" s="1"/>
  <c r="AGV8" i="2" s="1"/>
  <c r="AGV9" i="2" s="1"/>
  <c r="AGV10" i="2" s="1"/>
  <c r="AGV11" i="2" s="1"/>
  <c r="AGV12" i="2" s="1"/>
  <c r="AGV13" i="2" s="1"/>
  <c r="AGV14" i="2" s="1"/>
  <c r="AGV15" i="2" s="1"/>
  <c r="AGV16" i="2" s="1"/>
  <c r="AGV17" i="2" s="1"/>
  <c r="AGV18" i="2" s="1"/>
  <c r="AGV19" i="2" s="1"/>
  <c r="AGV20" i="2" s="1"/>
  <c r="AGV21" i="2" s="1"/>
  <c r="AGV22" i="2" s="1"/>
  <c r="AGV23" i="2" s="1"/>
  <c r="AGU4" i="2"/>
  <c r="AGU5" i="2" s="1"/>
  <c r="AGU6" i="2" s="1"/>
  <c r="AGU7" i="2" s="1"/>
  <c r="AGU8" i="2" s="1"/>
  <c r="AGU9" i="2" s="1"/>
  <c r="AGU10" i="2" s="1"/>
  <c r="AGU11" i="2" s="1"/>
  <c r="AGU12" i="2" s="1"/>
  <c r="AGU13" i="2" s="1"/>
  <c r="AGU14" i="2" s="1"/>
  <c r="AGU15" i="2" s="1"/>
  <c r="AGU16" i="2" s="1"/>
  <c r="AGU17" i="2" s="1"/>
  <c r="AGU18" i="2" s="1"/>
  <c r="AGU19" i="2" s="1"/>
  <c r="AGU20" i="2" s="1"/>
  <c r="AGU21" i="2" s="1"/>
  <c r="AGU22" i="2" s="1"/>
  <c r="AGU23" i="2" s="1"/>
  <c r="AGT4" i="2"/>
  <c r="AGT5" i="2" s="1"/>
  <c r="AGT6" i="2" s="1"/>
  <c r="AGT7" i="2" s="1"/>
  <c r="AGT8" i="2" s="1"/>
  <c r="AGT9" i="2" s="1"/>
  <c r="AGT10" i="2" s="1"/>
  <c r="AGT11" i="2" s="1"/>
  <c r="AGT12" i="2" s="1"/>
  <c r="AGT13" i="2" s="1"/>
  <c r="AGT14" i="2" s="1"/>
  <c r="AGT15" i="2" s="1"/>
  <c r="AGT16" i="2" s="1"/>
  <c r="AGT17" i="2" s="1"/>
  <c r="AGT18" i="2" s="1"/>
  <c r="AGT19" i="2" s="1"/>
  <c r="AGT20" i="2" s="1"/>
  <c r="AGT21" i="2" s="1"/>
  <c r="AGT22" i="2" s="1"/>
  <c r="AGT23" i="2" s="1"/>
  <c r="AGS4" i="2"/>
  <c r="AGS5" i="2" s="1"/>
  <c r="AGS6" i="2" s="1"/>
  <c r="AGS7" i="2" s="1"/>
  <c r="AGS8" i="2" s="1"/>
  <c r="AGS9" i="2" s="1"/>
  <c r="AGS10" i="2" s="1"/>
  <c r="AGS11" i="2" s="1"/>
  <c r="AGS12" i="2" s="1"/>
  <c r="AGS13" i="2" s="1"/>
  <c r="AGS14" i="2" s="1"/>
  <c r="AGS15" i="2" s="1"/>
  <c r="AGS16" i="2" s="1"/>
  <c r="AGS17" i="2" s="1"/>
  <c r="AGS18" i="2" s="1"/>
  <c r="AGS19" i="2" s="1"/>
  <c r="AGS20" i="2" s="1"/>
  <c r="AGS21" i="2" s="1"/>
  <c r="AGS22" i="2" s="1"/>
  <c r="AGS23" i="2" s="1"/>
  <c r="AGR4" i="2"/>
  <c r="AGR5" i="2" s="1"/>
  <c r="AGR6" i="2" s="1"/>
  <c r="AGR7" i="2" s="1"/>
  <c r="AGR8" i="2" s="1"/>
  <c r="AGR9" i="2" s="1"/>
  <c r="AGR10" i="2" s="1"/>
  <c r="AGR11" i="2" s="1"/>
  <c r="AGR12" i="2" s="1"/>
  <c r="AGR13" i="2" s="1"/>
  <c r="AGR14" i="2" s="1"/>
  <c r="AGR15" i="2" s="1"/>
  <c r="AGR16" i="2" s="1"/>
  <c r="AGR17" i="2" s="1"/>
  <c r="AGR18" i="2" s="1"/>
  <c r="AGR19" i="2" s="1"/>
  <c r="AGR20" i="2" s="1"/>
  <c r="AGR21" i="2" s="1"/>
  <c r="AGR22" i="2" s="1"/>
  <c r="AGR23" i="2" s="1"/>
  <c r="AGQ4" i="2"/>
  <c r="AGQ5" i="2" s="1"/>
  <c r="AGQ6" i="2" s="1"/>
  <c r="AGQ7" i="2" s="1"/>
  <c r="AGQ8" i="2" s="1"/>
  <c r="AGQ9" i="2" s="1"/>
  <c r="AGQ10" i="2" s="1"/>
  <c r="AGQ11" i="2" s="1"/>
  <c r="AGQ12" i="2" s="1"/>
  <c r="AGQ13" i="2" s="1"/>
  <c r="AGQ14" i="2" s="1"/>
  <c r="AGQ15" i="2" s="1"/>
  <c r="AGQ16" i="2" s="1"/>
  <c r="AGQ17" i="2" s="1"/>
  <c r="AGQ18" i="2" s="1"/>
  <c r="AGQ19" i="2" s="1"/>
  <c r="AGQ20" i="2" s="1"/>
  <c r="AGQ21" i="2" s="1"/>
  <c r="AGQ22" i="2" s="1"/>
  <c r="AGQ23" i="2" s="1"/>
  <c r="AGP4" i="2"/>
  <c r="AGP5" i="2" s="1"/>
  <c r="AGP6" i="2" s="1"/>
  <c r="AGP7" i="2" s="1"/>
  <c r="AGP8" i="2" s="1"/>
  <c r="AGP9" i="2" s="1"/>
  <c r="AGP10" i="2" s="1"/>
  <c r="AGP11" i="2" s="1"/>
  <c r="AGP12" i="2" s="1"/>
  <c r="AGP13" i="2" s="1"/>
  <c r="AGP14" i="2" s="1"/>
  <c r="AGP15" i="2" s="1"/>
  <c r="AGP16" i="2" s="1"/>
  <c r="AGP17" i="2" s="1"/>
  <c r="AGP18" i="2" s="1"/>
  <c r="AGP19" i="2" s="1"/>
  <c r="AGP20" i="2" s="1"/>
  <c r="AGP21" i="2" s="1"/>
  <c r="AGP22" i="2" s="1"/>
  <c r="AGP23" i="2" s="1"/>
  <c r="AGO4" i="2"/>
  <c r="AGO5" i="2" s="1"/>
  <c r="AGO6" i="2" s="1"/>
  <c r="AGO7" i="2" s="1"/>
  <c r="AGO8" i="2" s="1"/>
  <c r="AGO9" i="2" s="1"/>
  <c r="AGO10" i="2" s="1"/>
  <c r="AGO11" i="2" s="1"/>
  <c r="AGO12" i="2" s="1"/>
  <c r="AGO13" i="2" s="1"/>
  <c r="AGO14" i="2" s="1"/>
  <c r="AGO15" i="2" s="1"/>
  <c r="AGO16" i="2" s="1"/>
  <c r="AGO17" i="2" s="1"/>
  <c r="AGO18" i="2" s="1"/>
  <c r="AGO19" i="2" s="1"/>
  <c r="AGO20" i="2" s="1"/>
  <c r="AGO21" i="2" s="1"/>
  <c r="AGO22" i="2" s="1"/>
  <c r="AGO23" i="2" s="1"/>
  <c r="AGN4" i="2"/>
  <c r="AGN5" i="2" s="1"/>
  <c r="AGN6" i="2" s="1"/>
  <c r="AGN7" i="2" s="1"/>
  <c r="AGN8" i="2" s="1"/>
  <c r="AGN9" i="2" s="1"/>
  <c r="AGN10" i="2" s="1"/>
  <c r="AGN11" i="2" s="1"/>
  <c r="AGN12" i="2" s="1"/>
  <c r="AGN13" i="2" s="1"/>
  <c r="AGN14" i="2" s="1"/>
  <c r="AGN15" i="2" s="1"/>
  <c r="AGN16" i="2" s="1"/>
  <c r="AGN17" i="2" s="1"/>
  <c r="AGN18" i="2" s="1"/>
  <c r="AGN19" i="2" s="1"/>
  <c r="AGN20" i="2" s="1"/>
  <c r="AGN21" i="2" s="1"/>
  <c r="AGN22" i="2" s="1"/>
  <c r="AGN23" i="2" s="1"/>
  <c r="AGM4" i="2"/>
  <c r="AGM5" i="2" s="1"/>
  <c r="AGM6" i="2" s="1"/>
  <c r="AGM7" i="2" s="1"/>
  <c r="AGM8" i="2" s="1"/>
  <c r="AGM9" i="2" s="1"/>
  <c r="AGM10" i="2" s="1"/>
  <c r="AGM11" i="2" s="1"/>
  <c r="AGM12" i="2" s="1"/>
  <c r="AGM13" i="2" s="1"/>
  <c r="AGM14" i="2" s="1"/>
  <c r="AGM15" i="2" s="1"/>
  <c r="AGM16" i="2" s="1"/>
  <c r="AGM17" i="2" s="1"/>
  <c r="AGM18" i="2" s="1"/>
  <c r="AGM19" i="2" s="1"/>
  <c r="AGM20" i="2" s="1"/>
  <c r="AGM21" i="2" s="1"/>
  <c r="AGM22" i="2" s="1"/>
  <c r="AGM23" i="2" s="1"/>
  <c r="AGL4" i="2"/>
  <c r="AGL5" i="2" s="1"/>
  <c r="AGL6" i="2" s="1"/>
  <c r="AGL7" i="2" s="1"/>
  <c r="AGL8" i="2" s="1"/>
  <c r="AGL9" i="2" s="1"/>
  <c r="AGL10" i="2" s="1"/>
  <c r="AGL11" i="2" s="1"/>
  <c r="AGL12" i="2" s="1"/>
  <c r="AGL13" i="2" s="1"/>
  <c r="AGL14" i="2" s="1"/>
  <c r="AGL15" i="2" s="1"/>
  <c r="AGL16" i="2" s="1"/>
  <c r="AGL17" i="2" s="1"/>
  <c r="AGL18" i="2" s="1"/>
  <c r="AGL19" i="2" s="1"/>
  <c r="AGL20" i="2" s="1"/>
  <c r="AGL21" i="2" s="1"/>
  <c r="AGL22" i="2" s="1"/>
  <c r="AGL23" i="2" s="1"/>
  <c r="AGK4" i="2"/>
  <c r="AGK5" i="2" s="1"/>
  <c r="AGK6" i="2" s="1"/>
  <c r="AGK7" i="2" s="1"/>
  <c r="AGK8" i="2" s="1"/>
  <c r="AGK9" i="2" s="1"/>
  <c r="AGK10" i="2" s="1"/>
  <c r="AGK11" i="2" s="1"/>
  <c r="AGK12" i="2" s="1"/>
  <c r="AGK13" i="2" s="1"/>
  <c r="AGK14" i="2" s="1"/>
  <c r="AGK15" i="2" s="1"/>
  <c r="AGK16" i="2" s="1"/>
  <c r="AGK17" i="2" s="1"/>
  <c r="AGK18" i="2" s="1"/>
  <c r="AGK19" i="2" s="1"/>
  <c r="AGK20" i="2" s="1"/>
  <c r="AGK21" i="2" s="1"/>
  <c r="AGK22" i="2" s="1"/>
  <c r="AGK23" i="2" s="1"/>
  <c r="AGJ4" i="2"/>
  <c r="AGJ5" i="2" s="1"/>
  <c r="AGJ6" i="2" s="1"/>
  <c r="AGJ7" i="2" s="1"/>
  <c r="AGJ8" i="2" s="1"/>
  <c r="AGJ9" i="2" s="1"/>
  <c r="AGJ10" i="2" s="1"/>
  <c r="AGJ11" i="2" s="1"/>
  <c r="AGJ12" i="2" s="1"/>
  <c r="AGJ13" i="2" s="1"/>
  <c r="AGJ14" i="2" s="1"/>
  <c r="AGJ15" i="2" s="1"/>
  <c r="AGJ16" i="2" s="1"/>
  <c r="AGJ17" i="2" s="1"/>
  <c r="AGJ18" i="2" s="1"/>
  <c r="AGJ19" i="2" s="1"/>
  <c r="AGJ20" i="2" s="1"/>
  <c r="AGJ21" i="2" s="1"/>
  <c r="AGJ22" i="2" s="1"/>
  <c r="AGJ23" i="2" s="1"/>
  <c r="AGI4" i="2"/>
  <c r="AGI5" i="2" s="1"/>
  <c r="AGI6" i="2" s="1"/>
  <c r="AGI7" i="2" s="1"/>
  <c r="AGI8" i="2" s="1"/>
  <c r="AGI9" i="2" s="1"/>
  <c r="AGI10" i="2" s="1"/>
  <c r="AGI11" i="2" s="1"/>
  <c r="AGI12" i="2" s="1"/>
  <c r="AGI13" i="2" s="1"/>
  <c r="AGI14" i="2" s="1"/>
  <c r="AGI15" i="2" s="1"/>
  <c r="AGI16" i="2" s="1"/>
  <c r="AGI17" i="2" s="1"/>
  <c r="AGI18" i="2" s="1"/>
  <c r="AGI19" i="2" s="1"/>
  <c r="AGI20" i="2" s="1"/>
  <c r="AGI21" i="2" s="1"/>
  <c r="AGI22" i="2" s="1"/>
  <c r="AGI23" i="2" s="1"/>
  <c r="AGH4" i="2"/>
  <c r="AGH5" i="2" s="1"/>
  <c r="AGH6" i="2" s="1"/>
  <c r="AGH7" i="2" s="1"/>
  <c r="AGH8" i="2" s="1"/>
  <c r="AGH9" i="2" s="1"/>
  <c r="AGH10" i="2" s="1"/>
  <c r="AGH11" i="2" s="1"/>
  <c r="AGH12" i="2" s="1"/>
  <c r="AGH13" i="2" s="1"/>
  <c r="AGH14" i="2" s="1"/>
  <c r="AGH15" i="2" s="1"/>
  <c r="AGH16" i="2" s="1"/>
  <c r="AGH17" i="2" s="1"/>
  <c r="AGH18" i="2" s="1"/>
  <c r="AGH19" i="2" s="1"/>
  <c r="AGH20" i="2" s="1"/>
  <c r="AGH21" i="2" s="1"/>
  <c r="AGH22" i="2" s="1"/>
  <c r="AGH23" i="2" s="1"/>
  <c r="AGG4" i="2"/>
  <c r="AGG5" i="2" s="1"/>
  <c r="AGG6" i="2" s="1"/>
  <c r="AGG7" i="2" s="1"/>
  <c r="AGG8" i="2" s="1"/>
  <c r="AGG9" i="2" s="1"/>
  <c r="AGG10" i="2" s="1"/>
  <c r="AGG11" i="2" s="1"/>
  <c r="AGG12" i="2" s="1"/>
  <c r="AGG13" i="2" s="1"/>
  <c r="AGG14" i="2" s="1"/>
  <c r="AGG15" i="2" s="1"/>
  <c r="AGG16" i="2" s="1"/>
  <c r="AGG17" i="2" s="1"/>
  <c r="AGG18" i="2" s="1"/>
  <c r="AGG19" i="2" s="1"/>
  <c r="AGG20" i="2" s="1"/>
  <c r="AGG21" i="2" s="1"/>
  <c r="AGG22" i="2" s="1"/>
  <c r="AGG23" i="2" s="1"/>
  <c r="AGF4" i="2"/>
  <c r="AGF5" i="2" s="1"/>
  <c r="AGF6" i="2" s="1"/>
  <c r="AGF7" i="2" s="1"/>
  <c r="AGF8" i="2" s="1"/>
  <c r="AGF9" i="2" s="1"/>
  <c r="AGF10" i="2" s="1"/>
  <c r="AGF11" i="2" s="1"/>
  <c r="AGF12" i="2" s="1"/>
  <c r="AGF13" i="2" s="1"/>
  <c r="AGF14" i="2" s="1"/>
  <c r="AGF15" i="2" s="1"/>
  <c r="AGF16" i="2" s="1"/>
  <c r="AGF17" i="2" s="1"/>
  <c r="AGF18" i="2" s="1"/>
  <c r="AGF19" i="2" s="1"/>
  <c r="AGF20" i="2" s="1"/>
  <c r="AGF21" i="2" s="1"/>
  <c r="AGF22" i="2" s="1"/>
  <c r="AGF23" i="2" s="1"/>
  <c r="AGE4" i="2"/>
  <c r="AGE5" i="2" s="1"/>
  <c r="AGE6" i="2" s="1"/>
  <c r="AGE7" i="2" s="1"/>
  <c r="AGE8" i="2" s="1"/>
  <c r="AGE9" i="2" s="1"/>
  <c r="AGE10" i="2" s="1"/>
  <c r="AGE11" i="2" s="1"/>
  <c r="AGE12" i="2" s="1"/>
  <c r="AGE13" i="2" s="1"/>
  <c r="AGE14" i="2" s="1"/>
  <c r="AGE15" i="2" s="1"/>
  <c r="AGE16" i="2" s="1"/>
  <c r="AGE17" i="2" s="1"/>
  <c r="AGE18" i="2" s="1"/>
  <c r="AGE19" i="2" s="1"/>
  <c r="AGE20" i="2" s="1"/>
  <c r="AGE21" i="2" s="1"/>
  <c r="AGE22" i="2" s="1"/>
  <c r="AGE23" i="2" s="1"/>
  <c r="AGD4" i="2"/>
  <c r="AGD5" i="2" s="1"/>
  <c r="AGD6" i="2" s="1"/>
  <c r="AGD7" i="2" s="1"/>
  <c r="AGD8" i="2" s="1"/>
  <c r="AGD9" i="2" s="1"/>
  <c r="AGD10" i="2" s="1"/>
  <c r="AGD11" i="2" s="1"/>
  <c r="AGD12" i="2" s="1"/>
  <c r="AGD13" i="2" s="1"/>
  <c r="AGD14" i="2" s="1"/>
  <c r="AGD15" i="2" s="1"/>
  <c r="AGD16" i="2" s="1"/>
  <c r="AGD17" i="2" s="1"/>
  <c r="AGD18" i="2" s="1"/>
  <c r="AGD19" i="2" s="1"/>
  <c r="AGD20" i="2" s="1"/>
  <c r="AGD21" i="2" s="1"/>
  <c r="AGD22" i="2" s="1"/>
  <c r="AGD23" i="2" s="1"/>
  <c r="AGC4" i="2"/>
  <c r="AGC5" i="2" s="1"/>
  <c r="AGC6" i="2" s="1"/>
  <c r="AGC7" i="2" s="1"/>
  <c r="AGC8" i="2" s="1"/>
  <c r="AGC9" i="2" s="1"/>
  <c r="AGC10" i="2" s="1"/>
  <c r="AGC11" i="2" s="1"/>
  <c r="AGC12" i="2" s="1"/>
  <c r="AGC13" i="2" s="1"/>
  <c r="AGC14" i="2" s="1"/>
  <c r="AGC15" i="2" s="1"/>
  <c r="AGC16" i="2" s="1"/>
  <c r="AGC17" i="2" s="1"/>
  <c r="AGC18" i="2" s="1"/>
  <c r="AGC19" i="2" s="1"/>
  <c r="AGC20" i="2" s="1"/>
  <c r="AGC21" i="2" s="1"/>
  <c r="AGC22" i="2" s="1"/>
  <c r="AGC23" i="2" s="1"/>
  <c r="AGB4" i="2"/>
  <c r="AGB5" i="2" s="1"/>
  <c r="AGB6" i="2" s="1"/>
  <c r="AGB7" i="2" s="1"/>
  <c r="AGB8" i="2" s="1"/>
  <c r="AGB9" i="2" s="1"/>
  <c r="AGB10" i="2" s="1"/>
  <c r="AGB11" i="2" s="1"/>
  <c r="AGB12" i="2" s="1"/>
  <c r="AGB13" i="2" s="1"/>
  <c r="AGB14" i="2" s="1"/>
  <c r="AGB15" i="2" s="1"/>
  <c r="AGB16" i="2" s="1"/>
  <c r="AGB17" i="2" s="1"/>
  <c r="AGB18" i="2" s="1"/>
  <c r="AGB19" i="2" s="1"/>
  <c r="AGB20" i="2" s="1"/>
  <c r="AGB21" i="2" s="1"/>
  <c r="AGB22" i="2" s="1"/>
  <c r="AGB23" i="2" s="1"/>
  <c r="AGA4" i="2"/>
  <c r="AGA5" i="2" s="1"/>
  <c r="AGA6" i="2" s="1"/>
  <c r="AGA7" i="2" s="1"/>
  <c r="AGA8" i="2" s="1"/>
  <c r="AGA9" i="2" s="1"/>
  <c r="AGA10" i="2" s="1"/>
  <c r="AGA11" i="2" s="1"/>
  <c r="AGA12" i="2" s="1"/>
  <c r="AGA13" i="2" s="1"/>
  <c r="AGA14" i="2" s="1"/>
  <c r="AGA15" i="2" s="1"/>
  <c r="AGA16" i="2" s="1"/>
  <c r="AGA17" i="2" s="1"/>
  <c r="AGA18" i="2" s="1"/>
  <c r="AGA19" i="2" s="1"/>
  <c r="AGA20" i="2" s="1"/>
  <c r="AGA21" i="2" s="1"/>
  <c r="AGA22" i="2" s="1"/>
  <c r="AGA23" i="2" s="1"/>
  <c r="AFZ4" i="2"/>
  <c r="AFZ5" i="2" s="1"/>
  <c r="AFZ6" i="2" s="1"/>
  <c r="AFZ7" i="2" s="1"/>
  <c r="AFZ8" i="2" s="1"/>
  <c r="AFZ9" i="2" s="1"/>
  <c r="AFZ10" i="2" s="1"/>
  <c r="AFZ11" i="2" s="1"/>
  <c r="AFZ12" i="2" s="1"/>
  <c r="AFZ13" i="2" s="1"/>
  <c r="AFZ14" i="2" s="1"/>
  <c r="AFZ15" i="2" s="1"/>
  <c r="AFZ16" i="2" s="1"/>
  <c r="AFZ17" i="2" s="1"/>
  <c r="AFZ18" i="2" s="1"/>
  <c r="AFZ19" i="2" s="1"/>
  <c r="AFZ20" i="2" s="1"/>
  <c r="AFZ21" i="2" s="1"/>
  <c r="AFZ22" i="2" s="1"/>
  <c r="AFZ23" i="2" s="1"/>
  <c r="AFY4" i="2"/>
  <c r="AFY5" i="2" s="1"/>
  <c r="AFY6" i="2" s="1"/>
  <c r="AFY7" i="2" s="1"/>
  <c r="AFY8" i="2" s="1"/>
  <c r="AFY9" i="2" s="1"/>
  <c r="AFY10" i="2" s="1"/>
  <c r="AFY11" i="2" s="1"/>
  <c r="AFY12" i="2" s="1"/>
  <c r="AFY13" i="2" s="1"/>
  <c r="AFY14" i="2" s="1"/>
  <c r="AFY15" i="2" s="1"/>
  <c r="AFY16" i="2" s="1"/>
  <c r="AFY17" i="2" s="1"/>
  <c r="AFY18" i="2" s="1"/>
  <c r="AFY19" i="2" s="1"/>
  <c r="AFY20" i="2" s="1"/>
  <c r="AFY21" i="2" s="1"/>
  <c r="AFY22" i="2" s="1"/>
  <c r="AFY23" i="2" s="1"/>
  <c r="AFX4" i="2"/>
  <c r="AFX5" i="2" s="1"/>
  <c r="AFX6" i="2" s="1"/>
  <c r="AFX7" i="2" s="1"/>
  <c r="AFX8" i="2" s="1"/>
  <c r="AFX9" i="2" s="1"/>
  <c r="AFX10" i="2" s="1"/>
  <c r="AFX11" i="2" s="1"/>
  <c r="AFX12" i="2" s="1"/>
  <c r="AFX13" i="2" s="1"/>
  <c r="AFX14" i="2" s="1"/>
  <c r="AFX15" i="2" s="1"/>
  <c r="AFX16" i="2" s="1"/>
  <c r="AFX17" i="2" s="1"/>
  <c r="AFX18" i="2" s="1"/>
  <c r="AFX19" i="2" s="1"/>
  <c r="AFX20" i="2" s="1"/>
  <c r="AFX21" i="2" s="1"/>
  <c r="AFX22" i="2" s="1"/>
  <c r="AFX23" i="2" s="1"/>
  <c r="AFW4" i="2"/>
  <c r="AFW5" i="2" s="1"/>
  <c r="AFW6" i="2" s="1"/>
  <c r="AFW7" i="2" s="1"/>
  <c r="AFW8" i="2" s="1"/>
  <c r="AFW9" i="2" s="1"/>
  <c r="AFW10" i="2" s="1"/>
  <c r="AFW11" i="2" s="1"/>
  <c r="AFW12" i="2" s="1"/>
  <c r="AFW13" i="2" s="1"/>
  <c r="AFW14" i="2" s="1"/>
  <c r="AFW15" i="2" s="1"/>
  <c r="AFW16" i="2" s="1"/>
  <c r="AFW17" i="2" s="1"/>
  <c r="AFW18" i="2" s="1"/>
  <c r="AFW19" i="2" s="1"/>
  <c r="AFW20" i="2" s="1"/>
  <c r="AFW21" i="2" s="1"/>
  <c r="AFW22" i="2" s="1"/>
  <c r="AFW23" i="2" s="1"/>
  <c r="AFV4" i="2"/>
  <c r="AFV5" i="2" s="1"/>
  <c r="AFV6" i="2" s="1"/>
  <c r="AFV7" i="2" s="1"/>
  <c r="AFV8" i="2" s="1"/>
  <c r="AFV9" i="2" s="1"/>
  <c r="AFV10" i="2" s="1"/>
  <c r="AFV11" i="2" s="1"/>
  <c r="AFV12" i="2" s="1"/>
  <c r="AFV13" i="2" s="1"/>
  <c r="AFV14" i="2" s="1"/>
  <c r="AFV15" i="2" s="1"/>
  <c r="AFV16" i="2" s="1"/>
  <c r="AFV17" i="2" s="1"/>
  <c r="AFV18" i="2" s="1"/>
  <c r="AFV19" i="2" s="1"/>
  <c r="AFV20" i="2" s="1"/>
  <c r="AFV21" i="2" s="1"/>
  <c r="AFV22" i="2" s="1"/>
  <c r="AFV23" i="2" s="1"/>
  <c r="AFU4" i="2"/>
  <c r="AFU5" i="2" s="1"/>
  <c r="AFU6" i="2" s="1"/>
  <c r="AFU7" i="2" s="1"/>
  <c r="AFU8" i="2" s="1"/>
  <c r="AFU9" i="2" s="1"/>
  <c r="AFU10" i="2" s="1"/>
  <c r="AFU11" i="2" s="1"/>
  <c r="AFU12" i="2" s="1"/>
  <c r="AFU13" i="2" s="1"/>
  <c r="AFU14" i="2" s="1"/>
  <c r="AFU15" i="2" s="1"/>
  <c r="AFU16" i="2" s="1"/>
  <c r="AFU17" i="2" s="1"/>
  <c r="AFU18" i="2" s="1"/>
  <c r="AFU19" i="2" s="1"/>
  <c r="AFU20" i="2" s="1"/>
  <c r="AFU21" i="2" s="1"/>
  <c r="AFU22" i="2" s="1"/>
  <c r="AFU23" i="2" s="1"/>
  <c r="AFT4" i="2"/>
  <c r="AFT5" i="2" s="1"/>
  <c r="AFT6" i="2" s="1"/>
  <c r="AFT7" i="2" s="1"/>
  <c r="AFT8" i="2" s="1"/>
  <c r="AFT9" i="2" s="1"/>
  <c r="AFT10" i="2" s="1"/>
  <c r="AFT11" i="2" s="1"/>
  <c r="AFT12" i="2" s="1"/>
  <c r="AFT13" i="2" s="1"/>
  <c r="AFT14" i="2" s="1"/>
  <c r="AFT15" i="2" s="1"/>
  <c r="AFT16" i="2" s="1"/>
  <c r="AFT17" i="2" s="1"/>
  <c r="AFT18" i="2" s="1"/>
  <c r="AFT19" i="2" s="1"/>
  <c r="AFT20" i="2" s="1"/>
  <c r="AFT21" i="2" s="1"/>
  <c r="AFT22" i="2" s="1"/>
  <c r="AFT23" i="2" s="1"/>
  <c r="AFS4" i="2"/>
  <c r="AFS5" i="2" s="1"/>
  <c r="AFS6" i="2" s="1"/>
  <c r="AFS7" i="2" s="1"/>
  <c r="AFS8" i="2" s="1"/>
  <c r="AFS9" i="2" s="1"/>
  <c r="AFS10" i="2" s="1"/>
  <c r="AFS11" i="2" s="1"/>
  <c r="AFS12" i="2" s="1"/>
  <c r="AFS13" i="2" s="1"/>
  <c r="AFS14" i="2" s="1"/>
  <c r="AFS15" i="2" s="1"/>
  <c r="AFS16" i="2" s="1"/>
  <c r="AFS17" i="2" s="1"/>
  <c r="AFS18" i="2" s="1"/>
  <c r="AFS19" i="2" s="1"/>
  <c r="AFS20" i="2" s="1"/>
  <c r="AFS21" i="2" s="1"/>
  <c r="AFS22" i="2" s="1"/>
  <c r="AFS23" i="2" s="1"/>
  <c r="AFR4" i="2"/>
  <c r="AFR5" i="2" s="1"/>
  <c r="AFR6" i="2" s="1"/>
  <c r="AFR7" i="2" s="1"/>
  <c r="AFR8" i="2" s="1"/>
  <c r="AFR9" i="2" s="1"/>
  <c r="AFR10" i="2" s="1"/>
  <c r="AFR11" i="2" s="1"/>
  <c r="AFR12" i="2" s="1"/>
  <c r="AFR13" i="2" s="1"/>
  <c r="AFR14" i="2" s="1"/>
  <c r="AFR15" i="2" s="1"/>
  <c r="AFR16" i="2" s="1"/>
  <c r="AFR17" i="2" s="1"/>
  <c r="AFR18" i="2" s="1"/>
  <c r="AFR19" i="2" s="1"/>
  <c r="AFR20" i="2" s="1"/>
  <c r="AFR21" i="2" s="1"/>
  <c r="AFR22" i="2" s="1"/>
  <c r="AFR23" i="2" s="1"/>
  <c r="AFQ4" i="2"/>
  <c r="AFQ5" i="2" s="1"/>
  <c r="AFQ6" i="2" s="1"/>
  <c r="AFQ7" i="2" s="1"/>
  <c r="AFQ8" i="2" s="1"/>
  <c r="AFQ9" i="2" s="1"/>
  <c r="AFQ10" i="2" s="1"/>
  <c r="AFQ11" i="2" s="1"/>
  <c r="AFQ12" i="2" s="1"/>
  <c r="AFQ13" i="2" s="1"/>
  <c r="AFQ14" i="2" s="1"/>
  <c r="AFQ15" i="2" s="1"/>
  <c r="AFQ16" i="2" s="1"/>
  <c r="AFQ17" i="2" s="1"/>
  <c r="AFQ18" i="2" s="1"/>
  <c r="AFQ19" i="2" s="1"/>
  <c r="AFQ20" i="2" s="1"/>
  <c r="AFQ21" i="2" s="1"/>
  <c r="AFQ22" i="2" s="1"/>
  <c r="AFQ23" i="2" s="1"/>
  <c r="AFP4" i="2"/>
  <c r="AFP5" i="2" s="1"/>
  <c r="AFP6" i="2" s="1"/>
  <c r="AFP7" i="2" s="1"/>
  <c r="AFP8" i="2" s="1"/>
  <c r="AFP9" i="2" s="1"/>
  <c r="AFP10" i="2" s="1"/>
  <c r="AFP11" i="2" s="1"/>
  <c r="AFP12" i="2" s="1"/>
  <c r="AFP13" i="2" s="1"/>
  <c r="AFP14" i="2" s="1"/>
  <c r="AFP15" i="2" s="1"/>
  <c r="AFP16" i="2" s="1"/>
  <c r="AFP17" i="2" s="1"/>
  <c r="AFP18" i="2" s="1"/>
  <c r="AFP19" i="2" s="1"/>
  <c r="AFP20" i="2" s="1"/>
  <c r="AFP21" i="2" s="1"/>
  <c r="AFP22" i="2" s="1"/>
  <c r="AFP23" i="2" s="1"/>
  <c r="AFO4" i="2"/>
  <c r="AFO5" i="2" s="1"/>
  <c r="AFO6" i="2" s="1"/>
  <c r="AFO7" i="2" s="1"/>
  <c r="AFO8" i="2" s="1"/>
  <c r="AFO9" i="2" s="1"/>
  <c r="AFO10" i="2" s="1"/>
  <c r="AFO11" i="2" s="1"/>
  <c r="AFO12" i="2" s="1"/>
  <c r="AFO13" i="2" s="1"/>
  <c r="AFO14" i="2" s="1"/>
  <c r="AFO15" i="2" s="1"/>
  <c r="AFO16" i="2" s="1"/>
  <c r="AFO17" i="2" s="1"/>
  <c r="AFO18" i="2" s="1"/>
  <c r="AFO19" i="2" s="1"/>
  <c r="AFO20" i="2" s="1"/>
  <c r="AFO21" i="2" s="1"/>
  <c r="AFO22" i="2" s="1"/>
  <c r="AFO23" i="2" s="1"/>
  <c r="AFN4" i="2"/>
  <c r="AFN5" i="2" s="1"/>
  <c r="AFN6" i="2" s="1"/>
  <c r="AFN7" i="2" s="1"/>
  <c r="AFN8" i="2" s="1"/>
  <c r="AFN9" i="2" s="1"/>
  <c r="AFN10" i="2" s="1"/>
  <c r="AFN11" i="2" s="1"/>
  <c r="AFN12" i="2" s="1"/>
  <c r="AFN13" i="2" s="1"/>
  <c r="AFN14" i="2" s="1"/>
  <c r="AFN15" i="2" s="1"/>
  <c r="AFN16" i="2" s="1"/>
  <c r="AFN17" i="2" s="1"/>
  <c r="AFN18" i="2" s="1"/>
  <c r="AFN19" i="2" s="1"/>
  <c r="AFN20" i="2" s="1"/>
  <c r="AFN21" i="2" s="1"/>
  <c r="AFN22" i="2" s="1"/>
  <c r="AFN23" i="2" s="1"/>
  <c r="AFM4" i="2"/>
  <c r="AFM5" i="2" s="1"/>
  <c r="AFM6" i="2" s="1"/>
  <c r="AFM7" i="2" s="1"/>
  <c r="AFM8" i="2" s="1"/>
  <c r="AFM9" i="2" s="1"/>
  <c r="AFM10" i="2" s="1"/>
  <c r="AFM11" i="2" s="1"/>
  <c r="AFM12" i="2" s="1"/>
  <c r="AFM13" i="2" s="1"/>
  <c r="AFM14" i="2" s="1"/>
  <c r="AFM15" i="2" s="1"/>
  <c r="AFM16" i="2" s="1"/>
  <c r="AFM17" i="2" s="1"/>
  <c r="AFM18" i="2" s="1"/>
  <c r="AFM19" i="2" s="1"/>
  <c r="AFM20" i="2" s="1"/>
  <c r="AFM21" i="2" s="1"/>
  <c r="AFM22" i="2" s="1"/>
  <c r="AFM23" i="2" s="1"/>
  <c r="AFL4" i="2"/>
  <c r="AFL5" i="2" s="1"/>
  <c r="AFL6" i="2" s="1"/>
  <c r="AFL7" i="2" s="1"/>
  <c r="AFL8" i="2" s="1"/>
  <c r="AFL9" i="2" s="1"/>
  <c r="AFL10" i="2" s="1"/>
  <c r="AFL11" i="2" s="1"/>
  <c r="AFL12" i="2" s="1"/>
  <c r="AFL13" i="2" s="1"/>
  <c r="AFL14" i="2" s="1"/>
  <c r="AFL15" i="2" s="1"/>
  <c r="AFL16" i="2" s="1"/>
  <c r="AFL17" i="2" s="1"/>
  <c r="AFL18" i="2" s="1"/>
  <c r="AFL19" i="2" s="1"/>
  <c r="AFL20" i="2" s="1"/>
  <c r="AFL21" i="2" s="1"/>
  <c r="AFL22" i="2" s="1"/>
  <c r="AFL23" i="2" s="1"/>
  <c r="AFK4" i="2"/>
  <c r="AFK5" i="2" s="1"/>
  <c r="AFK6" i="2" s="1"/>
  <c r="AFK7" i="2" s="1"/>
  <c r="AFK8" i="2" s="1"/>
  <c r="AFK9" i="2" s="1"/>
  <c r="AFK10" i="2" s="1"/>
  <c r="AFK11" i="2" s="1"/>
  <c r="AFK12" i="2" s="1"/>
  <c r="AFK13" i="2" s="1"/>
  <c r="AFK14" i="2" s="1"/>
  <c r="AFK15" i="2" s="1"/>
  <c r="AFK16" i="2" s="1"/>
  <c r="AFK17" i="2" s="1"/>
  <c r="AFK18" i="2" s="1"/>
  <c r="AFK19" i="2" s="1"/>
  <c r="AFK20" i="2" s="1"/>
  <c r="AFK21" i="2" s="1"/>
  <c r="AFK22" i="2" s="1"/>
  <c r="AFK23" i="2" s="1"/>
  <c r="AFJ4" i="2"/>
  <c r="AFJ5" i="2" s="1"/>
  <c r="AFJ6" i="2" s="1"/>
  <c r="AFJ7" i="2" s="1"/>
  <c r="AFJ8" i="2" s="1"/>
  <c r="AFJ9" i="2" s="1"/>
  <c r="AFJ10" i="2" s="1"/>
  <c r="AFJ11" i="2" s="1"/>
  <c r="AFJ12" i="2" s="1"/>
  <c r="AFJ13" i="2" s="1"/>
  <c r="AFJ14" i="2" s="1"/>
  <c r="AFJ15" i="2" s="1"/>
  <c r="AFJ16" i="2" s="1"/>
  <c r="AFJ17" i="2" s="1"/>
  <c r="AFJ18" i="2" s="1"/>
  <c r="AFJ19" i="2" s="1"/>
  <c r="AFJ20" i="2" s="1"/>
  <c r="AFJ21" i="2" s="1"/>
  <c r="AFJ22" i="2" s="1"/>
  <c r="AFJ23" i="2" s="1"/>
  <c r="AFI4" i="2"/>
  <c r="AFI5" i="2" s="1"/>
  <c r="AFI6" i="2" s="1"/>
  <c r="AFI7" i="2" s="1"/>
  <c r="AFI8" i="2" s="1"/>
  <c r="AFI9" i="2" s="1"/>
  <c r="AFI10" i="2" s="1"/>
  <c r="AFI11" i="2" s="1"/>
  <c r="AFI12" i="2" s="1"/>
  <c r="AFI13" i="2" s="1"/>
  <c r="AFI14" i="2" s="1"/>
  <c r="AFI15" i="2" s="1"/>
  <c r="AFI16" i="2" s="1"/>
  <c r="AFI17" i="2" s="1"/>
  <c r="AFI18" i="2" s="1"/>
  <c r="AFI19" i="2" s="1"/>
  <c r="AFI20" i="2" s="1"/>
  <c r="AFI21" i="2" s="1"/>
  <c r="AFI22" i="2" s="1"/>
  <c r="AFI23" i="2" s="1"/>
  <c r="AFH4" i="2"/>
  <c r="AFH5" i="2" s="1"/>
  <c r="AFH6" i="2" s="1"/>
  <c r="AFH7" i="2" s="1"/>
  <c r="AFH8" i="2" s="1"/>
  <c r="AFH9" i="2" s="1"/>
  <c r="AFH10" i="2" s="1"/>
  <c r="AFH11" i="2" s="1"/>
  <c r="AFH12" i="2" s="1"/>
  <c r="AFH13" i="2" s="1"/>
  <c r="AFH14" i="2" s="1"/>
  <c r="AFH15" i="2" s="1"/>
  <c r="AFH16" i="2" s="1"/>
  <c r="AFH17" i="2" s="1"/>
  <c r="AFH18" i="2" s="1"/>
  <c r="AFH19" i="2" s="1"/>
  <c r="AFH20" i="2" s="1"/>
  <c r="AFH21" i="2" s="1"/>
  <c r="AFH22" i="2" s="1"/>
  <c r="AFH23" i="2" s="1"/>
  <c r="AFG4" i="2"/>
  <c r="AFG5" i="2" s="1"/>
  <c r="AFG6" i="2" s="1"/>
  <c r="AFG7" i="2" s="1"/>
  <c r="AFG8" i="2" s="1"/>
  <c r="AFG9" i="2" s="1"/>
  <c r="AFG10" i="2" s="1"/>
  <c r="AFG11" i="2" s="1"/>
  <c r="AFG12" i="2" s="1"/>
  <c r="AFG13" i="2" s="1"/>
  <c r="AFG14" i="2" s="1"/>
  <c r="AFG15" i="2" s="1"/>
  <c r="AFG16" i="2" s="1"/>
  <c r="AFG17" i="2" s="1"/>
  <c r="AFG18" i="2" s="1"/>
  <c r="AFG19" i="2" s="1"/>
  <c r="AFG20" i="2" s="1"/>
  <c r="AFG21" i="2" s="1"/>
  <c r="AFG22" i="2" s="1"/>
  <c r="AFG23" i="2" s="1"/>
  <c r="AFF4" i="2"/>
  <c r="AFF5" i="2" s="1"/>
  <c r="AFF6" i="2" s="1"/>
  <c r="AFF7" i="2" s="1"/>
  <c r="AFF8" i="2" s="1"/>
  <c r="AFF9" i="2" s="1"/>
  <c r="AFF10" i="2" s="1"/>
  <c r="AFF11" i="2" s="1"/>
  <c r="AFF12" i="2" s="1"/>
  <c r="AFF13" i="2" s="1"/>
  <c r="AFF14" i="2" s="1"/>
  <c r="AFF15" i="2" s="1"/>
  <c r="AFF16" i="2" s="1"/>
  <c r="AFF17" i="2" s="1"/>
  <c r="AFF18" i="2" s="1"/>
  <c r="AFF19" i="2" s="1"/>
  <c r="AFF20" i="2" s="1"/>
  <c r="AFF21" i="2" s="1"/>
  <c r="AFF22" i="2" s="1"/>
  <c r="AFF23" i="2" s="1"/>
  <c r="AFE4" i="2"/>
  <c r="AFE5" i="2" s="1"/>
  <c r="AFE6" i="2" s="1"/>
  <c r="AFE7" i="2" s="1"/>
  <c r="AFE8" i="2" s="1"/>
  <c r="AFE9" i="2" s="1"/>
  <c r="AFE10" i="2" s="1"/>
  <c r="AFE11" i="2" s="1"/>
  <c r="AFE12" i="2" s="1"/>
  <c r="AFE13" i="2" s="1"/>
  <c r="AFE14" i="2" s="1"/>
  <c r="AFE15" i="2" s="1"/>
  <c r="AFE16" i="2" s="1"/>
  <c r="AFE17" i="2" s="1"/>
  <c r="AFE18" i="2" s="1"/>
  <c r="AFE19" i="2" s="1"/>
  <c r="AFE20" i="2" s="1"/>
  <c r="AFE21" i="2" s="1"/>
  <c r="AFE22" i="2" s="1"/>
  <c r="AFE23" i="2" s="1"/>
  <c r="AFD4" i="2"/>
  <c r="AFD5" i="2" s="1"/>
  <c r="AFD6" i="2" s="1"/>
  <c r="AFD7" i="2" s="1"/>
  <c r="AFD8" i="2" s="1"/>
  <c r="AFD9" i="2" s="1"/>
  <c r="AFD10" i="2" s="1"/>
  <c r="AFD11" i="2" s="1"/>
  <c r="AFD12" i="2" s="1"/>
  <c r="AFD13" i="2" s="1"/>
  <c r="AFD14" i="2" s="1"/>
  <c r="AFD15" i="2" s="1"/>
  <c r="AFD16" i="2" s="1"/>
  <c r="AFD17" i="2" s="1"/>
  <c r="AFD18" i="2" s="1"/>
  <c r="AFD19" i="2" s="1"/>
  <c r="AFD20" i="2" s="1"/>
  <c r="AFD21" i="2" s="1"/>
  <c r="AFD22" i="2" s="1"/>
  <c r="AFD23" i="2" s="1"/>
  <c r="AFC4" i="2"/>
  <c r="AFC5" i="2" s="1"/>
  <c r="AFC6" i="2" s="1"/>
  <c r="AFC7" i="2" s="1"/>
  <c r="AFC8" i="2" s="1"/>
  <c r="AFC9" i="2" s="1"/>
  <c r="AFC10" i="2" s="1"/>
  <c r="AFC11" i="2" s="1"/>
  <c r="AFC12" i="2" s="1"/>
  <c r="AFC13" i="2" s="1"/>
  <c r="AFC14" i="2" s="1"/>
  <c r="AFC15" i="2" s="1"/>
  <c r="AFC16" i="2" s="1"/>
  <c r="AFC17" i="2" s="1"/>
  <c r="AFC18" i="2" s="1"/>
  <c r="AFC19" i="2" s="1"/>
  <c r="AFC20" i="2" s="1"/>
  <c r="AFC21" i="2" s="1"/>
  <c r="AFC22" i="2" s="1"/>
  <c r="AFC23" i="2" s="1"/>
  <c r="AFB4" i="2"/>
  <c r="AFB5" i="2" s="1"/>
  <c r="AFB6" i="2" s="1"/>
  <c r="AFB7" i="2" s="1"/>
  <c r="AFB8" i="2" s="1"/>
  <c r="AFB9" i="2" s="1"/>
  <c r="AFB10" i="2" s="1"/>
  <c r="AFB11" i="2" s="1"/>
  <c r="AFB12" i="2" s="1"/>
  <c r="AFB13" i="2" s="1"/>
  <c r="AFB14" i="2" s="1"/>
  <c r="AFB15" i="2" s="1"/>
  <c r="AFB16" i="2" s="1"/>
  <c r="AFB17" i="2" s="1"/>
  <c r="AFB18" i="2" s="1"/>
  <c r="AFB19" i="2" s="1"/>
  <c r="AFB20" i="2" s="1"/>
  <c r="AFB21" i="2" s="1"/>
  <c r="AFB22" i="2" s="1"/>
  <c r="AFB23" i="2" s="1"/>
  <c r="AFA4" i="2"/>
  <c r="AFA5" i="2" s="1"/>
  <c r="AFA6" i="2" s="1"/>
  <c r="AFA7" i="2" s="1"/>
  <c r="AFA8" i="2" s="1"/>
  <c r="AFA9" i="2" s="1"/>
  <c r="AFA10" i="2" s="1"/>
  <c r="AFA11" i="2" s="1"/>
  <c r="AFA12" i="2" s="1"/>
  <c r="AFA13" i="2" s="1"/>
  <c r="AFA14" i="2" s="1"/>
  <c r="AFA15" i="2" s="1"/>
  <c r="AFA16" i="2" s="1"/>
  <c r="AFA17" i="2" s="1"/>
  <c r="AFA18" i="2" s="1"/>
  <c r="AFA19" i="2" s="1"/>
  <c r="AFA20" i="2" s="1"/>
  <c r="AFA21" i="2" s="1"/>
  <c r="AFA22" i="2" s="1"/>
  <c r="AFA23" i="2" s="1"/>
  <c r="AEZ4" i="2"/>
  <c r="AEZ5" i="2" s="1"/>
  <c r="AEZ6" i="2" s="1"/>
  <c r="AEZ7" i="2" s="1"/>
  <c r="AEZ8" i="2" s="1"/>
  <c r="AEZ9" i="2" s="1"/>
  <c r="AEZ10" i="2" s="1"/>
  <c r="AEZ11" i="2" s="1"/>
  <c r="AEZ12" i="2" s="1"/>
  <c r="AEZ13" i="2" s="1"/>
  <c r="AEZ14" i="2" s="1"/>
  <c r="AEZ15" i="2" s="1"/>
  <c r="AEZ16" i="2" s="1"/>
  <c r="AEZ17" i="2" s="1"/>
  <c r="AEZ18" i="2" s="1"/>
  <c r="AEZ19" i="2" s="1"/>
  <c r="AEZ20" i="2" s="1"/>
  <c r="AEZ21" i="2" s="1"/>
  <c r="AEZ22" i="2" s="1"/>
  <c r="AEZ23" i="2" s="1"/>
  <c r="AEY4" i="2"/>
  <c r="AEY5" i="2" s="1"/>
  <c r="AEY6" i="2" s="1"/>
  <c r="AEY7" i="2" s="1"/>
  <c r="AEY8" i="2" s="1"/>
  <c r="AEY9" i="2" s="1"/>
  <c r="AEY10" i="2" s="1"/>
  <c r="AEY11" i="2" s="1"/>
  <c r="AEY12" i="2" s="1"/>
  <c r="AEY13" i="2" s="1"/>
  <c r="AEY14" i="2" s="1"/>
  <c r="AEY15" i="2" s="1"/>
  <c r="AEY16" i="2" s="1"/>
  <c r="AEY17" i="2" s="1"/>
  <c r="AEY18" i="2" s="1"/>
  <c r="AEY19" i="2" s="1"/>
  <c r="AEY20" i="2" s="1"/>
  <c r="AEY21" i="2" s="1"/>
  <c r="AEY22" i="2" s="1"/>
  <c r="AEY23" i="2" s="1"/>
  <c r="AEX4" i="2"/>
  <c r="AEX5" i="2" s="1"/>
  <c r="AEX6" i="2" s="1"/>
  <c r="AEX7" i="2" s="1"/>
  <c r="AEX8" i="2" s="1"/>
  <c r="AEX9" i="2" s="1"/>
  <c r="AEX10" i="2" s="1"/>
  <c r="AEX11" i="2" s="1"/>
  <c r="AEX12" i="2" s="1"/>
  <c r="AEX13" i="2" s="1"/>
  <c r="AEX14" i="2" s="1"/>
  <c r="AEX15" i="2" s="1"/>
  <c r="AEX16" i="2" s="1"/>
  <c r="AEX17" i="2" s="1"/>
  <c r="AEX18" i="2" s="1"/>
  <c r="AEX19" i="2" s="1"/>
  <c r="AEX20" i="2" s="1"/>
  <c r="AEX21" i="2" s="1"/>
  <c r="AEX22" i="2" s="1"/>
  <c r="AEX23" i="2" s="1"/>
  <c r="AEW4" i="2"/>
  <c r="AEW5" i="2" s="1"/>
  <c r="AEW6" i="2" s="1"/>
  <c r="AEW7" i="2" s="1"/>
  <c r="AEW8" i="2" s="1"/>
  <c r="AEW9" i="2" s="1"/>
  <c r="AEW10" i="2" s="1"/>
  <c r="AEW11" i="2" s="1"/>
  <c r="AEW12" i="2" s="1"/>
  <c r="AEW13" i="2" s="1"/>
  <c r="AEW14" i="2" s="1"/>
  <c r="AEW15" i="2" s="1"/>
  <c r="AEW16" i="2" s="1"/>
  <c r="AEW17" i="2" s="1"/>
  <c r="AEW18" i="2" s="1"/>
  <c r="AEW19" i="2" s="1"/>
  <c r="AEW20" i="2" s="1"/>
  <c r="AEW21" i="2" s="1"/>
  <c r="AEW22" i="2" s="1"/>
  <c r="AEW23" i="2" s="1"/>
  <c r="AEV4" i="2"/>
  <c r="AEV5" i="2" s="1"/>
  <c r="AEV6" i="2" s="1"/>
  <c r="AEV7" i="2" s="1"/>
  <c r="AEV8" i="2" s="1"/>
  <c r="AEV9" i="2" s="1"/>
  <c r="AEV10" i="2" s="1"/>
  <c r="AEV11" i="2" s="1"/>
  <c r="AEV12" i="2" s="1"/>
  <c r="AEV13" i="2" s="1"/>
  <c r="AEV14" i="2" s="1"/>
  <c r="AEV15" i="2" s="1"/>
  <c r="AEV16" i="2" s="1"/>
  <c r="AEV17" i="2" s="1"/>
  <c r="AEV18" i="2" s="1"/>
  <c r="AEV19" i="2" s="1"/>
  <c r="AEV20" i="2" s="1"/>
  <c r="AEV21" i="2" s="1"/>
  <c r="AEV22" i="2" s="1"/>
  <c r="AEV23" i="2" s="1"/>
  <c r="AEU4" i="2"/>
  <c r="AEU5" i="2" s="1"/>
  <c r="AEU6" i="2" s="1"/>
  <c r="AEU7" i="2" s="1"/>
  <c r="AEU8" i="2" s="1"/>
  <c r="AEU9" i="2" s="1"/>
  <c r="AEU10" i="2" s="1"/>
  <c r="AEU11" i="2" s="1"/>
  <c r="AEU12" i="2" s="1"/>
  <c r="AEU13" i="2" s="1"/>
  <c r="AEU14" i="2" s="1"/>
  <c r="AEU15" i="2" s="1"/>
  <c r="AEU16" i="2" s="1"/>
  <c r="AEU17" i="2" s="1"/>
  <c r="AEU18" i="2" s="1"/>
  <c r="AEU19" i="2" s="1"/>
  <c r="AEU20" i="2" s="1"/>
  <c r="AEU21" i="2" s="1"/>
  <c r="AEU22" i="2" s="1"/>
  <c r="AEU23" i="2" s="1"/>
  <c r="AET4" i="2"/>
  <c r="AET5" i="2" s="1"/>
  <c r="AET6" i="2" s="1"/>
  <c r="AET7" i="2" s="1"/>
  <c r="AET8" i="2" s="1"/>
  <c r="AET9" i="2" s="1"/>
  <c r="AET10" i="2" s="1"/>
  <c r="AET11" i="2" s="1"/>
  <c r="AET12" i="2" s="1"/>
  <c r="AET13" i="2" s="1"/>
  <c r="AET14" i="2" s="1"/>
  <c r="AET15" i="2" s="1"/>
  <c r="AET16" i="2" s="1"/>
  <c r="AET17" i="2" s="1"/>
  <c r="AET18" i="2" s="1"/>
  <c r="AET19" i="2" s="1"/>
  <c r="AET20" i="2" s="1"/>
  <c r="AET21" i="2" s="1"/>
  <c r="AET22" i="2" s="1"/>
  <c r="AET23" i="2" s="1"/>
  <c r="AES4" i="2"/>
  <c r="AES5" i="2" s="1"/>
  <c r="AES6" i="2" s="1"/>
  <c r="AES7" i="2" s="1"/>
  <c r="AES8" i="2" s="1"/>
  <c r="AES9" i="2" s="1"/>
  <c r="AES10" i="2" s="1"/>
  <c r="AES11" i="2" s="1"/>
  <c r="AES12" i="2" s="1"/>
  <c r="AES13" i="2" s="1"/>
  <c r="AES14" i="2" s="1"/>
  <c r="AES15" i="2" s="1"/>
  <c r="AES16" i="2" s="1"/>
  <c r="AES17" i="2" s="1"/>
  <c r="AES18" i="2" s="1"/>
  <c r="AES19" i="2" s="1"/>
  <c r="AES20" i="2" s="1"/>
  <c r="AES21" i="2" s="1"/>
  <c r="AES22" i="2" s="1"/>
  <c r="AES23" i="2" s="1"/>
  <c r="AER4" i="2"/>
  <c r="AER5" i="2" s="1"/>
  <c r="AER6" i="2" s="1"/>
  <c r="AER7" i="2" s="1"/>
  <c r="AER8" i="2" s="1"/>
  <c r="AER9" i="2" s="1"/>
  <c r="AER10" i="2" s="1"/>
  <c r="AER11" i="2" s="1"/>
  <c r="AER12" i="2" s="1"/>
  <c r="AER13" i="2" s="1"/>
  <c r="AER14" i="2" s="1"/>
  <c r="AER15" i="2" s="1"/>
  <c r="AER16" i="2" s="1"/>
  <c r="AER17" i="2" s="1"/>
  <c r="AER18" i="2" s="1"/>
  <c r="AER19" i="2" s="1"/>
  <c r="AER20" i="2" s="1"/>
  <c r="AER21" i="2" s="1"/>
  <c r="AER22" i="2" s="1"/>
  <c r="AER23" i="2" s="1"/>
  <c r="AEQ4" i="2"/>
  <c r="AEQ5" i="2" s="1"/>
  <c r="AEQ6" i="2" s="1"/>
  <c r="AEQ7" i="2" s="1"/>
  <c r="AEQ8" i="2" s="1"/>
  <c r="AEQ9" i="2" s="1"/>
  <c r="AEQ10" i="2" s="1"/>
  <c r="AEQ11" i="2" s="1"/>
  <c r="AEQ12" i="2" s="1"/>
  <c r="AEQ13" i="2" s="1"/>
  <c r="AEQ14" i="2" s="1"/>
  <c r="AEQ15" i="2" s="1"/>
  <c r="AEQ16" i="2" s="1"/>
  <c r="AEQ17" i="2" s="1"/>
  <c r="AEQ18" i="2" s="1"/>
  <c r="AEQ19" i="2" s="1"/>
  <c r="AEQ20" i="2" s="1"/>
  <c r="AEQ21" i="2" s="1"/>
  <c r="AEQ22" i="2" s="1"/>
  <c r="AEQ23" i="2" s="1"/>
  <c r="AEP4" i="2"/>
  <c r="AEP5" i="2" s="1"/>
  <c r="AEP6" i="2" s="1"/>
  <c r="AEP7" i="2" s="1"/>
  <c r="AEP8" i="2" s="1"/>
  <c r="AEP9" i="2" s="1"/>
  <c r="AEP10" i="2" s="1"/>
  <c r="AEP11" i="2" s="1"/>
  <c r="AEP12" i="2" s="1"/>
  <c r="AEP13" i="2" s="1"/>
  <c r="AEP14" i="2" s="1"/>
  <c r="AEP15" i="2" s="1"/>
  <c r="AEP16" i="2" s="1"/>
  <c r="AEP17" i="2" s="1"/>
  <c r="AEP18" i="2" s="1"/>
  <c r="AEP19" i="2" s="1"/>
  <c r="AEP20" i="2" s="1"/>
  <c r="AEP21" i="2" s="1"/>
  <c r="AEP22" i="2" s="1"/>
  <c r="AEP23" i="2" s="1"/>
  <c r="AEO4" i="2"/>
  <c r="AEO5" i="2" s="1"/>
  <c r="AEO6" i="2" s="1"/>
  <c r="AEO7" i="2" s="1"/>
  <c r="AEO8" i="2" s="1"/>
  <c r="AEO9" i="2" s="1"/>
  <c r="AEO10" i="2" s="1"/>
  <c r="AEO11" i="2" s="1"/>
  <c r="AEO12" i="2" s="1"/>
  <c r="AEO13" i="2" s="1"/>
  <c r="AEO14" i="2" s="1"/>
  <c r="AEO15" i="2" s="1"/>
  <c r="AEO16" i="2" s="1"/>
  <c r="AEO17" i="2" s="1"/>
  <c r="AEO18" i="2" s="1"/>
  <c r="AEO19" i="2" s="1"/>
  <c r="AEO20" i="2" s="1"/>
  <c r="AEO21" i="2" s="1"/>
  <c r="AEO22" i="2" s="1"/>
  <c r="AEO23" i="2" s="1"/>
  <c r="AEN4" i="2"/>
  <c r="AEN5" i="2" s="1"/>
  <c r="AEN6" i="2" s="1"/>
  <c r="AEN7" i="2" s="1"/>
  <c r="AEN8" i="2" s="1"/>
  <c r="AEN9" i="2" s="1"/>
  <c r="AEN10" i="2" s="1"/>
  <c r="AEN11" i="2" s="1"/>
  <c r="AEN12" i="2" s="1"/>
  <c r="AEN13" i="2" s="1"/>
  <c r="AEN14" i="2" s="1"/>
  <c r="AEN15" i="2" s="1"/>
  <c r="AEN16" i="2" s="1"/>
  <c r="AEN17" i="2" s="1"/>
  <c r="AEN18" i="2" s="1"/>
  <c r="AEN19" i="2" s="1"/>
  <c r="AEN20" i="2" s="1"/>
  <c r="AEN21" i="2" s="1"/>
  <c r="AEN22" i="2" s="1"/>
  <c r="AEN23" i="2" s="1"/>
  <c r="AEM4" i="2"/>
  <c r="AEM5" i="2" s="1"/>
  <c r="AEM6" i="2" s="1"/>
  <c r="AEM7" i="2" s="1"/>
  <c r="AEM8" i="2" s="1"/>
  <c r="AEM9" i="2" s="1"/>
  <c r="AEM10" i="2" s="1"/>
  <c r="AEM11" i="2" s="1"/>
  <c r="AEM12" i="2" s="1"/>
  <c r="AEM13" i="2" s="1"/>
  <c r="AEM14" i="2" s="1"/>
  <c r="AEM15" i="2" s="1"/>
  <c r="AEM16" i="2" s="1"/>
  <c r="AEM17" i="2" s="1"/>
  <c r="AEM18" i="2" s="1"/>
  <c r="AEM19" i="2" s="1"/>
  <c r="AEM20" i="2" s="1"/>
  <c r="AEM21" i="2" s="1"/>
  <c r="AEM22" i="2" s="1"/>
  <c r="AEM23" i="2" s="1"/>
  <c r="AEL4" i="2"/>
  <c r="AEL5" i="2" s="1"/>
  <c r="AEL6" i="2" s="1"/>
  <c r="AEL7" i="2" s="1"/>
  <c r="AEL8" i="2" s="1"/>
  <c r="AEL9" i="2" s="1"/>
  <c r="AEL10" i="2" s="1"/>
  <c r="AEL11" i="2" s="1"/>
  <c r="AEL12" i="2" s="1"/>
  <c r="AEL13" i="2" s="1"/>
  <c r="AEL14" i="2" s="1"/>
  <c r="AEL15" i="2" s="1"/>
  <c r="AEL16" i="2" s="1"/>
  <c r="AEL17" i="2" s="1"/>
  <c r="AEL18" i="2" s="1"/>
  <c r="AEL19" i="2" s="1"/>
  <c r="AEL20" i="2" s="1"/>
  <c r="AEL21" i="2" s="1"/>
  <c r="AEL22" i="2" s="1"/>
  <c r="AEL23" i="2" s="1"/>
  <c r="AEK4" i="2"/>
  <c r="AEK5" i="2" s="1"/>
  <c r="AEK6" i="2" s="1"/>
  <c r="AEK7" i="2" s="1"/>
  <c r="AEK8" i="2" s="1"/>
  <c r="AEK9" i="2" s="1"/>
  <c r="AEK10" i="2" s="1"/>
  <c r="AEK11" i="2" s="1"/>
  <c r="AEK12" i="2" s="1"/>
  <c r="AEK13" i="2" s="1"/>
  <c r="AEK14" i="2" s="1"/>
  <c r="AEK15" i="2" s="1"/>
  <c r="AEK16" i="2" s="1"/>
  <c r="AEK17" i="2" s="1"/>
  <c r="AEK18" i="2" s="1"/>
  <c r="AEK19" i="2" s="1"/>
  <c r="AEK20" i="2" s="1"/>
  <c r="AEK21" i="2" s="1"/>
  <c r="AEK22" i="2" s="1"/>
  <c r="AEK23" i="2" s="1"/>
  <c r="AEJ4" i="2"/>
  <c r="AEJ5" i="2" s="1"/>
  <c r="AEJ6" i="2" s="1"/>
  <c r="AEJ7" i="2" s="1"/>
  <c r="AEJ8" i="2" s="1"/>
  <c r="AEJ9" i="2" s="1"/>
  <c r="AEJ10" i="2" s="1"/>
  <c r="AEJ11" i="2" s="1"/>
  <c r="AEJ12" i="2" s="1"/>
  <c r="AEJ13" i="2" s="1"/>
  <c r="AEJ14" i="2" s="1"/>
  <c r="AEJ15" i="2" s="1"/>
  <c r="AEJ16" i="2" s="1"/>
  <c r="AEJ17" i="2" s="1"/>
  <c r="AEJ18" i="2" s="1"/>
  <c r="AEJ19" i="2" s="1"/>
  <c r="AEJ20" i="2" s="1"/>
  <c r="AEJ21" i="2" s="1"/>
  <c r="AEJ22" i="2" s="1"/>
  <c r="AEJ23" i="2" s="1"/>
  <c r="AEI4" i="2"/>
  <c r="AEI5" i="2" s="1"/>
  <c r="AEI6" i="2" s="1"/>
  <c r="AEI7" i="2" s="1"/>
  <c r="AEI8" i="2" s="1"/>
  <c r="AEI9" i="2" s="1"/>
  <c r="AEI10" i="2" s="1"/>
  <c r="AEI11" i="2" s="1"/>
  <c r="AEI12" i="2" s="1"/>
  <c r="AEI13" i="2" s="1"/>
  <c r="AEI14" i="2" s="1"/>
  <c r="AEI15" i="2" s="1"/>
  <c r="AEI16" i="2" s="1"/>
  <c r="AEI17" i="2" s="1"/>
  <c r="AEI18" i="2" s="1"/>
  <c r="AEI19" i="2" s="1"/>
  <c r="AEI20" i="2" s="1"/>
  <c r="AEI21" i="2" s="1"/>
  <c r="AEI22" i="2" s="1"/>
  <c r="AEI23" i="2" s="1"/>
  <c r="AEH4" i="2"/>
  <c r="AEH5" i="2" s="1"/>
  <c r="AEH6" i="2" s="1"/>
  <c r="AEH7" i="2" s="1"/>
  <c r="AEH8" i="2" s="1"/>
  <c r="AEH9" i="2" s="1"/>
  <c r="AEH10" i="2" s="1"/>
  <c r="AEH11" i="2" s="1"/>
  <c r="AEH12" i="2" s="1"/>
  <c r="AEH13" i="2" s="1"/>
  <c r="AEH14" i="2" s="1"/>
  <c r="AEH15" i="2" s="1"/>
  <c r="AEH16" i="2" s="1"/>
  <c r="AEH17" i="2" s="1"/>
  <c r="AEH18" i="2" s="1"/>
  <c r="AEH19" i="2" s="1"/>
  <c r="AEH20" i="2" s="1"/>
  <c r="AEH21" i="2" s="1"/>
  <c r="AEH22" i="2" s="1"/>
  <c r="AEH23" i="2" s="1"/>
  <c r="AEG4" i="2"/>
  <c r="AEG5" i="2" s="1"/>
  <c r="AEG6" i="2" s="1"/>
  <c r="AEG7" i="2" s="1"/>
  <c r="AEG8" i="2" s="1"/>
  <c r="AEG9" i="2" s="1"/>
  <c r="AEG10" i="2" s="1"/>
  <c r="AEG11" i="2" s="1"/>
  <c r="AEG12" i="2" s="1"/>
  <c r="AEG13" i="2" s="1"/>
  <c r="AEG14" i="2" s="1"/>
  <c r="AEG15" i="2" s="1"/>
  <c r="AEG16" i="2" s="1"/>
  <c r="AEG17" i="2" s="1"/>
  <c r="AEG18" i="2" s="1"/>
  <c r="AEG19" i="2" s="1"/>
  <c r="AEG20" i="2" s="1"/>
  <c r="AEG21" i="2" s="1"/>
  <c r="AEG22" i="2" s="1"/>
  <c r="AEG23" i="2" s="1"/>
  <c r="AEF4" i="2"/>
  <c r="AEF5" i="2" s="1"/>
  <c r="AEF6" i="2" s="1"/>
  <c r="AEF7" i="2" s="1"/>
  <c r="AEF8" i="2" s="1"/>
  <c r="AEF9" i="2" s="1"/>
  <c r="AEF10" i="2" s="1"/>
  <c r="AEF11" i="2" s="1"/>
  <c r="AEF12" i="2" s="1"/>
  <c r="AEF13" i="2" s="1"/>
  <c r="AEF14" i="2" s="1"/>
  <c r="AEF15" i="2" s="1"/>
  <c r="AEF16" i="2" s="1"/>
  <c r="AEF17" i="2" s="1"/>
  <c r="AEF18" i="2" s="1"/>
  <c r="AEF19" i="2" s="1"/>
  <c r="AEF20" i="2" s="1"/>
  <c r="AEF21" i="2" s="1"/>
  <c r="AEF22" i="2" s="1"/>
  <c r="AEF23" i="2" s="1"/>
  <c r="AEE4" i="2"/>
  <c r="AEE5" i="2" s="1"/>
  <c r="AEE6" i="2" s="1"/>
  <c r="AEE7" i="2" s="1"/>
  <c r="AEE8" i="2" s="1"/>
  <c r="AEE9" i="2" s="1"/>
  <c r="AEE10" i="2" s="1"/>
  <c r="AEE11" i="2" s="1"/>
  <c r="AEE12" i="2" s="1"/>
  <c r="AEE13" i="2" s="1"/>
  <c r="AEE14" i="2" s="1"/>
  <c r="AEE15" i="2" s="1"/>
  <c r="AEE16" i="2" s="1"/>
  <c r="AEE17" i="2" s="1"/>
  <c r="AEE18" i="2" s="1"/>
  <c r="AEE19" i="2" s="1"/>
  <c r="AEE20" i="2" s="1"/>
  <c r="AEE21" i="2" s="1"/>
  <c r="AEE22" i="2" s="1"/>
  <c r="AEE23" i="2" s="1"/>
  <c r="AED4" i="2"/>
  <c r="AED5" i="2" s="1"/>
  <c r="AED6" i="2" s="1"/>
  <c r="AED7" i="2" s="1"/>
  <c r="AED8" i="2" s="1"/>
  <c r="AED9" i="2" s="1"/>
  <c r="AED10" i="2" s="1"/>
  <c r="AED11" i="2" s="1"/>
  <c r="AED12" i="2" s="1"/>
  <c r="AED13" i="2" s="1"/>
  <c r="AED14" i="2" s="1"/>
  <c r="AED15" i="2" s="1"/>
  <c r="AED16" i="2" s="1"/>
  <c r="AED17" i="2" s="1"/>
  <c r="AED18" i="2" s="1"/>
  <c r="AED19" i="2" s="1"/>
  <c r="AED20" i="2" s="1"/>
  <c r="AED21" i="2" s="1"/>
  <c r="AED22" i="2" s="1"/>
  <c r="AED23" i="2" s="1"/>
  <c r="AEC4" i="2"/>
  <c r="AEC5" i="2" s="1"/>
  <c r="AEC6" i="2" s="1"/>
  <c r="AEC7" i="2" s="1"/>
  <c r="AEC8" i="2" s="1"/>
  <c r="AEC9" i="2" s="1"/>
  <c r="AEC10" i="2" s="1"/>
  <c r="AEC11" i="2" s="1"/>
  <c r="AEC12" i="2" s="1"/>
  <c r="AEC13" i="2" s="1"/>
  <c r="AEC14" i="2" s="1"/>
  <c r="AEC15" i="2" s="1"/>
  <c r="AEC16" i="2" s="1"/>
  <c r="AEC17" i="2" s="1"/>
  <c r="AEC18" i="2" s="1"/>
  <c r="AEC19" i="2" s="1"/>
  <c r="AEC20" i="2" s="1"/>
  <c r="AEC21" i="2" s="1"/>
  <c r="AEC22" i="2" s="1"/>
  <c r="AEC23" i="2" s="1"/>
  <c r="AEB4" i="2"/>
  <c r="AEB5" i="2" s="1"/>
  <c r="AEB6" i="2" s="1"/>
  <c r="AEB7" i="2" s="1"/>
  <c r="AEB8" i="2" s="1"/>
  <c r="AEB9" i="2" s="1"/>
  <c r="AEB10" i="2" s="1"/>
  <c r="AEB11" i="2" s="1"/>
  <c r="AEB12" i="2" s="1"/>
  <c r="AEB13" i="2" s="1"/>
  <c r="AEB14" i="2" s="1"/>
  <c r="AEB15" i="2" s="1"/>
  <c r="AEB16" i="2" s="1"/>
  <c r="AEB17" i="2" s="1"/>
  <c r="AEB18" i="2" s="1"/>
  <c r="AEB19" i="2" s="1"/>
  <c r="AEB20" i="2" s="1"/>
  <c r="AEB21" i="2" s="1"/>
  <c r="AEB22" i="2" s="1"/>
  <c r="AEB23" i="2" s="1"/>
  <c r="AEA4" i="2"/>
  <c r="AEA5" i="2" s="1"/>
  <c r="AEA6" i="2" s="1"/>
  <c r="AEA7" i="2" s="1"/>
  <c r="AEA8" i="2" s="1"/>
  <c r="AEA9" i="2" s="1"/>
  <c r="AEA10" i="2" s="1"/>
  <c r="AEA11" i="2" s="1"/>
  <c r="AEA12" i="2" s="1"/>
  <c r="AEA13" i="2" s="1"/>
  <c r="AEA14" i="2" s="1"/>
  <c r="AEA15" i="2" s="1"/>
  <c r="AEA16" i="2" s="1"/>
  <c r="AEA17" i="2" s="1"/>
  <c r="AEA18" i="2" s="1"/>
  <c r="AEA19" i="2" s="1"/>
  <c r="AEA20" i="2" s="1"/>
  <c r="AEA21" i="2" s="1"/>
  <c r="AEA22" i="2" s="1"/>
  <c r="AEA23" i="2" s="1"/>
  <c r="ADZ4" i="2"/>
  <c r="ADZ5" i="2" s="1"/>
  <c r="ADZ6" i="2" s="1"/>
  <c r="ADZ7" i="2" s="1"/>
  <c r="ADZ8" i="2" s="1"/>
  <c r="ADZ9" i="2" s="1"/>
  <c r="ADZ10" i="2" s="1"/>
  <c r="ADZ11" i="2" s="1"/>
  <c r="ADZ12" i="2" s="1"/>
  <c r="ADZ13" i="2" s="1"/>
  <c r="ADZ14" i="2" s="1"/>
  <c r="ADZ15" i="2" s="1"/>
  <c r="ADZ16" i="2" s="1"/>
  <c r="ADZ17" i="2" s="1"/>
  <c r="ADZ18" i="2" s="1"/>
  <c r="ADZ19" i="2" s="1"/>
  <c r="ADZ20" i="2" s="1"/>
  <c r="ADZ21" i="2" s="1"/>
  <c r="ADZ22" i="2" s="1"/>
  <c r="ADZ23" i="2" s="1"/>
  <c r="ADY4" i="2"/>
  <c r="ADY5" i="2" s="1"/>
  <c r="ADY6" i="2" s="1"/>
  <c r="ADY7" i="2" s="1"/>
  <c r="ADY8" i="2" s="1"/>
  <c r="ADY9" i="2" s="1"/>
  <c r="ADY10" i="2" s="1"/>
  <c r="ADY11" i="2" s="1"/>
  <c r="ADY12" i="2" s="1"/>
  <c r="ADY13" i="2" s="1"/>
  <c r="ADY14" i="2" s="1"/>
  <c r="ADY15" i="2" s="1"/>
  <c r="ADY16" i="2" s="1"/>
  <c r="ADY17" i="2" s="1"/>
  <c r="ADY18" i="2" s="1"/>
  <c r="ADY19" i="2" s="1"/>
  <c r="ADY20" i="2" s="1"/>
  <c r="ADY21" i="2" s="1"/>
  <c r="ADY22" i="2" s="1"/>
  <c r="ADY23" i="2" s="1"/>
  <c r="ADX4" i="2"/>
  <c r="ADX5" i="2" s="1"/>
  <c r="ADX6" i="2" s="1"/>
  <c r="ADX7" i="2" s="1"/>
  <c r="ADX8" i="2" s="1"/>
  <c r="ADX9" i="2" s="1"/>
  <c r="ADX10" i="2" s="1"/>
  <c r="ADX11" i="2" s="1"/>
  <c r="ADX12" i="2" s="1"/>
  <c r="ADX13" i="2" s="1"/>
  <c r="ADX14" i="2" s="1"/>
  <c r="ADX15" i="2" s="1"/>
  <c r="ADX16" i="2" s="1"/>
  <c r="ADX17" i="2" s="1"/>
  <c r="ADX18" i="2" s="1"/>
  <c r="ADX19" i="2" s="1"/>
  <c r="ADX20" i="2" s="1"/>
  <c r="ADX21" i="2" s="1"/>
  <c r="ADX22" i="2" s="1"/>
  <c r="ADX23" i="2" s="1"/>
  <c r="ADW4" i="2"/>
  <c r="ADW5" i="2" s="1"/>
  <c r="ADW6" i="2" s="1"/>
  <c r="ADW7" i="2" s="1"/>
  <c r="ADW8" i="2" s="1"/>
  <c r="ADW9" i="2" s="1"/>
  <c r="ADW10" i="2" s="1"/>
  <c r="ADW11" i="2" s="1"/>
  <c r="ADW12" i="2" s="1"/>
  <c r="ADW13" i="2" s="1"/>
  <c r="ADW14" i="2" s="1"/>
  <c r="ADW15" i="2" s="1"/>
  <c r="ADW16" i="2" s="1"/>
  <c r="ADW17" i="2" s="1"/>
  <c r="ADW18" i="2" s="1"/>
  <c r="ADW19" i="2" s="1"/>
  <c r="ADW20" i="2" s="1"/>
  <c r="ADW21" i="2" s="1"/>
  <c r="ADW22" i="2" s="1"/>
  <c r="ADW23" i="2" s="1"/>
  <c r="ADV4" i="2"/>
  <c r="ADV5" i="2" s="1"/>
  <c r="ADV6" i="2" s="1"/>
  <c r="ADV7" i="2" s="1"/>
  <c r="ADV8" i="2" s="1"/>
  <c r="ADV9" i="2" s="1"/>
  <c r="ADV10" i="2" s="1"/>
  <c r="ADV11" i="2" s="1"/>
  <c r="ADV12" i="2" s="1"/>
  <c r="ADV13" i="2" s="1"/>
  <c r="ADV14" i="2" s="1"/>
  <c r="ADV15" i="2" s="1"/>
  <c r="ADV16" i="2" s="1"/>
  <c r="ADV17" i="2" s="1"/>
  <c r="ADV18" i="2" s="1"/>
  <c r="ADV19" i="2" s="1"/>
  <c r="ADV20" i="2" s="1"/>
  <c r="ADV21" i="2" s="1"/>
  <c r="ADV22" i="2" s="1"/>
  <c r="ADV23" i="2" s="1"/>
  <c r="ADU4" i="2"/>
  <c r="ADU5" i="2" s="1"/>
  <c r="ADU6" i="2" s="1"/>
  <c r="ADU7" i="2" s="1"/>
  <c r="ADU8" i="2" s="1"/>
  <c r="ADU9" i="2" s="1"/>
  <c r="ADU10" i="2" s="1"/>
  <c r="ADU11" i="2" s="1"/>
  <c r="ADU12" i="2" s="1"/>
  <c r="ADU13" i="2" s="1"/>
  <c r="ADU14" i="2" s="1"/>
  <c r="ADU15" i="2" s="1"/>
  <c r="ADU16" i="2" s="1"/>
  <c r="ADU17" i="2" s="1"/>
  <c r="ADU18" i="2" s="1"/>
  <c r="ADU19" i="2" s="1"/>
  <c r="ADU20" i="2" s="1"/>
  <c r="ADU21" i="2" s="1"/>
  <c r="ADU22" i="2" s="1"/>
  <c r="ADU23" i="2" s="1"/>
  <c r="ADT4" i="2"/>
  <c r="ADT5" i="2" s="1"/>
  <c r="ADT6" i="2" s="1"/>
  <c r="ADT7" i="2" s="1"/>
  <c r="ADT8" i="2" s="1"/>
  <c r="ADT9" i="2" s="1"/>
  <c r="ADT10" i="2" s="1"/>
  <c r="ADT11" i="2" s="1"/>
  <c r="ADT12" i="2" s="1"/>
  <c r="ADT13" i="2" s="1"/>
  <c r="ADT14" i="2" s="1"/>
  <c r="ADT15" i="2" s="1"/>
  <c r="ADT16" i="2" s="1"/>
  <c r="ADT17" i="2" s="1"/>
  <c r="ADT18" i="2" s="1"/>
  <c r="ADT19" i="2" s="1"/>
  <c r="ADT20" i="2" s="1"/>
  <c r="ADT21" i="2" s="1"/>
  <c r="ADT22" i="2" s="1"/>
  <c r="ADT23" i="2" s="1"/>
  <c r="ADS4" i="2"/>
  <c r="ADS5" i="2" s="1"/>
  <c r="ADS6" i="2" s="1"/>
  <c r="ADS7" i="2" s="1"/>
  <c r="ADS8" i="2" s="1"/>
  <c r="ADS9" i="2" s="1"/>
  <c r="ADS10" i="2" s="1"/>
  <c r="ADS11" i="2" s="1"/>
  <c r="ADS12" i="2" s="1"/>
  <c r="ADS13" i="2" s="1"/>
  <c r="ADS14" i="2" s="1"/>
  <c r="ADS15" i="2" s="1"/>
  <c r="ADS16" i="2" s="1"/>
  <c r="ADS17" i="2" s="1"/>
  <c r="ADS18" i="2" s="1"/>
  <c r="ADS19" i="2" s="1"/>
  <c r="ADS20" i="2" s="1"/>
  <c r="ADS21" i="2" s="1"/>
  <c r="ADS22" i="2" s="1"/>
  <c r="ADS23" i="2" s="1"/>
  <c r="ADR4" i="2"/>
  <c r="ADR5" i="2" s="1"/>
  <c r="ADR6" i="2" s="1"/>
  <c r="ADR7" i="2" s="1"/>
  <c r="ADR8" i="2" s="1"/>
  <c r="ADR9" i="2" s="1"/>
  <c r="ADR10" i="2" s="1"/>
  <c r="ADR11" i="2" s="1"/>
  <c r="ADR12" i="2" s="1"/>
  <c r="ADR13" i="2" s="1"/>
  <c r="ADR14" i="2" s="1"/>
  <c r="ADR15" i="2" s="1"/>
  <c r="ADR16" i="2" s="1"/>
  <c r="ADR17" i="2" s="1"/>
  <c r="ADR18" i="2" s="1"/>
  <c r="ADR19" i="2" s="1"/>
  <c r="ADR20" i="2" s="1"/>
  <c r="ADR21" i="2" s="1"/>
  <c r="ADR22" i="2" s="1"/>
  <c r="ADR23" i="2" s="1"/>
  <c r="ADQ4" i="2"/>
  <c r="ADQ5" i="2" s="1"/>
  <c r="ADQ6" i="2" s="1"/>
  <c r="ADQ7" i="2" s="1"/>
  <c r="ADQ8" i="2" s="1"/>
  <c r="ADQ9" i="2" s="1"/>
  <c r="ADQ10" i="2" s="1"/>
  <c r="ADQ11" i="2" s="1"/>
  <c r="ADQ12" i="2" s="1"/>
  <c r="ADQ13" i="2" s="1"/>
  <c r="ADQ14" i="2" s="1"/>
  <c r="ADQ15" i="2" s="1"/>
  <c r="ADQ16" i="2" s="1"/>
  <c r="ADQ17" i="2" s="1"/>
  <c r="ADQ18" i="2" s="1"/>
  <c r="ADQ19" i="2" s="1"/>
  <c r="ADQ20" i="2" s="1"/>
  <c r="ADQ21" i="2" s="1"/>
  <c r="ADQ22" i="2" s="1"/>
  <c r="ADQ23" i="2" s="1"/>
  <c r="ADP4" i="2"/>
  <c r="ADP5" i="2" s="1"/>
  <c r="ADP6" i="2" s="1"/>
  <c r="ADP7" i="2" s="1"/>
  <c r="ADP8" i="2" s="1"/>
  <c r="ADP9" i="2" s="1"/>
  <c r="ADP10" i="2" s="1"/>
  <c r="ADP11" i="2" s="1"/>
  <c r="ADP12" i="2" s="1"/>
  <c r="ADP13" i="2" s="1"/>
  <c r="ADP14" i="2" s="1"/>
  <c r="ADP15" i="2" s="1"/>
  <c r="ADP16" i="2" s="1"/>
  <c r="ADP17" i="2" s="1"/>
  <c r="ADP18" i="2" s="1"/>
  <c r="ADP19" i="2" s="1"/>
  <c r="ADP20" i="2" s="1"/>
  <c r="ADP21" i="2" s="1"/>
  <c r="ADP22" i="2" s="1"/>
  <c r="ADP23" i="2" s="1"/>
  <c r="ADO4" i="2"/>
  <c r="ADO5" i="2" s="1"/>
  <c r="ADO6" i="2" s="1"/>
  <c r="ADO7" i="2" s="1"/>
  <c r="ADO8" i="2" s="1"/>
  <c r="ADO9" i="2" s="1"/>
  <c r="ADO10" i="2" s="1"/>
  <c r="ADO11" i="2" s="1"/>
  <c r="ADO12" i="2" s="1"/>
  <c r="ADO13" i="2" s="1"/>
  <c r="ADO14" i="2" s="1"/>
  <c r="ADO15" i="2" s="1"/>
  <c r="ADO16" i="2" s="1"/>
  <c r="ADO17" i="2" s="1"/>
  <c r="ADO18" i="2" s="1"/>
  <c r="ADO19" i="2" s="1"/>
  <c r="ADO20" i="2" s="1"/>
  <c r="ADO21" i="2" s="1"/>
  <c r="ADO22" i="2" s="1"/>
  <c r="ADO23" i="2" s="1"/>
  <c r="ADN4" i="2"/>
  <c r="ADN5" i="2" s="1"/>
  <c r="ADN6" i="2" s="1"/>
  <c r="ADN7" i="2" s="1"/>
  <c r="ADN8" i="2" s="1"/>
  <c r="ADN9" i="2" s="1"/>
  <c r="ADN10" i="2" s="1"/>
  <c r="ADN11" i="2" s="1"/>
  <c r="ADN12" i="2" s="1"/>
  <c r="ADN13" i="2" s="1"/>
  <c r="ADN14" i="2" s="1"/>
  <c r="ADN15" i="2" s="1"/>
  <c r="ADN16" i="2" s="1"/>
  <c r="ADN17" i="2" s="1"/>
  <c r="ADN18" i="2" s="1"/>
  <c r="ADN19" i="2" s="1"/>
  <c r="ADN20" i="2" s="1"/>
  <c r="ADN21" i="2" s="1"/>
  <c r="ADN22" i="2" s="1"/>
  <c r="ADN23" i="2" s="1"/>
  <c r="ADM4" i="2"/>
  <c r="ADM5" i="2" s="1"/>
  <c r="ADM6" i="2" s="1"/>
  <c r="ADM7" i="2" s="1"/>
  <c r="ADM8" i="2" s="1"/>
  <c r="ADM9" i="2" s="1"/>
  <c r="ADM10" i="2" s="1"/>
  <c r="ADM11" i="2" s="1"/>
  <c r="ADM12" i="2" s="1"/>
  <c r="ADM13" i="2" s="1"/>
  <c r="ADM14" i="2" s="1"/>
  <c r="ADM15" i="2" s="1"/>
  <c r="ADM16" i="2" s="1"/>
  <c r="ADM17" i="2" s="1"/>
  <c r="ADM18" i="2" s="1"/>
  <c r="ADM19" i="2" s="1"/>
  <c r="ADM20" i="2" s="1"/>
  <c r="ADM21" i="2" s="1"/>
  <c r="ADM22" i="2" s="1"/>
  <c r="ADM23" i="2" s="1"/>
  <c r="ADL4" i="2"/>
  <c r="ADL5" i="2" s="1"/>
  <c r="ADL6" i="2" s="1"/>
  <c r="ADL7" i="2" s="1"/>
  <c r="ADL8" i="2" s="1"/>
  <c r="ADL9" i="2" s="1"/>
  <c r="ADL10" i="2" s="1"/>
  <c r="ADL11" i="2" s="1"/>
  <c r="ADL12" i="2" s="1"/>
  <c r="ADL13" i="2" s="1"/>
  <c r="ADL14" i="2" s="1"/>
  <c r="ADL15" i="2" s="1"/>
  <c r="ADL16" i="2" s="1"/>
  <c r="ADL17" i="2" s="1"/>
  <c r="ADL18" i="2" s="1"/>
  <c r="ADL19" i="2" s="1"/>
  <c r="ADL20" i="2" s="1"/>
  <c r="ADL21" i="2" s="1"/>
  <c r="ADL22" i="2" s="1"/>
  <c r="ADL23" i="2" s="1"/>
  <c r="ADK4" i="2"/>
  <c r="ADK5" i="2" s="1"/>
  <c r="ADK6" i="2" s="1"/>
  <c r="ADK7" i="2" s="1"/>
  <c r="ADK8" i="2" s="1"/>
  <c r="ADK9" i="2" s="1"/>
  <c r="ADK10" i="2" s="1"/>
  <c r="ADK11" i="2" s="1"/>
  <c r="ADK12" i="2" s="1"/>
  <c r="ADK13" i="2" s="1"/>
  <c r="ADK14" i="2" s="1"/>
  <c r="ADK15" i="2" s="1"/>
  <c r="ADK16" i="2" s="1"/>
  <c r="ADK17" i="2" s="1"/>
  <c r="ADK18" i="2" s="1"/>
  <c r="ADK19" i="2" s="1"/>
  <c r="ADK20" i="2" s="1"/>
  <c r="ADK21" i="2" s="1"/>
  <c r="ADK22" i="2" s="1"/>
  <c r="ADK23" i="2" s="1"/>
  <c r="ADJ4" i="2"/>
  <c r="ADJ5" i="2" s="1"/>
  <c r="ADJ6" i="2" s="1"/>
  <c r="ADJ7" i="2" s="1"/>
  <c r="ADJ8" i="2" s="1"/>
  <c r="ADJ9" i="2" s="1"/>
  <c r="ADJ10" i="2" s="1"/>
  <c r="ADJ11" i="2" s="1"/>
  <c r="ADJ12" i="2" s="1"/>
  <c r="ADJ13" i="2" s="1"/>
  <c r="ADJ14" i="2" s="1"/>
  <c r="ADJ15" i="2" s="1"/>
  <c r="ADJ16" i="2" s="1"/>
  <c r="ADJ17" i="2" s="1"/>
  <c r="ADJ18" i="2" s="1"/>
  <c r="ADJ19" i="2" s="1"/>
  <c r="ADJ20" i="2" s="1"/>
  <c r="ADJ21" i="2" s="1"/>
  <c r="ADJ22" i="2" s="1"/>
  <c r="ADJ23" i="2" s="1"/>
  <c r="ADI4" i="2"/>
  <c r="ADI5" i="2" s="1"/>
  <c r="ADI6" i="2" s="1"/>
  <c r="ADI7" i="2" s="1"/>
  <c r="ADI8" i="2" s="1"/>
  <c r="ADI9" i="2" s="1"/>
  <c r="ADI10" i="2" s="1"/>
  <c r="ADI11" i="2" s="1"/>
  <c r="ADI12" i="2" s="1"/>
  <c r="ADI13" i="2" s="1"/>
  <c r="ADI14" i="2" s="1"/>
  <c r="ADI15" i="2" s="1"/>
  <c r="ADI16" i="2" s="1"/>
  <c r="ADI17" i="2" s="1"/>
  <c r="ADI18" i="2" s="1"/>
  <c r="ADI19" i="2" s="1"/>
  <c r="ADI20" i="2" s="1"/>
  <c r="ADI21" i="2" s="1"/>
  <c r="ADI22" i="2" s="1"/>
  <c r="ADI23" i="2" s="1"/>
  <c r="ADH4" i="2"/>
  <c r="ADH5" i="2" s="1"/>
  <c r="ADH6" i="2" s="1"/>
  <c r="ADH7" i="2" s="1"/>
  <c r="ADH8" i="2" s="1"/>
  <c r="ADH9" i="2" s="1"/>
  <c r="ADH10" i="2" s="1"/>
  <c r="ADH11" i="2" s="1"/>
  <c r="ADH12" i="2" s="1"/>
  <c r="ADH13" i="2" s="1"/>
  <c r="ADH14" i="2" s="1"/>
  <c r="ADH15" i="2" s="1"/>
  <c r="ADH16" i="2" s="1"/>
  <c r="ADH17" i="2" s="1"/>
  <c r="ADH18" i="2" s="1"/>
  <c r="ADH19" i="2" s="1"/>
  <c r="ADH20" i="2" s="1"/>
  <c r="ADH21" i="2" s="1"/>
  <c r="ADH22" i="2" s="1"/>
  <c r="ADH23" i="2" s="1"/>
  <c r="ADG4" i="2"/>
  <c r="ADG5" i="2" s="1"/>
  <c r="ADG6" i="2" s="1"/>
  <c r="ADG7" i="2" s="1"/>
  <c r="ADG8" i="2" s="1"/>
  <c r="ADG9" i="2" s="1"/>
  <c r="ADG10" i="2" s="1"/>
  <c r="ADG11" i="2" s="1"/>
  <c r="ADG12" i="2" s="1"/>
  <c r="ADG13" i="2" s="1"/>
  <c r="ADG14" i="2" s="1"/>
  <c r="ADG15" i="2" s="1"/>
  <c r="ADG16" i="2" s="1"/>
  <c r="ADG17" i="2" s="1"/>
  <c r="ADG18" i="2" s="1"/>
  <c r="ADG19" i="2" s="1"/>
  <c r="ADG20" i="2" s="1"/>
  <c r="ADG21" i="2" s="1"/>
  <c r="ADG22" i="2" s="1"/>
  <c r="ADG23" i="2" s="1"/>
  <c r="ADF4" i="2"/>
  <c r="ADF5" i="2" s="1"/>
  <c r="ADF6" i="2" s="1"/>
  <c r="ADF7" i="2" s="1"/>
  <c r="ADF8" i="2" s="1"/>
  <c r="ADF9" i="2" s="1"/>
  <c r="ADF10" i="2" s="1"/>
  <c r="ADF11" i="2" s="1"/>
  <c r="ADF12" i="2" s="1"/>
  <c r="ADF13" i="2" s="1"/>
  <c r="ADF14" i="2" s="1"/>
  <c r="ADF15" i="2" s="1"/>
  <c r="ADF16" i="2" s="1"/>
  <c r="ADF17" i="2" s="1"/>
  <c r="ADF18" i="2" s="1"/>
  <c r="ADF19" i="2" s="1"/>
  <c r="ADF20" i="2" s="1"/>
  <c r="ADF21" i="2" s="1"/>
  <c r="ADF22" i="2" s="1"/>
  <c r="ADF23" i="2" s="1"/>
  <c r="ADE4" i="2"/>
  <c r="ADE5" i="2" s="1"/>
  <c r="ADE6" i="2" s="1"/>
  <c r="ADE7" i="2" s="1"/>
  <c r="ADE8" i="2" s="1"/>
  <c r="ADE9" i="2" s="1"/>
  <c r="ADE10" i="2" s="1"/>
  <c r="ADE11" i="2" s="1"/>
  <c r="ADE12" i="2" s="1"/>
  <c r="ADE13" i="2" s="1"/>
  <c r="ADE14" i="2" s="1"/>
  <c r="ADE15" i="2" s="1"/>
  <c r="ADE16" i="2" s="1"/>
  <c r="ADE17" i="2" s="1"/>
  <c r="ADE18" i="2" s="1"/>
  <c r="ADE19" i="2" s="1"/>
  <c r="ADE20" i="2" s="1"/>
  <c r="ADE21" i="2" s="1"/>
  <c r="ADE22" i="2" s="1"/>
  <c r="ADE23" i="2" s="1"/>
  <c r="ADD4" i="2"/>
  <c r="ADD5" i="2" s="1"/>
  <c r="ADD6" i="2" s="1"/>
  <c r="ADD7" i="2" s="1"/>
  <c r="ADD8" i="2" s="1"/>
  <c r="ADD9" i="2" s="1"/>
  <c r="ADD10" i="2" s="1"/>
  <c r="ADD11" i="2" s="1"/>
  <c r="ADD12" i="2" s="1"/>
  <c r="ADD13" i="2" s="1"/>
  <c r="ADD14" i="2" s="1"/>
  <c r="ADD15" i="2" s="1"/>
  <c r="ADD16" i="2" s="1"/>
  <c r="ADD17" i="2" s="1"/>
  <c r="ADD18" i="2" s="1"/>
  <c r="ADD19" i="2" s="1"/>
  <c r="ADD20" i="2" s="1"/>
  <c r="ADD21" i="2" s="1"/>
  <c r="ADD22" i="2" s="1"/>
  <c r="ADD23" i="2" s="1"/>
  <c r="ADC4" i="2"/>
  <c r="ADC5" i="2" s="1"/>
  <c r="ADC6" i="2" s="1"/>
  <c r="ADC7" i="2" s="1"/>
  <c r="ADC8" i="2" s="1"/>
  <c r="ADC9" i="2" s="1"/>
  <c r="ADC10" i="2" s="1"/>
  <c r="ADC11" i="2" s="1"/>
  <c r="ADC12" i="2" s="1"/>
  <c r="ADC13" i="2" s="1"/>
  <c r="ADC14" i="2" s="1"/>
  <c r="ADC15" i="2" s="1"/>
  <c r="ADC16" i="2" s="1"/>
  <c r="ADC17" i="2" s="1"/>
  <c r="ADC18" i="2" s="1"/>
  <c r="ADC19" i="2" s="1"/>
  <c r="ADC20" i="2" s="1"/>
  <c r="ADC21" i="2" s="1"/>
  <c r="ADC22" i="2" s="1"/>
  <c r="ADC23" i="2" s="1"/>
  <c r="ADB4" i="2"/>
  <c r="ADB5" i="2" s="1"/>
  <c r="ADB6" i="2" s="1"/>
  <c r="ADB7" i="2" s="1"/>
  <c r="ADB8" i="2" s="1"/>
  <c r="ADB9" i="2" s="1"/>
  <c r="ADB10" i="2" s="1"/>
  <c r="ADB11" i="2" s="1"/>
  <c r="ADB12" i="2" s="1"/>
  <c r="ADB13" i="2" s="1"/>
  <c r="ADB14" i="2" s="1"/>
  <c r="ADB15" i="2" s="1"/>
  <c r="ADB16" i="2" s="1"/>
  <c r="ADB17" i="2" s="1"/>
  <c r="ADB18" i="2" s="1"/>
  <c r="ADB19" i="2" s="1"/>
  <c r="ADB20" i="2" s="1"/>
  <c r="ADB21" i="2" s="1"/>
  <c r="ADB22" i="2" s="1"/>
  <c r="ADB23" i="2" s="1"/>
  <c r="ADA4" i="2"/>
  <c r="ADA5" i="2" s="1"/>
  <c r="ADA6" i="2" s="1"/>
  <c r="ADA7" i="2" s="1"/>
  <c r="ADA8" i="2" s="1"/>
  <c r="ADA9" i="2" s="1"/>
  <c r="ADA10" i="2" s="1"/>
  <c r="ADA11" i="2" s="1"/>
  <c r="ADA12" i="2" s="1"/>
  <c r="ADA13" i="2" s="1"/>
  <c r="ADA14" i="2" s="1"/>
  <c r="ADA15" i="2" s="1"/>
  <c r="ADA16" i="2" s="1"/>
  <c r="ADA17" i="2" s="1"/>
  <c r="ADA18" i="2" s="1"/>
  <c r="ADA19" i="2" s="1"/>
  <c r="ADA20" i="2" s="1"/>
  <c r="ADA21" i="2" s="1"/>
  <c r="ADA22" i="2" s="1"/>
  <c r="ADA23" i="2" s="1"/>
  <c r="ACZ4" i="2"/>
  <c r="ACZ5" i="2" s="1"/>
  <c r="ACZ6" i="2" s="1"/>
  <c r="ACZ7" i="2" s="1"/>
  <c r="ACZ8" i="2" s="1"/>
  <c r="ACZ9" i="2" s="1"/>
  <c r="ACZ10" i="2" s="1"/>
  <c r="ACZ11" i="2" s="1"/>
  <c r="ACZ12" i="2" s="1"/>
  <c r="ACZ13" i="2" s="1"/>
  <c r="ACZ14" i="2" s="1"/>
  <c r="ACZ15" i="2" s="1"/>
  <c r="ACZ16" i="2" s="1"/>
  <c r="ACZ17" i="2" s="1"/>
  <c r="ACZ18" i="2" s="1"/>
  <c r="ACZ19" i="2" s="1"/>
  <c r="ACZ20" i="2" s="1"/>
  <c r="ACZ21" i="2" s="1"/>
  <c r="ACZ22" i="2" s="1"/>
  <c r="ACZ23" i="2" s="1"/>
  <c r="ACY4" i="2"/>
  <c r="ACY5" i="2" s="1"/>
  <c r="ACY6" i="2" s="1"/>
  <c r="ACY7" i="2" s="1"/>
  <c r="ACY8" i="2" s="1"/>
  <c r="ACY9" i="2" s="1"/>
  <c r="ACY10" i="2" s="1"/>
  <c r="ACY11" i="2" s="1"/>
  <c r="ACY12" i="2" s="1"/>
  <c r="ACY13" i="2" s="1"/>
  <c r="ACY14" i="2" s="1"/>
  <c r="ACY15" i="2" s="1"/>
  <c r="ACY16" i="2" s="1"/>
  <c r="ACY17" i="2" s="1"/>
  <c r="ACY18" i="2" s="1"/>
  <c r="ACY19" i="2" s="1"/>
  <c r="ACY20" i="2" s="1"/>
  <c r="ACY21" i="2" s="1"/>
  <c r="ACY22" i="2" s="1"/>
  <c r="ACY23" i="2" s="1"/>
  <c r="ACX4" i="2"/>
  <c r="ACX5" i="2" s="1"/>
  <c r="ACX6" i="2" s="1"/>
  <c r="ACX7" i="2" s="1"/>
  <c r="ACX8" i="2" s="1"/>
  <c r="ACX9" i="2" s="1"/>
  <c r="ACX10" i="2" s="1"/>
  <c r="ACX11" i="2" s="1"/>
  <c r="ACX12" i="2" s="1"/>
  <c r="ACX13" i="2" s="1"/>
  <c r="ACX14" i="2" s="1"/>
  <c r="ACX15" i="2" s="1"/>
  <c r="ACX16" i="2" s="1"/>
  <c r="ACX17" i="2" s="1"/>
  <c r="ACX18" i="2" s="1"/>
  <c r="ACX19" i="2" s="1"/>
  <c r="ACX20" i="2" s="1"/>
  <c r="ACX21" i="2" s="1"/>
  <c r="ACX22" i="2" s="1"/>
  <c r="ACX23" i="2" s="1"/>
  <c r="ACW4" i="2"/>
  <c r="ACW5" i="2" s="1"/>
  <c r="ACW6" i="2" s="1"/>
  <c r="ACW7" i="2" s="1"/>
  <c r="ACW8" i="2" s="1"/>
  <c r="ACW9" i="2" s="1"/>
  <c r="ACW10" i="2" s="1"/>
  <c r="ACW11" i="2" s="1"/>
  <c r="ACW12" i="2" s="1"/>
  <c r="ACW13" i="2" s="1"/>
  <c r="ACW14" i="2" s="1"/>
  <c r="ACW15" i="2" s="1"/>
  <c r="ACW16" i="2" s="1"/>
  <c r="ACW17" i="2" s="1"/>
  <c r="ACW18" i="2" s="1"/>
  <c r="ACW19" i="2" s="1"/>
  <c r="ACW20" i="2" s="1"/>
  <c r="ACW21" i="2" s="1"/>
  <c r="ACW22" i="2" s="1"/>
  <c r="ACW23" i="2" s="1"/>
  <c r="ACV4" i="2"/>
  <c r="ACV5" i="2" s="1"/>
  <c r="ACV6" i="2" s="1"/>
  <c r="ACV7" i="2" s="1"/>
  <c r="ACV8" i="2" s="1"/>
  <c r="ACV9" i="2" s="1"/>
  <c r="ACV10" i="2" s="1"/>
  <c r="ACV11" i="2" s="1"/>
  <c r="ACV12" i="2" s="1"/>
  <c r="ACV13" i="2" s="1"/>
  <c r="ACV14" i="2" s="1"/>
  <c r="ACV15" i="2" s="1"/>
  <c r="ACV16" i="2" s="1"/>
  <c r="ACV17" i="2" s="1"/>
  <c r="ACV18" i="2" s="1"/>
  <c r="ACV19" i="2" s="1"/>
  <c r="ACV20" i="2" s="1"/>
  <c r="ACV21" i="2" s="1"/>
  <c r="ACV22" i="2" s="1"/>
  <c r="ACV23" i="2" s="1"/>
  <c r="ACU4" i="2"/>
  <c r="ACU5" i="2" s="1"/>
  <c r="ACU6" i="2" s="1"/>
  <c r="ACU7" i="2" s="1"/>
  <c r="ACU8" i="2" s="1"/>
  <c r="ACU9" i="2" s="1"/>
  <c r="ACU10" i="2" s="1"/>
  <c r="ACU11" i="2" s="1"/>
  <c r="ACU12" i="2" s="1"/>
  <c r="ACU13" i="2" s="1"/>
  <c r="ACU14" i="2" s="1"/>
  <c r="ACU15" i="2" s="1"/>
  <c r="ACU16" i="2" s="1"/>
  <c r="ACU17" i="2" s="1"/>
  <c r="ACU18" i="2" s="1"/>
  <c r="ACU19" i="2" s="1"/>
  <c r="ACU20" i="2" s="1"/>
  <c r="ACU21" i="2" s="1"/>
  <c r="ACU22" i="2" s="1"/>
  <c r="ACU23" i="2" s="1"/>
  <c r="ACT4" i="2"/>
  <c r="ACT5" i="2" s="1"/>
  <c r="ACT6" i="2" s="1"/>
  <c r="ACT7" i="2" s="1"/>
  <c r="ACT8" i="2" s="1"/>
  <c r="ACT9" i="2" s="1"/>
  <c r="ACT10" i="2" s="1"/>
  <c r="ACT11" i="2" s="1"/>
  <c r="ACT12" i="2" s="1"/>
  <c r="ACT13" i="2" s="1"/>
  <c r="ACT14" i="2" s="1"/>
  <c r="ACT15" i="2" s="1"/>
  <c r="ACT16" i="2" s="1"/>
  <c r="ACT17" i="2" s="1"/>
  <c r="ACT18" i="2" s="1"/>
  <c r="ACT19" i="2" s="1"/>
  <c r="ACT20" i="2" s="1"/>
  <c r="ACT21" i="2" s="1"/>
  <c r="ACT22" i="2" s="1"/>
  <c r="ACT23" i="2" s="1"/>
  <c r="ACS4" i="2"/>
  <c r="ACS5" i="2" s="1"/>
  <c r="ACS6" i="2" s="1"/>
  <c r="ACS7" i="2" s="1"/>
  <c r="ACS8" i="2" s="1"/>
  <c r="ACS9" i="2" s="1"/>
  <c r="ACS10" i="2" s="1"/>
  <c r="ACS11" i="2" s="1"/>
  <c r="ACS12" i="2" s="1"/>
  <c r="ACS13" i="2" s="1"/>
  <c r="ACS14" i="2" s="1"/>
  <c r="ACS15" i="2" s="1"/>
  <c r="ACS16" i="2" s="1"/>
  <c r="ACS17" i="2" s="1"/>
  <c r="ACS18" i="2" s="1"/>
  <c r="ACS19" i="2" s="1"/>
  <c r="ACS20" i="2" s="1"/>
  <c r="ACS21" i="2" s="1"/>
  <c r="ACS22" i="2" s="1"/>
  <c r="ACS23" i="2" s="1"/>
  <c r="ACR4" i="2"/>
  <c r="ACR5" i="2" s="1"/>
  <c r="ACR6" i="2" s="1"/>
  <c r="ACR7" i="2" s="1"/>
  <c r="ACR8" i="2" s="1"/>
  <c r="ACR9" i="2" s="1"/>
  <c r="ACR10" i="2" s="1"/>
  <c r="ACR11" i="2" s="1"/>
  <c r="ACR12" i="2" s="1"/>
  <c r="ACR13" i="2" s="1"/>
  <c r="ACR14" i="2" s="1"/>
  <c r="ACR15" i="2" s="1"/>
  <c r="ACR16" i="2" s="1"/>
  <c r="ACR17" i="2" s="1"/>
  <c r="ACR18" i="2" s="1"/>
  <c r="ACR19" i="2" s="1"/>
  <c r="ACR20" i="2" s="1"/>
  <c r="ACR21" i="2" s="1"/>
  <c r="ACR22" i="2" s="1"/>
  <c r="ACR23" i="2" s="1"/>
  <c r="ACQ4" i="2"/>
  <c r="ACQ5" i="2" s="1"/>
  <c r="ACQ6" i="2" s="1"/>
  <c r="ACQ7" i="2" s="1"/>
  <c r="ACQ8" i="2" s="1"/>
  <c r="ACQ9" i="2" s="1"/>
  <c r="ACQ10" i="2" s="1"/>
  <c r="ACQ11" i="2" s="1"/>
  <c r="ACQ12" i="2" s="1"/>
  <c r="ACQ13" i="2" s="1"/>
  <c r="ACQ14" i="2" s="1"/>
  <c r="ACQ15" i="2" s="1"/>
  <c r="ACQ16" i="2" s="1"/>
  <c r="ACQ17" i="2" s="1"/>
  <c r="ACQ18" i="2" s="1"/>
  <c r="ACQ19" i="2" s="1"/>
  <c r="ACQ20" i="2" s="1"/>
  <c r="ACQ21" i="2" s="1"/>
  <c r="ACQ22" i="2" s="1"/>
  <c r="ACQ23" i="2" s="1"/>
  <c r="ACP4" i="2"/>
  <c r="ACP5" i="2" s="1"/>
  <c r="ACP6" i="2" s="1"/>
  <c r="ACP7" i="2" s="1"/>
  <c r="ACP8" i="2" s="1"/>
  <c r="ACP9" i="2" s="1"/>
  <c r="ACP10" i="2" s="1"/>
  <c r="ACP11" i="2" s="1"/>
  <c r="ACP12" i="2" s="1"/>
  <c r="ACP13" i="2" s="1"/>
  <c r="ACP14" i="2" s="1"/>
  <c r="ACP15" i="2" s="1"/>
  <c r="ACP16" i="2" s="1"/>
  <c r="ACP17" i="2" s="1"/>
  <c r="ACP18" i="2" s="1"/>
  <c r="ACP19" i="2" s="1"/>
  <c r="ACP20" i="2" s="1"/>
  <c r="ACP21" i="2" s="1"/>
  <c r="ACP22" i="2" s="1"/>
  <c r="ACP23" i="2" s="1"/>
  <c r="ACO4" i="2"/>
  <c r="ACO5" i="2" s="1"/>
  <c r="ACO6" i="2" s="1"/>
  <c r="ACO7" i="2" s="1"/>
  <c r="ACO8" i="2" s="1"/>
  <c r="ACO9" i="2" s="1"/>
  <c r="ACO10" i="2" s="1"/>
  <c r="ACO11" i="2" s="1"/>
  <c r="ACO12" i="2" s="1"/>
  <c r="ACO13" i="2" s="1"/>
  <c r="ACO14" i="2" s="1"/>
  <c r="ACO15" i="2" s="1"/>
  <c r="ACO16" i="2" s="1"/>
  <c r="ACO17" i="2" s="1"/>
  <c r="ACO18" i="2" s="1"/>
  <c r="ACO19" i="2" s="1"/>
  <c r="ACO20" i="2" s="1"/>
  <c r="ACO21" i="2" s="1"/>
  <c r="ACO22" i="2" s="1"/>
  <c r="ACO23" i="2" s="1"/>
  <c r="ACN4" i="2"/>
  <c r="ACN5" i="2" s="1"/>
  <c r="ACN6" i="2" s="1"/>
  <c r="ACN7" i="2" s="1"/>
  <c r="ACN8" i="2" s="1"/>
  <c r="ACN9" i="2" s="1"/>
  <c r="ACN10" i="2" s="1"/>
  <c r="ACN11" i="2" s="1"/>
  <c r="ACN12" i="2" s="1"/>
  <c r="ACN13" i="2" s="1"/>
  <c r="ACN14" i="2" s="1"/>
  <c r="ACN15" i="2" s="1"/>
  <c r="ACN16" i="2" s="1"/>
  <c r="ACN17" i="2" s="1"/>
  <c r="ACN18" i="2" s="1"/>
  <c r="ACN19" i="2" s="1"/>
  <c r="ACN20" i="2" s="1"/>
  <c r="ACN21" i="2" s="1"/>
  <c r="ACN22" i="2" s="1"/>
  <c r="ACN23" i="2" s="1"/>
  <c r="ACM4" i="2"/>
  <c r="ACM5" i="2" s="1"/>
  <c r="ACM6" i="2" s="1"/>
  <c r="ACM7" i="2" s="1"/>
  <c r="ACM8" i="2" s="1"/>
  <c r="ACM9" i="2" s="1"/>
  <c r="ACM10" i="2" s="1"/>
  <c r="ACM11" i="2" s="1"/>
  <c r="ACM12" i="2" s="1"/>
  <c r="ACM13" i="2" s="1"/>
  <c r="ACM14" i="2" s="1"/>
  <c r="ACM15" i="2" s="1"/>
  <c r="ACM16" i="2" s="1"/>
  <c r="ACM17" i="2" s="1"/>
  <c r="ACM18" i="2" s="1"/>
  <c r="ACM19" i="2" s="1"/>
  <c r="ACM20" i="2" s="1"/>
  <c r="ACM21" i="2" s="1"/>
  <c r="ACM22" i="2" s="1"/>
  <c r="ACM23" i="2" s="1"/>
  <c r="ACL4" i="2"/>
  <c r="ACL5" i="2" s="1"/>
  <c r="ACL6" i="2" s="1"/>
  <c r="ACL7" i="2" s="1"/>
  <c r="ACL8" i="2" s="1"/>
  <c r="ACL9" i="2" s="1"/>
  <c r="ACL10" i="2" s="1"/>
  <c r="ACL11" i="2" s="1"/>
  <c r="ACL12" i="2" s="1"/>
  <c r="ACL13" i="2" s="1"/>
  <c r="ACL14" i="2" s="1"/>
  <c r="ACL15" i="2" s="1"/>
  <c r="ACL16" i="2" s="1"/>
  <c r="ACL17" i="2" s="1"/>
  <c r="ACL18" i="2" s="1"/>
  <c r="ACL19" i="2" s="1"/>
  <c r="ACL20" i="2" s="1"/>
  <c r="ACL21" i="2" s="1"/>
  <c r="ACL22" i="2" s="1"/>
  <c r="ACL23" i="2" s="1"/>
  <c r="ACK4" i="2"/>
  <c r="ACK5" i="2" s="1"/>
  <c r="ACK6" i="2" s="1"/>
  <c r="ACK7" i="2" s="1"/>
  <c r="ACK8" i="2" s="1"/>
  <c r="ACK9" i="2" s="1"/>
  <c r="ACK10" i="2" s="1"/>
  <c r="ACK11" i="2" s="1"/>
  <c r="ACK12" i="2" s="1"/>
  <c r="ACK13" i="2" s="1"/>
  <c r="ACK14" i="2" s="1"/>
  <c r="ACK15" i="2" s="1"/>
  <c r="ACK16" i="2" s="1"/>
  <c r="ACK17" i="2" s="1"/>
  <c r="ACK18" i="2" s="1"/>
  <c r="ACK19" i="2" s="1"/>
  <c r="ACK20" i="2" s="1"/>
  <c r="ACK21" i="2" s="1"/>
  <c r="ACK22" i="2" s="1"/>
  <c r="ACK23" i="2" s="1"/>
  <c r="ACJ4" i="2"/>
  <c r="ACJ5" i="2" s="1"/>
  <c r="ACJ6" i="2" s="1"/>
  <c r="ACJ7" i="2" s="1"/>
  <c r="ACJ8" i="2" s="1"/>
  <c r="ACJ9" i="2" s="1"/>
  <c r="ACJ10" i="2" s="1"/>
  <c r="ACJ11" i="2" s="1"/>
  <c r="ACJ12" i="2" s="1"/>
  <c r="ACJ13" i="2" s="1"/>
  <c r="ACJ14" i="2" s="1"/>
  <c r="ACJ15" i="2" s="1"/>
  <c r="ACJ16" i="2" s="1"/>
  <c r="ACJ17" i="2" s="1"/>
  <c r="ACJ18" i="2" s="1"/>
  <c r="ACJ19" i="2" s="1"/>
  <c r="ACJ20" i="2" s="1"/>
  <c r="ACJ21" i="2" s="1"/>
  <c r="ACJ22" i="2" s="1"/>
  <c r="ACJ23" i="2" s="1"/>
  <c r="ACI4" i="2"/>
  <c r="ACI5" i="2" s="1"/>
  <c r="ACI6" i="2" s="1"/>
  <c r="ACI7" i="2" s="1"/>
  <c r="ACI8" i="2" s="1"/>
  <c r="ACI9" i="2" s="1"/>
  <c r="ACI10" i="2" s="1"/>
  <c r="ACI11" i="2" s="1"/>
  <c r="ACI12" i="2" s="1"/>
  <c r="ACI13" i="2" s="1"/>
  <c r="ACI14" i="2" s="1"/>
  <c r="ACI15" i="2" s="1"/>
  <c r="ACI16" i="2" s="1"/>
  <c r="ACI17" i="2" s="1"/>
  <c r="ACI18" i="2" s="1"/>
  <c r="ACI19" i="2" s="1"/>
  <c r="ACI20" i="2" s="1"/>
  <c r="ACI21" i="2" s="1"/>
  <c r="ACI22" i="2" s="1"/>
  <c r="ACI23" i="2" s="1"/>
  <c r="ACH4" i="2"/>
  <c r="ACH5" i="2" s="1"/>
  <c r="ACH6" i="2" s="1"/>
  <c r="ACH7" i="2" s="1"/>
  <c r="ACH8" i="2" s="1"/>
  <c r="ACH9" i="2" s="1"/>
  <c r="ACH10" i="2" s="1"/>
  <c r="ACH11" i="2" s="1"/>
  <c r="ACH12" i="2" s="1"/>
  <c r="ACH13" i="2" s="1"/>
  <c r="ACH14" i="2" s="1"/>
  <c r="ACH15" i="2" s="1"/>
  <c r="ACH16" i="2" s="1"/>
  <c r="ACH17" i="2" s="1"/>
  <c r="ACH18" i="2" s="1"/>
  <c r="ACH19" i="2" s="1"/>
  <c r="ACH20" i="2" s="1"/>
  <c r="ACH21" i="2" s="1"/>
  <c r="ACH22" i="2" s="1"/>
  <c r="ACH23" i="2" s="1"/>
  <c r="ACG4" i="2"/>
  <c r="ACG5" i="2" s="1"/>
  <c r="ACG6" i="2" s="1"/>
  <c r="ACG7" i="2" s="1"/>
  <c r="ACG8" i="2" s="1"/>
  <c r="ACG9" i="2" s="1"/>
  <c r="ACG10" i="2" s="1"/>
  <c r="ACG11" i="2" s="1"/>
  <c r="ACG12" i="2" s="1"/>
  <c r="ACG13" i="2" s="1"/>
  <c r="ACG14" i="2" s="1"/>
  <c r="ACG15" i="2" s="1"/>
  <c r="ACG16" i="2" s="1"/>
  <c r="ACG17" i="2" s="1"/>
  <c r="ACG18" i="2" s="1"/>
  <c r="ACG19" i="2" s="1"/>
  <c r="ACG20" i="2" s="1"/>
  <c r="ACG21" i="2" s="1"/>
  <c r="ACG22" i="2" s="1"/>
  <c r="ACG23" i="2" s="1"/>
  <c r="ACF4" i="2"/>
  <c r="ACF5" i="2" s="1"/>
  <c r="ACF6" i="2" s="1"/>
  <c r="ACF7" i="2" s="1"/>
  <c r="ACF8" i="2" s="1"/>
  <c r="ACF9" i="2" s="1"/>
  <c r="ACF10" i="2" s="1"/>
  <c r="ACF11" i="2" s="1"/>
  <c r="ACF12" i="2" s="1"/>
  <c r="ACF13" i="2" s="1"/>
  <c r="ACF14" i="2" s="1"/>
  <c r="ACF15" i="2" s="1"/>
  <c r="ACF16" i="2" s="1"/>
  <c r="ACF17" i="2" s="1"/>
  <c r="ACF18" i="2" s="1"/>
  <c r="ACF19" i="2" s="1"/>
  <c r="ACF20" i="2" s="1"/>
  <c r="ACF21" i="2" s="1"/>
  <c r="ACF22" i="2" s="1"/>
  <c r="ACF23" i="2" s="1"/>
  <c r="ACE4" i="2"/>
  <c r="ACE5" i="2" s="1"/>
  <c r="ACE6" i="2" s="1"/>
  <c r="ACE7" i="2" s="1"/>
  <c r="ACE8" i="2" s="1"/>
  <c r="ACE9" i="2" s="1"/>
  <c r="ACE10" i="2" s="1"/>
  <c r="ACE11" i="2" s="1"/>
  <c r="ACE12" i="2" s="1"/>
  <c r="ACE13" i="2" s="1"/>
  <c r="ACE14" i="2" s="1"/>
  <c r="ACE15" i="2" s="1"/>
  <c r="ACE16" i="2" s="1"/>
  <c r="ACE17" i="2" s="1"/>
  <c r="ACE18" i="2" s="1"/>
  <c r="ACE19" i="2" s="1"/>
  <c r="ACE20" i="2" s="1"/>
  <c r="ACE21" i="2" s="1"/>
  <c r="ACE22" i="2" s="1"/>
  <c r="ACE23" i="2" s="1"/>
  <c r="ACD4" i="2"/>
  <c r="ACD5" i="2" s="1"/>
  <c r="ACD6" i="2" s="1"/>
  <c r="ACD7" i="2" s="1"/>
  <c r="ACD8" i="2" s="1"/>
  <c r="ACD9" i="2" s="1"/>
  <c r="ACD10" i="2" s="1"/>
  <c r="ACD11" i="2" s="1"/>
  <c r="ACD12" i="2" s="1"/>
  <c r="ACD13" i="2" s="1"/>
  <c r="ACD14" i="2" s="1"/>
  <c r="ACD15" i="2" s="1"/>
  <c r="ACD16" i="2" s="1"/>
  <c r="ACD17" i="2" s="1"/>
  <c r="ACD18" i="2" s="1"/>
  <c r="ACD19" i="2" s="1"/>
  <c r="ACD20" i="2" s="1"/>
  <c r="ACD21" i="2" s="1"/>
  <c r="ACD22" i="2" s="1"/>
  <c r="ACD23" i="2" s="1"/>
  <c r="ACC4" i="2"/>
  <c r="ACC5" i="2" s="1"/>
  <c r="ACC6" i="2" s="1"/>
  <c r="ACC7" i="2" s="1"/>
  <c r="ACC8" i="2" s="1"/>
  <c r="ACC9" i="2" s="1"/>
  <c r="ACC10" i="2" s="1"/>
  <c r="ACC11" i="2" s="1"/>
  <c r="ACC12" i="2" s="1"/>
  <c r="ACC13" i="2" s="1"/>
  <c r="ACC14" i="2" s="1"/>
  <c r="ACC15" i="2" s="1"/>
  <c r="ACC16" i="2" s="1"/>
  <c r="ACC17" i="2" s="1"/>
  <c r="ACC18" i="2" s="1"/>
  <c r="ACC19" i="2" s="1"/>
  <c r="ACC20" i="2" s="1"/>
  <c r="ACC21" i="2" s="1"/>
  <c r="ACC22" i="2" s="1"/>
  <c r="ACC23" i="2" s="1"/>
  <c r="ACB4" i="2"/>
  <c r="ACB5" i="2" s="1"/>
  <c r="ACB6" i="2" s="1"/>
  <c r="ACB7" i="2" s="1"/>
  <c r="ACB8" i="2" s="1"/>
  <c r="ACB9" i="2" s="1"/>
  <c r="ACB10" i="2" s="1"/>
  <c r="ACB11" i="2" s="1"/>
  <c r="ACB12" i="2" s="1"/>
  <c r="ACB13" i="2" s="1"/>
  <c r="ACB14" i="2" s="1"/>
  <c r="ACB15" i="2" s="1"/>
  <c r="ACB16" i="2" s="1"/>
  <c r="ACB17" i="2" s="1"/>
  <c r="ACB18" i="2" s="1"/>
  <c r="ACB19" i="2" s="1"/>
  <c r="ACB20" i="2" s="1"/>
  <c r="ACB21" i="2" s="1"/>
  <c r="ACB22" i="2" s="1"/>
  <c r="ACB23" i="2" s="1"/>
  <c r="ACA4" i="2"/>
  <c r="ACA5" i="2" s="1"/>
  <c r="ACA6" i="2" s="1"/>
  <c r="ACA7" i="2" s="1"/>
  <c r="ACA8" i="2" s="1"/>
  <c r="ACA9" i="2" s="1"/>
  <c r="ACA10" i="2" s="1"/>
  <c r="ACA11" i="2" s="1"/>
  <c r="ACA12" i="2" s="1"/>
  <c r="ACA13" i="2" s="1"/>
  <c r="ACA14" i="2" s="1"/>
  <c r="ACA15" i="2" s="1"/>
  <c r="ACA16" i="2" s="1"/>
  <c r="ACA17" i="2" s="1"/>
  <c r="ACA18" i="2" s="1"/>
  <c r="ACA19" i="2" s="1"/>
  <c r="ACA20" i="2" s="1"/>
  <c r="ACA21" i="2" s="1"/>
  <c r="ACA22" i="2" s="1"/>
  <c r="ACA23" i="2" s="1"/>
  <c r="ABZ4" i="2"/>
  <c r="ABZ5" i="2" s="1"/>
  <c r="ABZ6" i="2" s="1"/>
  <c r="ABZ7" i="2" s="1"/>
  <c r="ABZ8" i="2" s="1"/>
  <c r="ABZ9" i="2" s="1"/>
  <c r="ABZ10" i="2" s="1"/>
  <c r="ABZ11" i="2" s="1"/>
  <c r="ABZ12" i="2" s="1"/>
  <c r="ABZ13" i="2" s="1"/>
  <c r="ABZ14" i="2" s="1"/>
  <c r="ABZ15" i="2" s="1"/>
  <c r="ABZ16" i="2" s="1"/>
  <c r="ABZ17" i="2" s="1"/>
  <c r="ABZ18" i="2" s="1"/>
  <c r="ABZ19" i="2" s="1"/>
  <c r="ABZ20" i="2" s="1"/>
  <c r="ABZ21" i="2" s="1"/>
  <c r="ABZ22" i="2" s="1"/>
  <c r="ABZ23" i="2" s="1"/>
  <c r="ABY4" i="2"/>
  <c r="ABY5" i="2" s="1"/>
  <c r="ABY6" i="2" s="1"/>
  <c r="ABY7" i="2" s="1"/>
  <c r="ABY8" i="2" s="1"/>
  <c r="ABY9" i="2" s="1"/>
  <c r="ABY10" i="2" s="1"/>
  <c r="ABY11" i="2" s="1"/>
  <c r="ABY12" i="2" s="1"/>
  <c r="ABY13" i="2" s="1"/>
  <c r="ABY14" i="2" s="1"/>
  <c r="ABY15" i="2" s="1"/>
  <c r="ABY16" i="2" s="1"/>
  <c r="ABY17" i="2" s="1"/>
  <c r="ABY18" i="2" s="1"/>
  <c r="ABY19" i="2" s="1"/>
  <c r="ABY20" i="2" s="1"/>
  <c r="ABY21" i="2" s="1"/>
  <c r="ABY22" i="2" s="1"/>
  <c r="ABY23" i="2" s="1"/>
  <c r="ABX4" i="2"/>
  <c r="ABX5" i="2" s="1"/>
  <c r="ABX6" i="2" s="1"/>
  <c r="ABX7" i="2" s="1"/>
  <c r="ABX8" i="2" s="1"/>
  <c r="ABX9" i="2" s="1"/>
  <c r="ABX10" i="2" s="1"/>
  <c r="ABX11" i="2" s="1"/>
  <c r="ABX12" i="2" s="1"/>
  <c r="ABX13" i="2" s="1"/>
  <c r="ABX14" i="2" s="1"/>
  <c r="ABX15" i="2" s="1"/>
  <c r="ABX16" i="2" s="1"/>
  <c r="ABX17" i="2" s="1"/>
  <c r="ABX18" i="2" s="1"/>
  <c r="ABX19" i="2" s="1"/>
  <c r="ABX20" i="2" s="1"/>
  <c r="ABX21" i="2" s="1"/>
  <c r="ABX22" i="2" s="1"/>
  <c r="ABX23" i="2" s="1"/>
  <c r="ABW4" i="2"/>
  <c r="ABW5" i="2" s="1"/>
  <c r="ABW6" i="2" s="1"/>
  <c r="ABW7" i="2" s="1"/>
  <c r="ABW8" i="2" s="1"/>
  <c r="ABW9" i="2" s="1"/>
  <c r="ABW10" i="2" s="1"/>
  <c r="ABW11" i="2" s="1"/>
  <c r="ABW12" i="2" s="1"/>
  <c r="ABW13" i="2" s="1"/>
  <c r="ABW14" i="2" s="1"/>
  <c r="ABW15" i="2" s="1"/>
  <c r="ABW16" i="2" s="1"/>
  <c r="ABW17" i="2" s="1"/>
  <c r="ABW18" i="2" s="1"/>
  <c r="ABW19" i="2" s="1"/>
  <c r="ABW20" i="2" s="1"/>
  <c r="ABW21" i="2" s="1"/>
  <c r="ABW22" i="2" s="1"/>
  <c r="ABW23" i="2" s="1"/>
  <c r="ABV4" i="2"/>
  <c r="ABV5" i="2" s="1"/>
  <c r="ABV6" i="2" s="1"/>
  <c r="ABV7" i="2" s="1"/>
  <c r="ABV8" i="2" s="1"/>
  <c r="ABV9" i="2" s="1"/>
  <c r="ABV10" i="2" s="1"/>
  <c r="ABV11" i="2" s="1"/>
  <c r="ABV12" i="2" s="1"/>
  <c r="ABV13" i="2" s="1"/>
  <c r="ABV14" i="2" s="1"/>
  <c r="ABV15" i="2" s="1"/>
  <c r="ABV16" i="2" s="1"/>
  <c r="ABV17" i="2" s="1"/>
  <c r="ABV18" i="2" s="1"/>
  <c r="ABV19" i="2" s="1"/>
  <c r="ABV20" i="2" s="1"/>
  <c r="ABV21" i="2" s="1"/>
  <c r="ABV22" i="2" s="1"/>
  <c r="ABV23" i="2" s="1"/>
  <c r="ABU4" i="2"/>
  <c r="ABU5" i="2" s="1"/>
  <c r="ABU6" i="2" s="1"/>
  <c r="ABU7" i="2" s="1"/>
  <c r="ABU8" i="2" s="1"/>
  <c r="ABU9" i="2" s="1"/>
  <c r="ABU10" i="2" s="1"/>
  <c r="ABU11" i="2" s="1"/>
  <c r="ABU12" i="2" s="1"/>
  <c r="ABU13" i="2" s="1"/>
  <c r="ABU14" i="2" s="1"/>
  <c r="ABU15" i="2" s="1"/>
  <c r="ABU16" i="2" s="1"/>
  <c r="ABU17" i="2" s="1"/>
  <c r="ABU18" i="2" s="1"/>
  <c r="ABU19" i="2" s="1"/>
  <c r="ABU20" i="2" s="1"/>
  <c r="ABU21" i="2" s="1"/>
  <c r="ABU22" i="2" s="1"/>
  <c r="ABU23" i="2" s="1"/>
  <c r="ABT4" i="2"/>
  <c r="ABT5" i="2" s="1"/>
  <c r="ABT6" i="2" s="1"/>
  <c r="ABT7" i="2" s="1"/>
  <c r="ABT8" i="2" s="1"/>
  <c r="ABT9" i="2" s="1"/>
  <c r="ABT10" i="2" s="1"/>
  <c r="ABT11" i="2" s="1"/>
  <c r="ABT12" i="2" s="1"/>
  <c r="ABT13" i="2" s="1"/>
  <c r="ABT14" i="2" s="1"/>
  <c r="ABT15" i="2" s="1"/>
  <c r="ABT16" i="2" s="1"/>
  <c r="ABT17" i="2" s="1"/>
  <c r="ABT18" i="2" s="1"/>
  <c r="ABT19" i="2" s="1"/>
  <c r="ABT20" i="2" s="1"/>
  <c r="ABT21" i="2" s="1"/>
  <c r="ABT22" i="2" s="1"/>
  <c r="ABT23" i="2" s="1"/>
  <c r="ABS4" i="2"/>
  <c r="ABS5" i="2" s="1"/>
  <c r="ABS6" i="2" s="1"/>
  <c r="ABS7" i="2" s="1"/>
  <c r="ABS8" i="2" s="1"/>
  <c r="ABS9" i="2" s="1"/>
  <c r="ABS10" i="2" s="1"/>
  <c r="ABS11" i="2" s="1"/>
  <c r="ABS12" i="2" s="1"/>
  <c r="ABS13" i="2" s="1"/>
  <c r="ABS14" i="2" s="1"/>
  <c r="ABS15" i="2" s="1"/>
  <c r="ABS16" i="2" s="1"/>
  <c r="ABS17" i="2" s="1"/>
  <c r="ABS18" i="2" s="1"/>
  <c r="ABS19" i="2" s="1"/>
  <c r="ABS20" i="2" s="1"/>
  <c r="ABS21" i="2" s="1"/>
  <c r="ABS22" i="2" s="1"/>
  <c r="ABS23" i="2" s="1"/>
  <c r="ABR4" i="2"/>
  <c r="ABR5" i="2" s="1"/>
  <c r="ABR6" i="2" s="1"/>
  <c r="ABR7" i="2" s="1"/>
  <c r="ABR8" i="2" s="1"/>
  <c r="ABR9" i="2" s="1"/>
  <c r="ABR10" i="2" s="1"/>
  <c r="ABR11" i="2" s="1"/>
  <c r="ABR12" i="2" s="1"/>
  <c r="ABR13" i="2" s="1"/>
  <c r="ABR14" i="2" s="1"/>
  <c r="ABR15" i="2" s="1"/>
  <c r="ABR16" i="2" s="1"/>
  <c r="ABR17" i="2" s="1"/>
  <c r="ABR18" i="2" s="1"/>
  <c r="ABR19" i="2" s="1"/>
  <c r="ABR20" i="2" s="1"/>
  <c r="ABR21" i="2" s="1"/>
  <c r="ABR22" i="2" s="1"/>
  <c r="ABR23" i="2" s="1"/>
  <c r="ABQ4" i="2"/>
  <c r="ABQ5" i="2" s="1"/>
  <c r="ABQ6" i="2" s="1"/>
  <c r="ABQ7" i="2" s="1"/>
  <c r="ABQ8" i="2" s="1"/>
  <c r="ABQ9" i="2" s="1"/>
  <c r="ABQ10" i="2" s="1"/>
  <c r="ABQ11" i="2" s="1"/>
  <c r="ABQ12" i="2" s="1"/>
  <c r="ABQ13" i="2" s="1"/>
  <c r="ABQ14" i="2" s="1"/>
  <c r="ABQ15" i="2" s="1"/>
  <c r="ABQ16" i="2" s="1"/>
  <c r="ABQ17" i="2" s="1"/>
  <c r="ABQ18" i="2" s="1"/>
  <c r="ABQ19" i="2" s="1"/>
  <c r="ABQ20" i="2" s="1"/>
  <c r="ABQ21" i="2" s="1"/>
  <c r="ABQ22" i="2" s="1"/>
  <c r="ABQ23" i="2" s="1"/>
  <c r="ABP4" i="2"/>
  <c r="ABP5" i="2" s="1"/>
  <c r="ABP6" i="2" s="1"/>
  <c r="ABP7" i="2" s="1"/>
  <c r="ABP8" i="2" s="1"/>
  <c r="ABP9" i="2" s="1"/>
  <c r="ABP10" i="2" s="1"/>
  <c r="ABP11" i="2" s="1"/>
  <c r="ABP12" i="2" s="1"/>
  <c r="ABP13" i="2" s="1"/>
  <c r="ABP14" i="2" s="1"/>
  <c r="ABP15" i="2" s="1"/>
  <c r="ABP16" i="2" s="1"/>
  <c r="ABP17" i="2" s="1"/>
  <c r="ABP18" i="2" s="1"/>
  <c r="ABP19" i="2" s="1"/>
  <c r="ABP20" i="2" s="1"/>
  <c r="ABP21" i="2" s="1"/>
  <c r="ABP22" i="2" s="1"/>
  <c r="ABP23" i="2" s="1"/>
  <c r="ABO4" i="2"/>
  <c r="ABO5" i="2" s="1"/>
  <c r="ABO6" i="2" s="1"/>
  <c r="ABO7" i="2" s="1"/>
  <c r="ABO8" i="2" s="1"/>
  <c r="ABO9" i="2" s="1"/>
  <c r="ABO10" i="2" s="1"/>
  <c r="ABO11" i="2" s="1"/>
  <c r="ABO12" i="2" s="1"/>
  <c r="ABO13" i="2" s="1"/>
  <c r="ABO14" i="2" s="1"/>
  <c r="ABO15" i="2" s="1"/>
  <c r="ABO16" i="2" s="1"/>
  <c r="ABO17" i="2" s="1"/>
  <c r="ABO18" i="2" s="1"/>
  <c r="ABO19" i="2" s="1"/>
  <c r="ABO20" i="2" s="1"/>
  <c r="ABO21" i="2" s="1"/>
  <c r="ABO22" i="2" s="1"/>
  <c r="ABO23" i="2" s="1"/>
  <c r="ABN4" i="2"/>
  <c r="ABN5" i="2" s="1"/>
  <c r="ABN6" i="2" s="1"/>
  <c r="ABN7" i="2" s="1"/>
  <c r="ABN8" i="2" s="1"/>
  <c r="ABN9" i="2" s="1"/>
  <c r="ABN10" i="2" s="1"/>
  <c r="ABN11" i="2" s="1"/>
  <c r="ABN12" i="2" s="1"/>
  <c r="ABN13" i="2" s="1"/>
  <c r="ABN14" i="2" s="1"/>
  <c r="ABN15" i="2" s="1"/>
  <c r="ABN16" i="2" s="1"/>
  <c r="ABN17" i="2" s="1"/>
  <c r="ABN18" i="2" s="1"/>
  <c r="ABN19" i="2" s="1"/>
  <c r="ABN20" i="2" s="1"/>
  <c r="ABN21" i="2" s="1"/>
  <c r="ABN22" i="2" s="1"/>
  <c r="ABN23" i="2" s="1"/>
  <c r="ABM4" i="2"/>
  <c r="ABM5" i="2" s="1"/>
  <c r="ABM6" i="2" s="1"/>
  <c r="ABM7" i="2" s="1"/>
  <c r="ABM8" i="2" s="1"/>
  <c r="ABM9" i="2" s="1"/>
  <c r="ABM10" i="2" s="1"/>
  <c r="ABM11" i="2" s="1"/>
  <c r="ABM12" i="2" s="1"/>
  <c r="ABM13" i="2" s="1"/>
  <c r="ABM14" i="2" s="1"/>
  <c r="ABM15" i="2" s="1"/>
  <c r="ABM16" i="2" s="1"/>
  <c r="ABM17" i="2" s="1"/>
  <c r="ABM18" i="2" s="1"/>
  <c r="ABM19" i="2" s="1"/>
  <c r="ABM20" i="2" s="1"/>
  <c r="ABM21" i="2" s="1"/>
  <c r="ABM22" i="2" s="1"/>
  <c r="ABM23" i="2" s="1"/>
  <c r="ABL4" i="2"/>
  <c r="ABL5" i="2" s="1"/>
  <c r="ABL6" i="2" s="1"/>
  <c r="ABL7" i="2" s="1"/>
  <c r="ABL8" i="2" s="1"/>
  <c r="ABL9" i="2" s="1"/>
  <c r="ABL10" i="2" s="1"/>
  <c r="ABL11" i="2" s="1"/>
  <c r="ABL12" i="2" s="1"/>
  <c r="ABL13" i="2" s="1"/>
  <c r="ABL14" i="2" s="1"/>
  <c r="ABL15" i="2" s="1"/>
  <c r="ABL16" i="2" s="1"/>
  <c r="ABL17" i="2" s="1"/>
  <c r="ABL18" i="2" s="1"/>
  <c r="ABL19" i="2" s="1"/>
  <c r="ABL20" i="2" s="1"/>
  <c r="ABL21" i="2" s="1"/>
  <c r="ABL22" i="2" s="1"/>
  <c r="ABL23" i="2" s="1"/>
  <c r="ABK4" i="2"/>
  <c r="ABK5" i="2" s="1"/>
  <c r="ABK6" i="2" s="1"/>
  <c r="ABK7" i="2" s="1"/>
  <c r="ABK8" i="2" s="1"/>
  <c r="ABK9" i="2" s="1"/>
  <c r="ABK10" i="2" s="1"/>
  <c r="ABK11" i="2" s="1"/>
  <c r="ABK12" i="2" s="1"/>
  <c r="ABK13" i="2" s="1"/>
  <c r="ABK14" i="2" s="1"/>
  <c r="ABK15" i="2" s="1"/>
  <c r="ABK16" i="2" s="1"/>
  <c r="ABK17" i="2" s="1"/>
  <c r="ABK18" i="2" s="1"/>
  <c r="ABK19" i="2" s="1"/>
  <c r="ABK20" i="2" s="1"/>
  <c r="ABK21" i="2" s="1"/>
  <c r="ABK22" i="2" s="1"/>
  <c r="ABK23" i="2" s="1"/>
  <c r="ABJ4" i="2"/>
  <c r="ABJ5" i="2" s="1"/>
  <c r="ABJ6" i="2" s="1"/>
  <c r="ABJ7" i="2" s="1"/>
  <c r="ABJ8" i="2" s="1"/>
  <c r="ABJ9" i="2" s="1"/>
  <c r="ABJ10" i="2" s="1"/>
  <c r="ABJ11" i="2" s="1"/>
  <c r="ABJ12" i="2" s="1"/>
  <c r="ABJ13" i="2" s="1"/>
  <c r="ABJ14" i="2" s="1"/>
  <c r="ABJ15" i="2" s="1"/>
  <c r="ABJ16" i="2" s="1"/>
  <c r="ABJ17" i="2" s="1"/>
  <c r="ABJ18" i="2" s="1"/>
  <c r="ABJ19" i="2" s="1"/>
  <c r="ABJ20" i="2" s="1"/>
  <c r="ABJ21" i="2" s="1"/>
  <c r="ABJ22" i="2" s="1"/>
  <c r="ABJ23" i="2" s="1"/>
  <c r="ABI4" i="2"/>
  <c r="ABI5" i="2" s="1"/>
  <c r="ABI6" i="2" s="1"/>
  <c r="ABI7" i="2" s="1"/>
  <c r="ABI8" i="2" s="1"/>
  <c r="ABI9" i="2" s="1"/>
  <c r="ABI10" i="2" s="1"/>
  <c r="ABI11" i="2" s="1"/>
  <c r="ABI12" i="2" s="1"/>
  <c r="ABI13" i="2" s="1"/>
  <c r="ABI14" i="2" s="1"/>
  <c r="ABI15" i="2" s="1"/>
  <c r="ABI16" i="2" s="1"/>
  <c r="ABI17" i="2" s="1"/>
  <c r="ABI18" i="2" s="1"/>
  <c r="ABI19" i="2" s="1"/>
  <c r="ABI20" i="2" s="1"/>
  <c r="ABI21" i="2" s="1"/>
  <c r="ABI22" i="2" s="1"/>
  <c r="ABI23" i="2" s="1"/>
  <c r="ABH4" i="2"/>
  <c r="ABH5" i="2" s="1"/>
  <c r="ABH6" i="2" s="1"/>
  <c r="ABH7" i="2" s="1"/>
  <c r="ABH8" i="2" s="1"/>
  <c r="ABH9" i="2" s="1"/>
  <c r="ABH10" i="2" s="1"/>
  <c r="ABH11" i="2" s="1"/>
  <c r="ABH12" i="2" s="1"/>
  <c r="ABH13" i="2" s="1"/>
  <c r="ABH14" i="2" s="1"/>
  <c r="ABH15" i="2" s="1"/>
  <c r="ABH16" i="2" s="1"/>
  <c r="ABH17" i="2" s="1"/>
  <c r="ABH18" i="2" s="1"/>
  <c r="ABH19" i="2" s="1"/>
  <c r="ABH20" i="2" s="1"/>
  <c r="ABH21" i="2" s="1"/>
  <c r="ABH22" i="2" s="1"/>
  <c r="ABH23" i="2" s="1"/>
  <c r="ABG4" i="2"/>
  <c r="ABG5" i="2" s="1"/>
  <c r="ABG6" i="2" s="1"/>
  <c r="ABG7" i="2" s="1"/>
  <c r="ABG8" i="2" s="1"/>
  <c r="ABG9" i="2" s="1"/>
  <c r="ABG10" i="2" s="1"/>
  <c r="ABG11" i="2" s="1"/>
  <c r="ABG12" i="2" s="1"/>
  <c r="ABG13" i="2" s="1"/>
  <c r="ABG14" i="2" s="1"/>
  <c r="ABG15" i="2" s="1"/>
  <c r="ABG16" i="2" s="1"/>
  <c r="ABG17" i="2" s="1"/>
  <c r="ABG18" i="2" s="1"/>
  <c r="ABG19" i="2" s="1"/>
  <c r="ABG20" i="2" s="1"/>
  <c r="ABG21" i="2" s="1"/>
  <c r="ABG22" i="2" s="1"/>
  <c r="ABG23" i="2" s="1"/>
  <c r="ABF4" i="2"/>
  <c r="ABF5" i="2" s="1"/>
  <c r="ABF6" i="2" s="1"/>
  <c r="ABF7" i="2" s="1"/>
  <c r="ABF8" i="2" s="1"/>
  <c r="ABF9" i="2" s="1"/>
  <c r="ABF10" i="2" s="1"/>
  <c r="ABF11" i="2" s="1"/>
  <c r="ABF12" i="2" s="1"/>
  <c r="ABF13" i="2" s="1"/>
  <c r="ABF14" i="2" s="1"/>
  <c r="ABF15" i="2" s="1"/>
  <c r="ABF16" i="2" s="1"/>
  <c r="ABF17" i="2" s="1"/>
  <c r="ABF18" i="2" s="1"/>
  <c r="ABF19" i="2" s="1"/>
  <c r="ABF20" i="2" s="1"/>
  <c r="ABF21" i="2" s="1"/>
  <c r="ABF22" i="2" s="1"/>
  <c r="ABF23" i="2" s="1"/>
  <c r="ABE4" i="2"/>
  <c r="ABE5" i="2" s="1"/>
  <c r="ABE6" i="2" s="1"/>
  <c r="ABE7" i="2" s="1"/>
  <c r="ABE8" i="2" s="1"/>
  <c r="ABE9" i="2" s="1"/>
  <c r="ABE10" i="2" s="1"/>
  <c r="ABE11" i="2" s="1"/>
  <c r="ABE12" i="2" s="1"/>
  <c r="ABE13" i="2" s="1"/>
  <c r="ABE14" i="2" s="1"/>
  <c r="ABE15" i="2" s="1"/>
  <c r="ABE16" i="2" s="1"/>
  <c r="ABE17" i="2" s="1"/>
  <c r="ABE18" i="2" s="1"/>
  <c r="ABE19" i="2" s="1"/>
  <c r="ABE20" i="2" s="1"/>
  <c r="ABE21" i="2" s="1"/>
  <c r="ABE22" i="2" s="1"/>
  <c r="ABE23" i="2" s="1"/>
  <c r="ABD4" i="2"/>
  <c r="ABD5" i="2" s="1"/>
  <c r="ABD6" i="2" s="1"/>
  <c r="ABD7" i="2" s="1"/>
  <c r="ABD8" i="2" s="1"/>
  <c r="ABD9" i="2" s="1"/>
  <c r="ABD10" i="2" s="1"/>
  <c r="ABD11" i="2" s="1"/>
  <c r="ABD12" i="2" s="1"/>
  <c r="ABD13" i="2" s="1"/>
  <c r="ABD14" i="2" s="1"/>
  <c r="ABD15" i="2" s="1"/>
  <c r="ABD16" i="2" s="1"/>
  <c r="ABD17" i="2" s="1"/>
  <c r="ABD18" i="2" s="1"/>
  <c r="ABD19" i="2" s="1"/>
  <c r="ABD20" i="2" s="1"/>
  <c r="ABD21" i="2" s="1"/>
  <c r="ABD22" i="2" s="1"/>
  <c r="ABD23" i="2" s="1"/>
  <c r="ABC4" i="2"/>
  <c r="ABC5" i="2" s="1"/>
  <c r="ABC6" i="2" s="1"/>
  <c r="ABC7" i="2" s="1"/>
  <c r="ABC8" i="2" s="1"/>
  <c r="ABC9" i="2" s="1"/>
  <c r="ABC10" i="2" s="1"/>
  <c r="ABC11" i="2" s="1"/>
  <c r="ABC12" i="2" s="1"/>
  <c r="ABC13" i="2" s="1"/>
  <c r="ABC14" i="2" s="1"/>
  <c r="ABC15" i="2" s="1"/>
  <c r="ABC16" i="2" s="1"/>
  <c r="ABC17" i="2" s="1"/>
  <c r="ABC18" i="2" s="1"/>
  <c r="ABC19" i="2" s="1"/>
  <c r="ABC20" i="2" s="1"/>
  <c r="ABC21" i="2" s="1"/>
  <c r="ABC22" i="2" s="1"/>
  <c r="ABC23" i="2" s="1"/>
  <c r="ABB4" i="2"/>
  <c r="ABB5" i="2" s="1"/>
  <c r="ABB6" i="2" s="1"/>
  <c r="ABB7" i="2" s="1"/>
  <c r="ABB8" i="2" s="1"/>
  <c r="ABB9" i="2" s="1"/>
  <c r="ABB10" i="2" s="1"/>
  <c r="ABB11" i="2" s="1"/>
  <c r="ABB12" i="2" s="1"/>
  <c r="ABB13" i="2" s="1"/>
  <c r="ABB14" i="2" s="1"/>
  <c r="ABB15" i="2" s="1"/>
  <c r="ABB16" i="2" s="1"/>
  <c r="ABB17" i="2" s="1"/>
  <c r="ABB18" i="2" s="1"/>
  <c r="ABB19" i="2" s="1"/>
  <c r="ABB20" i="2" s="1"/>
  <c r="ABB21" i="2" s="1"/>
  <c r="ABB22" i="2" s="1"/>
  <c r="ABB23" i="2" s="1"/>
  <c r="ABA4" i="2"/>
  <c r="ABA5" i="2" s="1"/>
  <c r="ABA6" i="2" s="1"/>
  <c r="ABA7" i="2" s="1"/>
  <c r="ABA8" i="2" s="1"/>
  <c r="ABA9" i="2" s="1"/>
  <c r="ABA10" i="2" s="1"/>
  <c r="ABA11" i="2" s="1"/>
  <c r="ABA12" i="2" s="1"/>
  <c r="ABA13" i="2" s="1"/>
  <c r="ABA14" i="2" s="1"/>
  <c r="ABA15" i="2" s="1"/>
  <c r="ABA16" i="2" s="1"/>
  <c r="ABA17" i="2" s="1"/>
  <c r="ABA18" i="2" s="1"/>
  <c r="ABA19" i="2" s="1"/>
  <c r="ABA20" i="2" s="1"/>
  <c r="ABA21" i="2" s="1"/>
  <c r="ABA22" i="2" s="1"/>
  <c r="ABA23" i="2" s="1"/>
  <c r="AAZ4" i="2"/>
  <c r="AAZ5" i="2" s="1"/>
  <c r="AAZ6" i="2" s="1"/>
  <c r="AAZ7" i="2" s="1"/>
  <c r="AAZ8" i="2" s="1"/>
  <c r="AAZ9" i="2" s="1"/>
  <c r="AAZ10" i="2" s="1"/>
  <c r="AAZ11" i="2" s="1"/>
  <c r="AAZ12" i="2" s="1"/>
  <c r="AAZ13" i="2" s="1"/>
  <c r="AAZ14" i="2" s="1"/>
  <c r="AAZ15" i="2" s="1"/>
  <c r="AAZ16" i="2" s="1"/>
  <c r="AAZ17" i="2" s="1"/>
  <c r="AAZ18" i="2" s="1"/>
  <c r="AAZ19" i="2" s="1"/>
  <c r="AAZ20" i="2" s="1"/>
  <c r="AAZ21" i="2" s="1"/>
  <c r="AAZ22" i="2" s="1"/>
  <c r="AAZ23" i="2" s="1"/>
  <c r="AAY4" i="2"/>
  <c r="AAY5" i="2" s="1"/>
  <c r="AAY6" i="2" s="1"/>
  <c r="AAY7" i="2" s="1"/>
  <c r="AAY8" i="2" s="1"/>
  <c r="AAY9" i="2" s="1"/>
  <c r="AAY10" i="2" s="1"/>
  <c r="AAY11" i="2" s="1"/>
  <c r="AAY12" i="2" s="1"/>
  <c r="AAY13" i="2" s="1"/>
  <c r="AAY14" i="2" s="1"/>
  <c r="AAY15" i="2" s="1"/>
  <c r="AAY16" i="2" s="1"/>
  <c r="AAY17" i="2" s="1"/>
  <c r="AAY18" i="2" s="1"/>
  <c r="AAY19" i="2" s="1"/>
  <c r="AAY20" i="2" s="1"/>
  <c r="AAY21" i="2" s="1"/>
  <c r="AAY22" i="2" s="1"/>
  <c r="AAY23" i="2" s="1"/>
  <c r="AAX4" i="2"/>
  <c r="AAX5" i="2" s="1"/>
  <c r="AAX6" i="2" s="1"/>
  <c r="AAX7" i="2" s="1"/>
  <c r="AAX8" i="2" s="1"/>
  <c r="AAX9" i="2" s="1"/>
  <c r="AAX10" i="2" s="1"/>
  <c r="AAX11" i="2" s="1"/>
  <c r="AAX12" i="2" s="1"/>
  <c r="AAX13" i="2" s="1"/>
  <c r="AAX14" i="2" s="1"/>
  <c r="AAX15" i="2" s="1"/>
  <c r="AAX16" i="2" s="1"/>
  <c r="AAX17" i="2" s="1"/>
  <c r="AAX18" i="2" s="1"/>
  <c r="AAX19" i="2" s="1"/>
  <c r="AAX20" i="2" s="1"/>
  <c r="AAX21" i="2" s="1"/>
  <c r="AAX22" i="2" s="1"/>
  <c r="AAX23" i="2" s="1"/>
  <c r="AAW4" i="2"/>
  <c r="AAW5" i="2" s="1"/>
  <c r="AAW6" i="2" s="1"/>
  <c r="AAW7" i="2" s="1"/>
  <c r="AAW8" i="2" s="1"/>
  <c r="AAW9" i="2" s="1"/>
  <c r="AAW10" i="2" s="1"/>
  <c r="AAW11" i="2" s="1"/>
  <c r="AAW12" i="2" s="1"/>
  <c r="AAW13" i="2" s="1"/>
  <c r="AAW14" i="2" s="1"/>
  <c r="AAW15" i="2" s="1"/>
  <c r="AAW16" i="2" s="1"/>
  <c r="AAW17" i="2" s="1"/>
  <c r="AAW18" i="2" s="1"/>
  <c r="AAW19" i="2" s="1"/>
  <c r="AAW20" i="2" s="1"/>
  <c r="AAW21" i="2" s="1"/>
  <c r="AAW22" i="2" s="1"/>
  <c r="AAW23" i="2" s="1"/>
  <c r="AAV4" i="2"/>
  <c r="AAV5" i="2" s="1"/>
  <c r="AAV6" i="2" s="1"/>
  <c r="AAV7" i="2" s="1"/>
  <c r="AAV8" i="2" s="1"/>
  <c r="AAV9" i="2" s="1"/>
  <c r="AAV10" i="2" s="1"/>
  <c r="AAV11" i="2" s="1"/>
  <c r="AAV12" i="2" s="1"/>
  <c r="AAV13" i="2" s="1"/>
  <c r="AAV14" i="2" s="1"/>
  <c r="AAV15" i="2" s="1"/>
  <c r="AAV16" i="2" s="1"/>
  <c r="AAV17" i="2" s="1"/>
  <c r="AAV18" i="2" s="1"/>
  <c r="AAV19" i="2" s="1"/>
  <c r="AAV20" i="2" s="1"/>
  <c r="AAV21" i="2" s="1"/>
  <c r="AAV22" i="2" s="1"/>
  <c r="AAV23" i="2" s="1"/>
  <c r="AAU4" i="2"/>
  <c r="AAU5" i="2" s="1"/>
  <c r="AAU6" i="2" s="1"/>
  <c r="AAU7" i="2" s="1"/>
  <c r="AAU8" i="2" s="1"/>
  <c r="AAU9" i="2" s="1"/>
  <c r="AAU10" i="2" s="1"/>
  <c r="AAU11" i="2" s="1"/>
  <c r="AAU12" i="2" s="1"/>
  <c r="AAU13" i="2" s="1"/>
  <c r="AAU14" i="2" s="1"/>
  <c r="AAU15" i="2" s="1"/>
  <c r="AAU16" i="2" s="1"/>
  <c r="AAU17" i="2" s="1"/>
  <c r="AAU18" i="2" s="1"/>
  <c r="AAU19" i="2" s="1"/>
  <c r="AAU20" i="2" s="1"/>
  <c r="AAU21" i="2" s="1"/>
  <c r="AAU22" i="2" s="1"/>
  <c r="AAU23" i="2" s="1"/>
  <c r="AAT4" i="2"/>
  <c r="AAT5" i="2" s="1"/>
  <c r="AAT6" i="2" s="1"/>
  <c r="AAT7" i="2" s="1"/>
  <c r="AAT8" i="2" s="1"/>
  <c r="AAT9" i="2" s="1"/>
  <c r="AAT10" i="2" s="1"/>
  <c r="AAT11" i="2" s="1"/>
  <c r="AAT12" i="2" s="1"/>
  <c r="AAT13" i="2" s="1"/>
  <c r="AAT14" i="2" s="1"/>
  <c r="AAT15" i="2" s="1"/>
  <c r="AAT16" i="2" s="1"/>
  <c r="AAT17" i="2" s="1"/>
  <c r="AAT18" i="2" s="1"/>
  <c r="AAT19" i="2" s="1"/>
  <c r="AAT20" i="2" s="1"/>
  <c r="AAT21" i="2" s="1"/>
  <c r="AAT22" i="2" s="1"/>
  <c r="AAT23" i="2" s="1"/>
  <c r="AAS4" i="2"/>
  <c r="AAS5" i="2" s="1"/>
  <c r="AAS6" i="2" s="1"/>
  <c r="AAS7" i="2" s="1"/>
  <c r="AAS8" i="2" s="1"/>
  <c r="AAS9" i="2" s="1"/>
  <c r="AAS10" i="2" s="1"/>
  <c r="AAS11" i="2" s="1"/>
  <c r="AAS12" i="2" s="1"/>
  <c r="AAS13" i="2" s="1"/>
  <c r="AAS14" i="2" s="1"/>
  <c r="AAS15" i="2" s="1"/>
  <c r="AAS16" i="2" s="1"/>
  <c r="AAS17" i="2" s="1"/>
  <c r="AAS18" i="2" s="1"/>
  <c r="AAS19" i="2" s="1"/>
  <c r="AAS20" i="2" s="1"/>
  <c r="AAS21" i="2" s="1"/>
  <c r="AAS22" i="2" s="1"/>
  <c r="AAS23" i="2" s="1"/>
  <c r="AAR4" i="2"/>
  <c r="AAR5" i="2" s="1"/>
  <c r="AAR6" i="2" s="1"/>
  <c r="AAR7" i="2" s="1"/>
  <c r="AAR8" i="2" s="1"/>
  <c r="AAR9" i="2" s="1"/>
  <c r="AAR10" i="2" s="1"/>
  <c r="AAR11" i="2" s="1"/>
  <c r="AAR12" i="2" s="1"/>
  <c r="AAR13" i="2" s="1"/>
  <c r="AAR14" i="2" s="1"/>
  <c r="AAR15" i="2" s="1"/>
  <c r="AAR16" i="2" s="1"/>
  <c r="AAR17" i="2" s="1"/>
  <c r="AAR18" i="2" s="1"/>
  <c r="AAR19" i="2" s="1"/>
  <c r="AAR20" i="2" s="1"/>
  <c r="AAR21" i="2" s="1"/>
  <c r="AAR22" i="2" s="1"/>
  <c r="AAR23" i="2" s="1"/>
  <c r="AAQ4" i="2"/>
  <c r="AAQ5" i="2" s="1"/>
  <c r="AAQ6" i="2" s="1"/>
  <c r="AAQ7" i="2" s="1"/>
  <c r="AAQ8" i="2" s="1"/>
  <c r="AAQ9" i="2" s="1"/>
  <c r="AAQ10" i="2" s="1"/>
  <c r="AAQ11" i="2" s="1"/>
  <c r="AAQ12" i="2" s="1"/>
  <c r="AAQ13" i="2" s="1"/>
  <c r="AAQ14" i="2" s="1"/>
  <c r="AAQ15" i="2" s="1"/>
  <c r="AAQ16" i="2" s="1"/>
  <c r="AAQ17" i="2" s="1"/>
  <c r="AAQ18" i="2" s="1"/>
  <c r="AAQ19" i="2" s="1"/>
  <c r="AAQ20" i="2" s="1"/>
  <c r="AAQ21" i="2" s="1"/>
  <c r="AAQ22" i="2" s="1"/>
  <c r="AAQ23" i="2" s="1"/>
  <c r="AAP4" i="2"/>
  <c r="AAP5" i="2" s="1"/>
  <c r="AAP6" i="2" s="1"/>
  <c r="AAP7" i="2" s="1"/>
  <c r="AAP8" i="2" s="1"/>
  <c r="AAP9" i="2" s="1"/>
  <c r="AAP10" i="2" s="1"/>
  <c r="AAP11" i="2" s="1"/>
  <c r="AAP12" i="2" s="1"/>
  <c r="AAP13" i="2" s="1"/>
  <c r="AAP14" i="2" s="1"/>
  <c r="AAP15" i="2" s="1"/>
  <c r="AAP16" i="2" s="1"/>
  <c r="AAP17" i="2" s="1"/>
  <c r="AAP18" i="2" s="1"/>
  <c r="AAP19" i="2" s="1"/>
  <c r="AAP20" i="2" s="1"/>
  <c r="AAP21" i="2" s="1"/>
  <c r="AAP22" i="2" s="1"/>
  <c r="AAP23" i="2" s="1"/>
  <c r="AAO4" i="2"/>
  <c r="AAO5" i="2" s="1"/>
  <c r="AAO6" i="2" s="1"/>
  <c r="AAO7" i="2" s="1"/>
  <c r="AAO8" i="2" s="1"/>
  <c r="AAO9" i="2" s="1"/>
  <c r="AAO10" i="2" s="1"/>
  <c r="AAO11" i="2" s="1"/>
  <c r="AAO12" i="2" s="1"/>
  <c r="AAO13" i="2" s="1"/>
  <c r="AAO14" i="2" s="1"/>
  <c r="AAO15" i="2" s="1"/>
  <c r="AAO16" i="2" s="1"/>
  <c r="AAO17" i="2" s="1"/>
  <c r="AAO18" i="2" s="1"/>
  <c r="AAO19" i="2" s="1"/>
  <c r="AAO20" i="2" s="1"/>
  <c r="AAO21" i="2" s="1"/>
  <c r="AAO22" i="2" s="1"/>
  <c r="AAO23" i="2" s="1"/>
  <c r="AAN4" i="2"/>
  <c r="AAN5" i="2" s="1"/>
  <c r="AAN6" i="2" s="1"/>
  <c r="AAN7" i="2" s="1"/>
  <c r="AAN8" i="2" s="1"/>
  <c r="AAN9" i="2" s="1"/>
  <c r="AAN10" i="2" s="1"/>
  <c r="AAN11" i="2" s="1"/>
  <c r="AAN12" i="2" s="1"/>
  <c r="AAN13" i="2" s="1"/>
  <c r="AAN14" i="2" s="1"/>
  <c r="AAN15" i="2" s="1"/>
  <c r="AAN16" i="2" s="1"/>
  <c r="AAN17" i="2" s="1"/>
  <c r="AAN18" i="2" s="1"/>
  <c r="AAN19" i="2" s="1"/>
  <c r="AAN20" i="2" s="1"/>
  <c r="AAN21" i="2" s="1"/>
  <c r="AAN22" i="2" s="1"/>
  <c r="AAN23" i="2" s="1"/>
  <c r="AAM4" i="2"/>
  <c r="AAM5" i="2" s="1"/>
  <c r="AAM6" i="2" s="1"/>
  <c r="AAM7" i="2" s="1"/>
  <c r="AAM8" i="2" s="1"/>
  <c r="AAM9" i="2" s="1"/>
  <c r="AAM10" i="2" s="1"/>
  <c r="AAM11" i="2" s="1"/>
  <c r="AAM12" i="2" s="1"/>
  <c r="AAM13" i="2" s="1"/>
  <c r="AAM14" i="2" s="1"/>
  <c r="AAM15" i="2" s="1"/>
  <c r="AAM16" i="2" s="1"/>
  <c r="AAM17" i="2" s="1"/>
  <c r="AAM18" i="2" s="1"/>
  <c r="AAM19" i="2" s="1"/>
  <c r="AAM20" i="2" s="1"/>
  <c r="AAM21" i="2" s="1"/>
  <c r="AAM22" i="2" s="1"/>
  <c r="AAM23" i="2" s="1"/>
  <c r="AAL4" i="2"/>
  <c r="AAL5" i="2" s="1"/>
  <c r="AAL6" i="2" s="1"/>
  <c r="AAL7" i="2" s="1"/>
  <c r="AAL8" i="2" s="1"/>
  <c r="AAL9" i="2" s="1"/>
  <c r="AAL10" i="2" s="1"/>
  <c r="AAL11" i="2" s="1"/>
  <c r="AAL12" i="2" s="1"/>
  <c r="AAL13" i="2" s="1"/>
  <c r="AAL14" i="2" s="1"/>
  <c r="AAL15" i="2" s="1"/>
  <c r="AAL16" i="2" s="1"/>
  <c r="AAL17" i="2" s="1"/>
  <c r="AAL18" i="2" s="1"/>
  <c r="AAL19" i="2" s="1"/>
  <c r="AAL20" i="2" s="1"/>
  <c r="AAL21" i="2" s="1"/>
  <c r="AAL22" i="2" s="1"/>
  <c r="AAL23" i="2" s="1"/>
  <c r="AAK4" i="2"/>
  <c r="AAK5" i="2" s="1"/>
  <c r="AAK6" i="2" s="1"/>
  <c r="AAK7" i="2" s="1"/>
  <c r="AAK8" i="2" s="1"/>
  <c r="AAK9" i="2" s="1"/>
  <c r="AAK10" i="2" s="1"/>
  <c r="AAK11" i="2" s="1"/>
  <c r="AAK12" i="2" s="1"/>
  <c r="AAK13" i="2" s="1"/>
  <c r="AAK14" i="2" s="1"/>
  <c r="AAK15" i="2" s="1"/>
  <c r="AAK16" i="2" s="1"/>
  <c r="AAK17" i="2" s="1"/>
  <c r="AAK18" i="2" s="1"/>
  <c r="AAK19" i="2" s="1"/>
  <c r="AAK20" i="2" s="1"/>
  <c r="AAK21" i="2" s="1"/>
  <c r="AAK22" i="2" s="1"/>
  <c r="AAK23" i="2" s="1"/>
  <c r="AAJ4" i="2"/>
  <c r="AAJ5" i="2" s="1"/>
  <c r="AAJ6" i="2" s="1"/>
  <c r="AAJ7" i="2" s="1"/>
  <c r="AAJ8" i="2" s="1"/>
  <c r="AAJ9" i="2" s="1"/>
  <c r="AAJ10" i="2" s="1"/>
  <c r="AAJ11" i="2" s="1"/>
  <c r="AAJ12" i="2" s="1"/>
  <c r="AAJ13" i="2" s="1"/>
  <c r="AAJ14" i="2" s="1"/>
  <c r="AAJ15" i="2" s="1"/>
  <c r="AAJ16" i="2" s="1"/>
  <c r="AAJ17" i="2" s="1"/>
  <c r="AAJ18" i="2" s="1"/>
  <c r="AAJ19" i="2" s="1"/>
  <c r="AAJ20" i="2" s="1"/>
  <c r="AAJ21" i="2" s="1"/>
  <c r="AAJ22" i="2" s="1"/>
  <c r="AAJ23" i="2" s="1"/>
  <c r="AAI4" i="2"/>
  <c r="AAI5" i="2" s="1"/>
  <c r="AAI6" i="2" s="1"/>
  <c r="AAI7" i="2" s="1"/>
  <c r="AAI8" i="2" s="1"/>
  <c r="AAI9" i="2" s="1"/>
  <c r="AAI10" i="2" s="1"/>
  <c r="AAI11" i="2" s="1"/>
  <c r="AAI12" i="2" s="1"/>
  <c r="AAI13" i="2" s="1"/>
  <c r="AAI14" i="2" s="1"/>
  <c r="AAI15" i="2" s="1"/>
  <c r="AAI16" i="2" s="1"/>
  <c r="AAI17" i="2" s="1"/>
  <c r="AAI18" i="2" s="1"/>
  <c r="AAI19" i="2" s="1"/>
  <c r="AAI20" i="2" s="1"/>
  <c r="AAI21" i="2" s="1"/>
  <c r="AAI22" i="2" s="1"/>
  <c r="AAI23" i="2" s="1"/>
  <c r="AAH4" i="2"/>
  <c r="AAH5" i="2" s="1"/>
  <c r="AAH6" i="2" s="1"/>
  <c r="AAH7" i="2" s="1"/>
  <c r="AAH8" i="2" s="1"/>
  <c r="AAH9" i="2" s="1"/>
  <c r="AAH10" i="2" s="1"/>
  <c r="AAH11" i="2" s="1"/>
  <c r="AAH12" i="2" s="1"/>
  <c r="AAH13" i="2" s="1"/>
  <c r="AAH14" i="2" s="1"/>
  <c r="AAH15" i="2" s="1"/>
  <c r="AAH16" i="2" s="1"/>
  <c r="AAH17" i="2" s="1"/>
  <c r="AAH18" i="2" s="1"/>
  <c r="AAH19" i="2" s="1"/>
  <c r="AAH20" i="2" s="1"/>
  <c r="AAH21" i="2" s="1"/>
  <c r="AAH22" i="2" s="1"/>
  <c r="AAH23" i="2" s="1"/>
  <c r="AAG4" i="2"/>
  <c r="AAG5" i="2" s="1"/>
  <c r="AAG6" i="2" s="1"/>
  <c r="AAG7" i="2" s="1"/>
  <c r="AAG8" i="2" s="1"/>
  <c r="AAG9" i="2" s="1"/>
  <c r="AAG10" i="2" s="1"/>
  <c r="AAG11" i="2" s="1"/>
  <c r="AAG12" i="2" s="1"/>
  <c r="AAG13" i="2" s="1"/>
  <c r="AAG14" i="2" s="1"/>
  <c r="AAG15" i="2" s="1"/>
  <c r="AAG16" i="2" s="1"/>
  <c r="AAG17" i="2" s="1"/>
  <c r="AAG18" i="2" s="1"/>
  <c r="AAG19" i="2" s="1"/>
  <c r="AAG20" i="2" s="1"/>
  <c r="AAG21" i="2" s="1"/>
  <c r="AAG22" i="2" s="1"/>
  <c r="AAG23" i="2" s="1"/>
  <c r="AAF4" i="2"/>
  <c r="AAF5" i="2" s="1"/>
  <c r="AAF6" i="2" s="1"/>
  <c r="AAF7" i="2" s="1"/>
  <c r="AAF8" i="2" s="1"/>
  <c r="AAF9" i="2" s="1"/>
  <c r="AAF10" i="2" s="1"/>
  <c r="AAF11" i="2" s="1"/>
  <c r="AAF12" i="2" s="1"/>
  <c r="AAF13" i="2" s="1"/>
  <c r="AAF14" i="2" s="1"/>
  <c r="AAF15" i="2" s="1"/>
  <c r="AAF16" i="2" s="1"/>
  <c r="AAF17" i="2" s="1"/>
  <c r="AAF18" i="2" s="1"/>
  <c r="AAF19" i="2" s="1"/>
  <c r="AAF20" i="2" s="1"/>
  <c r="AAF21" i="2" s="1"/>
  <c r="AAF22" i="2" s="1"/>
  <c r="AAF23" i="2" s="1"/>
  <c r="AAE4" i="2"/>
  <c r="AAE5" i="2" s="1"/>
  <c r="AAE6" i="2" s="1"/>
  <c r="AAE7" i="2" s="1"/>
  <c r="AAE8" i="2" s="1"/>
  <c r="AAE9" i="2" s="1"/>
  <c r="AAE10" i="2" s="1"/>
  <c r="AAE11" i="2" s="1"/>
  <c r="AAE12" i="2" s="1"/>
  <c r="AAE13" i="2" s="1"/>
  <c r="AAE14" i="2" s="1"/>
  <c r="AAE15" i="2" s="1"/>
  <c r="AAE16" i="2" s="1"/>
  <c r="AAE17" i="2" s="1"/>
  <c r="AAE18" i="2" s="1"/>
  <c r="AAE19" i="2" s="1"/>
  <c r="AAE20" i="2" s="1"/>
  <c r="AAE21" i="2" s="1"/>
  <c r="AAE22" i="2" s="1"/>
  <c r="AAE23" i="2" s="1"/>
  <c r="AAD4" i="2"/>
  <c r="AAD5" i="2" s="1"/>
  <c r="AAD6" i="2" s="1"/>
  <c r="AAD7" i="2" s="1"/>
  <c r="AAD8" i="2" s="1"/>
  <c r="AAD9" i="2" s="1"/>
  <c r="AAD10" i="2" s="1"/>
  <c r="AAD11" i="2" s="1"/>
  <c r="AAD12" i="2" s="1"/>
  <c r="AAD13" i="2" s="1"/>
  <c r="AAD14" i="2" s="1"/>
  <c r="AAD15" i="2" s="1"/>
  <c r="AAD16" i="2" s="1"/>
  <c r="AAD17" i="2" s="1"/>
  <c r="AAD18" i="2" s="1"/>
  <c r="AAD19" i="2" s="1"/>
  <c r="AAD20" i="2" s="1"/>
  <c r="AAD21" i="2" s="1"/>
  <c r="AAD22" i="2" s="1"/>
  <c r="AAD23" i="2" s="1"/>
  <c r="AAC4" i="2"/>
  <c r="AAC5" i="2" s="1"/>
  <c r="AAC6" i="2" s="1"/>
  <c r="AAC7" i="2" s="1"/>
  <c r="AAC8" i="2" s="1"/>
  <c r="AAC9" i="2" s="1"/>
  <c r="AAC10" i="2" s="1"/>
  <c r="AAC11" i="2" s="1"/>
  <c r="AAC12" i="2" s="1"/>
  <c r="AAC13" i="2" s="1"/>
  <c r="AAC14" i="2" s="1"/>
  <c r="AAC15" i="2" s="1"/>
  <c r="AAC16" i="2" s="1"/>
  <c r="AAC17" i="2" s="1"/>
  <c r="AAC18" i="2" s="1"/>
  <c r="AAC19" i="2" s="1"/>
  <c r="AAC20" i="2" s="1"/>
  <c r="AAC21" i="2" s="1"/>
  <c r="AAC22" i="2" s="1"/>
  <c r="AAC23" i="2" s="1"/>
  <c r="AAB4" i="2"/>
  <c r="AAB5" i="2" s="1"/>
  <c r="AAB6" i="2" s="1"/>
  <c r="AAB7" i="2" s="1"/>
  <c r="AAB8" i="2" s="1"/>
  <c r="AAB9" i="2" s="1"/>
  <c r="AAB10" i="2" s="1"/>
  <c r="AAB11" i="2" s="1"/>
  <c r="AAB12" i="2" s="1"/>
  <c r="AAB13" i="2" s="1"/>
  <c r="AAB14" i="2" s="1"/>
  <c r="AAB15" i="2" s="1"/>
  <c r="AAB16" i="2" s="1"/>
  <c r="AAB17" i="2" s="1"/>
  <c r="AAB18" i="2" s="1"/>
  <c r="AAB19" i="2" s="1"/>
  <c r="AAB20" i="2" s="1"/>
  <c r="AAB21" i="2" s="1"/>
  <c r="AAB22" i="2" s="1"/>
  <c r="AAB23" i="2" s="1"/>
  <c r="AAA4" i="2"/>
  <c r="AAA5" i="2" s="1"/>
  <c r="AAA6" i="2" s="1"/>
  <c r="AAA7" i="2" s="1"/>
  <c r="AAA8" i="2" s="1"/>
  <c r="AAA9" i="2" s="1"/>
  <c r="AAA10" i="2" s="1"/>
  <c r="AAA11" i="2" s="1"/>
  <c r="AAA12" i="2" s="1"/>
  <c r="AAA13" i="2" s="1"/>
  <c r="AAA14" i="2" s="1"/>
  <c r="AAA15" i="2" s="1"/>
  <c r="AAA16" i="2" s="1"/>
  <c r="AAA17" i="2" s="1"/>
  <c r="AAA18" i="2" s="1"/>
  <c r="AAA19" i="2" s="1"/>
  <c r="AAA20" i="2" s="1"/>
  <c r="AAA21" i="2" s="1"/>
  <c r="AAA22" i="2" s="1"/>
  <c r="AAA23" i="2" s="1"/>
  <c r="ZZ4" i="2"/>
  <c r="ZZ5" i="2" s="1"/>
  <c r="ZZ6" i="2" s="1"/>
  <c r="ZZ7" i="2" s="1"/>
  <c r="ZZ8" i="2" s="1"/>
  <c r="ZZ9" i="2" s="1"/>
  <c r="ZZ10" i="2" s="1"/>
  <c r="ZZ11" i="2" s="1"/>
  <c r="ZZ12" i="2" s="1"/>
  <c r="ZZ13" i="2" s="1"/>
  <c r="ZZ14" i="2" s="1"/>
  <c r="ZZ15" i="2" s="1"/>
  <c r="ZZ16" i="2" s="1"/>
  <c r="ZZ17" i="2" s="1"/>
  <c r="ZZ18" i="2" s="1"/>
  <c r="ZZ19" i="2" s="1"/>
  <c r="ZZ20" i="2" s="1"/>
  <c r="ZZ21" i="2" s="1"/>
  <c r="ZZ22" i="2" s="1"/>
  <c r="ZZ23" i="2" s="1"/>
  <c r="ZY4" i="2"/>
  <c r="ZY5" i="2" s="1"/>
  <c r="ZY6" i="2" s="1"/>
  <c r="ZY7" i="2" s="1"/>
  <c r="ZY8" i="2" s="1"/>
  <c r="ZY9" i="2" s="1"/>
  <c r="ZY10" i="2" s="1"/>
  <c r="ZY11" i="2" s="1"/>
  <c r="ZY12" i="2" s="1"/>
  <c r="ZY13" i="2" s="1"/>
  <c r="ZY14" i="2" s="1"/>
  <c r="ZY15" i="2" s="1"/>
  <c r="ZY16" i="2" s="1"/>
  <c r="ZY17" i="2" s="1"/>
  <c r="ZY18" i="2" s="1"/>
  <c r="ZY19" i="2" s="1"/>
  <c r="ZY20" i="2" s="1"/>
  <c r="ZY21" i="2" s="1"/>
  <c r="ZY22" i="2" s="1"/>
  <c r="ZY23" i="2" s="1"/>
  <c r="ZX4" i="2"/>
  <c r="ZX5" i="2" s="1"/>
  <c r="ZX6" i="2" s="1"/>
  <c r="ZX7" i="2" s="1"/>
  <c r="ZX8" i="2" s="1"/>
  <c r="ZX9" i="2" s="1"/>
  <c r="ZX10" i="2" s="1"/>
  <c r="ZX11" i="2" s="1"/>
  <c r="ZX12" i="2" s="1"/>
  <c r="ZX13" i="2" s="1"/>
  <c r="ZX14" i="2" s="1"/>
  <c r="ZX15" i="2" s="1"/>
  <c r="ZX16" i="2" s="1"/>
  <c r="ZX17" i="2" s="1"/>
  <c r="ZX18" i="2" s="1"/>
  <c r="ZX19" i="2" s="1"/>
  <c r="ZX20" i="2" s="1"/>
  <c r="ZX21" i="2" s="1"/>
  <c r="ZX22" i="2" s="1"/>
  <c r="ZX23" i="2" s="1"/>
  <c r="ZW4" i="2"/>
  <c r="ZW5" i="2" s="1"/>
  <c r="ZW6" i="2" s="1"/>
  <c r="ZW7" i="2" s="1"/>
  <c r="ZW8" i="2" s="1"/>
  <c r="ZW9" i="2" s="1"/>
  <c r="ZW10" i="2" s="1"/>
  <c r="ZW11" i="2" s="1"/>
  <c r="ZW12" i="2" s="1"/>
  <c r="ZW13" i="2" s="1"/>
  <c r="ZW14" i="2" s="1"/>
  <c r="ZW15" i="2" s="1"/>
  <c r="ZW16" i="2" s="1"/>
  <c r="ZW17" i="2" s="1"/>
  <c r="ZW18" i="2" s="1"/>
  <c r="ZW19" i="2" s="1"/>
  <c r="ZW20" i="2" s="1"/>
  <c r="ZW21" i="2" s="1"/>
  <c r="ZW22" i="2" s="1"/>
  <c r="ZW23" i="2" s="1"/>
  <c r="ZV4" i="2"/>
  <c r="ZV5" i="2" s="1"/>
  <c r="ZV6" i="2" s="1"/>
  <c r="ZV7" i="2" s="1"/>
  <c r="ZV8" i="2" s="1"/>
  <c r="ZV9" i="2" s="1"/>
  <c r="ZV10" i="2" s="1"/>
  <c r="ZV11" i="2" s="1"/>
  <c r="ZV12" i="2" s="1"/>
  <c r="ZV13" i="2" s="1"/>
  <c r="ZV14" i="2" s="1"/>
  <c r="ZV15" i="2" s="1"/>
  <c r="ZV16" i="2" s="1"/>
  <c r="ZV17" i="2" s="1"/>
  <c r="ZV18" i="2" s="1"/>
  <c r="ZV19" i="2" s="1"/>
  <c r="ZV20" i="2" s="1"/>
  <c r="ZV21" i="2" s="1"/>
  <c r="ZV22" i="2" s="1"/>
  <c r="ZV23" i="2" s="1"/>
  <c r="ZU4" i="2"/>
  <c r="ZU5" i="2" s="1"/>
  <c r="ZU6" i="2" s="1"/>
  <c r="ZU7" i="2" s="1"/>
  <c r="ZU8" i="2" s="1"/>
  <c r="ZU9" i="2" s="1"/>
  <c r="ZU10" i="2" s="1"/>
  <c r="ZU11" i="2" s="1"/>
  <c r="ZU12" i="2" s="1"/>
  <c r="ZU13" i="2" s="1"/>
  <c r="ZU14" i="2" s="1"/>
  <c r="ZU15" i="2" s="1"/>
  <c r="ZU16" i="2" s="1"/>
  <c r="ZU17" i="2" s="1"/>
  <c r="ZU18" i="2" s="1"/>
  <c r="ZU19" i="2" s="1"/>
  <c r="ZU20" i="2" s="1"/>
  <c r="ZU21" i="2" s="1"/>
  <c r="ZU22" i="2" s="1"/>
  <c r="ZU23" i="2" s="1"/>
  <c r="ZT4" i="2"/>
  <c r="ZT5" i="2" s="1"/>
  <c r="ZT6" i="2" s="1"/>
  <c r="ZT7" i="2" s="1"/>
  <c r="ZT8" i="2" s="1"/>
  <c r="ZT9" i="2" s="1"/>
  <c r="ZT10" i="2" s="1"/>
  <c r="ZT11" i="2" s="1"/>
  <c r="ZT12" i="2" s="1"/>
  <c r="ZT13" i="2" s="1"/>
  <c r="ZT14" i="2" s="1"/>
  <c r="ZT15" i="2" s="1"/>
  <c r="ZT16" i="2" s="1"/>
  <c r="ZT17" i="2" s="1"/>
  <c r="ZT18" i="2" s="1"/>
  <c r="ZT19" i="2" s="1"/>
  <c r="ZT20" i="2" s="1"/>
  <c r="ZT21" i="2" s="1"/>
  <c r="ZT22" i="2" s="1"/>
  <c r="ZT23" i="2" s="1"/>
  <c r="ZS4" i="2"/>
  <c r="ZS5" i="2" s="1"/>
  <c r="ZS6" i="2" s="1"/>
  <c r="ZS7" i="2" s="1"/>
  <c r="ZS8" i="2" s="1"/>
  <c r="ZS9" i="2" s="1"/>
  <c r="ZS10" i="2" s="1"/>
  <c r="ZS11" i="2" s="1"/>
  <c r="ZS12" i="2" s="1"/>
  <c r="ZS13" i="2" s="1"/>
  <c r="ZS14" i="2" s="1"/>
  <c r="ZS15" i="2" s="1"/>
  <c r="ZS16" i="2" s="1"/>
  <c r="ZS17" i="2" s="1"/>
  <c r="ZS18" i="2" s="1"/>
  <c r="ZS19" i="2" s="1"/>
  <c r="ZS20" i="2" s="1"/>
  <c r="ZS21" i="2" s="1"/>
  <c r="ZS22" i="2" s="1"/>
  <c r="ZS23" i="2" s="1"/>
  <c r="ZR4" i="2"/>
  <c r="ZR5" i="2" s="1"/>
  <c r="ZR6" i="2" s="1"/>
  <c r="ZR7" i="2" s="1"/>
  <c r="ZR8" i="2" s="1"/>
  <c r="ZR9" i="2" s="1"/>
  <c r="ZR10" i="2" s="1"/>
  <c r="ZR11" i="2" s="1"/>
  <c r="ZR12" i="2" s="1"/>
  <c r="ZR13" i="2" s="1"/>
  <c r="ZR14" i="2" s="1"/>
  <c r="ZR15" i="2" s="1"/>
  <c r="ZR16" i="2" s="1"/>
  <c r="ZR17" i="2" s="1"/>
  <c r="ZR18" i="2" s="1"/>
  <c r="ZR19" i="2" s="1"/>
  <c r="ZR20" i="2" s="1"/>
  <c r="ZR21" i="2" s="1"/>
  <c r="ZR22" i="2" s="1"/>
  <c r="ZR23" i="2" s="1"/>
  <c r="ZQ4" i="2"/>
  <c r="ZQ5" i="2" s="1"/>
  <c r="ZQ6" i="2" s="1"/>
  <c r="ZQ7" i="2" s="1"/>
  <c r="ZQ8" i="2" s="1"/>
  <c r="ZQ9" i="2" s="1"/>
  <c r="ZQ10" i="2" s="1"/>
  <c r="ZQ11" i="2" s="1"/>
  <c r="ZQ12" i="2" s="1"/>
  <c r="ZQ13" i="2" s="1"/>
  <c r="ZQ14" i="2" s="1"/>
  <c r="ZQ15" i="2" s="1"/>
  <c r="ZQ16" i="2" s="1"/>
  <c r="ZQ17" i="2" s="1"/>
  <c r="ZQ18" i="2" s="1"/>
  <c r="ZQ19" i="2" s="1"/>
  <c r="ZQ20" i="2" s="1"/>
  <c r="ZQ21" i="2" s="1"/>
  <c r="ZQ22" i="2" s="1"/>
  <c r="ZQ23" i="2" s="1"/>
  <c r="ZP4" i="2"/>
  <c r="ZP5" i="2" s="1"/>
  <c r="ZP6" i="2" s="1"/>
  <c r="ZP7" i="2" s="1"/>
  <c r="ZP8" i="2" s="1"/>
  <c r="ZP9" i="2" s="1"/>
  <c r="ZP10" i="2" s="1"/>
  <c r="ZP11" i="2" s="1"/>
  <c r="ZP12" i="2" s="1"/>
  <c r="ZP13" i="2" s="1"/>
  <c r="ZP14" i="2" s="1"/>
  <c r="ZP15" i="2" s="1"/>
  <c r="ZP16" i="2" s="1"/>
  <c r="ZP17" i="2" s="1"/>
  <c r="ZP18" i="2" s="1"/>
  <c r="ZP19" i="2" s="1"/>
  <c r="ZP20" i="2" s="1"/>
  <c r="ZP21" i="2" s="1"/>
  <c r="ZP22" i="2" s="1"/>
  <c r="ZP23" i="2" s="1"/>
  <c r="ZO4" i="2"/>
  <c r="ZO5" i="2" s="1"/>
  <c r="ZO6" i="2" s="1"/>
  <c r="ZO7" i="2" s="1"/>
  <c r="ZO8" i="2" s="1"/>
  <c r="ZO9" i="2" s="1"/>
  <c r="ZO10" i="2" s="1"/>
  <c r="ZO11" i="2" s="1"/>
  <c r="ZO12" i="2" s="1"/>
  <c r="ZO13" i="2" s="1"/>
  <c r="ZO14" i="2" s="1"/>
  <c r="ZO15" i="2" s="1"/>
  <c r="ZO16" i="2" s="1"/>
  <c r="ZO17" i="2" s="1"/>
  <c r="ZO18" i="2" s="1"/>
  <c r="ZO19" i="2" s="1"/>
  <c r="ZO20" i="2" s="1"/>
  <c r="ZO21" i="2" s="1"/>
  <c r="ZO22" i="2" s="1"/>
  <c r="ZO23" i="2" s="1"/>
  <c r="ZN4" i="2"/>
  <c r="ZN5" i="2" s="1"/>
  <c r="ZN6" i="2" s="1"/>
  <c r="ZN7" i="2" s="1"/>
  <c r="ZN8" i="2" s="1"/>
  <c r="ZN9" i="2" s="1"/>
  <c r="ZN10" i="2" s="1"/>
  <c r="ZN11" i="2" s="1"/>
  <c r="ZN12" i="2" s="1"/>
  <c r="ZN13" i="2" s="1"/>
  <c r="ZN14" i="2" s="1"/>
  <c r="ZN15" i="2" s="1"/>
  <c r="ZN16" i="2" s="1"/>
  <c r="ZN17" i="2" s="1"/>
  <c r="ZN18" i="2" s="1"/>
  <c r="ZN19" i="2" s="1"/>
  <c r="ZN20" i="2" s="1"/>
  <c r="ZN21" i="2" s="1"/>
  <c r="ZN22" i="2" s="1"/>
  <c r="ZN23" i="2" s="1"/>
  <c r="ZM4" i="2"/>
  <c r="ZM5" i="2" s="1"/>
  <c r="ZM6" i="2" s="1"/>
  <c r="ZM7" i="2" s="1"/>
  <c r="ZM8" i="2" s="1"/>
  <c r="ZM9" i="2" s="1"/>
  <c r="ZM10" i="2" s="1"/>
  <c r="ZM11" i="2" s="1"/>
  <c r="ZM12" i="2" s="1"/>
  <c r="ZM13" i="2" s="1"/>
  <c r="ZM14" i="2" s="1"/>
  <c r="ZM15" i="2" s="1"/>
  <c r="ZM16" i="2" s="1"/>
  <c r="ZM17" i="2" s="1"/>
  <c r="ZM18" i="2" s="1"/>
  <c r="ZM19" i="2" s="1"/>
  <c r="ZM20" i="2" s="1"/>
  <c r="ZM21" i="2" s="1"/>
  <c r="ZM22" i="2" s="1"/>
  <c r="ZM23" i="2" s="1"/>
  <c r="ZL4" i="2"/>
  <c r="ZL5" i="2" s="1"/>
  <c r="ZL6" i="2" s="1"/>
  <c r="ZL7" i="2" s="1"/>
  <c r="ZL8" i="2" s="1"/>
  <c r="ZL9" i="2" s="1"/>
  <c r="ZL10" i="2" s="1"/>
  <c r="ZL11" i="2" s="1"/>
  <c r="ZL12" i="2" s="1"/>
  <c r="ZL13" i="2" s="1"/>
  <c r="ZL14" i="2" s="1"/>
  <c r="ZL15" i="2" s="1"/>
  <c r="ZL16" i="2" s="1"/>
  <c r="ZL17" i="2" s="1"/>
  <c r="ZL18" i="2" s="1"/>
  <c r="ZL19" i="2" s="1"/>
  <c r="ZL20" i="2" s="1"/>
  <c r="ZL21" i="2" s="1"/>
  <c r="ZL22" i="2" s="1"/>
  <c r="ZL23" i="2" s="1"/>
  <c r="ZK4" i="2"/>
  <c r="ZK5" i="2" s="1"/>
  <c r="ZK6" i="2" s="1"/>
  <c r="ZK7" i="2" s="1"/>
  <c r="ZK8" i="2" s="1"/>
  <c r="ZK9" i="2" s="1"/>
  <c r="ZK10" i="2" s="1"/>
  <c r="ZK11" i="2" s="1"/>
  <c r="ZK12" i="2" s="1"/>
  <c r="ZK13" i="2" s="1"/>
  <c r="ZK14" i="2" s="1"/>
  <c r="ZK15" i="2" s="1"/>
  <c r="ZK16" i="2" s="1"/>
  <c r="ZK17" i="2" s="1"/>
  <c r="ZK18" i="2" s="1"/>
  <c r="ZK19" i="2" s="1"/>
  <c r="ZK20" i="2" s="1"/>
  <c r="ZK21" i="2" s="1"/>
  <c r="ZK22" i="2" s="1"/>
  <c r="ZK23" i="2" s="1"/>
  <c r="ZJ4" i="2"/>
  <c r="ZJ5" i="2" s="1"/>
  <c r="ZJ6" i="2" s="1"/>
  <c r="ZJ7" i="2" s="1"/>
  <c r="ZJ8" i="2" s="1"/>
  <c r="ZJ9" i="2" s="1"/>
  <c r="ZJ10" i="2" s="1"/>
  <c r="ZJ11" i="2" s="1"/>
  <c r="ZJ12" i="2" s="1"/>
  <c r="ZJ13" i="2" s="1"/>
  <c r="ZJ14" i="2" s="1"/>
  <c r="ZJ15" i="2" s="1"/>
  <c r="ZJ16" i="2" s="1"/>
  <c r="ZJ17" i="2" s="1"/>
  <c r="ZJ18" i="2" s="1"/>
  <c r="ZJ19" i="2" s="1"/>
  <c r="ZJ20" i="2" s="1"/>
  <c r="ZJ21" i="2" s="1"/>
  <c r="ZJ22" i="2" s="1"/>
  <c r="ZJ23" i="2" s="1"/>
  <c r="ZI4" i="2"/>
  <c r="ZI5" i="2" s="1"/>
  <c r="ZI6" i="2" s="1"/>
  <c r="ZI7" i="2" s="1"/>
  <c r="ZI8" i="2" s="1"/>
  <c r="ZI9" i="2" s="1"/>
  <c r="ZI10" i="2" s="1"/>
  <c r="ZI11" i="2" s="1"/>
  <c r="ZI12" i="2" s="1"/>
  <c r="ZI13" i="2" s="1"/>
  <c r="ZI14" i="2" s="1"/>
  <c r="ZI15" i="2" s="1"/>
  <c r="ZI16" i="2" s="1"/>
  <c r="ZI17" i="2" s="1"/>
  <c r="ZI18" i="2" s="1"/>
  <c r="ZI19" i="2" s="1"/>
  <c r="ZI20" i="2" s="1"/>
  <c r="ZI21" i="2" s="1"/>
  <c r="ZI22" i="2" s="1"/>
  <c r="ZI23" i="2" s="1"/>
  <c r="ZH4" i="2"/>
  <c r="ZH5" i="2" s="1"/>
  <c r="ZH6" i="2" s="1"/>
  <c r="ZH7" i="2" s="1"/>
  <c r="ZH8" i="2" s="1"/>
  <c r="ZH9" i="2" s="1"/>
  <c r="ZH10" i="2" s="1"/>
  <c r="ZH11" i="2" s="1"/>
  <c r="ZH12" i="2" s="1"/>
  <c r="ZH13" i="2" s="1"/>
  <c r="ZH14" i="2" s="1"/>
  <c r="ZH15" i="2" s="1"/>
  <c r="ZH16" i="2" s="1"/>
  <c r="ZH17" i="2" s="1"/>
  <c r="ZH18" i="2" s="1"/>
  <c r="ZH19" i="2" s="1"/>
  <c r="ZH20" i="2" s="1"/>
  <c r="ZH21" i="2" s="1"/>
  <c r="ZH22" i="2" s="1"/>
  <c r="ZH23" i="2" s="1"/>
  <c r="ZG4" i="2"/>
  <c r="ZG5" i="2" s="1"/>
  <c r="ZG6" i="2" s="1"/>
  <c r="ZG7" i="2" s="1"/>
  <c r="ZG8" i="2" s="1"/>
  <c r="ZG9" i="2" s="1"/>
  <c r="ZG10" i="2" s="1"/>
  <c r="ZG11" i="2" s="1"/>
  <c r="ZG12" i="2" s="1"/>
  <c r="ZG13" i="2" s="1"/>
  <c r="ZG14" i="2" s="1"/>
  <c r="ZG15" i="2" s="1"/>
  <c r="ZG16" i="2" s="1"/>
  <c r="ZG17" i="2" s="1"/>
  <c r="ZG18" i="2" s="1"/>
  <c r="ZG19" i="2" s="1"/>
  <c r="ZG20" i="2" s="1"/>
  <c r="ZG21" i="2" s="1"/>
  <c r="ZG22" i="2" s="1"/>
  <c r="ZG23" i="2" s="1"/>
  <c r="ZF4" i="2"/>
  <c r="ZF5" i="2" s="1"/>
  <c r="ZF6" i="2" s="1"/>
  <c r="ZF7" i="2" s="1"/>
  <c r="ZF8" i="2" s="1"/>
  <c r="ZF9" i="2" s="1"/>
  <c r="ZF10" i="2" s="1"/>
  <c r="ZF11" i="2" s="1"/>
  <c r="ZF12" i="2" s="1"/>
  <c r="ZF13" i="2" s="1"/>
  <c r="ZF14" i="2" s="1"/>
  <c r="ZF15" i="2" s="1"/>
  <c r="ZF16" i="2" s="1"/>
  <c r="ZF17" i="2" s="1"/>
  <c r="ZF18" i="2" s="1"/>
  <c r="ZF19" i="2" s="1"/>
  <c r="ZF20" i="2" s="1"/>
  <c r="ZF21" i="2" s="1"/>
  <c r="ZF22" i="2" s="1"/>
  <c r="ZF23" i="2" s="1"/>
  <c r="ZE4" i="2"/>
  <c r="ZE5" i="2" s="1"/>
  <c r="ZE6" i="2" s="1"/>
  <c r="ZE7" i="2" s="1"/>
  <c r="ZE8" i="2" s="1"/>
  <c r="ZE9" i="2" s="1"/>
  <c r="ZE10" i="2" s="1"/>
  <c r="ZE11" i="2" s="1"/>
  <c r="ZE12" i="2" s="1"/>
  <c r="ZE13" i="2" s="1"/>
  <c r="ZE14" i="2" s="1"/>
  <c r="ZE15" i="2" s="1"/>
  <c r="ZE16" i="2" s="1"/>
  <c r="ZE17" i="2" s="1"/>
  <c r="ZE18" i="2" s="1"/>
  <c r="ZE19" i="2" s="1"/>
  <c r="ZE20" i="2" s="1"/>
  <c r="ZE21" i="2" s="1"/>
  <c r="ZE22" i="2" s="1"/>
  <c r="ZE23" i="2" s="1"/>
  <c r="ZD4" i="2"/>
  <c r="ZD5" i="2" s="1"/>
  <c r="ZD6" i="2" s="1"/>
  <c r="ZD7" i="2" s="1"/>
  <c r="ZD8" i="2" s="1"/>
  <c r="ZD9" i="2" s="1"/>
  <c r="ZD10" i="2" s="1"/>
  <c r="ZD11" i="2" s="1"/>
  <c r="ZD12" i="2" s="1"/>
  <c r="ZD13" i="2" s="1"/>
  <c r="ZD14" i="2" s="1"/>
  <c r="ZD15" i="2" s="1"/>
  <c r="ZD16" i="2" s="1"/>
  <c r="ZD17" i="2" s="1"/>
  <c r="ZD18" i="2" s="1"/>
  <c r="ZD19" i="2" s="1"/>
  <c r="ZD20" i="2" s="1"/>
  <c r="ZD21" i="2" s="1"/>
  <c r="ZD22" i="2" s="1"/>
  <c r="ZD23" i="2" s="1"/>
  <c r="ZC4" i="2"/>
  <c r="ZC5" i="2" s="1"/>
  <c r="ZC6" i="2" s="1"/>
  <c r="ZC7" i="2" s="1"/>
  <c r="ZC8" i="2" s="1"/>
  <c r="ZC9" i="2" s="1"/>
  <c r="ZC10" i="2" s="1"/>
  <c r="ZC11" i="2" s="1"/>
  <c r="ZC12" i="2" s="1"/>
  <c r="ZC13" i="2" s="1"/>
  <c r="ZC14" i="2" s="1"/>
  <c r="ZC15" i="2" s="1"/>
  <c r="ZC16" i="2" s="1"/>
  <c r="ZC17" i="2" s="1"/>
  <c r="ZC18" i="2" s="1"/>
  <c r="ZC19" i="2" s="1"/>
  <c r="ZC20" i="2" s="1"/>
  <c r="ZC21" i="2" s="1"/>
  <c r="ZC22" i="2" s="1"/>
  <c r="ZC23" i="2" s="1"/>
  <c r="ZB4" i="2"/>
  <c r="ZB5" i="2" s="1"/>
  <c r="ZB6" i="2" s="1"/>
  <c r="ZB7" i="2" s="1"/>
  <c r="ZB8" i="2" s="1"/>
  <c r="ZB9" i="2" s="1"/>
  <c r="ZB10" i="2" s="1"/>
  <c r="ZB11" i="2" s="1"/>
  <c r="ZB12" i="2" s="1"/>
  <c r="ZB13" i="2" s="1"/>
  <c r="ZB14" i="2" s="1"/>
  <c r="ZB15" i="2" s="1"/>
  <c r="ZB16" i="2" s="1"/>
  <c r="ZB17" i="2" s="1"/>
  <c r="ZB18" i="2" s="1"/>
  <c r="ZB19" i="2" s="1"/>
  <c r="ZB20" i="2" s="1"/>
  <c r="ZB21" i="2" s="1"/>
  <c r="ZB22" i="2" s="1"/>
  <c r="ZB23" i="2" s="1"/>
  <c r="ZA4" i="2"/>
  <c r="ZA5" i="2" s="1"/>
  <c r="ZA6" i="2" s="1"/>
  <c r="ZA7" i="2" s="1"/>
  <c r="ZA8" i="2" s="1"/>
  <c r="ZA9" i="2" s="1"/>
  <c r="ZA10" i="2" s="1"/>
  <c r="ZA11" i="2" s="1"/>
  <c r="ZA12" i="2" s="1"/>
  <c r="ZA13" i="2" s="1"/>
  <c r="ZA14" i="2" s="1"/>
  <c r="ZA15" i="2" s="1"/>
  <c r="ZA16" i="2" s="1"/>
  <c r="ZA17" i="2" s="1"/>
  <c r="ZA18" i="2" s="1"/>
  <c r="ZA19" i="2" s="1"/>
  <c r="ZA20" i="2" s="1"/>
  <c r="ZA21" i="2" s="1"/>
  <c r="ZA22" i="2" s="1"/>
  <c r="ZA23" i="2" s="1"/>
  <c r="YZ4" i="2"/>
  <c r="YZ5" i="2" s="1"/>
  <c r="YZ6" i="2" s="1"/>
  <c r="YZ7" i="2" s="1"/>
  <c r="YZ8" i="2" s="1"/>
  <c r="YZ9" i="2" s="1"/>
  <c r="YZ10" i="2" s="1"/>
  <c r="YZ11" i="2" s="1"/>
  <c r="YZ12" i="2" s="1"/>
  <c r="YZ13" i="2" s="1"/>
  <c r="YZ14" i="2" s="1"/>
  <c r="YZ15" i="2" s="1"/>
  <c r="YZ16" i="2" s="1"/>
  <c r="YZ17" i="2" s="1"/>
  <c r="YZ18" i="2" s="1"/>
  <c r="YZ19" i="2" s="1"/>
  <c r="YZ20" i="2" s="1"/>
  <c r="YZ21" i="2" s="1"/>
  <c r="YZ22" i="2" s="1"/>
  <c r="YZ23" i="2" s="1"/>
  <c r="YY4" i="2"/>
  <c r="YY5" i="2" s="1"/>
  <c r="YY6" i="2" s="1"/>
  <c r="YY7" i="2" s="1"/>
  <c r="YY8" i="2" s="1"/>
  <c r="YY9" i="2" s="1"/>
  <c r="YY10" i="2" s="1"/>
  <c r="YY11" i="2" s="1"/>
  <c r="YY12" i="2" s="1"/>
  <c r="YY13" i="2" s="1"/>
  <c r="YY14" i="2" s="1"/>
  <c r="YY15" i="2" s="1"/>
  <c r="YY16" i="2" s="1"/>
  <c r="YY17" i="2" s="1"/>
  <c r="YY18" i="2" s="1"/>
  <c r="YY19" i="2" s="1"/>
  <c r="YY20" i="2" s="1"/>
  <c r="YY21" i="2" s="1"/>
  <c r="YY22" i="2" s="1"/>
  <c r="YY23" i="2" s="1"/>
  <c r="YX4" i="2"/>
  <c r="YX5" i="2" s="1"/>
  <c r="YX6" i="2" s="1"/>
  <c r="YX7" i="2" s="1"/>
  <c r="YX8" i="2" s="1"/>
  <c r="YX9" i="2" s="1"/>
  <c r="YX10" i="2" s="1"/>
  <c r="YX11" i="2" s="1"/>
  <c r="YX12" i="2" s="1"/>
  <c r="YX13" i="2" s="1"/>
  <c r="YX14" i="2" s="1"/>
  <c r="YX15" i="2" s="1"/>
  <c r="YX16" i="2" s="1"/>
  <c r="YX17" i="2" s="1"/>
  <c r="YX18" i="2" s="1"/>
  <c r="YX19" i="2" s="1"/>
  <c r="YX20" i="2" s="1"/>
  <c r="YX21" i="2" s="1"/>
  <c r="YX22" i="2" s="1"/>
  <c r="YX23" i="2" s="1"/>
  <c r="YW4" i="2"/>
  <c r="YW5" i="2" s="1"/>
  <c r="YW6" i="2" s="1"/>
  <c r="YW7" i="2" s="1"/>
  <c r="YW8" i="2" s="1"/>
  <c r="YW9" i="2" s="1"/>
  <c r="YW10" i="2" s="1"/>
  <c r="YW11" i="2" s="1"/>
  <c r="YW12" i="2" s="1"/>
  <c r="YW13" i="2" s="1"/>
  <c r="YW14" i="2" s="1"/>
  <c r="YW15" i="2" s="1"/>
  <c r="YW16" i="2" s="1"/>
  <c r="YW17" i="2" s="1"/>
  <c r="YW18" i="2" s="1"/>
  <c r="YW19" i="2" s="1"/>
  <c r="YW20" i="2" s="1"/>
  <c r="YW21" i="2" s="1"/>
  <c r="YW22" i="2" s="1"/>
  <c r="YW23" i="2" s="1"/>
  <c r="YV4" i="2"/>
  <c r="YV5" i="2" s="1"/>
  <c r="YV6" i="2" s="1"/>
  <c r="YV7" i="2" s="1"/>
  <c r="YV8" i="2" s="1"/>
  <c r="YV9" i="2" s="1"/>
  <c r="YV10" i="2" s="1"/>
  <c r="YV11" i="2" s="1"/>
  <c r="YV12" i="2" s="1"/>
  <c r="YV13" i="2" s="1"/>
  <c r="YV14" i="2" s="1"/>
  <c r="YV15" i="2" s="1"/>
  <c r="YV16" i="2" s="1"/>
  <c r="YV17" i="2" s="1"/>
  <c r="YV18" i="2" s="1"/>
  <c r="YV19" i="2" s="1"/>
  <c r="YV20" i="2" s="1"/>
  <c r="YV21" i="2" s="1"/>
  <c r="YV22" i="2" s="1"/>
  <c r="YV23" i="2" s="1"/>
  <c r="YU4" i="2"/>
  <c r="YU5" i="2" s="1"/>
  <c r="YU6" i="2" s="1"/>
  <c r="YU7" i="2" s="1"/>
  <c r="YU8" i="2" s="1"/>
  <c r="YU9" i="2" s="1"/>
  <c r="YU10" i="2" s="1"/>
  <c r="YU11" i="2" s="1"/>
  <c r="YU12" i="2" s="1"/>
  <c r="YU13" i="2" s="1"/>
  <c r="YU14" i="2" s="1"/>
  <c r="YU15" i="2" s="1"/>
  <c r="YU16" i="2" s="1"/>
  <c r="YU17" i="2" s="1"/>
  <c r="YU18" i="2" s="1"/>
  <c r="YU19" i="2" s="1"/>
  <c r="YU20" i="2" s="1"/>
  <c r="YU21" i="2" s="1"/>
  <c r="YU22" i="2" s="1"/>
  <c r="YU23" i="2" s="1"/>
  <c r="YT4" i="2"/>
  <c r="YT5" i="2" s="1"/>
  <c r="YT6" i="2" s="1"/>
  <c r="YT7" i="2" s="1"/>
  <c r="YT8" i="2" s="1"/>
  <c r="YT9" i="2" s="1"/>
  <c r="YT10" i="2" s="1"/>
  <c r="YT11" i="2" s="1"/>
  <c r="YT12" i="2" s="1"/>
  <c r="YT13" i="2" s="1"/>
  <c r="YT14" i="2" s="1"/>
  <c r="YT15" i="2" s="1"/>
  <c r="YT16" i="2" s="1"/>
  <c r="YT17" i="2" s="1"/>
  <c r="YT18" i="2" s="1"/>
  <c r="YT19" i="2" s="1"/>
  <c r="YT20" i="2" s="1"/>
  <c r="YT21" i="2" s="1"/>
  <c r="YT22" i="2" s="1"/>
  <c r="YT23" i="2" s="1"/>
  <c r="YS4" i="2"/>
  <c r="YS5" i="2" s="1"/>
  <c r="YS6" i="2" s="1"/>
  <c r="YS7" i="2" s="1"/>
  <c r="YS8" i="2" s="1"/>
  <c r="YS9" i="2" s="1"/>
  <c r="YS10" i="2" s="1"/>
  <c r="YS11" i="2" s="1"/>
  <c r="YS12" i="2" s="1"/>
  <c r="YS13" i="2" s="1"/>
  <c r="YS14" i="2" s="1"/>
  <c r="YS15" i="2" s="1"/>
  <c r="YS16" i="2" s="1"/>
  <c r="YS17" i="2" s="1"/>
  <c r="YS18" i="2" s="1"/>
  <c r="YS19" i="2" s="1"/>
  <c r="YS20" i="2" s="1"/>
  <c r="YS21" i="2" s="1"/>
  <c r="YS22" i="2" s="1"/>
  <c r="YS23" i="2" s="1"/>
  <c r="YR4" i="2"/>
  <c r="YR5" i="2" s="1"/>
  <c r="YR6" i="2" s="1"/>
  <c r="YR7" i="2" s="1"/>
  <c r="YR8" i="2" s="1"/>
  <c r="YR9" i="2" s="1"/>
  <c r="YR10" i="2" s="1"/>
  <c r="YR11" i="2" s="1"/>
  <c r="YR12" i="2" s="1"/>
  <c r="YR13" i="2" s="1"/>
  <c r="YR14" i="2" s="1"/>
  <c r="YR15" i="2" s="1"/>
  <c r="YR16" i="2" s="1"/>
  <c r="YR17" i="2" s="1"/>
  <c r="YR18" i="2" s="1"/>
  <c r="YR19" i="2" s="1"/>
  <c r="YR20" i="2" s="1"/>
  <c r="YR21" i="2" s="1"/>
  <c r="YR22" i="2" s="1"/>
  <c r="YR23" i="2" s="1"/>
  <c r="YQ4" i="2"/>
  <c r="YQ5" i="2" s="1"/>
  <c r="YQ6" i="2" s="1"/>
  <c r="YQ7" i="2" s="1"/>
  <c r="YQ8" i="2" s="1"/>
  <c r="YQ9" i="2" s="1"/>
  <c r="YQ10" i="2" s="1"/>
  <c r="YQ11" i="2" s="1"/>
  <c r="YQ12" i="2" s="1"/>
  <c r="YQ13" i="2" s="1"/>
  <c r="YQ14" i="2" s="1"/>
  <c r="YQ15" i="2" s="1"/>
  <c r="YQ16" i="2" s="1"/>
  <c r="YQ17" i="2" s="1"/>
  <c r="YQ18" i="2" s="1"/>
  <c r="YQ19" i="2" s="1"/>
  <c r="YQ20" i="2" s="1"/>
  <c r="YQ21" i="2" s="1"/>
  <c r="YQ22" i="2" s="1"/>
  <c r="YQ23" i="2" s="1"/>
  <c r="YP4" i="2"/>
  <c r="YP5" i="2" s="1"/>
  <c r="YP6" i="2" s="1"/>
  <c r="YP7" i="2" s="1"/>
  <c r="YP8" i="2" s="1"/>
  <c r="YP9" i="2" s="1"/>
  <c r="YP10" i="2" s="1"/>
  <c r="YP11" i="2" s="1"/>
  <c r="YP12" i="2" s="1"/>
  <c r="YP13" i="2" s="1"/>
  <c r="YP14" i="2" s="1"/>
  <c r="YP15" i="2" s="1"/>
  <c r="YP16" i="2" s="1"/>
  <c r="YP17" i="2" s="1"/>
  <c r="YP18" i="2" s="1"/>
  <c r="YP19" i="2" s="1"/>
  <c r="YP20" i="2" s="1"/>
  <c r="YP21" i="2" s="1"/>
  <c r="YP22" i="2" s="1"/>
  <c r="YP23" i="2" s="1"/>
  <c r="YO4" i="2"/>
  <c r="YO5" i="2" s="1"/>
  <c r="YO6" i="2" s="1"/>
  <c r="YO7" i="2" s="1"/>
  <c r="YO8" i="2" s="1"/>
  <c r="YO9" i="2" s="1"/>
  <c r="YO10" i="2" s="1"/>
  <c r="YO11" i="2" s="1"/>
  <c r="YO12" i="2" s="1"/>
  <c r="YO13" i="2" s="1"/>
  <c r="YO14" i="2" s="1"/>
  <c r="YO15" i="2" s="1"/>
  <c r="YO16" i="2" s="1"/>
  <c r="YO17" i="2" s="1"/>
  <c r="YO18" i="2" s="1"/>
  <c r="YO19" i="2" s="1"/>
  <c r="YO20" i="2" s="1"/>
  <c r="YO21" i="2" s="1"/>
  <c r="YO22" i="2" s="1"/>
  <c r="YO23" i="2" s="1"/>
  <c r="YN4" i="2"/>
  <c r="YN5" i="2" s="1"/>
  <c r="YN6" i="2" s="1"/>
  <c r="YN7" i="2" s="1"/>
  <c r="YN8" i="2" s="1"/>
  <c r="YN9" i="2" s="1"/>
  <c r="YN10" i="2" s="1"/>
  <c r="YN11" i="2" s="1"/>
  <c r="YN12" i="2" s="1"/>
  <c r="YN13" i="2" s="1"/>
  <c r="YN14" i="2" s="1"/>
  <c r="YN15" i="2" s="1"/>
  <c r="YN16" i="2" s="1"/>
  <c r="YN17" i="2" s="1"/>
  <c r="YN18" i="2" s="1"/>
  <c r="YN19" i="2" s="1"/>
  <c r="YN20" i="2" s="1"/>
  <c r="YN21" i="2" s="1"/>
  <c r="YN22" i="2" s="1"/>
  <c r="YN23" i="2" s="1"/>
  <c r="YM4" i="2"/>
  <c r="YM5" i="2" s="1"/>
  <c r="YM6" i="2" s="1"/>
  <c r="YM7" i="2" s="1"/>
  <c r="YM8" i="2" s="1"/>
  <c r="YM9" i="2" s="1"/>
  <c r="YM10" i="2" s="1"/>
  <c r="YM11" i="2" s="1"/>
  <c r="YM12" i="2" s="1"/>
  <c r="YM13" i="2" s="1"/>
  <c r="YM14" i="2" s="1"/>
  <c r="YM15" i="2" s="1"/>
  <c r="YM16" i="2" s="1"/>
  <c r="YM17" i="2" s="1"/>
  <c r="YM18" i="2" s="1"/>
  <c r="YM19" i="2" s="1"/>
  <c r="YM20" i="2" s="1"/>
  <c r="YM21" i="2" s="1"/>
  <c r="YM22" i="2" s="1"/>
  <c r="YM23" i="2" s="1"/>
  <c r="YL4" i="2"/>
  <c r="YL5" i="2" s="1"/>
  <c r="YL6" i="2" s="1"/>
  <c r="YL7" i="2" s="1"/>
  <c r="YL8" i="2" s="1"/>
  <c r="YL9" i="2" s="1"/>
  <c r="YL10" i="2" s="1"/>
  <c r="YL11" i="2" s="1"/>
  <c r="YL12" i="2" s="1"/>
  <c r="YL13" i="2" s="1"/>
  <c r="YL14" i="2" s="1"/>
  <c r="YL15" i="2" s="1"/>
  <c r="YL16" i="2" s="1"/>
  <c r="YL17" i="2" s="1"/>
  <c r="YL18" i="2" s="1"/>
  <c r="YL19" i="2" s="1"/>
  <c r="YL20" i="2" s="1"/>
  <c r="YL21" i="2" s="1"/>
  <c r="YL22" i="2" s="1"/>
  <c r="YL23" i="2" s="1"/>
  <c r="YK4" i="2"/>
  <c r="YK5" i="2" s="1"/>
  <c r="YK6" i="2" s="1"/>
  <c r="YK7" i="2" s="1"/>
  <c r="YK8" i="2" s="1"/>
  <c r="YK9" i="2" s="1"/>
  <c r="YK10" i="2" s="1"/>
  <c r="YK11" i="2" s="1"/>
  <c r="YK12" i="2" s="1"/>
  <c r="YK13" i="2" s="1"/>
  <c r="YK14" i="2" s="1"/>
  <c r="YK15" i="2" s="1"/>
  <c r="YK16" i="2" s="1"/>
  <c r="YK17" i="2" s="1"/>
  <c r="YK18" i="2" s="1"/>
  <c r="YK19" i="2" s="1"/>
  <c r="YK20" i="2" s="1"/>
  <c r="YK21" i="2" s="1"/>
  <c r="YK22" i="2" s="1"/>
  <c r="YK23" i="2" s="1"/>
  <c r="YJ4" i="2"/>
  <c r="YJ5" i="2" s="1"/>
  <c r="YJ6" i="2" s="1"/>
  <c r="YJ7" i="2" s="1"/>
  <c r="YJ8" i="2" s="1"/>
  <c r="YJ9" i="2" s="1"/>
  <c r="YJ10" i="2" s="1"/>
  <c r="YJ11" i="2" s="1"/>
  <c r="YJ12" i="2" s="1"/>
  <c r="YJ13" i="2" s="1"/>
  <c r="YJ14" i="2" s="1"/>
  <c r="YJ15" i="2" s="1"/>
  <c r="YJ16" i="2" s="1"/>
  <c r="YJ17" i="2" s="1"/>
  <c r="YJ18" i="2" s="1"/>
  <c r="YJ19" i="2" s="1"/>
  <c r="YJ20" i="2" s="1"/>
  <c r="YJ21" i="2" s="1"/>
  <c r="YJ22" i="2" s="1"/>
  <c r="YJ23" i="2" s="1"/>
  <c r="YI4" i="2"/>
  <c r="YI5" i="2" s="1"/>
  <c r="YI6" i="2" s="1"/>
  <c r="YI7" i="2" s="1"/>
  <c r="YI8" i="2" s="1"/>
  <c r="YI9" i="2" s="1"/>
  <c r="YI10" i="2" s="1"/>
  <c r="YI11" i="2" s="1"/>
  <c r="YI12" i="2" s="1"/>
  <c r="YI13" i="2" s="1"/>
  <c r="YI14" i="2" s="1"/>
  <c r="YI15" i="2" s="1"/>
  <c r="YI16" i="2" s="1"/>
  <c r="YI17" i="2" s="1"/>
  <c r="YI18" i="2" s="1"/>
  <c r="YI19" i="2" s="1"/>
  <c r="YI20" i="2" s="1"/>
  <c r="YI21" i="2" s="1"/>
  <c r="YI22" i="2" s="1"/>
  <c r="YI23" i="2" s="1"/>
  <c r="YH4" i="2"/>
  <c r="YH5" i="2" s="1"/>
  <c r="YH6" i="2" s="1"/>
  <c r="YH7" i="2" s="1"/>
  <c r="YH8" i="2" s="1"/>
  <c r="YH9" i="2" s="1"/>
  <c r="YH10" i="2" s="1"/>
  <c r="YH11" i="2" s="1"/>
  <c r="YH12" i="2" s="1"/>
  <c r="YH13" i="2" s="1"/>
  <c r="YH14" i="2" s="1"/>
  <c r="YH15" i="2" s="1"/>
  <c r="YH16" i="2" s="1"/>
  <c r="YH17" i="2" s="1"/>
  <c r="YH18" i="2" s="1"/>
  <c r="YH19" i="2" s="1"/>
  <c r="YH20" i="2" s="1"/>
  <c r="YH21" i="2" s="1"/>
  <c r="YH22" i="2" s="1"/>
  <c r="YH23" i="2" s="1"/>
  <c r="YG4" i="2"/>
  <c r="YG5" i="2" s="1"/>
  <c r="YG6" i="2" s="1"/>
  <c r="YG7" i="2" s="1"/>
  <c r="YG8" i="2" s="1"/>
  <c r="YG9" i="2" s="1"/>
  <c r="YG10" i="2" s="1"/>
  <c r="YG11" i="2" s="1"/>
  <c r="YG12" i="2" s="1"/>
  <c r="YG13" i="2" s="1"/>
  <c r="YG14" i="2" s="1"/>
  <c r="YG15" i="2" s="1"/>
  <c r="YG16" i="2" s="1"/>
  <c r="YG17" i="2" s="1"/>
  <c r="YG18" i="2" s="1"/>
  <c r="YG19" i="2" s="1"/>
  <c r="YG20" i="2" s="1"/>
  <c r="YG21" i="2" s="1"/>
  <c r="YG22" i="2" s="1"/>
  <c r="YG23" i="2" s="1"/>
  <c r="YF4" i="2"/>
  <c r="YF5" i="2" s="1"/>
  <c r="YF6" i="2" s="1"/>
  <c r="YF7" i="2" s="1"/>
  <c r="YF8" i="2" s="1"/>
  <c r="YF9" i="2" s="1"/>
  <c r="YF10" i="2" s="1"/>
  <c r="YF11" i="2" s="1"/>
  <c r="YF12" i="2" s="1"/>
  <c r="YF13" i="2" s="1"/>
  <c r="YF14" i="2" s="1"/>
  <c r="YF15" i="2" s="1"/>
  <c r="YF16" i="2" s="1"/>
  <c r="YF17" i="2" s="1"/>
  <c r="YF18" i="2" s="1"/>
  <c r="YF19" i="2" s="1"/>
  <c r="YF20" i="2" s="1"/>
  <c r="YF21" i="2" s="1"/>
  <c r="YF22" i="2" s="1"/>
  <c r="YF23" i="2" s="1"/>
  <c r="YE4" i="2"/>
  <c r="YE5" i="2" s="1"/>
  <c r="YE6" i="2" s="1"/>
  <c r="YE7" i="2" s="1"/>
  <c r="YE8" i="2" s="1"/>
  <c r="YE9" i="2" s="1"/>
  <c r="YE10" i="2" s="1"/>
  <c r="YE11" i="2" s="1"/>
  <c r="YE12" i="2" s="1"/>
  <c r="YE13" i="2" s="1"/>
  <c r="YE14" i="2" s="1"/>
  <c r="YE15" i="2" s="1"/>
  <c r="YE16" i="2" s="1"/>
  <c r="YE17" i="2" s="1"/>
  <c r="YE18" i="2" s="1"/>
  <c r="YE19" i="2" s="1"/>
  <c r="YE20" i="2" s="1"/>
  <c r="YE21" i="2" s="1"/>
  <c r="YE22" i="2" s="1"/>
  <c r="YE23" i="2" s="1"/>
  <c r="YD4" i="2"/>
  <c r="YD5" i="2" s="1"/>
  <c r="YD6" i="2" s="1"/>
  <c r="YD7" i="2" s="1"/>
  <c r="YD8" i="2" s="1"/>
  <c r="YD9" i="2" s="1"/>
  <c r="YD10" i="2" s="1"/>
  <c r="YD11" i="2" s="1"/>
  <c r="YD12" i="2" s="1"/>
  <c r="YD13" i="2" s="1"/>
  <c r="YD14" i="2" s="1"/>
  <c r="YD15" i="2" s="1"/>
  <c r="YD16" i="2" s="1"/>
  <c r="YD17" i="2" s="1"/>
  <c r="YD18" i="2" s="1"/>
  <c r="YD19" i="2" s="1"/>
  <c r="YD20" i="2" s="1"/>
  <c r="YD21" i="2" s="1"/>
  <c r="YD22" i="2" s="1"/>
  <c r="YD23" i="2" s="1"/>
  <c r="YC4" i="2"/>
  <c r="YC5" i="2" s="1"/>
  <c r="YC6" i="2" s="1"/>
  <c r="YC7" i="2" s="1"/>
  <c r="YC8" i="2" s="1"/>
  <c r="YC9" i="2" s="1"/>
  <c r="YC10" i="2" s="1"/>
  <c r="YC11" i="2" s="1"/>
  <c r="YC12" i="2" s="1"/>
  <c r="YC13" i="2" s="1"/>
  <c r="YC14" i="2" s="1"/>
  <c r="YC15" i="2" s="1"/>
  <c r="YC16" i="2" s="1"/>
  <c r="YC17" i="2" s="1"/>
  <c r="YC18" i="2" s="1"/>
  <c r="YC19" i="2" s="1"/>
  <c r="YC20" i="2" s="1"/>
  <c r="YC21" i="2" s="1"/>
  <c r="YC22" i="2" s="1"/>
  <c r="YC23" i="2" s="1"/>
  <c r="YB4" i="2"/>
  <c r="YB5" i="2" s="1"/>
  <c r="YB6" i="2" s="1"/>
  <c r="YB7" i="2" s="1"/>
  <c r="YB8" i="2" s="1"/>
  <c r="YB9" i="2" s="1"/>
  <c r="YB10" i="2" s="1"/>
  <c r="YB11" i="2" s="1"/>
  <c r="YB12" i="2" s="1"/>
  <c r="YB13" i="2" s="1"/>
  <c r="YB14" i="2" s="1"/>
  <c r="YB15" i="2" s="1"/>
  <c r="YB16" i="2" s="1"/>
  <c r="YB17" i="2" s="1"/>
  <c r="YB18" i="2" s="1"/>
  <c r="YB19" i="2" s="1"/>
  <c r="YB20" i="2" s="1"/>
  <c r="YB21" i="2" s="1"/>
  <c r="YB22" i="2" s="1"/>
  <c r="YB23" i="2" s="1"/>
  <c r="YA4" i="2"/>
  <c r="YA5" i="2" s="1"/>
  <c r="YA6" i="2" s="1"/>
  <c r="YA7" i="2" s="1"/>
  <c r="YA8" i="2" s="1"/>
  <c r="YA9" i="2" s="1"/>
  <c r="YA10" i="2" s="1"/>
  <c r="YA11" i="2" s="1"/>
  <c r="YA12" i="2" s="1"/>
  <c r="YA13" i="2" s="1"/>
  <c r="YA14" i="2" s="1"/>
  <c r="YA15" i="2" s="1"/>
  <c r="YA16" i="2" s="1"/>
  <c r="YA17" i="2" s="1"/>
  <c r="YA18" i="2" s="1"/>
  <c r="YA19" i="2" s="1"/>
  <c r="YA20" i="2" s="1"/>
  <c r="YA21" i="2" s="1"/>
  <c r="YA22" i="2" s="1"/>
  <c r="YA23" i="2" s="1"/>
  <c r="XZ4" i="2"/>
  <c r="XZ5" i="2" s="1"/>
  <c r="XZ6" i="2" s="1"/>
  <c r="XZ7" i="2" s="1"/>
  <c r="XZ8" i="2" s="1"/>
  <c r="XZ9" i="2" s="1"/>
  <c r="XZ10" i="2" s="1"/>
  <c r="XZ11" i="2" s="1"/>
  <c r="XZ12" i="2" s="1"/>
  <c r="XZ13" i="2" s="1"/>
  <c r="XZ14" i="2" s="1"/>
  <c r="XZ15" i="2" s="1"/>
  <c r="XZ16" i="2" s="1"/>
  <c r="XZ17" i="2" s="1"/>
  <c r="XZ18" i="2" s="1"/>
  <c r="XZ19" i="2" s="1"/>
  <c r="XZ20" i="2" s="1"/>
  <c r="XZ21" i="2" s="1"/>
  <c r="XZ22" i="2" s="1"/>
  <c r="XZ23" i="2" s="1"/>
  <c r="XY4" i="2"/>
  <c r="XY5" i="2" s="1"/>
  <c r="XY6" i="2" s="1"/>
  <c r="XY7" i="2" s="1"/>
  <c r="XY8" i="2" s="1"/>
  <c r="XY9" i="2" s="1"/>
  <c r="XY10" i="2" s="1"/>
  <c r="XY11" i="2" s="1"/>
  <c r="XY12" i="2" s="1"/>
  <c r="XY13" i="2" s="1"/>
  <c r="XY14" i="2" s="1"/>
  <c r="XY15" i="2" s="1"/>
  <c r="XY16" i="2" s="1"/>
  <c r="XY17" i="2" s="1"/>
  <c r="XY18" i="2" s="1"/>
  <c r="XY19" i="2" s="1"/>
  <c r="XY20" i="2" s="1"/>
  <c r="XY21" i="2" s="1"/>
  <c r="XY22" i="2" s="1"/>
  <c r="XY23" i="2" s="1"/>
  <c r="XX4" i="2"/>
  <c r="XX5" i="2" s="1"/>
  <c r="XX6" i="2" s="1"/>
  <c r="XX7" i="2" s="1"/>
  <c r="XX8" i="2" s="1"/>
  <c r="XX9" i="2" s="1"/>
  <c r="XX10" i="2" s="1"/>
  <c r="XX11" i="2" s="1"/>
  <c r="XX12" i="2" s="1"/>
  <c r="XX13" i="2" s="1"/>
  <c r="XX14" i="2" s="1"/>
  <c r="XX15" i="2" s="1"/>
  <c r="XX16" i="2" s="1"/>
  <c r="XX17" i="2" s="1"/>
  <c r="XX18" i="2" s="1"/>
  <c r="XX19" i="2" s="1"/>
  <c r="XX20" i="2" s="1"/>
  <c r="XX21" i="2" s="1"/>
  <c r="XX22" i="2" s="1"/>
  <c r="XX23" i="2" s="1"/>
  <c r="XW4" i="2"/>
  <c r="XW5" i="2" s="1"/>
  <c r="XW6" i="2" s="1"/>
  <c r="XW7" i="2" s="1"/>
  <c r="XW8" i="2" s="1"/>
  <c r="XW9" i="2" s="1"/>
  <c r="XW10" i="2" s="1"/>
  <c r="XW11" i="2" s="1"/>
  <c r="XW12" i="2" s="1"/>
  <c r="XW13" i="2" s="1"/>
  <c r="XW14" i="2" s="1"/>
  <c r="XW15" i="2" s="1"/>
  <c r="XW16" i="2" s="1"/>
  <c r="XW17" i="2" s="1"/>
  <c r="XW18" i="2" s="1"/>
  <c r="XW19" i="2" s="1"/>
  <c r="XW20" i="2" s="1"/>
  <c r="XW21" i="2" s="1"/>
  <c r="XW22" i="2" s="1"/>
  <c r="XW23" i="2" s="1"/>
  <c r="XV4" i="2"/>
  <c r="XV5" i="2" s="1"/>
  <c r="XV6" i="2" s="1"/>
  <c r="XV7" i="2" s="1"/>
  <c r="XV8" i="2" s="1"/>
  <c r="XV9" i="2" s="1"/>
  <c r="XV10" i="2" s="1"/>
  <c r="XV11" i="2" s="1"/>
  <c r="XV12" i="2" s="1"/>
  <c r="XV13" i="2" s="1"/>
  <c r="XV14" i="2" s="1"/>
  <c r="XV15" i="2" s="1"/>
  <c r="XV16" i="2" s="1"/>
  <c r="XV17" i="2" s="1"/>
  <c r="XV18" i="2" s="1"/>
  <c r="XV19" i="2" s="1"/>
  <c r="XV20" i="2" s="1"/>
  <c r="XV21" i="2" s="1"/>
  <c r="XV22" i="2" s="1"/>
  <c r="XV23" i="2" s="1"/>
  <c r="XU4" i="2"/>
  <c r="XU5" i="2" s="1"/>
  <c r="XU6" i="2" s="1"/>
  <c r="XU7" i="2" s="1"/>
  <c r="XU8" i="2" s="1"/>
  <c r="XU9" i="2" s="1"/>
  <c r="XU10" i="2" s="1"/>
  <c r="XU11" i="2" s="1"/>
  <c r="XU12" i="2" s="1"/>
  <c r="XU13" i="2" s="1"/>
  <c r="XU14" i="2" s="1"/>
  <c r="XU15" i="2" s="1"/>
  <c r="XU16" i="2" s="1"/>
  <c r="XU17" i="2" s="1"/>
  <c r="XU18" i="2" s="1"/>
  <c r="XU19" i="2" s="1"/>
  <c r="XU20" i="2" s="1"/>
  <c r="XU21" i="2" s="1"/>
  <c r="XU22" i="2" s="1"/>
  <c r="XU23" i="2" s="1"/>
  <c r="XT4" i="2"/>
  <c r="XT5" i="2" s="1"/>
  <c r="XT6" i="2" s="1"/>
  <c r="XT7" i="2" s="1"/>
  <c r="XT8" i="2" s="1"/>
  <c r="XT9" i="2" s="1"/>
  <c r="XT10" i="2" s="1"/>
  <c r="XT11" i="2" s="1"/>
  <c r="XT12" i="2" s="1"/>
  <c r="XT13" i="2" s="1"/>
  <c r="XT14" i="2" s="1"/>
  <c r="XT15" i="2" s="1"/>
  <c r="XT16" i="2" s="1"/>
  <c r="XT17" i="2" s="1"/>
  <c r="XT18" i="2" s="1"/>
  <c r="XT19" i="2" s="1"/>
  <c r="XT20" i="2" s="1"/>
  <c r="XT21" i="2" s="1"/>
  <c r="XT22" i="2" s="1"/>
  <c r="XT23" i="2" s="1"/>
  <c r="XS4" i="2"/>
  <c r="XS5" i="2" s="1"/>
  <c r="XS6" i="2" s="1"/>
  <c r="XS7" i="2" s="1"/>
  <c r="XS8" i="2" s="1"/>
  <c r="XS9" i="2" s="1"/>
  <c r="XS10" i="2" s="1"/>
  <c r="XS11" i="2" s="1"/>
  <c r="XS12" i="2" s="1"/>
  <c r="XS13" i="2" s="1"/>
  <c r="XS14" i="2" s="1"/>
  <c r="XS15" i="2" s="1"/>
  <c r="XS16" i="2" s="1"/>
  <c r="XS17" i="2" s="1"/>
  <c r="XS18" i="2" s="1"/>
  <c r="XS19" i="2" s="1"/>
  <c r="XS20" i="2" s="1"/>
  <c r="XS21" i="2" s="1"/>
  <c r="XS22" i="2" s="1"/>
  <c r="XS23" i="2" s="1"/>
  <c r="XR4" i="2"/>
  <c r="XR5" i="2" s="1"/>
  <c r="XR6" i="2" s="1"/>
  <c r="XR7" i="2" s="1"/>
  <c r="XR8" i="2" s="1"/>
  <c r="XR9" i="2" s="1"/>
  <c r="XR10" i="2" s="1"/>
  <c r="XR11" i="2" s="1"/>
  <c r="XR12" i="2" s="1"/>
  <c r="XR13" i="2" s="1"/>
  <c r="XR14" i="2" s="1"/>
  <c r="XR15" i="2" s="1"/>
  <c r="XR16" i="2" s="1"/>
  <c r="XR17" i="2" s="1"/>
  <c r="XR18" i="2" s="1"/>
  <c r="XR19" i="2" s="1"/>
  <c r="XR20" i="2" s="1"/>
  <c r="XR21" i="2" s="1"/>
  <c r="XR22" i="2" s="1"/>
  <c r="XR23" i="2" s="1"/>
  <c r="XQ4" i="2"/>
  <c r="XQ5" i="2" s="1"/>
  <c r="XQ6" i="2" s="1"/>
  <c r="XQ7" i="2" s="1"/>
  <c r="XQ8" i="2" s="1"/>
  <c r="XQ9" i="2" s="1"/>
  <c r="XQ10" i="2" s="1"/>
  <c r="XQ11" i="2" s="1"/>
  <c r="XQ12" i="2" s="1"/>
  <c r="XQ13" i="2" s="1"/>
  <c r="XQ14" i="2" s="1"/>
  <c r="XQ15" i="2" s="1"/>
  <c r="XQ16" i="2" s="1"/>
  <c r="XQ17" i="2" s="1"/>
  <c r="XQ18" i="2" s="1"/>
  <c r="XQ19" i="2" s="1"/>
  <c r="XQ20" i="2" s="1"/>
  <c r="XQ21" i="2" s="1"/>
  <c r="XQ22" i="2" s="1"/>
  <c r="XQ23" i="2" s="1"/>
  <c r="XP4" i="2"/>
  <c r="XP5" i="2" s="1"/>
  <c r="XP6" i="2" s="1"/>
  <c r="XP7" i="2" s="1"/>
  <c r="XP8" i="2" s="1"/>
  <c r="XP9" i="2" s="1"/>
  <c r="XP10" i="2" s="1"/>
  <c r="XP11" i="2" s="1"/>
  <c r="XP12" i="2" s="1"/>
  <c r="XP13" i="2" s="1"/>
  <c r="XP14" i="2" s="1"/>
  <c r="XP15" i="2" s="1"/>
  <c r="XP16" i="2" s="1"/>
  <c r="XP17" i="2" s="1"/>
  <c r="XP18" i="2" s="1"/>
  <c r="XP19" i="2" s="1"/>
  <c r="XP20" i="2" s="1"/>
  <c r="XP21" i="2" s="1"/>
  <c r="XP22" i="2" s="1"/>
  <c r="XP23" i="2" s="1"/>
  <c r="XO4" i="2"/>
  <c r="XO5" i="2" s="1"/>
  <c r="XO6" i="2" s="1"/>
  <c r="XO7" i="2" s="1"/>
  <c r="XO8" i="2" s="1"/>
  <c r="XO9" i="2" s="1"/>
  <c r="XO10" i="2" s="1"/>
  <c r="XO11" i="2" s="1"/>
  <c r="XO12" i="2" s="1"/>
  <c r="XO13" i="2" s="1"/>
  <c r="XO14" i="2" s="1"/>
  <c r="XO15" i="2" s="1"/>
  <c r="XO16" i="2" s="1"/>
  <c r="XO17" i="2" s="1"/>
  <c r="XO18" i="2" s="1"/>
  <c r="XO19" i="2" s="1"/>
  <c r="XO20" i="2" s="1"/>
  <c r="XO21" i="2" s="1"/>
  <c r="XO22" i="2" s="1"/>
  <c r="XO23" i="2" s="1"/>
  <c r="XN4" i="2"/>
  <c r="XN5" i="2" s="1"/>
  <c r="XN6" i="2" s="1"/>
  <c r="XN7" i="2" s="1"/>
  <c r="XN8" i="2" s="1"/>
  <c r="XN9" i="2" s="1"/>
  <c r="XN10" i="2" s="1"/>
  <c r="XN11" i="2" s="1"/>
  <c r="XN12" i="2" s="1"/>
  <c r="XN13" i="2" s="1"/>
  <c r="XN14" i="2" s="1"/>
  <c r="XN15" i="2" s="1"/>
  <c r="XN16" i="2" s="1"/>
  <c r="XN17" i="2" s="1"/>
  <c r="XN18" i="2" s="1"/>
  <c r="XN19" i="2" s="1"/>
  <c r="XN20" i="2" s="1"/>
  <c r="XN21" i="2" s="1"/>
  <c r="XN22" i="2" s="1"/>
  <c r="XN23" i="2" s="1"/>
  <c r="XM4" i="2"/>
  <c r="XM5" i="2" s="1"/>
  <c r="XM6" i="2" s="1"/>
  <c r="XM7" i="2" s="1"/>
  <c r="XM8" i="2" s="1"/>
  <c r="XM9" i="2" s="1"/>
  <c r="XM10" i="2" s="1"/>
  <c r="XM11" i="2" s="1"/>
  <c r="XM12" i="2" s="1"/>
  <c r="XM13" i="2" s="1"/>
  <c r="XM14" i="2" s="1"/>
  <c r="XM15" i="2" s="1"/>
  <c r="XM16" i="2" s="1"/>
  <c r="XM17" i="2" s="1"/>
  <c r="XM18" i="2" s="1"/>
  <c r="XM19" i="2" s="1"/>
  <c r="XM20" i="2" s="1"/>
  <c r="XM21" i="2" s="1"/>
  <c r="XM22" i="2" s="1"/>
  <c r="XM23" i="2" s="1"/>
  <c r="XL4" i="2"/>
  <c r="XL5" i="2" s="1"/>
  <c r="XL6" i="2" s="1"/>
  <c r="XL7" i="2" s="1"/>
  <c r="XL8" i="2" s="1"/>
  <c r="XL9" i="2" s="1"/>
  <c r="XL10" i="2" s="1"/>
  <c r="XL11" i="2" s="1"/>
  <c r="XL12" i="2" s="1"/>
  <c r="XL13" i="2" s="1"/>
  <c r="XL14" i="2" s="1"/>
  <c r="XL15" i="2" s="1"/>
  <c r="XL16" i="2" s="1"/>
  <c r="XL17" i="2" s="1"/>
  <c r="XL18" i="2" s="1"/>
  <c r="XL19" i="2" s="1"/>
  <c r="XL20" i="2" s="1"/>
  <c r="XL21" i="2" s="1"/>
  <c r="XL22" i="2" s="1"/>
  <c r="XL23" i="2" s="1"/>
  <c r="XK4" i="2"/>
  <c r="XK5" i="2" s="1"/>
  <c r="XK6" i="2" s="1"/>
  <c r="XK7" i="2" s="1"/>
  <c r="XK8" i="2" s="1"/>
  <c r="XK9" i="2" s="1"/>
  <c r="XK10" i="2" s="1"/>
  <c r="XK11" i="2" s="1"/>
  <c r="XK12" i="2" s="1"/>
  <c r="XK13" i="2" s="1"/>
  <c r="XK14" i="2" s="1"/>
  <c r="XK15" i="2" s="1"/>
  <c r="XK16" i="2" s="1"/>
  <c r="XK17" i="2" s="1"/>
  <c r="XK18" i="2" s="1"/>
  <c r="XK19" i="2" s="1"/>
  <c r="XK20" i="2" s="1"/>
  <c r="XK21" i="2" s="1"/>
  <c r="XK22" i="2" s="1"/>
  <c r="XK23" i="2" s="1"/>
  <c r="XJ4" i="2"/>
  <c r="XJ5" i="2" s="1"/>
  <c r="XJ6" i="2" s="1"/>
  <c r="XJ7" i="2" s="1"/>
  <c r="XJ8" i="2" s="1"/>
  <c r="XJ9" i="2" s="1"/>
  <c r="XJ10" i="2" s="1"/>
  <c r="XJ11" i="2" s="1"/>
  <c r="XJ12" i="2" s="1"/>
  <c r="XJ13" i="2" s="1"/>
  <c r="XJ14" i="2" s="1"/>
  <c r="XJ15" i="2" s="1"/>
  <c r="XJ16" i="2" s="1"/>
  <c r="XJ17" i="2" s="1"/>
  <c r="XJ18" i="2" s="1"/>
  <c r="XJ19" i="2" s="1"/>
  <c r="XJ20" i="2" s="1"/>
  <c r="XJ21" i="2" s="1"/>
  <c r="XJ22" i="2" s="1"/>
  <c r="XJ23" i="2" s="1"/>
  <c r="XI4" i="2"/>
  <c r="XI5" i="2" s="1"/>
  <c r="XI6" i="2" s="1"/>
  <c r="XI7" i="2" s="1"/>
  <c r="XI8" i="2" s="1"/>
  <c r="XI9" i="2" s="1"/>
  <c r="XI10" i="2" s="1"/>
  <c r="XI11" i="2" s="1"/>
  <c r="XI12" i="2" s="1"/>
  <c r="XI13" i="2" s="1"/>
  <c r="XI14" i="2" s="1"/>
  <c r="XI15" i="2" s="1"/>
  <c r="XI16" i="2" s="1"/>
  <c r="XI17" i="2" s="1"/>
  <c r="XI18" i="2" s="1"/>
  <c r="XI19" i="2" s="1"/>
  <c r="XI20" i="2" s="1"/>
  <c r="XI21" i="2" s="1"/>
  <c r="XI22" i="2" s="1"/>
  <c r="XI23" i="2" s="1"/>
  <c r="XH4" i="2"/>
  <c r="XH5" i="2" s="1"/>
  <c r="XH6" i="2" s="1"/>
  <c r="XH7" i="2" s="1"/>
  <c r="XH8" i="2" s="1"/>
  <c r="XH9" i="2" s="1"/>
  <c r="XH10" i="2" s="1"/>
  <c r="XH11" i="2" s="1"/>
  <c r="XH12" i="2" s="1"/>
  <c r="XH13" i="2" s="1"/>
  <c r="XH14" i="2" s="1"/>
  <c r="XH15" i="2" s="1"/>
  <c r="XH16" i="2" s="1"/>
  <c r="XH17" i="2" s="1"/>
  <c r="XH18" i="2" s="1"/>
  <c r="XH19" i="2" s="1"/>
  <c r="XH20" i="2" s="1"/>
  <c r="XH21" i="2" s="1"/>
  <c r="XH22" i="2" s="1"/>
  <c r="XH23" i="2" s="1"/>
  <c r="XG4" i="2"/>
  <c r="XG5" i="2" s="1"/>
  <c r="XG6" i="2" s="1"/>
  <c r="XG7" i="2" s="1"/>
  <c r="XG8" i="2" s="1"/>
  <c r="XG9" i="2" s="1"/>
  <c r="XG10" i="2" s="1"/>
  <c r="XG11" i="2" s="1"/>
  <c r="XG12" i="2" s="1"/>
  <c r="XG13" i="2" s="1"/>
  <c r="XG14" i="2" s="1"/>
  <c r="XG15" i="2" s="1"/>
  <c r="XG16" i="2" s="1"/>
  <c r="XG17" i="2" s="1"/>
  <c r="XG18" i="2" s="1"/>
  <c r="XG19" i="2" s="1"/>
  <c r="XG20" i="2" s="1"/>
  <c r="XG21" i="2" s="1"/>
  <c r="XG22" i="2" s="1"/>
  <c r="XG23" i="2" s="1"/>
  <c r="XF4" i="2"/>
  <c r="XF5" i="2" s="1"/>
  <c r="XF6" i="2" s="1"/>
  <c r="XF7" i="2" s="1"/>
  <c r="XF8" i="2" s="1"/>
  <c r="XF9" i="2" s="1"/>
  <c r="XF10" i="2" s="1"/>
  <c r="XF11" i="2" s="1"/>
  <c r="XF12" i="2" s="1"/>
  <c r="XF13" i="2" s="1"/>
  <c r="XF14" i="2" s="1"/>
  <c r="XF15" i="2" s="1"/>
  <c r="XF16" i="2" s="1"/>
  <c r="XF17" i="2" s="1"/>
  <c r="XF18" i="2" s="1"/>
  <c r="XF19" i="2" s="1"/>
  <c r="XF20" i="2" s="1"/>
  <c r="XF21" i="2" s="1"/>
  <c r="XF22" i="2" s="1"/>
  <c r="XF23" i="2" s="1"/>
  <c r="XE4" i="2"/>
  <c r="XE5" i="2" s="1"/>
  <c r="XE6" i="2" s="1"/>
  <c r="XE7" i="2" s="1"/>
  <c r="XE8" i="2" s="1"/>
  <c r="XE9" i="2" s="1"/>
  <c r="XE10" i="2" s="1"/>
  <c r="XE11" i="2" s="1"/>
  <c r="XE12" i="2" s="1"/>
  <c r="XE13" i="2" s="1"/>
  <c r="XE14" i="2" s="1"/>
  <c r="XE15" i="2" s="1"/>
  <c r="XE16" i="2" s="1"/>
  <c r="XE17" i="2" s="1"/>
  <c r="XE18" i="2" s="1"/>
  <c r="XE19" i="2" s="1"/>
  <c r="XE20" i="2" s="1"/>
  <c r="XE21" i="2" s="1"/>
  <c r="XE22" i="2" s="1"/>
  <c r="XE23" i="2" s="1"/>
  <c r="XD4" i="2"/>
  <c r="XD5" i="2" s="1"/>
  <c r="XD6" i="2" s="1"/>
  <c r="XD7" i="2" s="1"/>
  <c r="XD8" i="2" s="1"/>
  <c r="XD9" i="2" s="1"/>
  <c r="XD10" i="2" s="1"/>
  <c r="XD11" i="2" s="1"/>
  <c r="XD12" i="2" s="1"/>
  <c r="XD13" i="2" s="1"/>
  <c r="XD14" i="2" s="1"/>
  <c r="XD15" i="2" s="1"/>
  <c r="XD16" i="2" s="1"/>
  <c r="XD17" i="2" s="1"/>
  <c r="XD18" i="2" s="1"/>
  <c r="XD19" i="2" s="1"/>
  <c r="XD20" i="2" s="1"/>
  <c r="XD21" i="2" s="1"/>
  <c r="XD22" i="2" s="1"/>
  <c r="XD23" i="2" s="1"/>
  <c r="XC4" i="2"/>
  <c r="XC5" i="2" s="1"/>
  <c r="XC6" i="2" s="1"/>
  <c r="XC7" i="2" s="1"/>
  <c r="XC8" i="2" s="1"/>
  <c r="XC9" i="2" s="1"/>
  <c r="XC10" i="2" s="1"/>
  <c r="XC11" i="2" s="1"/>
  <c r="XC12" i="2" s="1"/>
  <c r="XC13" i="2" s="1"/>
  <c r="XC14" i="2" s="1"/>
  <c r="XC15" i="2" s="1"/>
  <c r="XC16" i="2" s="1"/>
  <c r="XC17" i="2" s="1"/>
  <c r="XC18" i="2" s="1"/>
  <c r="XC19" i="2" s="1"/>
  <c r="XC20" i="2" s="1"/>
  <c r="XC21" i="2" s="1"/>
  <c r="XC22" i="2" s="1"/>
  <c r="XC23" i="2" s="1"/>
  <c r="XB4" i="2"/>
  <c r="XB5" i="2" s="1"/>
  <c r="XB6" i="2" s="1"/>
  <c r="XB7" i="2" s="1"/>
  <c r="XB8" i="2" s="1"/>
  <c r="XB9" i="2" s="1"/>
  <c r="XB10" i="2" s="1"/>
  <c r="XB11" i="2" s="1"/>
  <c r="XB12" i="2" s="1"/>
  <c r="XB13" i="2" s="1"/>
  <c r="XB14" i="2" s="1"/>
  <c r="XB15" i="2" s="1"/>
  <c r="XB16" i="2" s="1"/>
  <c r="XB17" i="2" s="1"/>
  <c r="XB18" i="2" s="1"/>
  <c r="XB19" i="2" s="1"/>
  <c r="XB20" i="2" s="1"/>
  <c r="XB21" i="2" s="1"/>
  <c r="XB22" i="2" s="1"/>
  <c r="XB23" i="2" s="1"/>
  <c r="XA4" i="2"/>
  <c r="XA5" i="2" s="1"/>
  <c r="XA6" i="2" s="1"/>
  <c r="XA7" i="2" s="1"/>
  <c r="XA8" i="2" s="1"/>
  <c r="XA9" i="2" s="1"/>
  <c r="XA10" i="2" s="1"/>
  <c r="XA11" i="2" s="1"/>
  <c r="XA12" i="2" s="1"/>
  <c r="XA13" i="2" s="1"/>
  <c r="XA14" i="2" s="1"/>
  <c r="XA15" i="2" s="1"/>
  <c r="XA16" i="2" s="1"/>
  <c r="XA17" i="2" s="1"/>
  <c r="XA18" i="2" s="1"/>
  <c r="XA19" i="2" s="1"/>
  <c r="XA20" i="2" s="1"/>
  <c r="XA21" i="2" s="1"/>
  <c r="XA22" i="2" s="1"/>
  <c r="XA23" i="2" s="1"/>
  <c r="WZ4" i="2"/>
  <c r="WZ5" i="2" s="1"/>
  <c r="WZ6" i="2" s="1"/>
  <c r="WZ7" i="2" s="1"/>
  <c r="WZ8" i="2" s="1"/>
  <c r="WZ9" i="2" s="1"/>
  <c r="WZ10" i="2" s="1"/>
  <c r="WZ11" i="2" s="1"/>
  <c r="WZ12" i="2" s="1"/>
  <c r="WZ13" i="2" s="1"/>
  <c r="WZ14" i="2" s="1"/>
  <c r="WZ15" i="2" s="1"/>
  <c r="WZ16" i="2" s="1"/>
  <c r="WZ17" i="2" s="1"/>
  <c r="WZ18" i="2" s="1"/>
  <c r="WZ19" i="2" s="1"/>
  <c r="WZ20" i="2" s="1"/>
  <c r="WZ21" i="2" s="1"/>
  <c r="WZ22" i="2" s="1"/>
  <c r="WZ23" i="2" s="1"/>
  <c r="WY4" i="2"/>
  <c r="WY5" i="2" s="1"/>
  <c r="WY6" i="2" s="1"/>
  <c r="WY7" i="2" s="1"/>
  <c r="WY8" i="2" s="1"/>
  <c r="WY9" i="2" s="1"/>
  <c r="WY10" i="2" s="1"/>
  <c r="WY11" i="2" s="1"/>
  <c r="WY12" i="2" s="1"/>
  <c r="WY13" i="2" s="1"/>
  <c r="WY14" i="2" s="1"/>
  <c r="WY15" i="2" s="1"/>
  <c r="WY16" i="2" s="1"/>
  <c r="WY17" i="2" s="1"/>
  <c r="WY18" i="2" s="1"/>
  <c r="WY19" i="2" s="1"/>
  <c r="WY20" i="2" s="1"/>
  <c r="WY21" i="2" s="1"/>
  <c r="WY22" i="2" s="1"/>
  <c r="WY23" i="2" s="1"/>
  <c r="WX4" i="2"/>
  <c r="WX5" i="2" s="1"/>
  <c r="WX6" i="2" s="1"/>
  <c r="WX7" i="2" s="1"/>
  <c r="WX8" i="2" s="1"/>
  <c r="WX9" i="2" s="1"/>
  <c r="WX10" i="2" s="1"/>
  <c r="WX11" i="2" s="1"/>
  <c r="WX12" i="2" s="1"/>
  <c r="WX13" i="2" s="1"/>
  <c r="WX14" i="2" s="1"/>
  <c r="WX15" i="2" s="1"/>
  <c r="WX16" i="2" s="1"/>
  <c r="WX17" i="2" s="1"/>
  <c r="WX18" i="2" s="1"/>
  <c r="WX19" i="2" s="1"/>
  <c r="WX20" i="2" s="1"/>
  <c r="WX21" i="2" s="1"/>
  <c r="WX22" i="2" s="1"/>
  <c r="WX23" i="2" s="1"/>
  <c r="WW4" i="2"/>
  <c r="WW5" i="2" s="1"/>
  <c r="WW6" i="2" s="1"/>
  <c r="WW7" i="2" s="1"/>
  <c r="WW8" i="2" s="1"/>
  <c r="WW9" i="2" s="1"/>
  <c r="WW10" i="2" s="1"/>
  <c r="WW11" i="2" s="1"/>
  <c r="WW12" i="2" s="1"/>
  <c r="WW13" i="2" s="1"/>
  <c r="WW14" i="2" s="1"/>
  <c r="WW15" i="2" s="1"/>
  <c r="WW16" i="2" s="1"/>
  <c r="WW17" i="2" s="1"/>
  <c r="WW18" i="2" s="1"/>
  <c r="WW19" i="2" s="1"/>
  <c r="WW20" i="2" s="1"/>
  <c r="WW21" i="2" s="1"/>
  <c r="WW22" i="2" s="1"/>
  <c r="WW23" i="2" s="1"/>
  <c r="WV4" i="2"/>
  <c r="WV5" i="2" s="1"/>
  <c r="WV6" i="2" s="1"/>
  <c r="WV7" i="2" s="1"/>
  <c r="WV8" i="2" s="1"/>
  <c r="WV9" i="2" s="1"/>
  <c r="WV10" i="2" s="1"/>
  <c r="WV11" i="2" s="1"/>
  <c r="WV12" i="2" s="1"/>
  <c r="WV13" i="2" s="1"/>
  <c r="WV14" i="2" s="1"/>
  <c r="WV15" i="2" s="1"/>
  <c r="WV16" i="2" s="1"/>
  <c r="WV17" i="2" s="1"/>
  <c r="WV18" i="2" s="1"/>
  <c r="WV19" i="2" s="1"/>
  <c r="WV20" i="2" s="1"/>
  <c r="WV21" i="2" s="1"/>
  <c r="WV22" i="2" s="1"/>
  <c r="WV23" i="2" s="1"/>
  <c r="WU4" i="2"/>
  <c r="WU5" i="2" s="1"/>
  <c r="WU6" i="2" s="1"/>
  <c r="WU7" i="2" s="1"/>
  <c r="WU8" i="2" s="1"/>
  <c r="WU9" i="2" s="1"/>
  <c r="WU10" i="2" s="1"/>
  <c r="WU11" i="2" s="1"/>
  <c r="WU12" i="2" s="1"/>
  <c r="WU13" i="2" s="1"/>
  <c r="WU14" i="2" s="1"/>
  <c r="WU15" i="2" s="1"/>
  <c r="WU16" i="2" s="1"/>
  <c r="WU17" i="2" s="1"/>
  <c r="WU18" i="2" s="1"/>
  <c r="WU19" i="2" s="1"/>
  <c r="WU20" i="2" s="1"/>
  <c r="WU21" i="2" s="1"/>
  <c r="WU22" i="2" s="1"/>
  <c r="WU23" i="2" s="1"/>
  <c r="WT4" i="2"/>
  <c r="WT5" i="2" s="1"/>
  <c r="WT6" i="2" s="1"/>
  <c r="WT7" i="2" s="1"/>
  <c r="WT8" i="2" s="1"/>
  <c r="WT9" i="2" s="1"/>
  <c r="WT10" i="2" s="1"/>
  <c r="WT11" i="2" s="1"/>
  <c r="WT12" i="2" s="1"/>
  <c r="WT13" i="2" s="1"/>
  <c r="WT14" i="2" s="1"/>
  <c r="WT15" i="2" s="1"/>
  <c r="WT16" i="2" s="1"/>
  <c r="WT17" i="2" s="1"/>
  <c r="WT18" i="2" s="1"/>
  <c r="WT19" i="2" s="1"/>
  <c r="WT20" i="2" s="1"/>
  <c r="WT21" i="2" s="1"/>
  <c r="WT22" i="2" s="1"/>
  <c r="WT23" i="2" s="1"/>
  <c r="WS4" i="2"/>
  <c r="WS5" i="2" s="1"/>
  <c r="WS6" i="2" s="1"/>
  <c r="WS7" i="2" s="1"/>
  <c r="WS8" i="2" s="1"/>
  <c r="WS9" i="2" s="1"/>
  <c r="WS10" i="2" s="1"/>
  <c r="WS11" i="2" s="1"/>
  <c r="WS12" i="2" s="1"/>
  <c r="WS13" i="2" s="1"/>
  <c r="WS14" i="2" s="1"/>
  <c r="WS15" i="2" s="1"/>
  <c r="WS16" i="2" s="1"/>
  <c r="WS17" i="2" s="1"/>
  <c r="WS18" i="2" s="1"/>
  <c r="WS19" i="2" s="1"/>
  <c r="WS20" i="2" s="1"/>
  <c r="WS21" i="2" s="1"/>
  <c r="WS22" i="2" s="1"/>
  <c r="WS23" i="2" s="1"/>
  <c r="WR4" i="2"/>
  <c r="WR5" i="2" s="1"/>
  <c r="WR6" i="2" s="1"/>
  <c r="WR7" i="2" s="1"/>
  <c r="WR8" i="2" s="1"/>
  <c r="WR9" i="2" s="1"/>
  <c r="WR10" i="2" s="1"/>
  <c r="WR11" i="2" s="1"/>
  <c r="WR12" i="2" s="1"/>
  <c r="WR13" i="2" s="1"/>
  <c r="WR14" i="2" s="1"/>
  <c r="WR15" i="2" s="1"/>
  <c r="WR16" i="2" s="1"/>
  <c r="WR17" i="2" s="1"/>
  <c r="WR18" i="2" s="1"/>
  <c r="WR19" i="2" s="1"/>
  <c r="WR20" i="2" s="1"/>
  <c r="WR21" i="2" s="1"/>
  <c r="WR22" i="2" s="1"/>
  <c r="WR23" i="2" s="1"/>
  <c r="WQ4" i="2"/>
  <c r="WQ5" i="2" s="1"/>
  <c r="WQ6" i="2" s="1"/>
  <c r="WQ7" i="2" s="1"/>
  <c r="WQ8" i="2" s="1"/>
  <c r="WQ9" i="2" s="1"/>
  <c r="WQ10" i="2" s="1"/>
  <c r="WQ11" i="2" s="1"/>
  <c r="WQ12" i="2" s="1"/>
  <c r="WQ13" i="2" s="1"/>
  <c r="WQ14" i="2" s="1"/>
  <c r="WQ15" i="2" s="1"/>
  <c r="WQ16" i="2" s="1"/>
  <c r="WQ17" i="2" s="1"/>
  <c r="WQ18" i="2" s="1"/>
  <c r="WQ19" i="2" s="1"/>
  <c r="WQ20" i="2" s="1"/>
  <c r="WQ21" i="2" s="1"/>
  <c r="WQ22" i="2" s="1"/>
  <c r="WQ23" i="2" s="1"/>
  <c r="WP4" i="2"/>
  <c r="WP5" i="2" s="1"/>
  <c r="WP6" i="2" s="1"/>
  <c r="WP7" i="2" s="1"/>
  <c r="WP8" i="2" s="1"/>
  <c r="WP9" i="2" s="1"/>
  <c r="WP10" i="2" s="1"/>
  <c r="WP11" i="2" s="1"/>
  <c r="WP12" i="2" s="1"/>
  <c r="WP13" i="2" s="1"/>
  <c r="WP14" i="2" s="1"/>
  <c r="WP15" i="2" s="1"/>
  <c r="WP16" i="2" s="1"/>
  <c r="WP17" i="2" s="1"/>
  <c r="WP18" i="2" s="1"/>
  <c r="WP19" i="2" s="1"/>
  <c r="WP20" i="2" s="1"/>
  <c r="WP21" i="2" s="1"/>
  <c r="WP22" i="2" s="1"/>
  <c r="WP23" i="2" s="1"/>
  <c r="WO4" i="2"/>
  <c r="WO5" i="2" s="1"/>
  <c r="WO6" i="2" s="1"/>
  <c r="WO7" i="2" s="1"/>
  <c r="WO8" i="2" s="1"/>
  <c r="WO9" i="2" s="1"/>
  <c r="WO10" i="2" s="1"/>
  <c r="WO11" i="2" s="1"/>
  <c r="WO12" i="2" s="1"/>
  <c r="WO13" i="2" s="1"/>
  <c r="WO14" i="2" s="1"/>
  <c r="WO15" i="2" s="1"/>
  <c r="WO16" i="2" s="1"/>
  <c r="WO17" i="2" s="1"/>
  <c r="WO18" i="2" s="1"/>
  <c r="WO19" i="2" s="1"/>
  <c r="WO20" i="2" s="1"/>
  <c r="WO21" i="2" s="1"/>
  <c r="WO22" i="2" s="1"/>
  <c r="WO23" i="2" s="1"/>
  <c r="WN4" i="2"/>
  <c r="WN5" i="2" s="1"/>
  <c r="WN6" i="2" s="1"/>
  <c r="WN7" i="2" s="1"/>
  <c r="WN8" i="2" s="1"/>
  <c r="WN9" i="2" s="1"/>
  <c r="WN10" i="2" s="1"/>
  <c r="WN11" i="2" s="1"/>
  <c r="WN12" i="2" s="1"/>
  <c r="WN13" i="2" s="1"/>
  <c r="WN14" i="2" s="1"/>
  <c r="WN15" i="2" s="1"/>
  <c r="WN16" i="2" s="1"/>
  <c r="WN17" i="2" s="1"/>
  <c r="WN18" i="2" s="1"/>
  <c r="WN19" i="2" s="1"/>
  <c r="WN20" i="2" s="1"/>
  <c r="WN21" i="2" s="1"/>
  <c r="WN22" i="2" s="1"/>
  <c r="WN23" i="2" s="1"/>
  <c r="WM4" i="2"/>
  <c r="WM5" i="2" s="1"/>
  <c r="WM6" i="2" s="1"/>
  <c r="WM7" i="2" s="1"/>
  <c r="WM8" i="2" s="1"/>
  <c r="WM9" i="2" s="1"/>
  <c r="WM10" i="2" s="1"/>
  <c r="WM11" i="2" s="1"/>
  <c r="WM12" i="2" s="1"/>
  <c r="WM13" i="2" s="1"/>
  <c r="WM14" i="2" s="1"/>
  <c r="WM15" i="2" s="1"/>
  <c r="WM16" i="2" s="1"/>
  <c r="WM17" i="2" s="1"/>
  <c r="WM18" i="2" s="1"/>
  <c r="WM19" i="2" s="1"/>
  <c r="WM20" i="2" s="1"/>
  <c r="WM21" i="2" s="1"/>
  <c r="WM22" i="2" s="1"/>
  <c r="WM23" i="2" s="1"/>
  <c r="WL4" i="2"/>
  <c r="WL5" i="2" s="1"/>
  <c r="WL6" i="2" s="1"/>
  <c r="WL7" i="2" s="1"/>
  <c r="WL8" i="2" s="1"/>
  <c r="WL9" i="2" s="1"/>
  <c r="WL10" i="2" s="1"/>
  <c r="WL11" i="2" s="1"/>
  <c r="WL12" i="2" s="1"/>
  <c r="WL13" i="2" s="1"/>
  <c r="WL14" i="2" s="1"/>
  <c r="WL15" i="2" s="1"/>
  <c r="WL16" i="2" s="1"/>
  <c r="WL17" i="2" s="1"/>
  <c r="WL18" i="2" s="1"/>
  <c r="WL19" i="2" s="1"/>
  <c r="WL20" i="2" s="1"/>
  <c r="WL21" i="2" s="1"/>
  <c r="WL22" i="2" s="1"/>
  <c r="WL23" i="2" s="1"/>
  <c r="WK4" i="2"/>
  <c r="WK5" i="2" s="1"/>
  <c r="WK6" i="2" s="1"/>
  <c r="WK7" i="2" s="1"/>
  <c r="WK8" i="2" s="1"/>
  <c r="WK9" i="2" s="1"/>
  <c r="WK10" i="2" s="1"/>
  <c r="WK11" i="2" s="1"/>
  <c r="WK12" i="2" s="1"/>
  <c r="WK13" i="2" s="1"/>
  <c r="WK14" i="2" s="1"/>
  <c r="WK15" i="2" s="1"/>
  <c r="WK16" i="2" s="1"/>
  <c r="WK17" i="2" s="1"/>
  <c r="WK18" i="2" s="1"/>
  <c r="WK19" i="2" s="1"/>
  <c r="WK20" i="2" s="1"/>
  <c r="WK21" i="2" s="1"/>
  <c r="WK22" i="2" s="1"/>
  <c r="WK23" i="2" s="1"/>
  <c r="WJ4" i="2"/>
  <c r="WJ5" i="2" s="1"/>
  <c r="WJ6" i="2" s="1"/>
  <c r="WJ7" i="2" s="1"/>
  <c r="WJ8" i="2" s="1"/>
  <c r="WJ9" i="2" s="1"/>
  <c r="WJ10" i="2" s="1"/>
  <c r="WJ11" i="2" s="1"/>
  <c r="WJ12" i="2" s="1"/>
  <c r="WJ13" i="2" s="1"/>
  <c r="WJ14" i="2" s="1"/>
  <c r="WJ15" i="2" s="1"/>
  <c r="WJ16" i="2" s="1"/>
  <c r="WJ17" i="2" s="1"/>
  <c r="WJ18" i="2" s="1"/>
  <c r="WJ19" i="2" s="1"/>
  <c r="WJ20" i="2" s="1"/>
  <c r="WJ21" i="2" s="1"/>
  <c r="WJ22" i="2" s="1"/>
  <c r="WJ23" i="2" s="1"/>
  <c r="WI4" i="2"/>
  <c r="WI5" i="2" s="1"/>
  <c r="WI6" i="2" s="1"/>
  <c r="WI7" i="2" s="1"/>
  <c r="WI8" i="2" s="1"/>
  <c r="WI9" i="2" s="1"/>
  <c r="WI10" i="2" s="1"/>
  <c r="WI11" i="2" s="1"/>
  <c r="WI12" i="2" s="1"/>
  <c r="WI13" i="2" s="1"/>
  <c r="WI14" i="2" s="1"/>
  <c r="WI15" i="2" s="1"/>
  <c r="WI16" i="2" s="1"/>
  <c r="WI17" i="2" s="1"/>
  <c r="WI18" i="2" s="1"/>
  <c r="WI19" i="2" s="1"/>
  <c r="WI20" i="2" s="1"/>
  <c r="WI21" i="2" s="1"/>
  <c r="WI22" i="2" s="1"/>
  <c r="WI23" i="2" s="1"/>
  <c r="WH4" i="2"/>
  <c r="WH5" i="2" s="1"/>
  <c r="WH6" i="2" s="1"/>
  <c r="WH7" i="2" s="1"/>
  <c r="WH8" i="2" s="1"/>
  <c r="WH9" i="2" s="1"/>
  <c r="WH10" i="2" s="1"/>
  <c r="WH11" i="2" s="1"/>
  <c r="WH12" i="2" s="1"/>
  <c r="WH13" i="2" s="1"/>
  <c r="WH14" i="2" s="1"/>
  <c r="WH15" i="2" s="1"/>
  <c r="WH16" i="2" s="1"/>
  <c r="WH17" i="2" s="1"/>
  <c r="WH18" i="2" s="1"/>
  <c r="WH19" i="2" s="1"/>
  <c r="WH20" i="2" s="1"/>
  <c r="WH21" i="2" s="1"/>
  <c r="WH22" i="2" s="1"/>
  <c r="WH23" i="2" s="1"/>
  <c r="WG4" i="2"/>
  <c r="WG5" i="2" s="1"/>
  <c r="WG6" i="2" s="1"/>
  <c r="WG7" i="2" s="1"/>
  <c r="WG8" i="2" s="1"/>
  <c r="WG9" i="2" s="1"/>
  <c r="WG10" i="2" s="1"/>
  <c r="WG11" i="2" s="1"/>
  <c r="WG12" i="2" s="1"/>
  <c r="WG13" i="2" s="1"/>
  <c r="WG14" i="2" s="1"/>
  <c r="WG15" i="2" s="1"/>
  <c r="WG16" i="2" s="1"/>
  <c r="WG17" i="2" s="1"/>
  <c r="WG18" i="2" s="1"/>
  <c r="WG19" i="2" s="1"/>
  <c r="WG20" i="2" s="1"/>
  <c r="WG21" i="2" s="1"/>
  <c r="WG22" i="2" s="1"/>
  <c r="WG23" i="2" s="1"/>
  <c r="WF4" i="2"/>
  <c r="WF5" i="2" s="1"/>
  <c r="WF6" i="2" s="1"/>
  <c r="WF7" i="2" s="1"/>
  <c r="WF8" i="2" s="1"/>
  <c r="WF9" i="2" s="1"/>
  <c r="WF10" i="2" s="1"/>
  <c r="WF11" i="2" s="1"/>
  <c r="WF12" i="2" s="1"/>
  <c r="WF13" i="2" s="1"/>
  <c r="WF14" i="2" s="1"/>
  <c r="WF15" i="2" s="1"/>
  <c r="WF16" i="2" s="1"/>
  <c r="WF17" i="2" s="1"/>
  <c r="WF18" i="2" s="1"/>
  <c r="WF19" i="2" s="1"/>
  <c r="WF20" i="2" s="1"/>
  <c r="WF21" i="2" s="1"/>
  <c r="WF22" i="2" s="1"/>
  <c r="WF23" i="2" s="1"/>
  <c r="WE4" i="2"/>
  <c r="WE5" i="2" s="1"/>
  <c r="WE6" i="2" s="1"/>
  <c r="WE7" i="2" s="1"/>
  <c r="WE8" i="2" s="1"/>
  <c r="WE9" i="2" s="1"/>
  <c r="WE10" i="2" s="1"/>
  <c r="WE11" i="2" s="1"/>
  <c r="WE12" i="2" s="1"/>
  <c r="WE13" i="2" s="1"/>
  <c r="WE14" i="2" s="1"/>
  <c r="WE15" i="2" s="1"/>
  <c r="WE16" i="2" s="1"/>
  <c r="WE17" i="2" s="1"/>
  <c r="WE18" i="2" s="1"/>
  <c r="WE19" i="2" s="1"/>
  <c r="WE20" i="2" s="1"/>
  <c r="WE21" i="2" s="1"/>
  <c r="WE22" i="2" s="1"/>
  <c r="WE23" i="2" s="1"/>
  <c r="WD4" i="2"/>
  <c r="WD5" i="2" s="1"/>
  <c r="WD6" i="2" s="1"/>
  <c r="WD7" i="2" s="1"/>
  <c r="WD8" i="2" s="1"/>
  <c r="WD9" i="2" s="1"/>
  <c r="WD10" i="2" s="1"/>
  <c r="WD11" i="2" s="1"/>
  <c r="WD12" i="2" s="1"/>
  <c r="WD13" i="2" s="1"/>
  <c r="WD14" i="2" s="1"/>
  <c r="WD15" i="2" s="1"/>
  <c r="WD16" i="2" s="1"/>
  <c r="WD17" i="2" s="1"/>
  <c r="WD18" i="2" s="1"/>
  <c r="WD19" i="2" s="1"/>
  <c r="WD20" i="2" s="1"/>
  <c r="WD21" i="2" s="1"/>
  <c r="WD22" i="2" s="1"/>
  <c r="WD23" i="2" s="1"/>
  <c r="WC4" i="2"/>
  <c r="WC5" i="2" s="1"/>
  <c r="WC6" i="2" s="1"/>
  <c r="WC7" i="2" s="1"/>
  <c r="WC8" i="2" s="1"/>
  <c r="WC9" i="2" s="1"/>
  <c r="WC10" i="2" s="1"/>
  <c r="WC11" i="2" s="1"/>
  <c r="WC12" i="2" s="1"/>
  <c r="WC13" i="2" s="1"/>
  <c r="WC14" i="2" s="1"/>
  <c r="WC15" i="2" s="1"/>
  <c r="WC16" i="2" s="1"/>
  <c r="WC17" i="2" s="1"/>
  <c r="WC18" i="2" s="1"/>
  <c r="WC19" i="2" s="1"/>
  <c r="WC20" i="2" s="1"/>
  <c r="WC21" i="2" s="1"/>
  <c r="WC22" i="2" s="1"/>
  <c r="WC23" i="2" s="1"/>
  <c r="WB4" i="2"/>
  <c r="WB5" i="2" s="1"/>
  <c r="WB6" i="2" s="1"/>
  <c r="WB7" i="2" s="1"/>
  <c r="WB8" i="2" s="1"/>
  <c r="WB9" i="2" s="1"/>
  <c r="WB10" i="2" s="1"/>
  <c r="WB11" i="2" s="1"/>
  <c r="WB12" i="2" s="1"/>
  <c r="WB13" i="2" s="1"/>
  <c r="WB14" i="2" s="1"/>
  <c r="WB15" i="2" s="1"/>
  <c r="WB16" i="2" s="1"/>
  <c r="WB17" i="2" s="1"/>
  <c r="WB18" i="2" s="1"/>
  <c r="WB19" i="2" s="1"/>
  <c r="WB20" i="2" s="1"/>
  <c r="WB21" i="2" s="1"/>
  <c r="WB22" i="2" s="1"/>
  <c r="WB23" i="2" s="1"/>
  <c r="WA4" i="2"/>
  <c r="WA5" i="2" s="1"/>
  <c r="WA6" i="2" s="1"/>
  <c r="WA7" i="2" s="1"/>
  <c r="WA8" i="2" s="1"/>
  <c r="WA9" i="2" s="1"/>
  <c r="WA10" i="2" s="1"/>
  <c r="WA11" i="2" s="1"/>
  <c r="WA12" i="2" s="1"/>
  <c r="WA13" i="2" s="1"/>
  <c r="WA14" i="2" s="1"/>
  <c r="WA15" i="2" s="1"/>
  <c r="WA16" i="2" s="1"/>
  <c r="WA17" i="2" s="1"/>
  <c r="WA18" i="2" s="1"/>
  <c r="WA19" i="2" s="1"/>
  <c r="WA20" i="2" s="1"/>
  <c r="WA21" i="2" s="1"/>
  <c r="WA22" i="2" s="1"/>
  <c r="WA23" i="2" s="1"/>
  <c r="VZ4" i="2"/>
  <c r="VZ5" i="2" s="1"/>
  <c r="VZ6" i="2" s="1"/>
  <c r="VZ7" i="2" s="1"/>
  <c r="VZ8" i="2" s="1"/>
  <c r="VZ9" i="2" s="1"/>
  <c r="VZ10" i="2" s="1"/>
  <c r="VZ11" i="2" s="1"/>
  <c r="VZ12" i="2" s="1"/>
  <c r="VZ13" i="2" s="1"/>
  <c r="VZ14" i="2" s="1"/>
  <c r="VZ15" i="2" s="1"/>
  <c r="VZ16" i="2" s="1"/>
  <c r="VZ17" i="2" s="1"/>
  <c r="VZ18" i="2" s="1"/>
  <c r="VZ19" i="2" s="1"/>
  <c r="VZ20" i="2" s="1"/>
  <c r="VZ21" i="2" s="1"/>
  <c r="VZ22" i="2" s="1"/>
  <c r="VZ23" i="2" s="1"/>
  <c r="VY4" i="2"/>
  <c r="VY5" i="2" s="1"/>
  <c r="VY6" i="2" s="1"/>
  <c r="VY7" i="2" s="1"/>
  <c r="VY8" i="2" s="1"/>
  <c r="VY9" i="2" s="1"/>
  <c r="VY10" i="2" s="1"/>
  <c r="VY11" i="2" s="1"/>
  <c r="VY12" i="2" s="1"/>
  <c r="VY13" i="2" s="1"/>
  <c r="VY14" i="2" s="1"/>
  <c r="VY15" i="2" s="1"/>
  <c r="VY16" i="2" s="1"/>
  <c r="VY17" i="2" s="1"/>
  <c r="VY18" i="2" s="1"/>
  <c r="VY19" i="2" s="1"/>
  <c r="VY20" i="2" s="1"/>
  <c r="VY21" i="2" s="1"/>
  <c r="VY22" i="2" s="1"/>
  <c r="VY23" i="2" s="1"/>
  <c r="VX4" i="2"/>
  <c r="VX5" i="2" s="1"/>
  <c r="VX6" i="2" s="1"/>
  <c r="VX7" i="2" s="1"/>
  <c r="VX8" i="2" s="1"/>
  <c r="VX9" i="2" s="1"/>
  <c r="VX10" i="2" s="1"/>
  <c r="VX11" i="2" s="1"/>
  <c r="VX12" i="2" s="1"/>
  <c r="VX13" i="2" s="1"/>
  <c r="VX14" i="2" s="1"/>
  <c r="VX15" i="2" s="1"/>
  <c r="VX16" i="2" s="1"/>
  <c r="VX17" i="2" s="1"/>
  <c r="VX18" i="2" s="1"/>
  <c r="VX19" i="2" s="1"/>
  <c r="VX20" i="2" s="1"/>
  <c r="VX21" i="2" s="1"/>
  <c r="VX22" i="2" s="1"/>
  <c r="VX23" i="2" s="1"/>
  <c r="VW4" i="2"/>
  <c r="VW5" i="2" s="1"/>
  <c r="VW6" i="2" s="1"/>
  <c r="VW7" i="2" s="1"/>
  <c r="VW8" i="2" s="1"/>
  <c r="VW9" i="2" s="1"/>
  <c r="VW10" i="2" s="1"/>
  <c r="VW11" i="2" s="1"/>
  <c r="VW12" i="2" s="1"/>
  <c r="VW13" i="2" s="1"/>
  <c r="VW14" i="2" s="1"/>
  <c r="VW15" i="2" s="1"/>
  <c r="VW16" i="2" s="1"/>
  <c r="VW17" i="2" s="1"/>
  <c r="VW18" i="2" s="1"/>
  <c r="VW19" i="2" s="1"/>
  <c r="VW20" i="2" s="1"/>
  <c r="VW21" i="2" s="1"/>
  <c r="VW22" i="2" s="1"/>
  <c r="VW23" i="2" s="1"/>
  <c r="VV4" i="2"/>
  <c r="VV5" i="2" s="1"/>
  <c r="VV6" i="2" s="1"/>
  <c r="VV7" i="2" s="1"/>
  <c r="VV8" i="2" s="1"/>
  <c r="VV9" i="2" s="1"/>
  <c r="VV10" i="2" s="1"/>
  <c r="VV11" i="2" s="1"/>
  <c r="VV12" i="2" s="1"/>
  <c r="VV13" i="2" s="1"/>
  <c r="VV14" i="2" s="1"/>
  <c r="VV15" i="2" s="1"/>
  <c r="VV16" i="2" s="1"/>
  <c r="VV17" i="2" s="1"/>
  <c r="VV18" i="2" s="1"/>
  <c r="VV19" i="2" s="1"/>
  <c r="VV20" i="2" s="1"/>
  <c r="VV21" i="2" s="1"/>
  <c r="VV22" i="2" s="1"/>
  <c r="VV23" i="2" s="1"/>
  <c r="VU4" i="2"/>
  <c r="VU5" i="2" s="1"/>
  <c r="VU6" i="2" s="1"/>
  <c r="VU7" i="2" s="1"/>
  <c r="VU8" i="2" s="1"/>
  <c r="VU9" i="2" s="1"/>
  <c r="VU10" i="2" s="1"/>
  <c r="VU11" i="2" s="1"/>
  <c r="VU12" i="2" s="1"/>
  <c r="VU13" i="2" s="1"/>
  <c r="VU14" i="2" s="1"/>
  <c r="VU15" i="2" s="1"/>
  <c r="VU16" i="2" s="1"/>
  <c r="VU17" i="2" s="1"/>
  <c r="VU18" i="2" s="1"/>
  <c r="VU19" i="2" s="1"/>
  <c r="VU20" i="2" s="1"/>
  <c r="VU21" i="2" s="1"/>
  <c r="VU22" i="2" s="1"/>
  <c r="VU23" i="2" s="1"/>
  <c r="VT4" i="2"/>
  <c r="VT5" i="2" s="1"/>
  <c r="VT6" i="2" s="1"/>
  <c r="VT7" i="2" s="1"/>
  <c r="VT8" i="2" s="1"/>
  <c r="VT9" i="2" s="1"/>
  <c r="VT10" i="2" s="1"/>
  <c r="VT11" i="2" s="1"/>
  <c r="VT12" i="2" s="1"/>
  <c r="VT13" i="2" s="1"/>
  <c r="VT14" i="2" s="1"/>
  <c r="VT15" i="2" s="1"/>
  <c r="VT16" i="2" s="1"/>
  <c r="VT17" i="2" s="1"/>
  <c r="VT18" i="2" s="1"/>
  <c r="VT19" i="2" s="1"/>
  <c r="VT20" i="2" s="1"/>
  <c r="VT21" i="2" s="1"/>
  <c r="VT22" i="2" s="1"/>
  <c r="VT23" i="2" s="1"/>
  <c r="VS4" i="2"/>
  <c r="VS5" i="2" s="1"/>
  <c r="VS6" i="2" s="1"/>
  <c r="VS7" i="2" s="1"/>
  <c r="VS8" i="2" s="1"/>
  <c r="VS9" i="2" s="1"/>
  <c r="VS10" i="2" s="1"/>
  <c r="VS11" i="2" s="1"/>
  <c r="VS12" i="2" s="1"/>
  <c r="VS13" i="2" s="1"/>
  <c r="VS14" i="2" s="1"/>
  <c r="VS15" i="2" s="1"/>
  <c r="VS16" i="2" s="1"/>
  <c r="VS17" i="2" s="1"/>
  <c r="VS18" i="2" s="1"/>
  <c r="VS19" i="2" s="1"/>
  <c r="VS20" i="2" s="1"/>
  <c r="VS21" i="2" s="1"/>
  <c r="VS22" i="2" s="1"/>
  <c r="VS23" i="2" s="1"/>
  <c r="VR4" i="2"/>
  <c r="VR5" i="2" s="1"/>
  <c r="VR6" i="2" s="1"/>
  <c r="VR7" i="2" s="1"/>
  <c r="VR8" i="2" s="1"/>
  <c r="VR9" i="2" s="1"/>
  <c r="VR10" i="2" s="1"/>
  <c r="VR11" i="2" s="1"/>
  <c r="VR12" i="2" s="1"/>
  <c r="VR13" i="2" s="1"/>
  <c r="VR14" i="2" s="1"/>
  <c r="VR15" i="2" s="1"/>
  <c r="VR16" i="2" s="1"/>
  <c r="VR17" i="2" s="1"/>
  <c r="VR18" i="2" s="1"/>
  <c r="VR19" i="2" s="1"/>
  <c r="VR20" i="2" s="1"/>
  <c r="VR21" i="2" s="1"/>
  <c r="VR22" i="2" s="1"/>
  <c r="VR23" i="2" s="1"/>
  <c r="VQ4" i="2"/>
  <c r="VQ5" i="2" s="1"/>
  <c r="VQ6" i="2" s="1"/>
  <c r="VQ7" i="2" s="1"/>
  <c r="VQ8" i="2" s="1"/>
  <c r="VQ9" i="2" s="1"/>
  <c r="VQ10" i="2" s="1"/>
  <c r="VQ11" i="2" s="1"/>
  <c r="VQ12" i="2" s="1"/>
  <c r="VQ13" i="2" s="1"/>
  <c r="VQ14" i="2" s="1"/>
  <c r="VQ15" i="2" s="1"/>
  <c r="VQ16" i="2" s="1"/>
  <c r="VQ17" i="2" s="1"/>
  <c r="VQ18" i="2" s="1"/>
  <c r="VQ19" i="2" s="1"/>
  <c r="VQ20" i="2" s="1"/>
  <c r="VQ21" i="2" s="1"/>
  <c r="VQ22" i="2" s="1"/>
  <c r="VQ23" i="2" s="1"/>
  <c r="VP4" i="2"/>
  <c r="VP5" i="2" s="1"/>
  <c r="VP6" i="2" s="1"/>
  <c r="VP7" i="2" s="1"/>
  <c r="VP8" i="2" s="1"/>
  <c r="VP9" i="2" s="1"/>
  <c r="VP10" i="2" s="1"/>
  <c r="VP11" i="2" s="1"/>
  <c r="VP12" i="2" s="1"/>
  <c r="VP13" i="2" s="1"/>
  <c r="VP14" i="2" s="1"/>
  <c r="VP15" i="2" s="1"/>
  <c r="VP16" i="2" s="1"/>
  <c r="VP17" i="2" s="1"/>
  <c r="VP18" i="2" s="1"/>
  <c r="VP19" i="2" s="1"/>
  <c r="VP20" i="2" s="1"/>
  <c r="VP21" i="2" s="1"/>
  <c r="VP22" i="2" s="1"/>
  <c r="VP23" i="2" s="1"/>
  <c r="VO4" i="2"/>
  <c r="VO5" i="2" s="1"/>
  <c r="VO6" i="2" s="1"/>
  <c r="VO7" i="2" s="1"/>
  <c r="VO8" i="2" s="1"/>
  <c r="VO9" i="2" s="1"/>
  <c r="VO10" i="2" s="1"/>
  <c r="VO11" i="2" s="1"/>
  <c r="VO12" i="2" s="1"/>
  <c r="VO13" i="2" s="1"/>
  <c r="VO14" i="2" s="1"/>
  <c r="VO15" i="2" s="1"/>
  <c r="VO16" i="2" s="1"/>
  <c r="VO17" i="2" s="1"/>
  <c r="VO18" i="2" s="1"/>
  <c r="VO19" i="2" s="1"/>
  <c r="VO20" i="2" s="1"/>
  <c r="VO21" i="2" s="1"/>
  <c r="VO22" i="2" s="1"/>
  <c r="VO23" i="2" s="1"/>
  <c r="VN4" i="2"/>
  <c r="VN5" i="2" s="1"/>
  <c r="VN6" i="2" s="1"/>
  <c r="VN7" i="2" s="1"/>
  <c r="VN8" i="2" s="1"/>
  <c r="VN9" i="2" s="1"/>
  <c r="VN10" i="2" s="1"/>
  <c r="VN11" i="2" s="1"/>
  <c r="VN12" i="2" s="1"/>
  <c r="VN13" i="2" s="1"/>
  <c r="VN14" i="2" s="1"/>
  <c r="VN15" i="2" s="1"/>
  <c r="VN16" i="2" s="1"/>
  <c r="VN17" i="2" s="1"/>
  <c r="VN18" i="2" s="1"/>
  <c r="VN19" i="2" s="1"/>
  <c r="VN20" i="2" s="1"/>
  <c r="VN21" i="2" s="1"/>
  <c r="VN22" i="2" s="1"/>
  <c r="VN23" i="2" s="1"/>
  <c r="VM4" i="2"/>
  <c r="VM5" i="2" s="1"/>
  <c r="VM6" i="2" s="1"/>
  <c r="VM7" i="2" s="1"/>
  <c r="VM8" i="2" s="1"/>
  <c r="VM9" i="2" s="1"/>
  <c r="VM10" i="2" s="1"/>
  <c r="VM11" i="2" s="1"/>
  <c r="VM12" i="2" s="1"/>
  <c r="VM13" i="2" s="1"/>
  <c r="VM14" i="2" s="1"/>
  <c r="VM15" i="2" s="1"/>
  <c r="VM16" i="2" s="1"/>
  <c r="VM17" i="2" s="1"/>
  <c r="VM18" i="2" s="1"/>
  <c r="VM19" i="2" s="1"/>
  <c r="VM20" i="2" s="1"/>
  <c r="VM21" i="2" s="1"/>
  <c r="VM22" i="2" s="1"/>
  <c r="VM23" i="2" s="1"/>
  <c r="VL4" i="2"/>
  <c r="VL5" i="2" s="1"/>
  <c r="VL6" i="2" s="1"/>
  <c r="VL7" i="2" s="1"/>
  <c r="VL8" i="2" s="1"/>
  <c r="VL9" i="2" s="1"/>
  <c r="VL10" i="2" s="1"/>
  <c r="VL11" i="2" s="1"/>
  <c r="VL12" i="2" s="1"/>
  <c r="VL13" i="2" s="1"/>
  <c r="VL14" i="2" s="1"/>
  <c r="VL15" i="2" s="1"/>
  <c r="VL16" i="2" s="1"/>
  <c r="VL17" i="2" s="1"/>
  <c r="VL18" i="2" s="1"/>
  <c r="VL19" i="2" s="1"/>
  <c r="VL20" i="2" s="1"/>
  <c r="VL21" i="2" s="1"/>
  <c r="VL22" i="2" s="1"/>
  <c r="VL23" i="2" s="1"/>
  <c r="VK4" i="2"/>
  <c r="VK5" i="2" s="1"/>
  <c r="VK6" i="2" s="1"/>
  <c r="VK7" i="2" s="1"/>
  <c r="VK8" i="2" s="1"/>
  <c r="VK9" i="2" s="1"/>
  <c r="VK10" i="2" s="1"/>
  <c r="VK11" i="2" s="1"/>
  <c r="VK12" i="2" s="1"/>
  <c r="VK13" i="2" s="1"/>
  <c r="VK14" i="2" s="1"/>
  <c r="VK15" i="2" s="1"/>
  <c r="VK16" i="2" s="1"/>
  <c r="VK17" i="2" s="1"/>
  <c r="VK18" i="2" s="1"/>
  <c r="VK19" i="2" s="1"/>
  <c r="VK20" i="2" s="1"/>
  <c r="VK21" i="2" s="1"/>
  <c r="VK22" i="2" s="1"/>
  <c r="VK23" i="2" s="1"/>
  <c r="VJ4" i="2"/>
  <c r="VJ5" i="2" s="1"/>
  <c r="VJ6" i="2" s="1"/>
  <c r="VJ7" i="2" s="1"/>
  <c r="VJ8" i="2" s="1"/>
  <c r="VJ9" i="2" s="1"/>
  <c r="VJ10" i="2" s="1"/>
  <c r="VJ11" i="2" s="1"/>
  <c r="VJ12" i="2" s="1"/>
  <c r="VJ13" i="2" s="1"/>
  <c r="VJ14" i="2" s="1"/>
  <c r="VJ15" i="2" s="1"/>
  <c r="VJ16" i="2" s="1"/>
  <c r="VJ17" i="2" s="1"/>
  <c r="VJ18" i="2" s="1"/>
  <c r="VJ19" i="2" s="1"/>
  <c r="VJ20" i="2" s="1"/>
  <c r="VJ21" i="2" s="1"/>
  <c r="VJ22" i="2" s="1"/>
  <c r="VJ23" i="2" s="1"/>
  <c r="VI4" i="2"/>
  <c r="VI5" i="2" s="1"/>
  <c r="VI6" i="2" s="1"/>
  <c r="VI7" i="2" s="1"/>
  <c r="VI8" i="2" s="1"/>
  <c r="VI9" i="2" s="1"/>
  <c r="VI10" i="2" s="1"/>
  <c r="VI11" i="2" s="1"/>
  <c r="VI12" i="2" s="1"/>
  <c r="VI13" i="2" s="1"/>
  <c r="VI14" i="2" s="1"/>
  <c r="VI15" i="2" s="1"/>
  <c r="VI16" i="2" s="1"/>
  <c r="VI17" i="2" s="1"/>
  <c r="VI18" i="2" s="1"/>
  <c r="VI19" i="2" s="1"/>
  <c r="VI20" i="2" s="1"/>
  <c r="VI21" i="2" s="1"/>
  <c r="VI22" i="2" s="1"/>
  <c r="VI23" i="2" s="1"/>
  <c r="VH4" i="2"/>
  <c r="VH5" i="2" s="1"/>
  <c r="VH6" i="2" s="1"/>
  <c r="VH7" i="2" s="1"/>
  <c r="VH8" i="2" s="1"/>
  <c r="VH9" i="2" s="1"/>
  <c r="VH10" i="2" s="1"/>
  <c r="VH11" i="2" s="1"/>
  <c r="VH12" i="2" s="1"/>
  <c r="VH13" i="2" s="1"/>
  <c r="VH14" i="2" s="1"/>
  <c r="VH15" i="2" s="1"/>
  <c r="VH16" i="2" s="1"/>
  <c r="VH17" i="2" s="1"/>
  <c r="VH18" i="2" s="1"/>
  <c r="VH19" i="2" s="1"/>
  <c r="VH20" i="2" s="1"/>
  <c r="VH21" i="2" s="1"/>
  <c r="VH22" i="2" s="1"/>
  <c r="VH23" i="2" s="1"/>
  <c r="VG4" i="2"/>
  <c r="VG5" i="2" s="1"/>
  <c r="VG6" i="2" s="1"/>
  <c r="VG7" i="2" s="1"/>
  <c r="VG8" i="2" s="1"/>
  <c r="VG9" i="2" s="1"/>
  <c r="VG10" i="2" s="1"/>
  <c r="VG11" i="2" s="1"/>
  <c r="VG12" i="2" s="1"/>
  <c r="VG13" i="2" s="1"/>
  <c r="VG14" i="2" s="1"/>
  <c r="VG15" i="2" s="1"/>
  <c r="VG16" i="2" s="1"/>
  <c r="VG17" i="2" s="1"/>
  <c r="VG18" i="2" s="1"/>
  <c r="VG19" i="2" s="1"/>
  <c r="VG20" i="2" s="1"/>
  <c r="VG21" i="2" s="1"/>
  <c r="VG22" i="2" s="1"/>
  <c r="VG23" i="2" s="1"/>
  <c r="VF4" i="2"/>
  <c r="VF5" i="2" s="1"/>
  <c r="VF6" i="2" s="1"/>
  <c r="VF7" i="2" s="1"/>
  <c r="VF8" i="2" s="1"/>
  <c r="VF9" i="2" s="1"/>
  <c r="VF10" i="2" s="1"/>
  <c r="VF11" i="2" s="1"/>
  <c r="VF12" i="2" s="1"/>
  <c r="VF13" i="2" s="1"/>
  <c r="VF14" i="2" s="1"/>
  <c r="VF15" i="2" s="1"/>
  <c r="VF16" i="2" s="1"/>
  <c r="VF17" i="2" s="1"/>
  <c r="VF18" i="2" s="1"/>
  <c r="VF19" i="2" s="1"/>
  <c r="VF20" i="2" s="1"/>
  <c r="VF21" i="2" s="1"/>
  <c r="VF22" i="2" s="1"/>
  <c r="VF23" i="2" s="1"/>
  <c r="VE4" i="2"/>
  <c r="VE5" i="2" s="1"/>
  <c r="VE6" i="2" s="1"/>
  <c r="VE7" i="2" s="1"/>
  <c r="VE8" i="2" s="1"/>
  <c r="VE9" i="2" s="1"/>
  <c r="VE10" i="2" s="1"/>
  <c r="VE11" i="2" s="1"/>
  <c r="VE12" i="2" s="1"/>
  <c r="VE13" i="2" s="1"/>
  <c r="VE14" i="2" s="1"/>
  <c r="VE15" i="2" s="1"/>
  <c r="VE16" i="2" s="1"/>
  <c r="VE17" i="2" s="1"/>
  <c r="VE18" i="2" s="1"/>
  <c r="VE19" i="2" s="1"/>
  <c r="VE20" i="2" s="1"/>
  <c r="VE21" i="2" s="1"/>
  <c r="VE22" i="2" s="1"/>
  <c r="VE23" i="2" s="1"/>
  <c r="VD4" i="2"/>
  <c r="VD5" i="2" s="1"/>
  <c r="VD6" i="2" s="1"/>
  <c r="VD7" i="2" s="1"/>
  <c r="VD8" i="2" s="1"/>
  <c r="VD9" i="2" s="1"/>
  <c r="VD10" i="2" s="1"/>
  <c r="VD11" i="2" s="1"/>
  <c r="VD12" i="2" s="1"/>
  <c r="VD13" i="2" s="1"/>
  <c r="VD14" i="2" s="1"/>
  <c r="VD15" i="2" s="1"/>
  <c r="VD16" i="2" s="1"/>
  <c r="VD17" i="2" s="1"/>
  <c r="VD18" i="2" s="1"/>
  <c r="VD19" i="2" s="1"/>
  <c r="VD20" i="2" s="1"/>
  <c r="VD21" i="2" s="1"/>
  <c r="VD22" i="2" s="1"/>
  <c r="VD23" i="2" s="1"/>
  <c r="VC4" i="2"/>
  <c r="VC5" i="2" s="1"/>
  <c r="VC6" i="2" s="1"/>
  <c r="VC7" i="2" s="1"/>
  <c r="VC8" i="2" s="1"/>
  <c r="VC9" i="2" s="1"/>
  <c r="VC10" i="2" s="1"/>
  <c r="VC11" i="2" s="1"/>
  <c r="VC12" i="2" s="1"/>
  <c r="VC13" i="2" s="1"/>
  <c r="VC14" i="2" s="1"/>
  <c r="VC15" i="2" s="1"/>
  <c r="VC16" i="2" s="1"/>
  <c r="VC17" i="2" s="1"/>
  <c r="VC18" i="2" s="1"/>
  <c r="VC19" i="2" s="1"/>
  <c r="VC20" i="2" s="1"/>
  <c r="VC21" i="2" s="1"/>
  <c r="VC22" i="2" s="1"/>
  <c r="VC23" i="2" s="1"/>
  <c r="VB4" i="2"/>
  <c r="VB5" i="2" s="1"/>
  <c r="VB6" i="2" s="1"/>
  <c r="VB7" i="2" s="1"/>
  <c r="VB8" i="2" s="1"/>
  <c r="VB9" i="2" s="1"/>
  <c r="VB10" i="2" s="1"/>
  <c r="VB11" i="2" s="1"/>
  <c r="VB12" i="2" s="1"/>
  <c r="VB13" i="2" s="1"/>
  <c r="VB14" i="2" s="1"/>
  <c r="VB15" i="2" s="1"/>
  <c r="VB16" i="2" s="1"/>
  <c r="VB17" i="2" s="1"/>
  <c r="VB18" i="2" s="1"/>
  <c r="VB19" i="2" s="1"/>
  <c r="VB20" i="2" s="1"/>
  <c r="VB21" i="2" s="1"/>
  <c r="VB22" i="2" s="1"/>
  <c r="VB23" i="2" s="1"/>
  <c r="VA4" i="2"/>
  <c r="VA5" i="2" s="1"/>
  <c r="VA6" i="2" s="1"/>
  <c r="VA7" i="2" s="1"/>
  <c r="VA8" i="2" s="1"/>
  <c r="VA9" i="2" s="1"/>
  <c r="VA10" i="2" s="1"/>
  <c r="VA11" i="2" s="1"/>
  <c r="VA12" i="2" s="1"/>
  <c r="VA13" i="2" s="1"/>
  <c r="VA14" i="2" s="1"/>
  <c r="VA15" i="2" s="1"/>
  <c r="VA16" i="2" s="1"/>
  <c r="VA17" i="2" s="1"/>
  <c r="VA18" i="2" s="1"/>
  <c r="VA19" i="2" s="1"/>
  <c r="VA20" i="2" s="1"/>
  <c r="VA21" i="2" s="1"/>
  <c r="VA22" i="2" s="1"/>
  <c r="VA23" i="2" s="1"/>
  <c r="UZ4" i="2"/>
  <c r="UZ5" i="2" s="1"/>
  <c r="UZ6" i="2" s="1"/>
  <c r="UZ7" i="2" s="1"/>
  <c r="UZ8" i="2" s="1"/>
  <c r="UZ9" i="2" s="1"/>
  <c r="UZ10" i="2" s="1"/>
  <c r="UZ11" i="2" s="1"/>
  <c r="UZ12" i="2" s="1"/>
  <c r="UZ13" i="2" s="1"/>
  <c r="UZ14" i="2" s="1"/>
  <c r="UZ15" i="2" s="1"/>
  <c r="UZ16" i="2" s="1"/>
  <c r="UZ17" i="2" s="1"/>
  <c r="UZ18" i="2" s="1"/>
  <c r="UZ19" i="2" s="1"/>
  <c r="UZ20" i="2" s="1"/>
  <c r="UZ21" i="2" s="1"/>
  <c r="UZ22" i="2" s="1"/>
  <c r="UZ23" i="2" s="1"/>
  <c r="UY4" i="2"/>
  <c r="UY5" i="2" s="1"/>
  <c r="UY6" i="2" s="1"/>
  <c r="UY7" i="2" s="1"/>
  <c r="UY8" i="2" s="1"/>
  <c r="UY9" i="2" s="1"/>
  <c r="UY10" i="2" s="1"/>
  <c r="UY11" i="2" s="1"/>
  <c r="UY12" i="2" s="1"/>
  <c r="UY13" i="2" s="1"/>
  <c r="UY14" i="2" s="1"/>
  <c r="UY15" i="2" s="1"/>
  <c r="UY16" i="2" s="1"/>
  <c r="UY17" i="2" s="1"/>
  <c r="UY18" i="2" s="1"/>
  <c r="UY19" i="2" s="1"/>
  <c r="UY20" i="2" s="1"/>
  <c r="UY21" i="2" s="1"/>
  <c r="UY22" i="2" s="1"/>
  <c r="UY23" i="2" s="1"/>
  <c r="UX4" i="2"/>
  <c r="UX5" i="2" s="1"/>
  <c r="UX6" i="2" s="1"/>
  <c r="UX7" i="2" s="1"/>
  <c r="UX8" i="2" s="1"/>
  <c r="UX9" i="2" s="1"/>
  <c r="UX10" i="2" s="1"/>
  <c r="UX11" i="2" s="1"/>
  <c r="UX12" i="2" s="1"/>
  <c r="UX13" i="2" s="1"/>
  <c r="UX14" i="2" s="1"/>
  <c r="UX15" i="2" s="1"/>
  <c r="UX16" i="2" s="1"/>
  <c r="UX17" i="2" s="1"/>
  <c r="UX18" i="2" s="1"/>
  <c r="UX19" i="2" s="1"/>
  <c r="UX20" i="2" s="1"/>
  <c r="UX21" i="2" s="1"/>
  <c r="UX22" i="2" s="1"/>
  <c r="UX23" i="2" s="1"/>
  <c r="UW4" i="2"/>
  <c r="UW5" i="2" s="1"/>
  <c r="UW6" i="2" s="1"/>
  <c r="UW7" i="2" s="1"/>
  <c r="UW8" i="2" s="1"/>
  <c r="UW9" i="2" s="1"/>
  <c r="UW10" i="2" s="1"/>
  <c r="UW11" i="2" s="1"/>
  <c r="UW12" i="2" s="1"/>
  <c r="UW13" i="2" s="1"/>
  <c r="UW14" i="2" s="1"/>
  <c r="UW15" i="2" s="1"/>
  <c r="UW16" i="2" s="1"/>
  <c r="UW17" i="2" s="1"/>
  <c r="UW18" i="2" s="1"/>
  <c r="UW19" i="2" s="1"/>
  <c r="UW20" i="2" s="1"/>
  <c r="UW21" i="2" s="1"/>
  <c r="UW22" i="2" s="1"/>
  <c r="UW23" i="2" s="1"/>
  <c r="UV4" i="2"/>
  <c r="UV5" i="2" s="1"/>
  <c r="UV6" i="2" s="1"/>
  <c r="UV7" i="2" s="1"/>
  <c r="UV8" i="2" s="1"/>
  <c r="UV9" i="2" s="1"/>
  <c r="UV10" i="2" s="1"/>
  <c r="UV11" i="2" s="1"/>
  <c r="UV12" i="2" s="1"/>
  <c r="UV13" i="2" s="1"/>
  <c r="UV14" i="2" s="1"/>
  <c r="UV15" i="2" s="1"/>
  <c r="UV16" i="2" s="1"/>
  <c r="UV17" i="2" s="1"/>
  <c r="UV18" i="2" s="1"/>
  <c r="UV19" i="2" s="1"/>
  <c r="UV20" i="2" s="1"/>
  <c r="UV21" i="2" s="1"/>
  <c r="UV22" i="2" s="1"/>
  <c r="UV23" i="2" s="1"/>
  <c r="UU4" i="2"/>
  <c r="UU5" i="2" s="1"/>
  <c r="UU6" i="2" s="1"/>
  <c r="UU7" i="2" s="1"/>
  <c r="UU8" i="2" s="1"/>
  <c r="UU9" i="2" s="1"/>
  <c r="UU10" i="2" s="1"/>
  <c r="UU11" i="2" s="1"/>
  <c r="UU12" i="2" s="1"/>
  <c r="UU13" i="2" s="1"/>
  <c r="UU14" i="2" s="1"/>
  <c r="UU15" i="2" s="1"/>
  <c r="UU16" i="2" s="1"/>
  <c r="UU17" i="2" s="1"/>
  <c r="UU18" i="2" s="1"/>
  <c r="UU19" i="2" s="1"/>
  <c r="UU20" i="2" s="1"/>
  <c r="UU21" i="2" s="1"/>
  <c r="UU22" i="2" s="1"/>
  <c r="UU23" i="2" s="1"/>
  <c r="UT4" i="2"/>
  <c r="UT5" i="2" s="1"/>
  <c r="UT6" i="2" s="1"/>
  <c r="UT7" i="2" s="1"/>
  <c r="UT8" i="2" s="1"/>
  <c r="UT9" i="2" s="1"/>
  <c r="UT10" i="2" s="1"/>
  <c r="UT11" i="2" s="1"/>
  <c r="UT12" i="2" s="1"/>
  <c r="UT13" i="2" s="1"/>
  <c r="UT14" i="2" s="1"/>
  <c r="UT15" i="2" s="1"/>
  <c r="UT16" i="2" s="1"/>
  <c r="UT17" i="2" s="1"/>
  <c r="UT18" i="2" s="1"/>
  <c r="UT19" i="2" s="1"/>
  <c r="UT20" i="2" s="1"/>
  <c r="UT21" i="2" s="1"/>
  <c r="UT22" i="2" s="1"/>
  <c r="UT23" i="2" s="1"/>
  <c r="US4" i="2"/>
  <c r="US5" i="2" s="1"/>
  <c r="US6" i="2" s="1"/>
  <c r="US7" i="2" s="1"/>
  <c r="US8" i="2" s="1"/>
  <c r="US9" i="2" s="1"/>
  <c r="US10" i="2" s="1"/>
  <c r="US11" i="2" s="1"/>
  <c r="US12" i="2" s="1"/>
  <c r="US13" i="2" s="1"/>
  <c r="US14" i="2" s="1"/>
  <c r="US15" i="2" s="1"/>
  <c r="US16" i="2" s="1"/>
  <c r="US17" i="2" s="1"/>
  <c r="US18" i="2" s="1"/>
  <c r="US19" i="2" s="1"/>
  <c r="US20" i="2" s="1"/>
  <c r="US21" i="2" s="1"/>
  <c r="US22" i="2" s="1"/>
  <c r="US23" i="2" s="1"/>
  <c r="UR4" i="2"/>
  <c r="UR5" i="2" s="1"/>
  <c r="UR6" i="2" s="1"/>
  <c r="UR7" i="2" s="1"/>
  <c r="UR8" i="2" s="1"/>
  <c r="UR9" i="2" s="1"/>
  <c r="UR10" i="2" s="1"/>
  <c r="UR11" i="2" s="1"/>
  <c r="UR12" i="2" s="1"/>
  <c r="UR13" i="2" s="1"/>
  <c r="UR14" i="2" s="1"/>
  <c r="UR15" i="2" s="1"/>
  <c r="UR16" i="2" s="1"/>
  <c r="UR17" i="2" s="1"/>
  <c r="UR18" i="2" s="1"/>
  <c r="UR19" i="2" s="1"/>
  <c r="UR20" i="2" s="1"/>
  <c r="UR21" i="2" s="1"/>
  <c r="UR22" i="2" s="1"/>
  <c r="UR23" i="2" s="1"/>
  <c r="UQ4" i="2"/>
  <c r="UQ5" i="2" s="1"/>
  <c r="UQ6" i="2" s="1"/>
  <c r="UQ7" i="2" s="1"/>
  <c r="UQ8" i="2" s="1"/>
  <c r="UQ9" i="2" s="1"/>
  <c r="UQ10" i="2" s="1"/>
  <c r="UQ11" i="2" s="1"/>
  <c r="UQ12" i="2" s="1"/>
  <c r="UQ13" i="2" s="1"/>
  <c r="UQ14" i="2" s="1"/>
  <c r="UQ15" i="2" s="1"/>
  <c r="UQ16" i="2" s="1"/>
  <c r="UQ17" i="2" s="1"/>
  <c r="UQ18" i="2" s="1"/>
  <c r="UQ19" i="2" s="1"/>
  <c r="UQ20" i="2" s="1"/>
  <c r="UQ21" i="2" s="1"/>
  <c r="UQ22" i="2" s="1"/>
  <c r="UQ23" i="2" s="1"/>
  <c r="UP4" i="2"/>
  <c r="UP5" i="2" s="1"/>
  <c r="UP6" i="2" s="1"/>
  <c r="UP7" i="2" s="1"/>
  <c r="UP8" i="2" s="1"/>
  <c r="UP9" i="2" s="1"/>
  <c r="UP10" i="2" s="1"/>
  <c r="UP11" i="2" s="1"/>
  <c r="UP12" i="2" s="1"/>
  <c r="UP13" i="2" s="1"/>
  <c r="UP14" i="2" s="1"/>
  <c r="UP15" i="2" s="1"/>
  <c r="UP16" i="2" s="1"/>
  <c r="UP17" i="2" s="1"/>
  <c r="UP18" i="2" s="1"/>
  <c r="UP19" i="2" s="1"/>
  <c r="UP20" i="2" s="1"/>
  <c r="UP21" i="2" s="1"/>
  <c r="UP22" i="2" s="1"/>
  <c r="UP23" i="2" s="1"/>
  <c r="UO4" i="2"/>
  <c r="UO5" i="2" s="1"/>
  <c r="UO6" i="2" s="1"/>
  <c r="UO7" i="2" s="1"/>
  <c r="UO8" i="2" s="1"/>
  <c r="UO9" i="2" s="1"/>
  <c r="UO10" i="2" s="1"/>
  <c r="UO11" i="2" s="1"/>
  <c r="UO12" i="2" s="1"/>
  <c r="UO13" i="2" s="1"/>
  <c r="UO14" i="2" s="1"/>
  <c r="UO15" i="2" s="1"/>
  <c r="UO16" i="2" s="1"/>
  <c r="UO17" i="2" s="1"/>
  <c r="UO18" i="2" s="1"/>
  <c r="UO19" i="2" s="1"/>
  <c r="UO20" i="2" s="1"/>
  <c r="UO21" i="2" s="1"/>
  <c r="UO22" i="2" s="1"/>
  <c r="UO23" i="2" s="1"/>
  <c r="UN4" i="2"/>
  <c r="UN5" i="2" s="1"/>
  <c r="UN6" i="2" s="1"/>
  <c r="UN7" i="2" s="1"/>
  <c r="UN8" i="2" s="1"/>
  <c r="UN9" i="2" s="1"/>
  <c r="UN10" i="2" s="1"/>
  <c r="UN11" i="2" s="1"/>
  <c r="UN12" i="2" s="1"/>
  <c r="UN13" i="2" s="1"/>
  <c r="UN14" i="2" s="1"/>
  <c r="UN15" i="2" s="1"/>
  <c r="UN16" i="2" s="1"/>
  <c r="UN17" i="2" s="1"/>
  <c r="UN18" i="2" s="1"/>
  <c r="UN19" i="2" s="1"/>
  <c r="UN20" i="2" s="1"/>
  <c r="UN21" i="2" s="1"/>
  <c r="UN22" i="2" s="1"/>
  <c r="UN23" i="2" s="1"/>
  <c r="UM4" i="2"/>
  <c r="UM5" i="2" s="1"/>
  <c r="UM6" i="2" s="1"/>
  <c r="UM7" i="2" s="1"/>
  <c r="UM8" i="2" s="1"/>
  <c r="UM9" i="2" s="1"/>
  <c r="UM10" i="2" s="1"/>
  <c r="UM11" i="2" s="1"/>
  <c r="UM12" i="2" s="1"/>
  <c r="UM13" i="2" s="1"/>
  <c r="UM14" i="2" s="1"/>
  <c r="UM15" i="2" s="1"/>
  <c r="UM16" i="2" s="1"/>
  <c r="UM17" i="2" s="1"/>
  <c r="UM18" i="2" s="1"/>
  <c r="UM19" i="2" s="1"/>
  <c r="UM20" i="2" s="1"/>
  <c r="UM21" i="2" s="1"/>
  <c r="UM22" i="2" s="1"/>
  <c r="UM23" i="2" s="1"/>
  <c r="UL4" i="2"/>
  <c r="UL5" i="2" s="1"/>
  <c r="UL6" i="2" s="1"/>
  <c r="UL7" i="2" s="1"/>
  <c r="UL8" i="2" s="1"/>
  <c r="UL9" i="2" s="1"/>
  <c r="UL10" i="2" s="1"/>
  <c r="UL11" i="2" s="1"/>
  <c r="UL12" i="2" s="1"/>
  <c r="UL13" i="2" s="1"/>
  <c r="UL14" i="2" s="1"/>
  <c r="UL15" i="2" s="1"/>
  <c r="UL16" i="2" s="1"/>
  <c r="UL17" i="2" s="1"/>
  <c r="UL18" i="2" s="1"/>
  <c r="UL19" i="2" s="1"/>
  <c r="UL20" i="2" s="1"/>
  <c r="UL21" i="2" s="1"/>
  <c r="UL22" i="2" s="1"/>
  <c r="UL23" i="2" s="1"/>
  <c r="UK4" i="2"/>
  <c r="UK5" i="2" s="1"/>
  <c r="UK6" i="2" s="1"/>
  <c r="UK7" i="2" s="1"/>
  <c r="UK8" i="2" s="1"/>
  <c r="UK9" i="2" s="1"/>
  <c r="UK10" i="2" s="1"/>
  <c r="UK11" i="2" s="1"/>
  <c r="UK12" i="2" s="1"/>
  <c r="UK13" i="2" s="1"/>
  <c r="UK14" i="2" s="1"/>
  <c r="UK15" i="2" s="1"/>
  <c r="UK16" i="2" s="1"/>
  <c r="UK17" i="2" s="1"/>
  <c r="UK18" i="2" s="1"/>
  <c r="UK19" i="2" s="1"/>
  <c r="UK20" i="2" s="1"/>
  <c r="UK21" i="2" s="1"/>
  <c r="UK22" i="2" s="1"/>
  <c r="UK23" i="2" s="1"/>
  <c r="UJ4" i="2"/>
  <c r="UJ5" i="2" s="1"/>
  <c r="UJ6" i="2" s="1"/>
  <c r="UJ7" i="2" s="1"/>
  <c r="UJ8" i="2" s="1"/>
  <c r="UJ9" i="2" s="1"/>
  <c r="UJ10" i="2" s="1"/>
  <c r="UJ11" i="2" s="1"/>
  <c r="UJ12" i="2" s="1"/>
  <c r="UJ13" i="2" s="1"/>
  <c r="UJ14" i="2" s="1"/>
  <c r="UJ15" i="2" s="1"/>
  <c r="UJ16" i="2" s="1"/>
  <c r="UJ17" i="2" s="1"/>
  <c r="UJ18" i="2" s="1"/>
  <c r="UJ19" i="2" s="1"/>
  <c r="UJ20" i="2" s="1"/>
  <c r="UJ21" i="2" s="1"/>
  <c r="UJ22" i="2" s="1"/>
  <c r="UJ23" i="2" s="1"/>
  <c r="UI4" i="2"/>
  <c r="UI5" i="2" s="1"/>
  <c r="UI6" i="2" s="1"/>
  <c r="UI7" i="2" s="1"/>
  <c r="UI8" i="2" s="1"/>
  <c r="UI9" i="2" s="1"/>
  <c r="UI10" i="2" s="1"/>
  <c r="UI11" i="2" s="1"/>
  <c r="UI12" i="2" s="1"/>
  <c r="UI13" i="2" s="1"/>
  <c r="UI14" i="2" s="1"/>
  <c r="UI15" i="2" s="1"/>
  <c r="UI16" i="2" s="1"/>
  <c r="UI17" i="2" s="1"/>
  <c r="UI18" i="2" s="1"/>
  <c r="UI19" i="2" s="1"/>
  <c r="UI20" i="2" s="1"/>
  <c r="UI21" i="2" s="1"/>
  <c r="UI22" i="2" s="1"/>
  <c r="UI23" i="2" s="1"/>
  <c r="UH4" i="2"/>
  <c r="UH5" i="2" s="1"/>
  <c r="UH6" i="2" s="1"/>
  <c r="UH7" i="2" s="1"/>
  <c r="UH8" i="2" s="1"/>
  <c r="UH9" i="2" s="1"/>
  <c r="UH10" i="2" s="1"/>
  <c r="UH11" i="2" s="1"/>
  <c r="UH12" i="2" s="1"/>
  <c r="UH13" i="2" s="1"/>
  <c r="UH14" i="2" s="1"/>
  <c r="UH15" i="2" s="1"/>
  <c r="UH16" i="2" s="1"/>
  <c r="UH17" i="2" s="1"/>
  <c r="UH18" i="2" s="1"/>
  <c r="UH19" i="2" s="1"/>
  <c r="UH20" i="2" s="1"/>
  <c r="UH21" i="2" s="1"/>
  <c r="UH22" i="2" s="1"/>
  <c r="UH23" i="2" s="1"/>
  <c r="UG4" i="2"/>
  <c r="UG5" i="2" s="1"/>
  <c r="UG6" i="2" s="1"/>
  <c r="UG7" i="2" s="1"/>
  <c r="UG8" i="2" s="1"/>
  <c r="UG9" i="2" s="1"/>
  <c r="UG10" i="2" s="1"/>
  <c r="UG11" i="2" s="1"/>
  <c r="UG12" i="2" s="1"/>
  <c r="UG13" i="2" s="1"/>
  <c r="UG14" i="2" s="1"/>
  <c r="UG15" i="2" s="1"/>
  <c r="UG16" i="2" s="1"/>
  <c r="UG17" i="2" s="1"/>
  <c r="UG18" i="2" s="1"/>
  <c r="UG19" i="2" s="1"/>
  <c r="UG20" i="2" s="1"/>
  <c r="UG21" i="2" s="1"/>
  <c r="UG22" i="2" s="1"/>
  <c r="UG23" i="2" s="1"/>
  <c r="UF4" i="2"/>
  <c r="UF5" i="2" s="1"/>
  <c r="UF6" i="2" s="1"/>
  <c r="UF7" i="2" s="1"/>
  <c r="UF8" i="2" s="1"/>
  <c r="UF9" i="2" s="1"/>
  <c r="UF10" i="2" s="1"/>
  <c r="UF11" i="2" s="1"/>
  <c r="UF12" i="2" s="1"/>
  <c r="UF13" i="2" s="1"/>
  <c r="UF14" i="2" s="1"/>
  <c r="UF15" i="2" s="1"/>
  <c r="UF16" i="2" s="1"/>
  <c r="UF17" i="2" s="1"/>
  <c r="UF18" i="2" s="1"/>
  <c r="UF19" i="2" s="1"/>
  <c r="UF20" i="2" s="1"/>
  <c r="UF21" i="2" s="1"/>
  <c r="UF22" i="2" s="1"/>
  <c r="UF23" i="2" s="1"/>
  <c r="UE4" i="2"/>
  <c r="UE5" i="2" s="1"/>
  <c r="UE6" i="2" s="1"/>
  <c r="UE7" i="2" s="1"/>
  <c r="UE8" i="2" s="1"/>
  <c r="UE9" i="2" s="1"/>
  <c r="UE10" i="2" s="1"/>
  <c r="UE11" i="2" s="1"/>
  <c r="UE12" i="2" s="1"/>
  <c r="UE13" i="2" s="1"/>
  <c r="UE14" i="2" s="1"/>
  <c r="UE15" i="2" s="1"/>
  <c r="UE16" i="2" s="1"/>
  <c r="UE17" i="2" s="1"/>
  <c r="UE18" i="2" s="1"/>
  <c r="UE19" i="2" s="1"/>
  <c r="UE20" i="2" s="1"/>
  <c r="UE21" i="2" s="1"/>
  <c r="UE22" i="2" s="1"/>
  <c r="UE23" i="2" s="1"/>
  <c r="UD4" i="2"/>
  <c r="UD5" i="2" s="1"/>
  <c r="UD6" i="2" s="1"/>
  <c r="UD7" i="2" s="1"/>
  <c r="UD8" i="2" s="1"/>
  <c r="UD9" i="2" s="1"/>
  <c r="UD10" i="2" s="1"/>
  <c r="UD11" i="2" s="1"/>
  <c r="UD12" i="2" s="1"/>
  <c r="UD13" i="2" s="1"/>
  <c r="UD14" i="2" s="1"/>
  <c r="UD15" i="2" s="1"/>
  <c r="UD16" i="2" s="1"/>
  <c r="UD17" i="2" s="1"/>
  <c r="UD18" i="2" s="1"/>
  <c r="UD19" i="2" s="1"/>
  <c r="UD20" i="2" s="1"/>
  <c r="UD21" i="2" s="1"/>
  <c r="UD22" i="2" s="1"/>
  <c r="UD23" i="2" s="1"/>
  <c r="UC4" i="2"/>
  <c r="UC5" i="2" s="1"/>
  <c r="UC6" i="2" s="1"/>
  <c r="UC7" i="2" s="1"/>
  <c r="UC8" i="2" s="1"/>
  <c r="UC9" i="2" s="1"/>
  <c r="UC10" i="2" s="1"/>
  <c r="UC11" i="2" s="1"/>
  <c r="UC12" i="2" s="1"/>
  <c r="UC13" i="2" s="1"/>
  <c r="UC14" i="2" s="1"/>
  <c r="UC15" i="2" s="1"/>
  <c r="UC16" i="2" s="1"/>
  <c r="UC17" i="2" s="1"/>
  <c r="UC18" i="2" s="1"/>
  <c r="UC19" i="2" s="1"/>
  <c r="UC20" i="2" s="1"/>
  <c r="UC21" i="2" s="1"/>
  <c r="UC22" i="2" s="1"/>
  <c r="UC23" i="2" s="1"/>
  <c r="UB4" i="2"/>
  <c r="UB5" i="2" s="1"/>
  <c r="UB6" i="2" s="1"/>
  <c r="UB7" i="2" s="1"/>
  <c r="UB8" i="2" s="1"/>
  <c r="UB9" i="2" s="1"/>
  <c r="UB10" i="2" s="1"/>
  <c r="UB11" i="2" s="1"/>
  <c r="UB12" i="2" s="1"/>
  <c r="UB13" i="2" s="1"/>
  <c r="UB14" i="2" s="1"/>
  <c r="UB15" i="2" s="1"/>
  <c r="UB16" i="2" s="1"/>
  <c r="UB17" i="2" s="1"/>
  <c r="UB18" i="2" s="1"/>
  <c r="UB19" i="2" s="1"/>
  <c r="UB20" i="2" s="1"/>
  <c r="UB21" i="2" s="1"/>
  <c r="UB22" i="2" s="1"/>
  <c r="UB23" i="2" s="1"/>
  <c r="UA4" i="2"/>
  <c r="UA5" i="2" s="1"/>
  <c r="UA6" i="2" s="1"/>
  <c r="UA7" i="2" s="1"/>
  <c r="UA8" i="2" s="1"/>
  <c r="UA9" i="2" s="1"/>
  <c r="UA10" i="2" s="1"/>
  <c r="UA11" i="2" s="1"/>
  <c r="UA12" i="2" s="1"/>
  <c r="UA13" i="2" s="1"/>
  <c r="UA14" i="2" s="1"/>
  <c r="UA15" i="2" s="1"/>
  <c r="UA16" i="2" s="1"/>
  <c r="UA17" i="2" s="1"/>
  <c r="UA18" i="2" s="1"/>
  <c r="UA19" i="2" s="1"/>
  <c r="UA20" i="2" s="1"/>
  <c r="UA21" i="2" s="1"/>
  <c r="UA22" i="2" s="1"/>
  <c r="UA23" i="2" s="1"/>
  <c r="TZ4" i="2"/>
  <c r="TZ5" i="2" s="1"/>
  <c r="TZ6" i="2" s="1"/>
  <c r="TZ7" i="2" s="1"/>
  <c r="TZ8" i="2" s="1"/>
  <c r="TZ9" i="2" s="1"/>
  <c r="TZ10" i="2" s="1"/>
  <c r="TZ11" i="2" s="1"/>
  <c r="TZ12" i="2" s="1"/>
  <c r="TZ13" i="2" s="1"/>
  <c r="TZ14" i="2" s="1"/>
  <c r="TZ15" i="2" s="1"/>
  <c r="TZ16" i="2" s="1"/>
  <c r="TZ17" i="2" s="1"/>
  <c r="TZ18" i="2" s="1"/>
  <c r="TZ19" i="2" s="1"/>
  <c r="TZ20" i="2" s="1"/>
  <c r="TZ21" i="2" s="1"/>
  <c r="TZ22" i="2" s="1"/>
  <c r="TZ23" i="2" s="1"/>
  <c r="TY4" i="2"/>
  <c r="TY5" i="2" s="1"/>
  <c r="TY6" i="2" s="1"/>
  <c r="TY7" i="2" s="1"/>
  <c r="TY8" i="2" s="1"/>
  <c r="TY9" i="2" s="1"/>
  <c r="TY10" i="2" s="1"/>
  <c r="TY11" i="2" s="1"/>
  <c r="TY12" i="2" s="1"/>
  <c r="TY13" i="2" s="1"/>
  <c r="TY14" i="2" s="1"/>
  <c r="TY15" i="2" s="1"/>
  <c r="TY16" i="2" s="1"/>
  <c r="TY17" i="2" s="1"/>
  <c r="TY18" i="2" s="1"/>
  <c r="TY19" i="2" s="1"/>
  <c r="TY20" i="2" s="1"/>
  <c r="TY21" i="2" s="1"/>
  <c r="TY22" i="2" s="1"/>
  <c r="TY23" i="2" s="1"/>
  <c r="TX4" i="2"/>
  <c r="TX5" i="2" s="1"/>
  <c r="TX6" i="2" s="1"/>
  <c r="TX7" i="2" s="1"/>
  <c r="TX8" i="2" s="1"/>
  <c r="TX9" i="2" s="1"/>
  <c r="TX10" i="2" s="1"/>
  <c r="TX11" i="2" s="1"/>
  <c r="TX12" i="2" s="1"/>
  <c r="TX13" i="2" s="1"/>
  <c r="TX14" i="2" s="1"/>
  <c r="TX15" i="2" s="1"/>
  <c r="TX16" i="2" s="1"/>
  <c r="TX17" i="2" s="1"/>
  <c r="TX18" i="2" s="1"/>
  <c r="TX19" i="2" s="1"/>
  <c r="TX20" i="2" s="1"/>
  <c r="TX21" i="2" s="1"/>
  <c r="TX22" i="2" s="1"/>
  <c r="TX23" i="2" s="1"/>
  <c r="TW4" i="2"/>
  <c r="TW5" i="2" s="1"/>
  <c r="TW6" i="2" s="1"/>
  <c r="TW7" i="2" s="1"/>
  <c r="TW8" i="2" s="1"/>
  <c r="TW9" i="2" s="1"/>
  <c r="TW10" i="2" s="1"/>
  <c r="TW11" i="2" s="1"/>
  <c r="TW12" i="2" s="1"/>
  <c r="TW13" i="2" s="1"/>
  <c r="TW14" i="2" s="1"/>
  <c r="TW15" i="2" s="1"/>
  <c r="TW16" i="2" s="1"/>
  <c r="TW17" i="2" s="1"/>
  <c r="TW18" i="2" s="1"/>
  <c r="TW19" i="2" s="1"/>
  <c r="TW20" i="2" s="1"/>
  <c r="TW21" i="2" s="1"/>
  <c r="TW22" i="2" s="1"/>
  <c r="TW23" i="2" s="1"/>
  <c r="TV4" i="2"/>
  <c r="TV5" i="2" s="1"/>
  <c r="TV6" i="2" s="1"/>
  <c r="TV7" i="2" s="1"/>
  <c r="TV8" i="2" s="1"/>
  <c r="TV9" i="2" s="1"/>
  <c r="TV10" i="2" s="1"/>
  <c r="TV11" i="2" s="1"/>
  <c r="TV12" i="2" s="1"/>
  <c r="TV13" i="2" s="1"/>
  <c r="TV14" i="2" s="1"/>
  <c r="TV15" i="2" s="1"/>
  <c r="TV16" i="2" s="1"/>
  <c r="TV17" i="2" s="1"/>
  <c r="TV18" i="2" s="1"/>
  <c r="TV19" i="2" s="1"/>
  <c r="TV20" i="2" s="1"/>
  <c r="TV21" i="2" s="1"/>
  <c r="TV22" i="2" s="1"/>
  <c r="TV23" i="2" s="1"/>
  <c r="TU4" i="2"/>
  <c r="TU5" i="2" s="1"/>
  <c r="TU6" i="2" s="1"/>
  <c r="TU7" i="2" s="1"/>
  <c r="TU8" i="2" s="1"/>
  <c r="TU9" i="2" s="1"/>
  <c r="TU10" i="2" s="1"/>
  <c r="TU11" i="2" s="1"/>
  <c r="TU12" i="2" s="1"/>
  <c r="TU13" i="2" s="1"/>
  <c r="TU14" i="2" s="1"/>
  <c r="TU15" i="2" s="1"/>
  <c r="TU16" i="2" s="1"/>
  <c r="TU17" i="2" s="1"/>
  <c r="TU18" i="2" s="1"/>
  <c r="TU19" i="2" s="1"/>
  <c r="TU20" i="2" s="1"/>
  <c r="TU21" i="2" s="1"/>
  <c r="TU22" i="2" s="1"/>
  <c r="TU23" i="2" s="1"/>
  <c r="TT4" i="2"/>
  <c r="TT5" i="2" s="1"/>
  <c r="TT6" i="2" s="1"/>
  <c r="TT7" i="2" s="1"/>
  <c r="TT8" i="2" s="1"/>
  <c r="TT9" i="2" s="1"/>
  <c r="TT10" i="2" s="1"/>
  <c r="TT11" i="2" s="1"/>
  <c r="TT12" i="2" s="1"/>
  <c r="TT13" i="2" s="1"/>
  <c r="TT14" i="2" s="1"/>
  <c r="TT15" i="2" s="1"/>
  <c r="TT16" i="2" s="1"/>
  <c r="TT17" i="2" s="1"/>
  <c r="TT18" i="2" s="1"/>
  <c r="TT19" i="2" s="1"/>
  <c r="TT20" i="2" s="1"/>
  <c r="TT21" i="2" s="1"/>
  <c r="TT22" i="2" s="1"/>
  <c r="TT23" i="2" s="1"/>
  <c r="TS4" i="2"/>
  <c r="TS5" i="2" s="1"/>
  <c r="TS6" i="2" s="1"/>
  <c r="TS7" i="2" s="1"/>
  <c r="TS8" i="2" s="1"/>
  <c r="TS9" i="2" s="1"/>
  <c r="TS10" i="2" s="1"/>
  <c r="TS11" i="2" s="1"/>
  <c r="TS12" i="2" s="1"/>
  <c r="TS13" i="2" s="1"/>
  <c r="TS14" i="2" s="1"/>
  <c r="TS15" i="2" s="1"/>
  <c r="TS16" i="2" s="1"/>
  <c r="TS17" i="2" s="1"/>
  <c r="TS18" i="2" s="1"/>
  <c r="TS19" i="2" s="1"/>
  <c r="TS20" i="2" s="1"/>
  <c r="TS21" i="2" s="1"/>
  <c r="TS22" i="2" s="1"/>
  <c r="TS23" i="2" s="1"/>
  <c r="TR4" i="2"/>
  <c r="TR5" i="2" s="1"/>
  <c r="TR6" i="2" s="1"/>
  <c r="TR7" i="2" s="1"/>
  <c r="TR8" i="2" s="1"/>
  <c r="TR9" i="2" s="1"/>
  <c r="TR10" i="2" s="1"/>
  <c r="TR11" i="2" s="1"/>
  <c r="TR12" i="2" s="1"/>
  <c r="TR13" i="2" s="1"/>
  <c r="TR14" i="2" s="1"/>
  <c r="TR15" i="2" s="1"/>
  <c r="TR16" i="2" s="1"/>
  <c r="TR17" i="2" s="1"/>
  <c r="TR18" i="2" s="1"/>
  <c r="TR19" i="2" s="1"/>
  <c r="TR20" i="2" s="1"/>
  <c r="TR21" i="2" s="1"/>
  <c r="TR22" i="2" s="1"/>
  <c r="TR23" i="2" s="1"/>
  <c r="TQ4" i="2"/>
  <c r="TQ5" i="2" s="1"/>
  <c r="TQ6" i="2" s="1"/>
  <c r="TQ7" i="2" s="1"/>
  <c r="TQ8" i="2" s="1"/>
  <c r="TQ9" i="2" s="1"/>
  <c r="TQ10" i="2" s="1"/>
  <c r="TQ11" i="2" s="1"/>
  <c r="TQ12" i="2" s="1"/>
  <c r="TQ13" i="2" s="1"/>
  <c r="TQ14" i="2" s="1"/>
  <c r="TQ15" i="2" s="1"/>
  <c r="TQ16" i="2" s="1"/>
  <c r="TQ17" i="2" s="1"/>
  <c r="TQ18" i="2" s="1"/>
  <c r="TQ19" i="2" s="1"/>
  <c r="TQ20" i="2" s="1"/>
  <c r="TQ21" i="2" s="1"/>
  <c r="TQ22" i="2" s="1"/>
  <c r="TQ23" i="2" s="1"/>
  <c r="TP4" i="2"/>
  <c r="TP5" i="2" s="1"/>
  <c r="TP6" i="2" s="1"/>
  <c r="TP7" i="2" s="1"/>
  <c r="TP8" i="2" s="1"/>
  <c r="TP9" i="2" s="1"/>
  <c r="TP10" i="2" s="1"/>
  <c r="TP11" i="2" s="1"/>
  <c r="TP12" i="2" s="1"/>
  <c r="TP13" i="2" s="1"/>
  <c r="TP14" i="2" s="1"/>
  <c r="TP15" i="2" s="1"/>
  <c r="TP16" i="2" s="1"/>
  <c r="TP17" i="2" s="1"/>
  <c r="TP18" i="2" s="1"/>
  <c r="TP19" i="2" s="1"/>
  <c r="TP20" i="2" s="1"/>
  <c r="TP21" i="2" s="1"/>
  <c r="TP22" i="2" s="1"/>
  <c r="TP23" i="2" s="1"/>
  <c r="TO4" i="2"/>
  <c r="TO5" i="2" s="1"/>
  <c r="TO6" i="2" s="1"/>
  <c r="TO7" i="2" s="1"/>
  <c r="TO8" i="2" s="1"/>
  <c r="TO9" i="2" s="1"/>
  <c r="TO10" i="2" s="1"/>
  <c r="TO11" i="2" s="1"/>
  <c r="TO12" i="2" s="1"/>
  <c r="TO13" i="2" s="1"/>
  <c r="TO14" i="2" s="1"/>
  <c r="TO15" i="2" s="1"/>
  <c r="TO16" i="2" s="1"/>
  <c r="TO17" i="2" s="1"/>
  <c r="TO18" i="2" s="1"/>
  <c r="TO19" i="2" s="1"/>
  <c r="TO20" i="2" s="1"/>
  <c r="TO21" i="2" s="1"/>
  <c r="TO22" i="2" s="1"/>
  <c r="TO23" i="2" s="1"/>
  <c r="TN4" i="2"/>
  <c r="TN5" i="2" s="1"/>
  <c r="TN6" i="2" s="1"/>
  <c r="TN7" i="2" s="1"/>
  <c r="TN8" i="2" s="1"/>
  <c r="TN9" i="2" s="1"/>
  <c r="TN10" i="2" s="1"/>
  <c r="TN11" i="2" s="1"/>
  <c r="TN12" i="2" s="1"/>
  <c r="TN13" i="2" s="1"/>
  <c r="TN14" i="2" s="1"/>
  <c r="TN15" i="2" s="1"/>
  <c r="TN16" i="2" s="1"/>
  <c r="TN17" i="2" s="1"/>
  <c r="TN18" i="2" s="1"/>
  <c r="TN19" i="2" s="1"/>
  <c r="TN20" i="2" s="1"/>
  <c r="TN21" i="2" s="1"/>
  <c r="TN22" i="2" s="1"/>
  <c r="TN23" i="2" s="1"/>
  <c r="TM4" i="2"/>
  <c r="TM5" i="2" s="1"/>
  <c r="TM6" i="2" s="1"/>
  <c r="TM7" i="2" s="1"/>
  <c r="TM8" i="2" s="1"/>
  <c r="TM9" i="2" s="1"/>
  <c r="TM10" i="2" s="1"/>
  <c r="TM11" i="2" s="1"/>
  <c r="TM12" i="2" s="1"/>
  <c r="TM13" i="2" s="1"/>
  <c r="TM14" i="2" s="1"/>
  <c r="TM15" i="2" s="1"/>
  <c r="TM16" i="2" s="1"/>
  <c r="TM17" i="2" s="1"/>
  <c r="TM18" i="2" s="1"/>
  <c r="TM19" i="2" s="1"/>
  <c r="TM20" i="2" s="1"/>
  <c r="TM21" i="2" s="1"/>
  <c r="TM22" i="2" s="1"/>
  <c r="TM23" i="2" s="1"/>
  <c r="TL4" i="2"/>
  <c r="TL5" i="2" s="1"/>
  <c r="TL6" i="2" s="1"/>
  <c r="TL7" i="2" s="1"/>
  <c r="TL8" i="2" s="1"/>
  <c r="TL9" i="2" s="1"/>
  <c r="TL10" i="2" s="1"/>
  <c r="TL11" i="2" s="1"/>
  <c r="TL12" i="2" s="1"/>
  <c r="TL13" i="2" s="1"/>
  <c r="TL14" i="2" s="1"/>
  <c r="TL15" i="2" s="1"/>
  <c r="TL16" i="2" s="1"/>
  <c r="TL17" i="2" s="1"/>
  <c r="TL18" i="2" s="1"/>
  <c r="TL19" i="2" s="1"/>
  <c r="TL20" i="2" s="1"/>
  <c r="TL21" i="2" s="1"/>
  <c r="TL22" i="2" s="1"/>
  <c r="TL23" i="2" s="1"/>
  <c r="TK4" i="2"/>
  <c r="TK5" i="2" s="1"/>
  <c r="TK6" i="2" s="1"/>
  <c r="TK7" i="2" s="1"/>
  <c r="TK8" i="2" s="1"/>
  <c r="TK9" i="2" s="1"/>
  <c r="TK10" i="2" s="1"/>
  <c r="TK11" i="2" s="1"/>
  <c r="TK12" i="2" s="1"/>
  <c r="TK13" i="2" s="1"/>
  <c r="TK14" i="2" s="1"/>
  <c r="TK15" i="2" s="1"/>
  <c r="TK16" i="2" s="1"/>
  <c r="TK17" i="2" s="1"/>
  <c r="TK18" i="2" s="1"/>
  <c r="TK19" i="2" s="1"/>
  <c r="TK20" i="2" s="1"/>
  <c r="TK21" i="2" s="1"/>
  <c r="TK22" i="2" s="1"/>
  <c r="TK23" i="2" s="1"/>
  <c r="TJ4" i="2"/>
  <c r="TJ5" i="2" s="1"/>
  <c r="TJ6" i="2" s="1"/>
  <c r="TJ7" i="2" s="1"/>
  <c r="TJ8" i="2" s="1"/>
  <c r="TJ9" i="2" s="1"/>
  <c r="TJ10" i="2" s="1"/>
  <c r="TJ11" i="2" s="1"/>
  <c r="TJ12" i="2" s="1"/>
  <c r="TJ13" i="2" s="1"/>
  <c r="TJ14" i="2" s="1"/>
  <c r="TJ15" i="2" s="1"/>
  <c r="TJ16" i="2" s="1"/>
  <c r="TJ17" i="2" s="1"/>
  <c r="TJ18" i="2" s="1"/>
  <c r="TJ19" i="2" s="1"/>
  <c r="TJ20" i="2" s="1"/>
  <c r="TJ21" i="2" s="1"/>
  <c r="TJ22" i="2" s="1"/>
  <c r="TJ23" i="2" s="1"/>
  <c r="TI4" i="2"/>
  <c r="TI5" i="2" s="1"/>
  <c r="TI6" i="2" s="1"/>
  <c r="TI7" i="2" s="1"/>
  <c r="TI8" i="2" s="1"/>
  <c r="TI9" i="2" s="1"/>
  <c r="TI10" i="2" s="1"/>
  <c r="TI11" i="2" s="1"/>
  <c r="TI12" i="2" s="1"/>
  <c r="TI13" i="2" s="1"/>
  <c r="TI14" i="2" s="1"/>
  <c r="TI15" i="2" s="1"/>
  <c r="TI16" i="2" s="1"/>
  <c r="TI17" i="2" s="1"/>
  <c r="TI18" i="2" s="1"/>
  <c r="TI19" i="2" s="1"/>
  <c r="TI20" i="2" s="1"/>
  <c r="TI21" i="2" s="1"/>
  <c r="TI22" i="2" s="1"/>
  <c r="TI23" i="2" s="1"/>
  <c r="TH4" i="2"/>
  <c r="TH5" i="2" s="1"/>
  <c r="TH6" i="2" s="1"/>
  <c r="TH7" i="2" s="1"/>
  <c r="TH8" i="2" s="1"/>
  <c r="TH9" i="2" s="1"/>
  <c r="TH10" i="2" s="1"/>
  <c r="TH11" i="2" s="1"/>
  <c r="TH12" i="2" s="1"/>
  <c r="TH13" i="2" s="1"/>
  <c r="TH14" i="2" s="1"/>
  <c r="TH15" i="2" s="1"/>
  <c r="TH16" i="2" s="1"/>
  <c r="TH17" i="2" s="1"/>
  <c r="TH18" i="2" s="1"/>
  <c r="TH19" i="2" s="1"/>
  <c r="TH20" i="2" s="1"/>
  <c r="TH21" i="2" s="1"/>
  <c r="TH22" i="2" s="1"/>
  <c r="TH23" i="2" s="1"/>
  <c r="TG4" i="2"/>
  <c r="TG5" i="2" s="1"/>
  <c r="TG6" i="2" s="1"/>
  <c r="TG7" i="2" s="1"/>
  <c r="TG8" i="2" s="1"/>
  <c r="TG9" i="2" s="1"/>
  <c r="TG10" i="2" s="1"/>
  <c r="TG11" i="2" s="1"/>
  <c r="TG12" i="2" s="1"/>
  <c r="TG13" i="2" s="1"/>
  <c r="TG14" i="2" s="1"/>
  <c r="TG15" i="2" s="1"/>
  <c r="TG16" i="2" s="1"/>
  <c r="TG17" i="2" s="1"/>
  <c r="TG18" i="2" s="1"/>
  <c r="TG19" i="2" s="1"/>
  <c r="TG20" i="2" s="1"/>
  <c r="TG21" i="2" s="1"/>
  <c r="TG22" i="2" s="1"/>
  <c r="TG23" i="2" s="1"/>
  <c r="TF4" i="2"/>
  <c r="TF5" i="2" s="1"/>
  <c r="TF6" i="2" s="1"/>
  <c r="TF7" i="2" s="1"/>
  <c r="TF8" i="2" s="1"/>
  <c r="TF9" i="2" s="1"/>
  <c r="TF10" i="2" s="1"/>
  <c r="TF11" i="2" s="1"/>
  <c r="TF12" i="2" s="1"/>
  <c r="TF13" i="2" s="1"/>
  <c r="TF14" i="2" s="1"/>
  <c r="TF15" i="2" s="1"/>
  <c r="TF16" i="2" s="1"/>
  <c r="TF17" i="2" s="1"/>
  <c r="TF18" i="2" s="1"/>
  <c r="TF19" i="2" s="1"/>
  <c r="TF20" i="2" s="1"/>
  <c r="TF21" i="2" s="1"/>
  <c r="TF22" i="2" s="1"/>
  <c r="TF23" i="2" s="1"/>
  <c r="TE4" i="2"/>
  <c r="TE5" i="2" s="1"/>
  <c r="TE6" i="2" s="1"/>
  <c r="TE7" i="2" s="1"/>
  <c r="TE8" i="2" s="1"/>
  <c r="TE9" i="2" s="1"/>
  <c r="TE10" i="2" s="1"/>
  <c r="TE11" i="2" s="1"/>
  <c r="TE12" i="2" s="1"/>
  <c r="TE13" i="2" s="1"/>
  <c r="TE14" i="2" s="1"/>
  <c r="TE15" i="2" s="1"/>
  <c r="TE16" i="2" s="1"/>
  <c r="TE17" i="2" s="1"/>
  <c r="TE18" i="2" s="1"/>
  <c r="TE19" i="2" s="1"/>
  <c r="TE20" i="2" s="1"/>
  <c r="TE21" i="2" s="1"/>
  <c r="TE22" i="2" s="1"/>
  <c r="TE23" i="2" s="1"/>
  <c r="TD4" i="2"/>
  <c r="TD5" i="2" s="1"/>
  <c r="TD6" i="2" s="1"/>
  <c r="TD7" i="2" s="1"/>
  <c r="TD8" i="2" s="1"/>
  <c r="TD9" i="2" s="1"/>
  <c r="TD10" i="2" s="1"/>
  <c r="TD11" i="2" s="1"/>
  <c r="TD12" i="2" s="1"/>
  <c r="TD13" i="2" s="1"/>
  <c r="TD14" i="2" s="1"/>
  <c r="TD15" i="2" s="1"/>
  <c r="TD16" i="2" s="1"/>
  <c r="TD17" i="2" s="1"/>
  <c r="TD18" i="2" s="1"/>
  <c r="TD19" i="2" s="1"/>
  <c r="TD20" i="2" s="1"/>
  <c r="TD21" i="2" s="1"/>
  <c r="TD22" i="2" s="1"/>
  <c r="TD23" i="2" s="1"/>
  <c r="TC4" i="2"/>
  <c r="TC5" i="2" s="1"/>
  <c r="TC6" i="2" s="1"/>
  <c r="TC7" i="2" s="1"/>
  <c r="TC8" i="2" s="1"/>
  <c r="TC9" i="2" s="1"/>
  <c r="TC10" i="2" s="1"/>
  <c r="TC11" i="2" s="1"/>
  <c r="TC12" i="2" s="1"/>
  <c r="TC13" i="2" s="1"/>
  <c r="TC14" i="2" s="1"/>
  <c r="TC15" i="2" s="1"/>
  <c r="TC16" i="2" s="1"/>
  <c r="TC17" i="2" s="1"/>
  <c r="TC18" i="2" s="1"/>
  <c r="TC19" i="2" s="1"/>
  <c r="TC20" i="2" s="1"/>
  <c r="TC21" i="2" s="1"/>
  <c r="TC22" i="2" s="1"/>
  <c r="TC23" i="2" s="1"/>
  <c r="TB4" i="2"/>
  <c r="TB5" i="2" s="1"/>
  <c r="TB6" i="2" s="1"/>
  <c r="TB7" i="2" s="1"/>
  <c r="TB8" i="2" s="1"/>
  <c r="TB9" i="2" s="1"/>
  <c r="TB10" i="2" s="1"/>
  <c r="TB11" i="2" s="1"/>
  <c r="TB12" i="2" s="1"/>
  <c r="TB13" i="2" s="1"/>
  <c r="TB14" i="2" s="1"/>
  <c r="TB15" i="2" s="1"/>
  <c r="TB16" i="2" s="1"/>
  <c r="TB17" i="2" s="1"/>
  <c r="TB18" i="2" s="1"/>
  <c r="TB19" i="2" s="1"/>
  <c r="TB20" i="2" s="1"/>
  <c r="TB21" i="2" s="1"/>
  <c r="TB22" i="2" s="1"/>
  <c r="TB23" i="2" s="1"/>
  <c r="TA4" i="2"/>
  <c r="TA5" i="2" s="1"/>
  <c r="TA6" i="2" s="1"/>
  <c r="TA7" i="2" s="1"/>
  <c r="TA8" i="2" s="1"/>
  <c r="TA9" i="2" s="1"/>
  <c r="TA10" i="2" s="1"/>
  <c r="TA11" i="2" s="1"/>
  <c r="TA12" i="2" s="1"/>
  <c r="TA13" i="2" s="1"/>
  <c r="TA14" i="2" s="1"/>
  <c r="TA15" i="2" s="1"/>
  <c r="TA16" i="2" s="1"/>
  <c r="TA17" i="2" s="1"/>
  <c r="TA18" i="2" s="1"/>
  <c r="TA19" i="2" s="1"/>
  <c r="TA20" i="2" s="1"/>
  <c r="TA21" i="2" s="1"/>
  <c r="TA22" i="2" s="1"/>
  <c r="TA23" i="2" s="1"/>
  <c r="SZ4" i="2"/>
  <c r="SZ5" i="2" s="1"/>
  <c r="SZ6" i="2" s="1"/>
  <c r="SZ7" i="2" s="1"/>
  <c r="SZ8" i="2" s="1"/>
  <c r="SZ9" i="2" s="1"/>
  <c r="SZ10" i="2" s="1"/>
  <c r="SZ11" i="2" s="1"/>
  <c r="SZ12" i="2" s="1"/>
  <c r="SZ13" i="2" s="1"/>
  <c r="SZ14" i="2" s="1"/>
  <c r="SZ15" i="2" s="1"/>
  <c r="SZ16" i="2" s="1"/>
  <c r="SZ17" i="2" s="1"/>
  <c r="SZ18" i="2" s="1"/>
  <c r="SZ19" i="2" s="1"/>
  <c r="SZ20" i="2" s="1"/>
  <c r="SZ21" i="2" s="1"/>
  <c r="SZ22" i="2" s="1"/>
  <c r="SZ23" i="2" s="1"/>
  <c r="SY4" i="2"/>
  <c r="SY5" i="2" s="1"/>
  <c r="SY6" i="2" s="1"/>
  <c r="SY7" i="2" s="1"/>
  <c r="SY8" i="2" s="1"/>
  <c r="SY9" i="2" s="1"/>
  <c r="SY10" i="2" s="1"/>
  <c r="SY11" i="2" s="1"/>
  <c r="SY12" i="2" s="1"/>
  <c r="SY13" i="2" s="1"/>
  <c r="SY14" i="2" s="1"/>
  <c r="SY15" i="2" s="1"/>
  <c r="SY16" i="2" s="1"/>
  <c r="SY17" i="2" s="1"/>
  <c r="SY18" i="2" s="1"/>
  <c r="SY19" i="2" s="1"/>
  <c r="SY20" i="2" s="1"/>
  <c r="SY21" i="2" s="1"/>
  <c r="SY22" i="2" s="1"/>
  <c r="SY23" i="2" s="1"/>
  <c r="SX4" i="2"/>
  <c r="SX5" i="2" s="1"/>
  <c r="SX6" i="2" s="1"/>
  <c r="SX7" i="2" s="1"/>
  <c r="SX8" i="2" s="1"/>
  <c r="SX9" i="2" s="1"/>
  <c r="SX10" i="2" s="1"/>
  <c r="SX11" i="2" s="1"/>
  <c r="SX12" i="2" s="1"/>
  <c r="SX13" i="2" s="1"/>
  <c r="SX14" i="2" s="1"/>
  <c r="SX15" i="2" s="1"/>
  <c r="SX16" i="2" s="1"/>
  <c r="SX17" i="2" s="1"/>
  <c r="SX18" i="2" s="1"/>
  <c r="SX19" i="2" s="1"/>
  <c r="SX20" i="2" s="1"/>
  <c r="SX21" i="2" s="1"/>
  <c r="SX22" i="2" s="1"/>
  <c r="SX23" i="2" s="1"/>
  <c r="SW4" i="2"/>
  <c r="SW5" i="2" s="1"/>
  <c r="SW6" i="2" s="1"/>
  <c r="SW7" i="2" s="1"/>
  <c r="SW8" i="2" s="1"/>
  <c r="SW9" i="2" s="1"/>
  <c r="SW10" i="2" s="1"/>
  <c r="SW11" i="2" s="1"/>
  <c r="SW12" i="2" s="1"/>
  <c r="SW13" i="2" s="1"/>
  <c r="SW14" i="2" s="1"/>
  <c r="SW15" i="2" s="1"/>
  <c r="SW16" i="2" s="1"/>
  <c r="SW17" i="2" s="1"/>
  <c r="SW18" i="2" s="1"/>
  <c r="SW19" i="2" s="1"/>
  <c r="SW20" i="2" s="1"/>
  <c r="SW21" i="2" s="1"/>
  <c r="SW22" i="2" s="1"/>
  <c r="SW23" i="2" s="1"/>
  <c r="SV4" i="2"/>
  <c r="SV5" i="2" s="1"/>
  <c r="SV6" i="2" s="1"/>
  <c r="SV7" i="2" s="1"/>
  <c r="SV8" i="2" s="1"/>
  <c r="SV9" i="2" s="1"/>
  <c r="SV10" i="2" s="1"/>
  <c r="SV11" i="2" s="1"/>
  <c r="SV12" i="2" s="1"/>
  <c r="SV13" i="2" s="1"/>
  <c r="SV14" i="2" s="1"/>
  <c r="SV15" i="2" s="1"/>
  <c r="SV16" i="2" s="1"/>
  <c r="SV17" i="2" s="1"/>
  <c r="SV18" i="2" s="1"/>
  <c r="SV19" i="2" s="1"/>
  <c r="SV20" i="2" s="1"/>
  <c r="SV21" i="2" s="1"/>
  <c r="SV22" i="2" s="1"/>
  <c r="SV23" i="2" s="1"/>
  <c r="SU4" i="2"/>
  <c r="SU5" i="2" s="1"/>
  <c r="SU6" i="2" s="1"/>
  <c r="SU7" i="2" s="1"/>
  <c r="SU8" i="2" s="1"/>
  <c r="SU9" i="2" s="1"/>
  <c r="SU10" i="2" s="1"/>
  <c r="SU11" i="2" s="1"/>
  <c r="SU12" i="2" s="1"/>
  <c r="SU13" i="2" s="1"/>
  <c r="SU14" i="2" s="1"/>
  <c r="SU15" i="2" s="1"/>
  <c r="SU16" i="2" s="1"/>
  <c r="SU17" i="2" s="1"/>
  <c r="SU18" i="2" s="1"/>
  <c r="SU19" i="2" s="1"/>
  <c r="SU20" i="2" s="1"/>
  <c r="SU21" i="2" s="1"/>
  <c r="SU22" i="2" s="1"/>
  <c r="SU23" i="2" s="1"/>
  <c r="ST4" i="2"/>
  <c r="ST5" i="2" s="1"/>
  <c r="ST6" i="2" s="1"/>
  <c r="ST7" i="2" s="1"/>
  <c r="ST8" i="2" s="1"/>
  <c r="ST9" i="2" s="1"/>
  <c r="ST10" i="2" s="1"/>
  <c r="ST11" i="2" s="1"/>
  <c r="ST12" i="2" s="1"/>
  <c r="ST13" i="2" s="1"/>
  <c r="ST14" i="2" s="1"/>
  <c r="ST15" i="2" s="1"/>
  <c r="ST16" i="2" s="1"/>
  <c r="ST17" i="2" s="1"/>
  <c r="ST18" i="2" s="1"/>
  <c r="ST19" i="2" s="1"/>
  <c r="ST20" i="2" s="1"/>
  <c r="ST21" i="2" s="1"/>
  <c r="ST22" i="2" s="1"/>
  <c r="ST23" i="2" s="1"/>
  <c r="SS4" i="2"/>
  <c r="SS5" i="2" s="1"/>
  <c r="SS6" i="2" s="1"/>
  <c r="SS7" i="2" s="1"/>
  <c r="SS8" i="2" s="1"/>
  <c r="SS9" i="2" s="1"/>
  <c r="SS10" i="2" s="1"/>
  <c r="SS11" i="2" s="1"/>
  <c r="SS12" i="2" s="1"/>
  <c r="SS13" i="2" s="1"/>
  <c r="SS14" i="2" s="1"/>
  <c r="SS15" i="2" s="1"/>
  <c r="SS16" i="2" s="1"/>
  <c r="SS17" i="2" s="1"/>
  <c r="SS18" i="2" s="1"/>
  <c r="SS19" i="2" s="1"/>
  <c r="SS20" i="2" s="1"/>
  <c r="SS21" i="2" s="1"/>
  <c r="SS22" i="2" s="1"/>
  <c r="SS23" i="2" s="1"/>
  <c r="SR4" i="2"/>
  <c r="SR5" i="2" s="1"/>
  <c r="SR6" i="2" s="1"/>
  <c r="SR7" i="2" s="1"/>
  <c r="SR8" i="2" s="1"/>
  <c r="SR9" i="2" s="1"/>
  <c r="SR10" i="2" s="1"/>
  <c r="SR11" i="2" s="1"/>
  <c r="SR12" i="2" s="1"/>
  <c r="SR13" i="2" s="1"/>
  <c r="SR14" i="2" s="1"/>
  <c r="SR15" i="2" s="1"/>
  <c r="SR16" i="2" s="1"/>
  <c r="SR17" i="2" s="1"/>
  <c r="SR18" i="2" s="1"/>
  <c r="SR19" i="2" s="1"/>
  <c r="SR20" i="2" s="1"/>
  <c r="SR21" i="2" s="1"/>
  <c r="SR22" i="2" s="1"/>
  <c r="SR23" i="2" s="1"/>
  <c r="SQ4" i="2"/>
  <c r="SQ5" i="2" s="1"/>
  <c r="SQ6" i="2" s="1"/>
  <c r="SQ7" i="2" s="1"/>
  <c r="SQ8" i="2" s="1"/>
  <c r="SQ9" i="2" s="1"/>
  <c r="SQ10" i="2" s="1"/>
  <c r="SQ11" i="2" s="1"/>
  <c r="SQ12" i="2" s="1"/>
  <c r="SQ13" i="2" s="1"/>
  <c r="SQ14" i="2" s="1"/>
  <c r="SQ15" i="2" s="1"/>
  <c r="SQ16" i="2" s="1"/>
  <c r="SQ17" i="2" s="1"/>
  <c r="SQ18" i="2" s="1"/>
  <c r="SQ19" i="2" s="1"/>
  <c r="SQ20" i="2" s="1"/>
  <c r="SQ21" i="2" s="1"/>
  <c r="SQ22" i="2" s="1"/>
  <c r="SQ23" i="2" s="1"/>
  <c r="SP4" i="2"/>
  <c r="SP5" i="2" s="1"/>
  <c r="SP6" i="2" s="1"/>
  <c r="SP7" i="2" s="1"/>
  <c r="SP8" i="2" s="1"/>
  <c r="SP9" i="2" s="1"/>
  <c r="SP10" i="2" s="1"/>
  <c r="SP11" i="2" s="1"/>
  <c r="SP12" i="2" s="1"/>
  <c r="SP13" i="2" s="1"/>
  <c r="SP14" i="2" s="1"/>
  <c r="SP15" i="2" s="1"/>
  <c r="SP16" i="2" s="1"/>
  <c r="SP17" i="2" s="1"/>
  <c r="SP18" i="2" s="1"/>
  <c r="SP19" i="2" s="1"/>
  <c r="SP20" i="2" s="1"/>
  <c r="SP21" i="2" s="1"/>
  <c r="SP22" i="2" s="1"/>
  <c r="SP23" i="2" s="1"/>
  <c r="SO4" i="2"/>
  <c r="SO5" i="2" s="1"/>
  <c r="SO6" i="2" s="1"/>
  <c r="SO7" i="2" s="1"/>
  <c r="SO8" i="2" s="1"/>
  <c r="SO9" i="2" s="1"/>
  <c r="SO10" i="2" s="1"/>
  <c r="SO11" i="2" s="1"/>
  <c r="SO12" i="2" s="1"/>
  <c r="SO13" i="2" s="1"/>
  <c r="SO14" i="2" s="1"/>
  <c r="SO15" i="2" s="1"/>
  <c r="SO16" i="2" s="1"/>
  <c r="SO17" i="2" s="1"/>
  <c r="SO18" i="2" s="1"/>
  <c r="SO19" i="2" s="1"/>
  <c r="SO20" i="2" s="1"/>
  <c r="SO21" i="2" s="1"/>
  <c r="SO22" i="2" s="1"/>
  <c r="SO23" i="2" s="1"/>
  <c r="SN4" i="2"/>
  <c r="SN5" i="2" s="1"/>
  <c r="SN6" i="2" s="1"/>
  <c r="SN7" i="2" s="1"/>
  <c r="SN8" i="2" s="1"/>
  <c r="SN9" i="2" s="1"/>
  <c r="SN10" i="2" s="1"/>
  <c r="SN11" i="2" s="1"/>
  <c r="SN12" i="2" s="1"/>
  <c r="SN13" i="2" s="1"/>
  <c r="SN14" i="2" s="1"/>
  <c r="SN15" i="2" s="1"/>
  <c r="SN16" i="2" s="1"/>
  <c r="SN17" i="2" s="1"/>
  <c r="SN18" i="2" s="1"/>
  <c r="SN19" i="2" s="1"/>
  <c r="SN20" i="2" s="1"/>
  <c r="SN21" i="2" s="1"/>
  <c r="SN22" i="2" s="1"/>
  <c r="SN23" i="2" s="1"/>
  <c r="SM4" i="2"/>
  <c r="SM5" i="2" s="1"/>
  <c r="SM6" i="2" s="1"/>
  <c r="SM7" i="2" s="1"/>
  <c r="SM8" i="2" s="1"/>
  <c r="SM9" i="2" s="1"/>
  <c r="SM10" i="2" s="1"/>
  <c r="SM11" i="2" s="1"/>
  <c r="SM12" i="2" s="1"/>
  <c r="SM13" i="2" s="1"/>
  <c r="SM14" i="2" s="1"/>
  <c r="SM15" i="2" s="1"/>
  <c r="SM16" i="2" s="1"/>
  <c r="SM17" i="2" s="1"/>
  <c r="SM18" i="2" s="1"/>
  <c r="SM19" i="2" s="1"/>
  <c r="SM20" i="2" s="1"/>
  <c r="SM21" i="2" s="1"/>
  <c r="SM22" i="2" s="1"/>
  <c r="SM23" i="2" s="1"/>
  <c r="SL4" i="2"/>
  <c r="SL5" i="2" s="1"/>
  <c r="SL6" i="2" s="1"/>
  <c r="SL7" i="2" s="1"/>
  <c r="SL8" i="2" s="1"/>
  <c r="SL9" i="2" s="1"/>
  <c r="SL10" i="2" s="1"/>
  <c r="SL11" i="2" s="1"/>
  <c r="SL12" i="2" s="1"/>
  <c r="SL13" i="2" s="1"/>
  <c r="SL14" i="2" s="1"/>
  <c r="SL15" i="2" s="1"/>
  <c r="SL16" i="2" s="1"/>
  <c r="SL17" i="2" s="1"/>
  <c r="SL18" i="2" s="1"/>
  <c r="SL19" i="2" s="1"/>
  <c r="SL20" i="2" s="1"/>
  <c r="SL21" i="2" s="1"/>
  <c r="SL22" i="2" s="1"/>
  <c r="SL23" i="2" s="1"/>
  <c r="SK4" i="2"/>
  <c r="SK5" i="2" s="1"/>
  <c r="SK6" i="2" s="1"/>
  <c r="SK7" i="2" s="1"/>
  <c r="SK8" i="2" s="1"/>
  <c r="SK9" i="2" s="1"/>
  <c r="SK10" i="2" s="1"/>
  <c r="SK11" i="2" s="1"/>
  <c r="SK12" i="2" s="1"/>
  <c r="SK13" i="2" s="1"/>
  <c r="SK14" i="2" s="1"/>
  <c r="SK15" i="2" s="1"/>
  <c r="SK16" i="2" s="1"/>
  <c r="SK17" i="2" s="1"/>
  <c r="SK18" i="2" s="1"/>
  <c r="SK19" i="2" s="1"/>
  <c r="SK20" i="2" s="1"/>
  <c r="SK21" i="2" s="1"/>
  <c r="SK22" i="2" s="1"/>
  <c r="SK23" i="2" s="1"/>
  <c r="SJ4" i="2"/>
  <c r="SJ5" i="2" s="1"/>
  <c r="SJ6" i="2" s="1"/>
  <c r="SJ7" i="2" s="1"/>
  <c r="SJ8" i="2" s="1"/>
  <c r="SJ9" i="2" s="1"/>
  <c r="SJ10" i="2" s="1"/>
  <c r="SJ11" i="2" s="1"/>
  <c r="SJ12" i="2" s="1"/>
  <c r="SJ13" i="2" s="1"/>
  <c r="SJ14" i="2" s="1"/>
  <c r="SJ15" i="2" s="1"/>
  <c r="SJ16" i="2" s="1"/>
  <c r="SJ17" i="2" s="1"/>
  <c r="SJ18" i="2" s="1"/>
  <c r="SJ19" i="2" s="1"/>
  <c r="SJ20" i="2" s="1"/>
  <c r="SJ21" i="2" s="1"/>
  <c r="SJ22" i="2" s="1"/>
  <c r="SJ23" i="2" s="1"/>
  <c r="SI4" i="2"/>
  <c r="SI5" i="2" s="1"/>
  <c r="SI6" i="2" s="1"/>
  <c r="SI7" i="2" s="1"/>
  <c r="SI8" i="2" s="1"/>
  <c r="SI9" i="2" s="1"/>
  <c r="SI10" i="2" s="1"/>
  <c r="SI11" i="2" s="1"/>
  <c r="SI12" i="2" s="1"/>
  <c r="SI13" i="2" s="1"/>
  <c r="SI14" i="2" s="1"/>
  <c r="SI15" i="2" s="1"/>
  <c r="SI16" i="2" s="1"/>
  <c r="SI17" i="2" s="1"/>
  <c r="SI18" i="2" s="1"/>
  <c r="SI19" i="2" s="1"/>
  <c r="SI20" i="2" s="1"/>
  <c r="SI21" i="2" s="1"/>
  <c r="SI22" i="2" s="1"/>
  <c r="SI23" i="2" s="1"/>
  <c r="SH4" i="2"/>
  <c r="SH5" i="2" s="1"/>
  <c r="SH6" i="2" s="1"/>
  <c r="SH7" i="2" s="1"/>
  <c r="SH8" i="2" s="1"/>
  <c r="SH9" i="2" s="1"/>
  <c r="SH10" i="2" s="1"/>
  <c r="SH11" i="2" s="1"/>
  <c r="SH12" i="2" s="1"/>
  <c r="SH13" i="2" s="1"/>
  <c r="SH14" i="2" s="1"/>
  <c r="SH15" i="2" s="1"/>
  <c r="SH16" i="2" s="1"/>
  <c r="SH17" i="2" s="1"/>
  <c r="SH18" i="2" s="1"/>
  <c r="SH19" i="2" s="1"/>
  <c r="SH20" i="2" s="1"/>
  <c r="SH21" i="2" s="1"/>
  <c r="SH22" i="2" s="1"/>
  <c r="SH23" i="2" s="1"/>
  <c r="SG4" i="2"/>
  <c r="SG5" i="2" s="1"/>
  <c r="SG6" i="2" s="1"/>
  <c r="SG7" i="2" s="1"/>
  <c r="SG8" i="2" s="1"/>
  <c r="SG9" i="2" s="1"/>
  <c r="SG10" i="2" s="1"/>
  <c r="SG11" i="2" s="1"/>
  <c r="SG12" i="2" s="1"/>
  <c r="SG13" i="2" s="1"/>
  <c r="SG14" i="2" s="1"/>
  <c r="SG15" i="2" s="1"/>
  <c r="SG16" i="2" s="1"/>
  <c r="SG17" i="2" s="1"/>
  <c r="SG18" i="2" s="1"/>
  <c r="SG19" i="2" s="1"/>
  <c r="SG20" i="2" s="1"/>
  <c r="SG21" i="2" s="1"/>
  <c r="SG22" i="2" s="1"/>
  <c r="SG23" i="2" s="1"/>
  <c r="SF4" i="2"/>
  <c r="SF5" i="2" s="1"/>
  <c r="SF6" i="2" s="1"/>
  <c r="SF7" i="2" s="1"/>
  <c r="SF8" i="2" s="1"/>
  <c r="SF9" i="2" s="1"/>
  <c r="SF10" i="2" s="1"/>
  <c r="SF11" i="2" s="1"/>
  <c r="SF12" i="2" s="1"/>
  <c r="SF13" i="2" s="1"/>
  <c r="SF14" i="2" s="1"/>
  <c r="SF15" i="2" s="1"/>
  <c r="SF16" i="2" s="1"/>
  <c r="SF17" i="2" s="1"/>
  <c r="SF18" i="2" s="1"/>
  <c r="SF19" i="2" s="1"/>
  <c r="SF20" i="2" s="1"/>
  <c r="SF21" i="2" s="1"/>
  <c r="SF22" i="2" s="1"/>
  <c r="SF23" i="2" s="1"/>
  <c r="SE4" i="2"/>
  <c r="SE5" i="2" s="1"/>
  <c r="SE6" i="2" s="1"/>
  <c r="SE7" i="2" s="1"/>
  <c r="SE8" i="2" s="1"/>
  <c r="SE9" i="2" s="1"/>
  <c r="SE10" i="2" s="1"/>
  <c r="SE11" i="2" s="1"/>
  <c r="SE12" i="2" s="1"/>
  <c r="SE13" i="2" s="1"/>
  <c r="SE14" i="2" s="1"/>
  <c r="SE15" i="2" s="1"/>
  <c r="SE16" i="2" s="1"/>
  <c r="SE17" i="2" s="1"/>
  <c r="SE18" i="2" s="1"/>
  <c r="SE19" i="2" s="1"/>
  <c r="SE20" i="2" s="1"/>
  <c r="SE21" i="2" s="1"/>
  <c r="SE22" i="2" s="1"/>
  <c r="SE23" i="2" s="1"/>
  <c r="SD4" i="2"/>
  <c r="SD5" i="2" s="1"/>
  <c r="SD6" i="2" s="1"/>
  <c r="SD7" i="2" s="1"/>
  <c r="SD8" i="2" s="1"/>
  <c r="SD9" i="2" s="1"/>
  <c r="SD10" i="2" s="1"/>
  <c r="SD11" i="2" s="1"/>
  <c r="SD12" i="2" s="1"/>
  <c r="SD13" i="2" s="1"/>
  <c r="SD14" i="2" s="1"/>
  <c r="SD15" i="2" s="1"/>
  <c r="SD16" i="2" s="1"/>
  <c r="SD17" i="2" s="1"/>
  <c r="SD18" i="2" s="1"/>
  <c r="SD19" i="2" s="1"/>
  <c r="SD20" i="2" s="1"/>
  <c r="SD21" i="2" s="1"/>
  <c r="SD22" i="2" s="1"/>
  <c r="SD23" i="2" s="1"/>
  <c r="SC4" i="2"/>
  <c r="SC5" i="2" s="1"/>
  <c r="SC6" i="2" s="1"/>
  <c r="SC7" i="2" s="1"/>
  <c r="SC8" i="2" s="1"/>
  <c r="SC9" i="2" s="1"/>
  <c r="SC10" i="2" s="1"/>
  <c r="SC11" i="2" s="1"/>
  <c r="SC12" i="2" s="1"/>
  <c r="SC13" i="2" s="1"/>
  <c r="SC14" i="2" s="1"/>
  <c r="SC15" i="2" s="1"/>
  <c r="SC16" i="2" s="1"/>
  <c r="SC17" i="2" s="1"/>
  <c r="SC18" i="2" s="1"/>
  <c r="SC19" i="2" s="1"/>
  <c r="SC20" i="2" s="1"/>
  <c r="SC21" i="2" s="1"/>
  <c r="SC22" i="2" s="1"/>
  <c r="SC23" i="2" s="1"/>
  <c r="SB4" i="2"/>
  <c r="SB5" i="2" s="1"/>
  <c r="SB6" i="2" s="1"/>
  <c r="SB7" i="2" s="1"/>
  <c r="SB8" i="2" s="1"/>
  <c r="SB9" i="2" s="1"/>
  <c r="SB10" i="2" s="1"/>
  <c r="SB11" i="2" s="1"/>
  <c r="SB12" i="2" s="1"/>
  <c r="SB13" i="2" s="1"/>
  <c r="SB14" i="2" s="1"/>
  <c r="SB15" i="2" s="1"/>
  <c r="SB16" i="2" s="1"/>
  <c r="SB17" i="2" s="1"/>
  <c r="SB18" i="2" s="1"/>
  <c r="SB19" i="2" s="1"/>
  <c r="SB20" i="2" s="1"/>
  <c r="SB21" i="2" s="1"/>
  <c r="SB22" i="2" s="1"/>
  <c r="SB23" i="2" s="1"/>
  <c r="SA4" i="2"/>
  <c r="SA5" i="2" s="1"/>
  <c r="SA6" i="2" s="1"/>
  <c r="SA7" i="2" s="1"/>
  <c r="SA8" i="2" s="1"/>
  <c r="SA9" i="2" s="1"/>
  <c r="SA10" i="2" s="1"/>
  <c r="SA11" i="2" s="1"/>
  <c r="SA12" i="2" s="1"/>
  <c r="SA13" i="2" s="1"/>
  <c r="SA14" i="2" s="1"/>
  <c r="SA15" i="2" s="1"/>
  <c r="SA16" i="2" s="1"/>
  <c r="SA17" i="2" s="1"/>
  <c r="SA18" i="2" s="1"/>
  <c r="SA19" i="2" s="1"/>
  <c r="SA20" i="2" s="1"/>
  <c r="SA21" i="2" s="1"/>
  <c r="SA22" i="2" s="1"/>
  <c r="SA23" i="2" s="1"/>
  <c r="RZ4" i="2"/>
  <c r="RZ5" i="2" s="1"/>
  <c r="RZ6" i="2" s="1"/>
  <c r="RZ7" i="2" s="1"/>
  <c r="RZ8" i="2" s="1"/>
  <c r="RZ9" i="2" s="1"/>
  <c r="RZ10" i="2" s="1"/>
  <c r="RZ11" i="2" s="1"/>
  <c r="RZ12" i="2" s="1"/>
  <c r="RZ13" i="2" s="1"/>
  <c r="RZ14" i="2" s="1"/>
  <c r="RZ15" i="2" s="1"/>
  <c r="RZ16" i="2" s="1"/>
  <c r="RZ17" i="2" s="1"/>
  <c r="RZ18" i="2" s="1"/>
  <c r="RZ19" i="2" s="1"/>
  <c r="RZ20" i="2" s="1"/>
  <c r="RZ21" i="2" s="1"/>
  <c r="RZ22" i="2" s="1"/>
  <c r="RZ23" i="2" s="1"/>
  <c r="RY4" i="2"/>
  <c r="RY5" i="2" s="1"/>
  <c r="RY6" i="2" s="1"/>
  <c r="RY7" i="2" s="1"/>
  <c r="RY8" i="2" s="1"/>
  <c r="RY9" i="2" s="1"/>
  <c r="RY10" i="2" s="1"/>
  <c r="RY11" i="2" s="1"/>
  <c r="RY12" i="2" s="1"/>
  <c r="RY13" i="2" s="1"/>
  <c r="RY14" i="2" s="1"/>
  <c r="RY15" i="2" s="1"/>
  <c r="RY16" i="2" s="1"/>
  <c r="RY17" i="2" s="1"/>
  <c r="RY18" i="2" s="1"/>
  <c r="RY19" i="2" s="1"/>
  <c r="RY20" i="2" s="1"/>
  <c r="RY21" i="2" s="1"/>
  <c r="RY22" i="2" s="1"/>
  <c r="RY23" i="2" s="1"/>
  <c r="RX4" i="2"/>
  <c r="RX5" i="2" s="1"/>
  <c r="RX6" i="2" s="1"/>
  <c r="RX7" i="2" s="1"/>
  <c r="RX8" i="2" s="1"/>
  <c r="RX9" i="2" s="1"/>
  <c r="RX10" i="2" s="1"/>
  <c r="RX11" i="2" s="1"/>
  <c r="RX12" i="2" s="1"/>
  <c r="RX13" i="2" s="1"/>
  <c r="RX14" i="2" s="1"/>
  <c r="RX15" i="2" s="1"/>
  <c r="RX16" i="2" s="1"/>
  <c r="RX17" i="2" s="1"/>
  <c r="RX18" i="2" s="1"/>
  <c r="RX19" i="2" s="1"/>
  <c r="RX20" i="2" s="1"/>
  <c r="RX21" i="2" s="1"/>
  <c r="RX22" i="2" s="1"/>
  <c r="RX23" i="2" s="1"/>
  <c r="RW4" i="2"/>
  <c r="RW5" i="2" s="1"/>
  <c r="RW6" i="2" s="1"/>
  <c r="RW7" i="2" s="1"/>
  <c r="RW8" i="2" s="1"/>
  <c r="RW9" i="2" s="1"/>
  <c r="RW10" i="2" s="1"/>
  <c r="RW11" i="2" s="1"/>
  <c r="RW12" i="2" s="1"/>
  <c r="RW13" i="2" s="1"/>
  <c r="RW14" i="2" s="1"/>
  <c r="RW15" i="2" s="1"/>
  <c r="RW16" i="2" s="1"/>
  <c r="RW17" i="2" s="1"/>
  <c r="RW18" i="2" s="1"/>
  <c r="RW19" i="2" s="1"/>
  <c r="RW20" i="2" s="1"/>
  <c r="RW21" i="2" s="1"/>
  <c r="RW22" i="2" s="1"/>
  <c r="RW23" i="2" s="1"/>
  <c r="RV4" i="2"/>
  <c r="RV5" i="2" s="1"/>
  <c r="RV6" i="2" s="1"/>
  <c r="RV7" i="2" s="1"/>
  <c r="RV8" i="2" s="1"/>
  <c r="RV9" i="2" s="1"/>
  <c r="RV10" i="2" s="1"/>
  <c r="RV11" i="2" s="1"/>
  <c r="RV12" i="2" s="1"/>
  <c r="RV13" i="2" s="1"/>
  <c r="RV14" i="2" s="1"/>
  <c r="RV15" i="2" s="1"/>
  <c r="RV16" i="2" s="1"/>
  <c r="RV17" i="2" s="1"/>
  <c r="RV18" i="2" s="1"/>
  <c r="RV19" i="2" s="1"/>
  <c r="RV20" i="2" s="1"/>
  <c r="RV21" i="2" s="1"/>
  <c r="RV22" i="2" s="1"/>
  <c r="RV23" i="2" s="1"/>
  <c r="RU4" i="2"/>
  <c r="RU5" i="2" s="1"/>
  <c r="RU6" i="2" s="1"/>
  <c r="RU7" i="2" s="1"/>
  <c r="RU8" i="2" s="1"/>
  <c r="RU9" i="2" s="1"/>
  <c r="RU10" i="2" s="1"/>
  <c r="RU11" i="2" s="1"/>
  <c r="RU12" i="2" s="1"/>
  <c r="RU13" i="2" s="1"/>
  <c r="RU14" i="2" s="1"/>
  <c r="RU15" i="2" s="1"/>
  <c r="RU16" i="2" s="1"/>
  <c r="RU17" i="2" s="1"/>
  <c r="RU18" i="2" s="1"/>
  <c r="RU19" i="2" s="1"/>
  <c r="RU20" i="2" s="1"/>
  <c r="RU21" i="2" s="1"/>
  <c r="RU22" i="2" s="1"/>
  <c r="RU23" i="2" s="1"/>
  <c r="RT4" i="2"/>
  <c r="RT5" i="2" s="1"/>
  <c r="RT6" i="2" s="1"/>
  <c r="RT7" i="2" s="1"/>
  <c r="RT8" i="2" s="1"/>
  <c r="RT9" i="2" s="1"/>
  <c r="RT10" i="2" s="1"/>
  <c r="RT11" i="2" s="1"/>
  <c r="RT12" i="2" s="1"/>
  <c r="RT13" i="2" s="1"/>
  <c r="RT14" i="2" s="1"/>
  <c r="RT15" i="2" s="1"/>
  <c r="RT16" i="2" s="1"/>
  <c r="RT17" i="2" s="1"/>
  <c r="RT18" i="2" s="1"/>
  <c r="RT19" i="2" s="1"/>
  <c r="RT20" i="2" s="1"/>
  <c r="RT21" i="2" s="1"/>
  <c r="RT22" i="2" s="1"/>
  <c r="RT23" i="2" s="1"/>
  <c r="RS4" i="2"/>
  <c r="RS5" i="2" s="1"/>
  <c r="RS6" i="2" s="1"/>
  <c r="RS7" i="2" s="1"/>
  <c r="RS8" i="2" s="1"/>
  <c r="RS9" i="2" s="1"/>
  <c r="RS10" i="2" s="1"/>
  <c r="RS11" i="2" s="1"/>
  <c r="RS12" i="2" s="1"/>
  <c r="RS13" i="2" s="1"/>
  <c r="RS14" i="2" s="1"/>
  <c r="RS15" i="2" s="1"/>
  <c r="RS16" i="2" s="1"/>
  <c r="RS17" i="2" s="1"/>
  <c r="RS18" i="2" s="1"/>
  <c r="RS19" i="2" s="1"/>
  <c r="RS20" i="2" s="1"/>
  <c r="RS21" i="2" s="1"/>
  <c r="RS22" i="2" s="1"/>
  <c r="RS23" i="2" s="1"/>
  <c r="RR4" i="2"/>
  <c r="RR5" i="2" s="1"/>
  <c r="RR6" i="2" s="1"/>
  <c r="RR7" i="2" s="1"/>
  <c r="RR8" i="2" s="1"/>
  <c r="RR9" i="2" s="1"/>
  <c r="RR10" i="2" s="1"/>
  <c r="RR11" i="2" s="1"/>
  <c r="RR12" i="2" s="1"/>
  <c r="RR13" i="2" s="1"/>
  <c r="RR14" i="2" s="1"/>
  <c r="RR15" i="2" s="1"/>
  <c r="RR16" i="2" s="1"/>
  <c r="RR17" i="2" s="1"/>
  <c r="RR18" i="2" s="1"/>
  <c r="RR19" i="2" s="1"/>
  <c r="RR20" i="2" s="1"/>
  <c r="RR21" i="2" s="1"/>
  <c r="RR22" i="2" s="1"/>
  <c r="RR23" i="2" s="1"/>
  <c r="RQ4" i="2"/>
  <c r="RQ5" i="2" s="1"/>
  <c r="RQ6" i="2" s="1"/>
  <c r="RQ7" i="2" s="1"/>
  <c r="RQ8" i="2" s="1"/>
  <c r="RQ9" i="2" s="1"/>
  <c r="RQ10" i="2" s="1"/>
  <c r="RQ11" i="2" s="1"/>
  <c r="RQ12" i="2" s="1"/>
  <c r="RQ13" i="2" s="1"/>
  <c r="RQ14" i="2" s="1"/>
  <c r="RQ15" i="2" s="1"/>
  <c r="RQ16" i="2" s="1"/>
  <c r="RQ17" i="2" s="1"/>
  <c r="RQ18" i="2" s="1"/>
  <c r="RQ19" i="2" s="1"/>
  <c r="RQ20" i="2" s="1"/>
  <c r="RQ21" i="2" s="1"/>
  <c r="RQ22" i="2" s="1"/>
  <c r="RQ23" i="2" s="1"/>
  <c r="RP4" i="2"/>
  <c r="RP5" i="2" s="1"/>
  <c r="RP6" i="2" s="1"/>
  <c r="RP7" i="2" s="1"/>
  <c r="RP8" i="2" s="1"/>
  <c r="RP9" i="2" s="1"/>
  <c r="RP10" i="2" s="1"/>
  <c r="RP11" i="2" s="1"/>
  <c r="RP12" i="2" s="1"/>
  <c r="RP13" i="2" s="1"/>
  <c r="RP14" i="2" s="1"/>
  <c r="RP15" i="2" s="1"/>
  <c r="RP16" i="2" s="1"/>
  <c r="RP17" i="2" s="1"/>
  <c r="RP18" i="2" s="1"/>
  <c r="RP19" i="2" s="1"/>
  <c r="RP20" i="2" s="1"/>
  <c r="RP21" i="2" s="1"/>
  <c r="RP22" i="2" s="1"/>
  <c r="RP23" i="2" s="1"/>
  <c r="RO4" i="2"/>
  <c r="RO5" i="2" s="1"/>
  <c r="RO6" i="2" s="1"/>
  <c r="RO7" i="2" s="1"/>
  <c r="RO8" i="2" s="1"/>
  <c r="RO9" i="2" s="1"/>
  <c r="RO10" i="2" s="1"/>
  <c r="RO11" i="2" s="1"/>
  <c r="RO12" i="2" s="1"/>
  <c r="RO13" i="2" s="1"/>
  <c r="RO14" i="2" s="1"/>
  <c r="RO15" i="2" s="1"/>
  <c r="RO16" i="2" s="1"/>
  <c r="RO17" i="2" s="1"/>
  <c r="RO18" i="2" s="1"/>
  <c r="RO19" i="2" s="1"/>
  <c r="RO20" i="2" s="1"/>
  <c r="RO21" i="2" s="1"/>
  <c r="RO22" i="2" s="1"/>
  <c r="RO23" i="2" s="1"/>
  <c r="RN4" i="2"/>
  <c r="RN5" i="2" s="1"/>
  <c r="RN6" i="2" s="1"/>
  <c r="RN7" i="2" s="1"/>
  <c r="RN8" i="2" s="1"/>
  <c r="RN9" i="2" s="1"/>
  <c r="RN10" i="2" s="1"/>
  <c r="RN11" i="2" s="1"/>
  <c r="RN12" i="2" s="1"/>
  <c r="RN13" i="2" s="1"/>
  <c r="RN14" i="2" s="1"/>
  <c r="RN15" i="2" s="1"/>
  <c r="RN16" i="2" s="1"/>
  <c r="RN17" i="2" s="1"/>
  <c r="RN18" i="2" s="1"/>
  <c r="RN19" i="2" s="1"/>
  <c r="RN20" i="2" s="1"/>
  <c r="RN21" i="2" s="1"/>
  <c r="RN22" i="2" s="1"/>
  <c r="RN23" i="2" s="1"/>
  <c r="RM4" i="2"/>
  <c r="RM5" i="2" s="1"/>
  <c r="RM6" i="2" s="1"/>
  <c r="RM7" i="2" s="1"/>
  <c r="RM8" i="2" s="1"/>
  <c r="RM9" i="2" s="1"/>
  <c r="RM10" i="2" s="1"/>
  <c r="RM11" i="2" s="1"/>
  <c r="RM12" i="2" s="1"/>
  <c r="RM13" i="2" s="1"/>
  <c r="RM14" i="2" s="1"/>
  <c r="RM15" i="2" s="1"/>
  <c r="RM16" i="2" s="1"/>
  <c r="RM17" i="2" s="1"/>
  <c r="RM18" i="2" s="1"/>
  <c r="RM19" i="2" s="1"/>
  <c r="RM20" i="2" s="1"/>
  <c r="RM21" i="2" s="1"/>
  <c r="RM22" i="2" s="1"/>
  <c r="RM23" i="2" s="1"/>
  <c r="RL4" i="2"/>
  <c r="RL5" i="2" s="1"/>
  <c r="RL6" i="2" s="1"/>
  <c r="RL7" i="2" s="1"/>
  <c r="RL8" i="2" s="1"/>
  <c r="RL9" i="2" s="1"/>
  <c r="RL10" i="2" s="1"/>
  <c r="RL11" i="2" s="1"/>
  <c r="RL12" i="2" s="1"/>
  <c r="RL13" i="2" s="1"/>
  <c r="RL14" i="2" s="1"/>
  <c r="RL15" i="2" s="1"/>
  <c r="RL16" i="2" s="1"/>
  <c r="RL17" i="2" s="1"/>
  <c r="RL18" i="2" s="1"/>
  <c r="RL19" i="2" s="1"/>
  <c r="RL20" i="2" s="1"/>
  <c r="RL21" i="2" s="1"/>
  <c r="RL22" i="2" s="1"/>
  <c r="RL23" i="2" s="1"/>
  <c r="RK4" i="2"/>
  <c r="RK5" i="2" s="1"/>
  <c r="RK6" i="2" s="1"/>
  <c r="RK7" i="2" s="1"/>
  <c r="RK8" i="2" s="1"/>
  <c r="RK9" i="2" s="1"/>
  <c r="RK10" i="2" s="1"/>
  <c r="RK11" i="2" s="1"/>
  <c r="RK12" i="2" s="1"/>
  <c r="RK13" i="2" s="1"/>
  <c r="RK14" i="2" s="1"/>
  <c r="RK15" i="2" s="1"/>
  <c r="RK16" i="2" s="1"/>
  <c r="RK17" i="2" s="1"/>
  <c r="RK18" i="2" s="1"/>
  <c r="RK19" i="2" s="1"/>
  <c r="RK20" i="2" s="1"/>
  <c r="RK21" i="2" s="1"/>
  <c r="RK22" i="2" s="1"/>
  <c r="RK23" i="2" s="1"/>
  <c r="RJ4" i="2"/>
  <c r="RJ5" i="2" s="1"/>
  <c r="RJ6" i="2" s="1"/>
  <c r="RJ7" i="2" s="1"/>
  <c r="RJ8" i="2" s="1"/>
  <c r="RJ9" i="2" s="1"/>
  <c r="RJ10" i="2" s="1"/>
  <c r="RJ11" i="2" s="1"/>
  <c r="RJ12" i="2" s="1"/>
  <c r="RJ13" i="2" s="1"/>
  <c r="RJ14" i="2" s="1"/>
  <c r="RJ15" i="2" s="1"/>
  <c r="RJ16" i="2" s="1"/>
  <c r="RJ17" i="2" s="1"/>
  <c r="RJ18" i="2" s="1"/>
  <c r="RJ19" i="2" s="1"/>
  <c r="RJ20" i="2" s="1"/>
  <c r="RJ21" i="2" s="1"/>
  <c r="RJ22" i="2" s="1"/>
  <c r="RJ23" i="2" s="1"/>
  <c r="RI4" i="2"/>
  <c r="RI5" i="2" s="1"/>
  <c r="RI6" i="2" s="1"/>
  <c r="RI7" i="2" s="1"/>
  <c r="RI8" i="2" s="1"/>
  <c r="RI9" i="2" s="1"/>
  <c r="RI10" i="2" s="1"/>
  <c r="RI11" i="2" s="1"/>
  <c r="RI12" i="2" s="1"/>
  <c r="RI13" i="2" s="1"/>
  <c r="RI14" i="2" s="1"/>
  <c r="RI15" i="2" s="1"/>
  <c r="RI16" i="2" s="1"/>
  <c r="RI17" i="2" s="1"/>
  <c r="RI18" i="2" s="1"/>
  <c r="RI19" i="2" s="1"/>
  <c r="RI20" i="2" s="1"/>
  <c r="RI21" i="2" s="1"/>
  <c r="RI22" i="2" s="1"/>
  <c r="RI23" i="2" s="1"/>
  <c r="RH4" i="2"/>
  <c r="RH5" i="2" s="1"/>
  <c r="RH6" i="2" s="1"/>
  <c r="RH7" i="2" s="1"/>
  <c r="RH8" i="2" s="1"/>
  <c r="RH9" i="2" s="1"/>
  <c r="RH10" i="2" s="1"/>
  <c r="RH11" i="2" s="1"/>
  <c r="RH12" i="2" s="1"/>
  <c r="RH13" i="2" s="1"/>
  <c r="RH14" i="2" s="1"/>
  <c r="RH15" i="2" s="1"/>
  <c r="RH16" i="2" s="1"/>
  <c r="RH17" i="2" s="1"/>
  <c r="RH18" i="2" s="1"/>
  <c r="RH19" i="2" s="1"/>
  <c r="RH20" i="2" s="1"/>
  <c r="RH21" i="2" s="1"/>
  <c r="RH22" i="2" s="1"/>
  <c r="RH23" i="2" s="1"/>
  <c r="RG4" i="2"/>
  <c r="RG5" i="2" s="1"/>
  <c r="RG6" i="2" s="1"/>
  <c r="RG7" i="2" s="1"/>
  <c r="RG8" i="2" s="1"/>
  <c r="RG9" i="2" s="1"/>
  <c r="RG10" i="2" s="1"/>
  <c r="RG11" i="2" s="1"/>
  <c r="RG12" i="2" s="1"/>
  <c r="RG13" i="2" s="1"/>
  <c r="RG14" i="2" s="1"/>
  <c r="RG15" i="2" s="1"/>
  <c r="RG16" i="2" s="1"/>
  <c r="RG17" i="2" s="1"/>
  <c r="RG18" i="2" s="1"/>
  <c r="RG19" i="2" s="1"/>
  <c r="RG20" i="2" s="1"/>
  <c r="RG21" i="2" s="1"/>
  <c r="RG22" i="2" s="1"/>
  <c r="RG23" i="2" s="1"/>
  <c r="RF4" i="2"/>
  <c r="RF5" i="2" s="1"/>
  <c r="RF6" i="2" s="1"/>
  <c r="RF7" i="2" s="1"/>
  <c r="RF8" i="2" s="1"/>
  <c r="RF9" i="2" s="1"/>
  <c r="RF10" i="2" s="1"/>
  <c r="RF11" i="2" s="1"/>
  <c r="RF12" i="2" s="1"/>
  <c r="RF13" i="2" s="1"/>
  <c r="RF14" i="2" s="1"/>
  <c r="RF15" i="2" s="1"/>
  <c r="RF16" i="2" s="1"/>
  <c r="RF17" i="2" s="1"/>
  <c r="RF18" i="2" s="1"/>
  <c r="RF19" i="2" s="1"/>
  <c r="RF20" i="2" s="1"/>
  <c r="RF21" i="2" s="1"/>
  <c r="RF22" i="2" s="1"/>
  <c r="RF23" i="2" s="1"/>
  <c r="RE4" i="2"/>
  <c r="RE5" i="2" s="1"/>
  <c r="RE6" i="2" s="1"/>
  <c r="RE7" i="2" s="1"/>
  <c r="RE8" i="2" s="1"/>
  <c r="RE9" i="2" s="1"/>
  <c r="RE10" i="2" s="1"/>
  <c r="RE11" i="2" s="1"/>
  <c r="RE12" i="2" s="1"/>
  <c r="RE13" i="2" s="1"/>
  <c r="RE14" i="2" s="1"/>
  <c r="RE15" i="2" s="1"/>
  <c r="RE16" i="2" s="1"/>
  <c r="RE17" i="2" s="1"/>
  <c r="RE18" i="2" s="1"/>
  <c r="RE19" i="2" s="1"/>
  <c r="RE20" i="2" s="1"/>
  <c r="RE21" i="2" s="1"/>
  <c r="RE22" i="2" s="1"/>
  <c r="RE23" i="2" s="1"/>
  <c r="RD4" i="2"/>
  <c r="RD5" i="2" s="1"/>
  <c r="RD6" i="2" s="1"/>
  <c r="RD7" i="2" s="1"/>
  <c r="RD8" i="2" s="1"/>
  <c r="RD9" i="2" s="1"/>
  <c r="RD10" i="2" s="1"/>
  <c r="RD11" i="2" s="1"/>
  <c r="RD12" i="2" s="1"/>
  <c r="RD13" i="2" s="1"/>
  <c r="RD14" i="2" s="1"/>
  <c r="RD15" i="2" s="1"/>
  <c r="RD16" i="2" s="1"/>
  <c r="RD17" i="2" s="1"/>
  <c r="RD18" i="2" s="1"/>
  <c r="RD19" i="2" s="1"/>
  <c r="RD20" i="2" s="1"/>
  <c r="RD21" i="2" s="1"/>
  <c r="RD22" i="2" s="1"/>
  <c r="RD23" i="2" s="1"/>
  <c r="RC4" i="2"/>
  <c r="RC5" i="2" s="1"/>
  <c r="RC6" i="2" s="1"/>
  <c r="RC7" i="2" s="1"/>
  <c r="RC8" i="2" s="1"/>
  <c r="RC9" i="2" s="1"/>
  <c r="RC10" i="2" s="1"/>
  <c r="RC11" i="2" s="1"/>
  <c r="RC12" i="2" s="1"/>
  <c r="RC13" i="2" s="1"/>
  <c r="RC14" i="2" s="1"/>
  <c r="RC15" i="2" s="1"/>
  <c r="RC16" i="2" s="1"/>
  <c r="RC17" i="2" s="1"/>
  <c r="RC18" i="2" s="1"/>
  <c r="RC19" i="2" s="1"/>
  <c r="RC20" i="2" s="1"/>
  <c r="RC21" i="2" s="1"/>
  <c r="RC22" i="2" s="1"/>
  <c r="RC23" i="2" s="1"/>
  <c r="RB4" i="2"/>
  <c r="RB5" i="2" s="1"/>
  <c r="RB6" i="2" s="1"/>
  <c r="RB7" i="2" s="1"/>
  <c r="RB8" i="2" s="1"/>
  <c r="RB9" i="2" s="1"/>
  <c r="RB10" i="2" s="1"/>
  <c r="RB11" i="2" s="1"/>
  <c r="RB12" i="2" s="1"/>
  <c r="RB13" i="2" s="1"/>
  <c r="RB14" i="2" s="1"/>
  <c r="RB15" i="2" s="1"/>
  <c r="RB16" i="2" s="1"/>
  <c r="RB17" i="2" s="1"/>
  <c r="RB18" i="2" s="1"/>
  <c r="RB19" i="2" s="1"/>
  <c r="RB20" i="2" s="1"/>
  <c r="RB21" i="2" s="1"/>
  <c r="RB22" i="2" s="1"/>
  <c r="RB23" i="2" s="1"/>
  <c r="RA4" i="2"/>
  <c r="RA5" i="2" s="1"/>
  <c r="RA6" i="2" s="1"/>
  <c r="RA7" i="2" s="1"/>
  <c r="RA8" i="2" s="1"/>
  <c r="RA9" i="2" s="1"/>
  <c r="RA10" i="2" s="1"/>
  <c r="RA11" i="2" s="1"/>
  <c r="RA12" i="2" s="1"/>
  <c r="RA13" i="2" s="1"/>
  <c r="RA14" i="2" s="1"/>
  <c r="RA15" i="2" s="1"/>
  <c r="RA16" i="2" s="1"/>
  <c r="RA17" i="2" s="1"/>
  <c r="RA18" i="2" s="1"/>
  <c r="RA19" i="2" s="1"/>
  <c r="RA20" i="2" s="1"/>
  <c r="RA21" i="2" s="1"/>
  <c r="RA22" i="2" s="1"/>
  <c r="RA23" i="2" s="1"/>
  <c r="QZ4" i="2"/>
  <c r="QZ5" i="2" s="1"/>
  <c r="QZ6" i="2" s="1"/>
  <c r="QZ7" i="2" s="1"/>
  <c r="QZ8" i="2" s="1"/>
  <c r="QZ9" i="2" s="1"/>
  <c r="QZ10" i="2" s="1"/>
  <c r="QZ11" i="2" s="1"/>
  <c r="QZ12" i="2" s="1"/>
  <c r="QZ13" i="2" s="1"/>
  <c r="QZ14" i="2" s="1"/>
  <c r="QZ15" i="2" s="1"/>
  <c r="QZ16" i="2" s="1"/>
  <c r="QZ17" i="2" s="1"/>
  <c r="QZ18" i="2" s="1"/>
  <c r="QZ19" i="2" s="1"/>
  <c r="QZ20" i="2" s="1"/>
  <c r="QZ21" i="2" s="1"/>
  <c r="QZ22" i="2" s="1"/>
  <c r="QZ23" i="2" s="1"/>
  <c r="QY4" i="2"/>
  <c r="QY5" i="2" s="1"/>
  <c r="QY6" i="2" s="1"/>
  <c r="QY7" i="2" s="1"/>
  <c r="QY8" i="2" s="1"/>
  <c r="QY9" i="2" s="1"/>
  <c r="QY10" i="2" s="1"/>
  <c r="QY11" i="2" s="1"/>
  <c r="QY12" i="2" s="1"/>
  <c r="QY13" i="2" s="1"/>
  <c r="QY14" i="2" s="1"/>
  <c r="QY15" i="2" s="1"/>
  <c r="QY16" i="2" s="1"/>
  <c r="QY17" i="2" s="1"/>
  <c r="QY18" i="2" s="1"/>
  <c r="QY19" i="2" s="1"/>
  <c r="QY20" i="2" s="1"/>
  <c r="QY21" i="2" s="1"/>
  <c r="QY22" i="2" s="1"/>
  <c r="QY23" i="2" s="1"/>
  <c r="QX4" i="2"/>
  <c r="QX5" i="2" s="1"/>
  <c r="QX6" i="2" s="1"/>
  <c r="QX7" i="2" s="1"/>
  <c r="QX8" i="2" s="1"/>
  <c r="QX9" i="2" s="1"/>
  <c r="QX10" i="2" s="1"/>
  <c r="QX11" i="2" s="1"/>
  <c r="QX12" i="2" s="1"/>
  <c r="QX13" i="2" s="1"/>
  <c r="QX14" i="2" s="1"/>
  <c r="QX15" i="2" s="1"/>
  <c r="QX16" i="2" s="1"/>
  <c r="QX17" i="2" s="1"/>
  <c r="QX18" i="2" s="1"/>
  <c r="QX19" i="2" s="1"/>
  <c r="QX20" i="2" s="1"/>
  <c r="QX21" i="2" s="1"/>
  <c r="QX22" i="2" s="1"/>
  <c r="QX23" i="2" s="1"/>
  <c r="QW4" i="2"/>
  <c r="QW5" i="2" s="1"/>
  <c r="QW6" i="2" s="1"/>
  <c r="QW7" i="2" s="1"/>
  <c r="QW8" i="2" s="1"/>
  <c r="QW9" i="2" s="1"/>
  <c r="QW10" i="2" s="1"/>
  <c r="QW11" i="2" s="1"/>
  <c r="QW12" i="2" s="1"/>
  <c r="QW13" i="2" s="1"/>
  <c r="QW14" i="2" s="1"/>
  <c r="QW15" i="2" s="1"/>
  <c r="QW16" i="2" s="1"/>
  <c r="QW17" i="2" s="1"/>
  <c r="QW18" i="2" s="1"/>
  <c r="QW19" i="2" s="1"/>
  <c r="QW20" i="2" s="1"/>
  <c r="QW21" i="2" s="1"/>
  <c r="QW22" i="2" s="1"/>
  <c r="QW23" i="2" s="1"/>
  <c r="QV4" i="2"/>
  <c r="QV5" i="2" s="1"/>
  <c r="QV6" i="2" s="1"/>
  <c r="QV7" i="2" s="1"/>
  <c r="QV8" i="2" s="1"/>
  <c r="QV9" i="2" s="1"/>
  <c r="QV10" i="2" s="1"/>
  <c r="QV11" i="2" s="1"/>
  <c r="QV12" i="2" s="1"/>
  <c r="QV13" i="2" s="1"/>
  <c r="QV14" i="2" s="1"/>
  <c r="QV15" i="2" s="1"/>
  <c r="QV16" i="2" s="1"/>
  <c r="QV17" i="2" s="1"/>
  <c r="QV18" i="2" s="1"/>
  <c r="QV19" i="2" s="1"/>
  <c r="QV20" i="2" s="1"/>
  <c r="QV21" i="2" s="1"/>
  <c r="QV22" i="2" s="1"/>
  <c r="QV23" i="2" s="1"/>
  <c r="QU4" i="2"/>
  <c r="QU5" i="2" s="1"/>
  <c r="QU6" i="2" s="1"/>
  <c r="QU7" i="2" s="1"/>
  <c r="QU8" i="2" s="1"/>
  <c r="QU9" i="2" s="1"/>
  <c r="QU10" i="2" s="1"/>
  <c r="QU11" i="2" s="1"/>
  <c r="QU12" i="2" s="1"/>
  <c r="QU13" i="2" s="1"/>
  <c r="QU14" i="2" s="1"/>
  <c r="QU15" i="2" s="1"/>
  <c r="QU16" i="2" s="1"/>
  <c r="QU17" i="2" s="1"/>
  <c r="QU18" i="2" s="1"/>
  <c r="QU19" i="2" s="1"/>
  <c r="QU20" i="2" s="1"/>
  <c r="QU21" i="2" s="1"/>
  <c r="QU22" i="2" s="1"/>
  <c r="QU23" i="2" s="1"/>
  <c r="QT4" i="2"/>
  <c r="QT5" i="2" s="1"/>
  <c r="QT6" i="2" s="1"/>
  <c r="QT7" i="2" s="1"/>
  <c r="QT8" i="2" s="1"/>
  <c r="QT9" i="2" s="1"/>
  <c r="QT10" i="2" s="1"/>
  <c r="QT11" i="2" s="1"/>
  <c r="QT12" i="2" s="1"/>
  <c r="QT13" i="2" s="1"/>
  <c r="QT14" i="2" s="1"/>
  <c r="QT15" i="2" s="1"/>
  <c r="QT16" i="2" s="1"/>
  <c r="QT17" i="2" s="1"/>
  <c r="QT18" i="2" s="1"/>
  <c r="QT19" i="2" s="1"/>
  <c r="QT20" i="2" s="1"/>
  <c r="QT21" i="2" s="1"/>
  <c r="QT22" i="2" s="1"/>
  <c r="QT23" i="2" s="1"/>
  <c r="QS4" i="2"/>
  <c r="QS5" i="2" s="1"/>
  <c r="QS6" i="2" s="1"/>
  <c r="QS7" i="2" s="1"/>
  <c r="QS8" i="2" s="1"/>
  <c r="QS9" i="2" s="1"/>
  <c r="QS10" i="2" s="1"/>
  <c r="QS11" i="2" s="1"/>
  <c r="QS12" i="2" s="1"/>
  <c r="QS13" i="2" s="1"/>
  <c r="QS14" i="2" s="1"/>
  <c r="QS15" i="2" s="1"/>
  <c r="QS16" i="2" s="1"/>
  <c r="QS17" i="2" s="1"/>
  <c r="QS18" i="2" s="1"/>
  <c r="QS19" i="2" s="1"/>
  <c r="QS20" i="2" s="1"/>
  <c r="QS21" i="2" s="1"/>
  <c r="QS22" i="2" s="1"/>
  <c r="QS23" i="2" s="1"/>
  <c r="QR4" i="2"/>
  <c r="QR5" i="2" s="1"/>
  <c r="QR6" i="2" s="1"/>
  <c r="QR7" i="2" s="1"/>
  <c r="QR8" i="2" s="1"/>
  <c r="QR9" i="2" s="1"/>
  <c r="QR10" i="2" s="1"/>
  <c r="QR11" i="2" s="1"/>
  <c r="QR12" i="2" s="1"/>
  <c r="QR13" i="2" s="1"/>
  <c r="QR14" i="2" s="1"/>
  <c r="QR15" i="2" s="1"/>
  <c r="QR16" i="2" s="1"/>
  <c r="QR17" i="2" s="1"/>
  <c r="QR18" i="2" s="1"/>
  <c r="QR19" i="2" s="1"/>
  <c r="QR20" i="2" s="1"/>
  <c r="QR21" i="2" s="1"/>
  <c r="QR22" i="2" s="1"/>
  <c r="QR23" i="2" s="1"/>
  <c r="QQ4" i="2"/>
  <c r="QQ5" i="2" s="1"/>
  <c r="QQ6" i="2" s="1"/>
  <c r="QQ7" i="2" s="1"/>
  <c r="QQ8" i="2" s="1"/>
  <c r="QQ9" i="2" s="1"/>
  <c r="QQ10" i="2" s="1"/>
  <c r="QQ11" i="2" s="1"/>
  <c r="QQ12" i="2" s="1"/>
  <c r="QQ13" i="2" s="1"/>
  <c r="QQ14" i="2" s="1"/>
  <c r="QQ15" i="2" s="1"/>
  <c r="QQ16" i="2" s="1"/>
  <c r="QQ17" i="2" s="1"/>
  <c r="QQ18" i="2" s="1"/>
  <c r="QQ19" i="2" s="1"/>
  <c r="QQ20" i="2" s="1"/>
  <c r="QQ21" i="2" s="1"/>
  <c r="QQ22" i="2" s="1"/>
  <c r="QQ23" i="2" s="1"/>
  <c r="QP4" i="2"/>
  <c r="QP5" i="2" s="1"/>
  <c r="QP6" i="2" s="1"/>
  <c r="QP7" i="2" s="1"/>
  <c r="QP8" i="2" s="1"/>
  <c r="QP9" i="2" s="1"/>
  <c r="QP10" i="2" s="1"/>
  <c r="QP11" i="2" s="1"/>
  <c r="QP12" i="2" s="1"/>
  <c r="QP13" i="2" s="1"/>
  <c r="QP14" i="2" s="1"/>
  <c r="QP15" i="2" s="1"/>
  <c r="QP16" i="2" s="1"/>
  <c r="QP17" i="2" s="1"/>
  <c r="QP18" i="2" s="1"/>
  <c r="QP19" i="2" s="1"/>
  <c r="QP20" i="2" s="1"/>
  <c r="QP21" i="2" s="1"/>
  <c r="QP22" i="2" s="1"/>
  <c r="QP23" i="2" s="1"/>
  <c r="QO4" i="2"/>
  <c r="QO5" i="2" s="1"/>
  <c r="QO6" i="2" s="1"/>
  <c r="QO7" i="2" s="1"/>
  <c r="QO8" i="2" s="1"/>
  <c r="QO9" i="2" s="1"/>
  <c r="QO10" i="2" s="1"/>
  <c r="QO11" i="2" s="1"/>
  <c r="QO12" i="2" s="1"/>
  <c r="QO13" i="2" s="1"/>
  <c r="QO14" i="2" s="1"/>
  <c r="QO15" i="2" s="1"/>
  <c r="QO16" i="2" s="1"/>
  <c r="QO17" i="2" s="1"/>
  <c r="QO18" i="2" s="1"/>
  <c r="QO19" i="2" s="1"/>
  <c r="QO20" i="2" s="1"/>
  <c r="QO21" i="2" s="1"/>
  <c r="QO22" i="2" s="1"/>
  <c r="QO23" i="2" s="1"/>
  <c r="QN4" i="2"/>
  <c r="QN5" i="2" s="1"/>
  <c r="QN6" i="2" s="1"/>
  <c r="QN7" i="2" s="1"/>
  <c r="QN8" i="2" s="1"/>
  <c r="QN9" i="2" s="1"/>
  <c r="QN10" i="2" s="1"/>
  <c r="QN11" i="2" s="1"/>
  <c r="QN12" i="2" s="1"/>
  <c r="QN13" i="2" s="1"/>
  <c r="QN14" i="2" s="1"/>
  <c r="QN15" i="2" s="1"/>
  <c r="QN16" i="2" s="1"/>
  <c r="QN17" i="2" s="1"/>
  <c r="QN18" i="2" s="1"/>
  <c r="QN19" i="2" s="1"/>
  <c r="QN20" i="2" s="1"/>
  <c r="QN21" i="2" s="1"/>
  <c r="QN22" i="2" s="1"/>
  <c r="QN23" i="2" s="1"/>
  <c r="QM4" i="2"/>
  <c r="QM5" i="2" s="1"/>
  <c r="QM6" i="2" s="1"/>
  <c r="QM7" i="2" s="1"/>
  <c r="QM8" i="2" s="1"/>
  <c r="QM9" i="2" s="1"/>
  <c r="QM10" i="2" s="1"/>
  <c r="QM11" i="2" s="1"/>
  <c r="QM12" i="2" s="1"/>
  <c r="QM13" i="2" s="1"/>
  <c r="QM14" i="2" s="1"/>
  <c r="QM15" i="2" s="1"/>
  <c r="QM16" i="2" s="1"/>
  <c r="QM17" i="2" s="1"/>
  <c r="QM18" i="2" s="1"/>
  <c r="QM19" i="2" s="1"/>
  <c r="QM20" i="2" s="1"/>
  <c r="QM21" i="2" s="1"/>
  <c r="QM22" i="2" s="1"/>
  <c r="QM23" i="2" s="1"/>
  <c r="QL4" i="2"/>
  <c r="QL5" i="2" s="1"/>
  <c r="QL6" i="2" s="1"/>
  <c r="QL7" i="2" s="1"/>
  <c r="QL8" i="2" s="1"/>
  <c r="QL9" i="2" s="1"/>
  <c r="QL10" i="2" s="1"/>
  <c r="QL11" i="2" s="1"/>
  <c r="QL12" i="2" s="1"/>
  <c r="QL13" i="2" s="1"/>
  <c r="QL14" i="2" s="1"/>
  <c r="QL15" i="2" s="1"/>
  <c r="QL16" i="2" s="1"/>
  <c r="QL17" i="2" s="1"/>
  <c r="QL18" i="2" s="1"/>
  <c r="QL19" i="2" s="1"/>
  <c r="QL20" i="2" s="1"/>
  <c r="QL21" i="2" s="1"/>
  <c r="QL22" i="2" s="1"/>
  <c r="QL23" i="2" s="1"/>
  <c r="QK4" i="2"/>
  <c r="QK5" i="2" s="1"/>
  <c r="QK6" i="2" s="1"/>
  <c r="QK7" i="2" s="1"/>
  <c r="QK8" i="2" s="1"/>
  <c r="QK9" i="2" s="1"/>
  <c r="QK10" i="2" s="1"/>
  <c r="QK11" i="2" s="1"/>
  <c r="QK12" i="2" s="1"/>
  <c r="QK13" i="2" s="1"/>
  <c r="QK14" i="2" s="1"/>
  <c r="QK15" i="2" s="1"/>
  <c r="QK16" i="2" s="1"/>
  <c r="QK17" i="2" s="1"/>
  <c r="QK18" i="2" s="1"/>
  <c r="QK19" i="2" s="1"/>
  <c r="QK20" i="2" s="1"/>
  <c r="QK21" i="2" s="1"/>
  <c r="QK22" i="2" s="1"/>
  <c r="QK23" i="2" s="1"/>
  <c r="QJ4" i="2"/>
  <c r="QJ5" i="2" s="1"/>
  <c r="QJ6" i="2" s="1"/>
  <c r="QJ7" i="2" s="1"/>
  <c r="QJ8" i="2" s="1"/>
  <c r="QJ9" i="2" s="1"/>
  <c r="QJ10" i="2" s="1"/>
  <c r="QJ11" i="2" s="1"/>
  <c r="QJ12" i="2" s="1"/>
  <c r="QJ13" i="2" s="1"/>
  <c r="QJ14" i="2" s="1"/>
  <c r="QJ15" i="2" s="1"/>
  <c r="QJ16" i="2" s="1"/>
  <c r="QJ17" i="2" s="1"/>
  <c r="QJ18" i="2" s="1"/>
  <c r="QJ19" i="2" s="1"/>
  <c r="QJ20" i="2" s="1"/>
  <c r="QJ21" i="2" s="1"/>
  <c r="QJ22" i="2" s="1"/>
  <c r="QJ23" i="2" s="1"/>
  <c r="QI4" i="2"/>
  <c r="QI5" i="2" s="1"/>
  <c r="QI6" i="2" s="1"/>
  <c r="QI7" i="2" s="1"/>
  <c r="QI8" i="2" s="1"/>
  <c r="QI9" i="2" s="1"/>
  <c r="QI10" i="2" s="1"/>
  <c r="QI11" i="2" s="1"/>
  <c r="QI12" i="2" s="1"/>
  <c r="QI13" i="2" s="1"/>
  <c r="QI14" i="2" s="1"/>
  <c r="QI15" i="2" s="1"/>
  <c r="QI16" i="2" s="1"/>
  <c r="QI17" i="2" s="1"/>
  <c r="QI18" i="2" s="1"/>
  <c r="QI19" i="2" s="1"/>
  <c r="QI20" i="2" s="1"/>
  <c r="QI21" i="2" s="1"/>
  <c r="QI22" i="2" s="1"/>
  <c r="QI23" i="2" s="1"/>
  <c r="QH4" i="2"/>
  <c r="QH5" i="2" s="1"/>
  <c r="QH6" i="2" s="1"/>
  <c r="QH7" i="2" s="1"/>
  <c r="QH8" i="2" s="1"/>
  <c r="QH9" i="2" s="1"/>
  <c r="QH10" i="2" s="1"/>
  <c r="QH11" i="2" s="1"/>
  <c r="QH12" i="2" s="1"/>
  <c r="QH13" i="2" s="1"/>
  <c r="QH14" i="2" s="1"/>
  <c r="QH15" i="2" s="1"/>
  <c r="QH16" i="2" s="1"/>
  <c r="QH17" i="2" s="1"/>
  <c r="QH18" i="2" s="1"/>
  <c r="QH19" i="2" s="1"/>
  <c r="QH20" i="2" s="1"/>
  <c r="QH21" i="2" s="1"/>
  <c r="QH22" i="2" s="1"/>
  <c r="QH23" i="2" s="1"/>
  <c r="QG4" i="2"/>
  <c r="QG5" i="2" s="1"/>
  <c r="QG6" i="2" s="1"/>
  <c r="QG7" i="2" s="1"/>
  <c r="QG8" i="2" s="1"/>
  <c r="QG9" i="2" s="1"/>
  <c r="QG10" i="2" s="1"/>
  <c r="QG11" i="2" s="1"/>
  <c r="QG12" i="2" s="1"/>
  <c r="QG13" i="2" s="1"/>
  <c r="QG14" i="2" s="1"/>
  <c r="QG15" i="2" s="1"/>
  <c r="QG16" i="2" s="1"/>
  <c r="QG17" i="2" s="1"/>
  <c r="QG18" i="2" s="1"/>
  <c r="QG19" i="2" s="1"/>
  <c r="QG20" i="2" s="1"/>
  <c r="QG21" i="2" s="1"/>
  <c r="QG22" i="2" s="1"/>
  <c r="QG23" i="2" s="1"/>
  <c r="QF4" i="2"/>
  <c r="QF5" i="2" s="1"/>
  <c r="QF6" i="2" s="1"/>
  <c r="QF7" i="2" s="1"/>
  <c r="QF8" i="2" s="1"/>
  <c r="QF9" i="2" s="1"/>
  <c r="QF10" i="2" s="1"/>
  <c r="QF11" i="2" s="1"/>
  <c r="QF12" i="2" s="1"/>
  <c r="QF13" i="2" s="1"/>
  <c r="QF14" i="2" s="1"/>
  <c r="QF15" i="2" s="1"/>
  <c r="QF16" i="2" s="1"/>
  <c r="QF17" i="2" s="1"/>
  <c r="QF18" i="2" s="1"/>
  <c r="QF19" i="2" s="1"/>
  <c r="QF20" i="2" s="1"/>
  <c r="QF21" i="2" s="1"/>
  <c r="QF22" i="2" s="1"/>
  <c r="QF23" i="2" s="1"/>
  <c r="QE4" i="2"/>
  <c r="QE5" i="2" s="1"/>
  <c r="QE6" i="2" s="1"/>
  <c r="QE7" i="2" s="1"/>
  <c r="QE8" i="2" s="1"/>
  <c r="QE9" i="2" s="1"/>
  <c r="QE10" i="2" s="1"/>
  <c r="QE11" i="2" s="1"/>
  <c r="QE12" i="2" s="1"/>
  <c r="QE13" i="2" s="1"/>
  <c r="QE14" i="2" s="1"/>
  <c r="QE15" i="2" s="1"/>
  <c r="QE16" i="2" s="1"/>
  <c r="QE17" i="2" s="1"/>
  <c r="QE18" i="2" s="1"/>
  <c r="QE19" i="2" s="1"/>
  <c r="QE20" i="2" s="1"/>
  <c r="QE21" i="2" s="1"/>
  <c r="QE22" i="2" s="1"/>
  <c r="QE23" i="2" s="1"/>
  <c r="QD4" i="2"/>
  <c r="QD5" i="2" s="1"/>
  <c r="QD6" i="2" s="1"/>
  <c r="QD7" i="2" s="1"/>
  <c r="QD8" i="2" s="1"/>
  <c r="QD9" i="2" s="1"/>
  <c r="QD10" i="2" s="1"/>
  <c r="QD11" i="2" s="1"/>
  <c r="QD12" i="2" s="1"/>
  <c r="QD13" i="2" s="1"/>
  <c r="QD14" i="2" s="1"/>
  <c r="QD15" i="2" s="1"/>
  <c r="QD16" i="2" s="1"/>
  <c r="QD17" i="2" s="1"/>
  <c r="QD18" i="2" s="1"/>
  <c r="QD19" i="2" s="1"/>
  <c r="QD20" i="2" s="1"/>
  <c r="QD21" i="2" s="1"/>
  <c r="QD22" i="2" s="1"/>
  <c r="QD23" i="2" s="1"/>
  <c r="QC4" i="2"/>
  <c r="QC5" i="2" s="1"/>
  <c r="QC6" i="2" s="1"/>
  <c r="QC7" i="2" s="1"/>
  <c r="QC8" i="2" s="1"/>
  <c r="QC9" i="2" s="1"/>
  <c r="QC10" i="2" s="1"/>
  <c r="QC11" i="2" s="1"/>
  <c r="QC12" i="2" s="1"/>
  <c r="QC13" i="2" s="1"/>
  <c r="QC14" i="2" s="1"/>
  <c r="QC15" i="2" s="1"/>
  <c r="QC16" i="2" s="1"/>
  <c r="QC17" i="2" s="1"/>
  <c r="QC18" i="2" s="1"/>
  <c r="QC19" i="2" s="1"/>
  <c r="QC20" i="2" s="1"/>
  <c r="QC21" i="2" s="1"/>
  <c r="QC22" i="2" s="1"/>
  <c r="QC23" i="2" s="1"/>
  <c r="QB4" i="2"/>
  <c r="QB5" i="2" s="1"/>
  <c r="QB6" i="2" s="1"/>
  <c r="QB7" i="2" s="1"/>
  <c r="QB8" i="2" s="1"/>
  <c r="QB9" i="2" s="1"/>
  <c r="QB10" i="2" s="1"/>
  <c r="QB11" i="2" s="1"/>
  <c r="QB12" i="2" s="1"/>
  <c r="QB13" i="2" s="1"/>
  <c r="QB14" i="2" s="1"/>
  <c r="QB15" i="2" s="1"/>
  <c r="QB16" i="2" s="1"/>
  <c r="QB17" i="2" s="1"/>
  <c r="QB18" i="2" s="1"/>
  <c r="QB19" i="2" s="1"/>
  <c r="QB20" i="2" s="1"/>
  <c r="QB21" i="2" s="1"/>
  <c r="QB22" i="2" s="1"/>
  <c r="QB23" i="2" s="1"/>
  <c r="QA4" i="2"/>
  <c r="QA5" i="2" s="1"/>
  <c r="QA6" i="2" s="1"/>
  <c r="QA7" i="2" s="1"/>
  <c r="QA8" i="2" s="1"/>
  <c r="QA9" i="2" s="1"/>
  <c r="QA10" i="2" s="1"/>
  <c r="QA11" i="2" s="1"/>
  <c r="QA12" i="2" s="1"/>
  <c r="QA13" i="2" s="1"/>
  <c r="QA14" i="2" s="1"/>
  <c r="QA15" i="2" s="1"/>
  <c r="QA16" i="2" s="1"/>
  <c r="QA17" i="2" s="1"/>
  <c r="QA18" i="2" s="1"/>
  <c r="QA19" i="2" s="1"/>
  <c r="QA20" i="2" s="1"/>
  <c r="QA21" i="2" s="1"/>
  <c r="QA22" i="2" s="1"/>
  <c r="QA23" i="2" s="1"/>
  <c r="PZ4" i="2"/>
  <c r="PZ5" i="2" s="1"/>
  <c r="PZ6" i="2" s="1"/>
  <c r="PZ7" i="2" s="1"/>
  <c r="PZ8" i="2" s="1"/>
  <c r="PZ9" i="2" s="1"/>
  <c r="PZ10" i="2" s="1"/>
  <c r="PZ11" i="2" s="1"/>
  <c r="PZ12" i="2" s="1"/>
  <c r="PZ13" i="2" s="1"/>
  <c r="PZ14" i="2" s="1"/>
  <c r="PZ15" i="2" s="1"/>
  <c r="PZ16" i="2" s="1"/>
  <c r="PZ17" i="2" s="1"/>
  <c r="PZ18" i="2" s="1"/>
  <c r="PZ19" i="2" s="1"/>
  <c r="PZ20" i="2" s="1"/>
  <c r="PZ21" i="2" s="1"/>
  <c r="PZ22" i="2" s="1"/>
  <c r="PZ23" i="2" s="1"/>
  <c r="PY4" i="2"/>
  <c r="PY5" i="2" s="1"/>
  <c r="PY6" i="2" s="1"/>
  <c r="PY7" i="2" s="1"/>
  <c r="PY8" i="2" s="1"/>
  <c r="PY9" i="2" s="1"/>
  <c r="PY10" i="2" s="1"/>
  <c r="PY11" i="2" s="1"/>
  <c r="PY12" i="2" s="1"/>
  <c r="PY13" i="2" s="1"/>
  <c r="PY14" i="2" s="1"/>
  <c r="PY15" i="2" s="1"/>
  <c r="PY16" i="2" s="1"/>
  <c r="PY17" i="2" s="1"/>
  <c r="PY18" i="2" s="1"/>
  <c r="PY19" i="2" s="1"/>
  <c r="PY20" i="2" s="1"/>
  <c r="PY21" i="2" s="1"/>
  <c r="PY22" i="2" s="1"/>
  <c r="PY23" i="2" s="1"/>
  <c r="PX4" i="2"/>
  <c r="PX5" i="2" s="1"/>
  <c r="PX6" i="2" s="1"/>
  <c r="PX7" i="2" s="1"/>
  <c r="PX8" i="2" s="1"/>
  <c r="PX9" i="2" s="1"/>
  <c r="PX10" i="2" s="1"/>
  <c r="PX11" i="2" s="1"/>
  <c r="PX12" i="2" s="1"/>
  <c r="PX13" i="2" s="1"/>
  <c r="PX14" i="2" s="1"/>
  <c r="PX15" i="2" s="1"/>
  <c r="PX16" i="2" s="1"/>
  <c r="PX17" i="2" s="1"/>
  <c r="PX18" i="2" s="1"/>
  <c r="PX19" i="2" s="1"/>
  <c r="PX20" i="2" s="1"/>
  <c r="PX21" i="2" s="1"/>
  <c r="PX22" i="2" s="1"/>
  <c r="PX23" i="2" s="1"/>
  <c r="PW4" i="2"/>
  <c r="PW5" i="2" s="1"/>
  <c r="PW6" i="2" s="1"/>
  <c r="PW7" i="2" s="1"/>
  <c r="PW8" i="2" s="1"/>
  <c r="PW9" i="2" s="1"/>
  <c r="PW10" i="2" s="1"/>
  <c r="PW11" i="2" s="1"/>
  <c r="PW12" i="2" s="1"/>
  <c r="PW13" i="2" s="1"/>
  <c r="PW14" i="2" s="1"/>
  <c r="PW15" i="2" s="1"/>
  <c r="PW16" i="2" s="1"/>
  <c r="PW17" i="2" s="1"/>
  <c r="PW18" i="2" s="1"/>
  <c r="PW19" i="2" s="1"/>
  <c r="PW20" i="2" s="1"/>
  <c r="PW21" i="2" s="1"/>
  <c r="PW22" i="2" s="1"/>
  <c r="PW23" i="2" s="1"/>
  <c r="PV4" i="2"/>
  <c r="PV5" i="2" s="1"/>
  <c r="PV6" i="2" s="1"/>
  <c r="PV7" i="2" s="1"/>
  <c r="PV8" i="2" s="1"/>
  <c r="PV9" i="2" s="1"/>
  <c r="PV10" i="2" s="1"/>
  <c r="PV11" i="2" s="1"/>
  <c r="PV12" i="2" s="1"/>
  <c r="PV13" i="2" s="1"/>
  <c r="PV14" i="2" s="1"/>
  <c r="PV15" i="2" s="1"/>
  <c r="PV16" i="2" s="1"/>
  <c r="PV17" i="2" s="1"/>
  <c r="PV18" i="2" s="1"/>
  <c r="PV19" i="2" s="1"/>
  <c r="PV20" i="2" s="1"/>
  <c r="PV21" i="2" s="1"/>
  <c r="PV22" i="2" s="1"/>
  <c r="PV23" i="2" s="1"/>
  <c r="PU4" i="2"/>
  <c r="PU5" i="2" s="1"/>
  <c r="PU6" i="2" s="1"/>
  <c r="PU7" i="2" s="1"/>
  <c r="PU8" i="2" s="1"/>
  <c r="PU9" i="2" s="1"/>
  <c r="PU10" i="2" s="1"/>
  <c r="PU11" i="2" s="1"/>
  <c r="PU12" i="2" s="1"/>
  <c r="PU13" i="2" s="1"/>
  <c r="PU14" i="2" s="1"/>
  <c r="PU15" i="2" s="1"/>
  <c r="PU16" i="2" s="1"/>
  <c r="PU17" i="2" s="1"/>
  <c r="PU18" i="2" s="1"/>
  <c r="PU19" i="2" s="1"/>
  <c r="PU20" i="2" s="1"/>
  <c r="PU21" i="2" s="1"/>
  <c r="PU22" i="2" s="1"/>
  <c r="PU23" i="2" s="1"/>
  <c r="PT4" i="2"/>
  <c r="PT5" i="2" s="1"/>
  <c r="PT6" i="2" s="1"/>
  <c r="PT7" i="2" s="1"/>
  <c r="PT8" i="2" s="1"/>
  <c r="PT9" i="2" s="1"/>
  <c r="PT10" i="2" s="1"/>
  <c r="PT11" i="2" s="1"/>
  <c r="PT12" i="2" s="1"/>
  <c r="PT13" i="2" s="1"/>
  <c r="PT14" i="2" s="1"/>
  <c r="PT15" i="2" s="1"/>
  <c r="PT16" i="2" s="1"/>
  <c r="PT17" i="2" s="1"/>
  <c r="PT18" i="2" s="1"/>
  <c r="PT19" i="2" s="1"/>
  <c r="PT20" i="2" s="1"/>
  <c r="PT21" i="2" s="1"/>
  <c r="PT22" i="2" s="1"/>
  <c r="PT23" i="2" s="1"/>
  <c r="PS4" i="2"/>
  <c r="PS5" i="2" s="1"/>
  <c r="PS6" i="2" s="1"/>
  <c r="PS7" i="2" s="1"/>
  <c r="PS8" i="2" s="1"/>
  <c r="PS9" i="2" s="1"/>
  <c r="PS10" i="2" s="1"/>
  <c r="PS11" i="2" s="1"/>
  <c r="PS12" i="2" s="1"/>
  <c r="PS13" i="2" s="1"/>
  <c r="PS14" i="2" s="1"/>
  <c r="PS15" i="2" s="1"/>
  <c r="PS16" i="2" s="1"/>
  <c r="PS17" i="2" s="1"/>
  <c r="PS18" i="2" s="1"/>
  <c r="PS19" i="2" s="1"/>
  <c r="PS20" i="2" s="1"/>
  <c r="PS21" i="2" s="1"/>
  <c r="PS22" i="2" s="1"/>
  <c r="PS23" i="2" s="1"/>
  <c r="PR4" i="2"/>
  <c r="PR5" i="2" s="1"/>
  <c r="PR6" i="2" s="1"/>
  <c r="PR7" i="2" s="1"/>
  <c r="PR8" i="2" s="1"/>
  <c r="PR9" i="2" s="1"/>
  <c r="PR10" i="2" s="1"/>
  <c r="PR11" i="2" s="1"/>
  <c r="PR12" i="2" s="1"/>
  <c r="PR13" i="2" s="1"/>
  <c r="PR14" i="2" s="1"/>
  <c r="PR15" i="2" s="1"/>
  <c r="PR16" i="2" s="1"/>
  <c r="PR17" i="2" s="1"/>
  <c r="PR18" i="2" s="1"/>
  <c r="PR19" i="2" s="1"/>
  <c r="PR20" i="2" s="1"/>
  <c r="PR21" i="2" s="1"/>
  <c r="PR22" i="2" s="1"/>
  <c r="PR23" i="2" s="1"/>
  <c r="PQ4" i="2"/>
  <c r="PQ5" i="2" s="1"/>
  <c r="PQ6" i="2" s="1"/>
  <c r="PQ7" i="2" s="1"/>
  <c r="PQ8" i="2" s="1"/>
  <c r="PQ9" i="2" s="1"/>
  <c r="PQ10" i="2" s="1"/>
  <c r="PQ11" i="2" s="1"/>
  <c r="PQ12" i="2" s="1"/>
  <c r="PQ13" i="2" s="1"/>
  <c r="PQ14" i="2" s="1"/>
  <c r="PQ15" i="2" s="1"/>
  <c r="PQ16" i="2" s="1"/>
  <c r="PQ17" i="2" s="1"/>
  <c r="PQ18" i="2" s="1"/>
  <c r="PQ19" i="2" s="1"/>
  <c r="PQ20" i="2" s="1"/>
  <c r="PQ21" i="2" s="1"/>
  <c r="PQ22" i="2" s="1"/>
  <c r="PQ23" i="2" s="1"/>
  <c r="PP4" i="2"/>
  <c r="PP5" i="2" s="1"/>
  <c r="PP6" i="2" s="1"/>
  <c r="PP7" i="2" s="1"/>
  <c r="PP8" i="2" s="1"/>
  <c r="PP9" i="2" s="1"/>
  <c r="PP10" i="2" s="1"/>
  <c r="PP11" i="2" s="1"/>
  <c r="PP12" i="2" s="1"/>
  <c r="PP13" i="2" s="1"/>
  <c r="PP14" i="2" s="1"/>
  <c r="PP15" i="2" s="1"/>
  <c r="PP16" i="2" s="1"/>
  <c r="PP17" i="2" s="1"/>
  <c r="PP18" i="2" s="1"/>
  <c r="PP19" i="2" s="1"/>
  <c r="PP20" i="2" s="1"/>
  <c r="PP21" i="2" s="1"/>
  <c r="PP22" i="2" s="1"/>
  <c r="PP23" i="2" s="1"/>
  <c r="PO4" i="2"/>
  <c r="PO5" i="2" s="1"/>
  <c r="PO6" i="2" s="1"/>
  <c r="PO7" i="2" s="1"/>
  <c r="PO8" i="2" s="1"/>
  <c r="PO9" i="2" s="1"/>
  <c r="PO10" i="2" s="1"/>
  <c r="PO11" i="2" s="1"/>
  <c r="PO12" i="2" s="1"/>
  <c r="PO13" i="2" s="1"/>
  <c r="PO14" i="2" s="1"/>
  <c r="PO15" i="2" s="1"/>
  <c r="PO16" i="2" s="1"/>
  <c r="PO17" i="2" s="1"/>
  <c r="PO18" i="2" s="1"/>
  <c r="PO19" i="2" s="1"/>
  <c r="PO20" i="2" s="1"/>
  <c r="PO21" i="2" s="1"/>
  <c r="PO22" i="2" s="1"/>
  <c r="PO23" i="2" s="1"/>
  <c r="PN4" i="2"/>
  <c r="PN5" i="2" s="1"/>
  <c r="PN6" i="2" s="1"/>
  <c r="PN7" i="2" s="1"/>
  <c r="PN8" i="2" s="1"/>
  <c r="PN9" i="2" s="1"/>
  <c r="PN10" i="2" s="1"/>
  <c r="PN11" i="2" s="1"/>
  <c r="PN12" i="2" s="1"/>
  <c r="PN13" i="2" s="1"/>
  <c r="PN14" i="2" s="1"/>
  <c r="PN15" i="2" s="1"/>
  <c r="PN16" i="2" s="1"/>
  <c r="PN17" i="2" s="1"/>
  <c r="PN18" i="2" s="1"/>
  <c r="PN19" i="2" s="1"/>
  <c r="PN20" i="2" s="1"/>
  <c r="PN21" i="2" s="1"/>
  <c r="PN22" i="2" s="1"/>
  <c r="PN23" i="2" s="1"/>
  <c r="PM4" i="2"/>
  <c r="PM5" i="2" s="1"/>
  <c r="PM6" i="2" s="1"/>
  <c r="PM7" i="2" s="1"/>
  <c r="PM8" i="2" s="1"/>
  <c r="PM9" i="2" s="1"/>
  <c r="PM10" i="2" s="1"/>
  <c r="PM11" i="2" s="1"/>
  <c r="PM12" i="2" s="1"/>
  <c r="PM13" i="2" s="1"/>
  <c r="PM14" i="2" s="1"/>
  <c r="PM15" i="2" s="1"/>
  <c r="PM16" i="2" s="1"/>
  <c r="PM17" i="2" s="1"/>
  <c r="PM18" i="2" s="1"/>
  <c r="PM19" i="2" s="1"/>
  <c r="PM20" i="2" s="1"/>
  <c r="PM21" i="2" s="1"/>
  <c r="PM22" i="2" s="1"/>
  <c r="PM23" i="2" s="1"/>
  <c r="PL4" i="2"/>
  <c r="PL5" i="2" s="1"/>
  <c r="PL6" i="2" s="1"/>
  <c r="PL7" i="2" s="1"/>
  <c r="PL8" i="2" s="1"/>
  <c r="PL9" i="2" s="1"/>
  <c r="PL10" i="2" s="1"/>
  <c r="PL11" i="2" s="1"/>
  <c r="PL12" i="2" s="1"/>
  <c r="PL13" i="2" s="1"/>
  <c r="PL14" i="2" s="1"/>
  <c r="PL15" i="2" s="1"/>
  <c r="PL16" i="2" s="1"/>
  <c r="PL17" i="2" s="1"/>
  <c r="PL18" i="2" s="1"/>
  <c r="PL19" i="2" s="1"/>
  <c r="PL20" i="2" s="1"/>
  <c r="PL21" i="2" s="1"/>
  <c r="PL22" i="2" s="1"/>
  <c r="PL23" i="2" s="1"/>
  <c r="PK4" i="2"/>
  <c r="PK5" i="2" s="1"/>
  <c r="PK6" i="2" s="1"/>
  <c r="PK7" i="2" s="1"/>
  <c r="PK8" i="2" s="1"/>
  <c r="PK9" i="2" s="1"/>
  <c r="PK10" i="2" s="1"/>
  <c r="PK11" i="2" s="1"/>
  <c r="PK12" i="2" s="1"/>
  <c r="PK13" i="2" s="1"/>
  <c r="PK14" i="2" s="1"/>
  <c r="PK15" i="2" s="1"/>
  <c r="PK16" i="2" s="1"/>
  <c r="PK17" i="2" s="1"/>
  <c r="PK18" i="2" s="1"/>
  <c r="PK19" i="2" s="1"/>
  <c r="PK20" i="2" s="1"/>
  <c r="PK21" i="2" s="1"/>
  <c r="PK22" i="2" s="1"/>
  <c r="PK23" i="2" s="1"/>
  <c r="PJ4" i="2"/>
  <c r="PJ5" i="2" s="1"/>
  <c r="PJ6" i="2" s="1"/>
  <c r="PJ7" i="2" s="1"/>
  <c r="PJ8" i="2" s="1"/>
  <c r="PJ9" i="2" s="1"/>
  <c r="PJ10" i="2" s="1"/>
  <c r="PJ11" i="2" s="1"/>
  <c r="PJ12" i="2" s="1"/>
  <c r="PJ13" i="2" s="1"/>
  <c r="PJ14" i="2" s="1"/>
  <c r="PJ15" i="2" s="1"/>
  <c r="PJ16" i="2" s="1"/>
  <c r="PJ17" i="2" s="1"/>
  <c r="PJ18" i="2" s="1"/>
  <c r="PJ19" i="2" s="1"/>
  <c r="PJ20" i="2" s="1"/>
  <c r="PJ21" i="2" s="1"/>
  <c r="PJ22" i="2" s="1"/>
  <c r="PJ23" i="2" s="1"/>
  <c r="PI4" i="2"/>
  <c r="PI5" i="2" s="1"/>
  <c r="PI6" i="2" s="1"/>
  <c r="PI7" i="2" s="1"/>
  <c r="PI8" i="2" s="1"/>
  <c r="PI9" i="2" s="1"/>
  <c r="PI10" i="2" s="1"/>
  <c r="PI11" i="2" s="1"/>
  <c r="PI12" i="2" s="1"/>
  <c r="PI13" i="2" s="1"/>
  <c r="PI14" i="2" s="1"/>
  <c r="PI15" i="2" s="1"/>
  <c r="PI16" i="2" s="1"/>
  <c r="PI17" i="2" s="1"/>
  <c r="PI18" i="2" s="1"/>
  <c r="PI19" i="2" s="1"/>
  <c r="PI20" i="2" s="1"/>
  <c r="PI21" i="2" s="1"/>
  <c r="PI22" i="2" s="1"/>
  <c r="PI23" i="2" s="1"/>
  <c r="PH4" i="2"/>
  <c r="PH5" i="2" s="1"/>
  <c r="PH6" i="2" s="1"/>
  <c r="PH7" i="2" s="1"/>
  <c r="PH8" i="2" s="1"/>
  <c r="PH9" i="2" s="1"/>
  <c r="PH10" i="2" s="1"/>
  <c r="PH11" i="2" s="1"/>
  <c r="PH12" i="2" s="1"/>
  <c r="PH13" i="2" s="1"/>
  <c r="PH14" i="2" s="1"/>
  <c r="PH15" i="2" s="1"/>
  <c r="PH16" i="2" s="1"/>
  <c r="PH17" i="2" s="1"/>
  <c r="PH18" i="2" s="1"/>
  <c r="PH19" i="2" s="1"/>
  <c r="PH20" i="2" s="1"/>
  <c r="PH21" i="2" s="1"/>
  <c r="PH22" i="2" s="1"/>
  <c r="PH23" i="2" s="1"/>
  <c r="PG4" i="2"/>
  <c r="PG5" i="2" s="1"/>
  <c r="PG6" i="2" s="1"/>
  <c r="PG7" i="2" s="1"/>
  <c r="PG8" i="2" s="1"/>
  <c r="PG9" i="2" s="1"/>
  <c r="PG10" i="2" s="1"/>
  <c r="PG11" i="2" s="1"/>
  <c r="PG12" i="2" s="1"/>
  <c r="PG13" i="2" s="1"/>
  <c r="PG14" i="2" s="1"/>
  <c r="PG15" i="2" s="1"/>
  <c r="PG16" i="2" s="1"/>
  <c r="PG17" i="2" s="1"/>
  <c r="PG18" i="2" s="1"/>
  <c r="PG19" i="2" s="1"/>
  <c r="PG20" i="2" s="1"/>
  <c r="PG21" i="2" s="1"/>
  <c r="PG22" i="2" s="1"/>
  <c r="PG23" i="2" s="1"/>
  <c r="PF4" i="2"/>
  <c r="PF5" i="2" s="1"/>
  <c r="PF6" i="2" s="1"/>
  <c r="PF7" i="2" s="1"/>
  <c r="PF8" i="2" s="1"/>
  <c r="PF9" i="2" s="1"/>
  <c r="PF10" i="2" s="1"/>
  <c r="PF11" i="2" s="1"/>
  <c r="PF12" i="2" s="1"/>
  <c r="PF13" i="2" s="1"/>
  <c r="PF14" i="2" s="1"/>
  <c r="PF15" i="2" s="1"/>
  <c r="PF16" i="2" s="1"/>
  <c r="PF17" i="2" s="1"/>
  <c r="PF18" i="2" s="1"/>
  <c r="PF19" i="2" s="1"/>
  <c r="PF20" i="2" s="1"/>
  <c r="PF21" i="2" s="1"/>
  <c r="PF22" i="2" s="1"/>
  <c r="PF23" i="2" s="1"/>
  <c r="PE4" i="2"/>
  <c r="PE5" i="2" s="1"/>
  <c r="PE6" i="2" s="1"/>
  <c r="PE7" i="2" s="1"/>
  <c r="PE8" i="2" s="1"/>
  <c r="PE9" i="2" s="1"/>
  <c r="PE10" i="2" s="1"/>
  <c r="PE11" i="2" s="1"/>
  <c r="PE12" i="2" s="1"/>
  <c r="PE13" i="2" s="1"/>
  <c r="PE14" i="2" s="1"/>
  <c r="PE15" i="2" s="1"/>
  <c r="PE16" i="2" s="1"/>
  <c r="PE17" i="2" s="1"/>
  <c r="PE18" i="2" s="1"/>
  <c r="PE19" i="2" s="1"/>
  <c r="PE20" i="2" s="1"/>
  <c r="PE21" i="2" s="1"/>
  <c r="PE22" i="2" s="1"/>
  <c r="PE23" i="2" s="1"/>
  <c r="PD4" i="2"/>
  <c r="PD5" i="2" s="1"/>
  <c r="PD6" i="2" s="1"/>
  <c r="PD7" i="2" s="1"/>
  <c r="PD8" i="2" s="1"/>
  <c r="PD9" i="2" s="1"/>
  <c r="PD10" i="2" s="1"/>
  <c r="PD11" i="2" s="1"/>
  <c r="PD12" i="2" s="1"/>
  <c r="PD13" i="2" s="1"/>
  <c r="PD14" i="2" s="1"/>
  <c r="PD15" i="2" s="1"/>
  <c r="PD16" i="2" s="1"/>
  <c r="PD17" i="2" s="1"/>
  <c r="PD18" i="2" s="1"/>
  <c r="PD19" i="2" s="1"/>
  <c r="PD20" i="2" s="1"/>
  <c r="PD21" i="2" s="1"/>
  <c r="PD22" i="2" s="1"/>
  <c r="PD23" i="2" s="1"/>
  <c r="PC4" i="2"/>
  <c r="PC5" i="2" s="1"/>
  <c r="PC6" i="2" s="1"/>
  <c r="PC7" i="2" s="1"/>
  <c r="PC8" i="2" s="1"/>
  <c r="PC9" i="2" s="1"/>
  <c r="PC10" i="2" s="1"/>
  <c r="PC11" i="2" s="1"/>
  <c r="PC12" i="2" s="1"/>
  <c r="PC13" i="2" s="1"/>
  <c r="PC14" i="2" s="1"/>
  <c r="PC15" i="2" s="1"/>
  <c r="PC16" i="2" s="1"/>
  <c r="PC17" i="2" s="1"/>
  <c r="PC18" i="2" s="1"/>
  <c r="PC19" i="2" s="1"/>
  <c r="PC20" i="2" s="1"/>
  <c r="PC21" i="2" s="1"/>
  <c r="PC22" i="2" s="1"/>
  <c r="PC23" i="2" s="1"/>
  <c r="PB4" i="2"/>
  <c r="PB5" i="2" s="1"/>
  <c r="PB6" i="2" s="1"/>
  <c r="PB7" i="2" s="1"/>
  <c r="PB8" i="2" s="1"/>
  <c r="PB9" i="2" s="1"/>
  <c r="PB10" i="2" s="1"/>
  <c r="PB11" i="2" s="1"/>
  <c r="PB12" i="2" s="1"/>
  <c r="PB13" i="2" s="1"/>
  <c r="PB14" i="2" s="1"/>
  <c r="PB15" i="2" s="1"/>
  <c r="PB16" i="2" s="1"/>
  <c r="PB17" i="2" s="1"/>
  <c r="PB18" i="2" s="1"/>
  <c r="PB19" i="2" s="1"/>
  <c r="PB20" i="2" s="1"/>
  <c r="PB21" i="2" s="1"/>
  <c r="PB22" i="2" s="1"/>
  <c r="PB23" i="2" s="1"/>
  <c r="PA4" i="2"/>
  <c r="PA5" i="2" s="1"/>
  <c r="PA6" i="2" s="1"/>
  <c r="PA7" i="2" s="1"/>
  <c r="PA8" i="2" s="1"/>
  <c r="PA9" i="2" s="1"/>
  <c r="PA10" i="2" s="1"/>
  <c r="PA11" i="2" s="1"/>
  <c r="PA12" i="2" s="1"/>
  <c r="PA13" i="2" s="1"/>
  <c r="PA14" i="2" s="1"/>
  <c r="PA15" i="2" s="1"/>
  <c r="PA16" i="2" s="1"/>
  <c r="PA17" i="2" s="1"/>
  <c r="PA18" i="2" s="1"/>
  <c r="PA19" i="2" s="1"/>
  <c r="PA20" i="2" s="1"/>
  <c r="PA21" i="2" s="1"/>
  <c r="PA22" i="2" s="1"/>
  <c r="PA23" i="2" s="1"/>
  <c r="OZ4" i="2"/>
  <c r="OZ5" i="2" s="1"/>
  <c r="OZ6" i="2" s="1"/>
  <c r="OZ7" i="2" s="1"/>
  <c r="OZ8" i="2" s="1"/>
  <c r="OZ9" i="2" s="1"/>
  <c r="OZ10" i="2" s="1"/>
  <c r="OZ11" i="2" s="1"/>
  <c r="OZ12" i="2" s="1"/>
  <c r="OZ13" i="2" s="1"/>
  <c r="OZ14" i="2" s="1"/>
  <c r="OZ15" i="2" s="1"/>
  <c r="OZ16" i="2" s="1"/>
  <c r="OZ17" i="2" s="1"/>
  <c r="OZ18" i="2" s="1"/>
  <c r="OZ19" i="2" s="1"/>
  <c r="OZ20" i="2" s="1"/>
  <c r="OZ21" i="2" s="1"/>
  <c r="OZ22" i="2" s="1"/>
  <c r="OZ23" i="2" s="1"/>
  <c r="OY4" i="2"/>
  <c r="OY5" i="2" s="1"/>
  <c r="OY6" i="2" s="1"/>
  <c r="OY7" i="2" s="1"/>
  <c r="OY8" i="2" s="1"/>
  <c r="OY9" i="2" s="1"/>
  <c r="OY10" i="2" s="1"/>
  <c r="OY11" i="2" s="1"/>
  <c r="OY12" i="2" s="1"/>
  <c r="OY13" i="2" s="1"/>
  <c r="OY14" i="2" s="1"/>
  <c r="OY15" i="2" s="1"/>
  <c r="OY16" i="2" s="1"/>
  <c r="OY17" i="2" s="1"/>
  <c r="OY18" i="2" s="1"/>
  <c r="OY19" i="2" s="1"/>
  <c r="OY20" i="2" s="1"/>
  <c r="OY21" i="2" s="1"/>
  <c r="OY22" i="2" s="1"/>
  <c r="OY23" i="2" s="1"/>
  <c r="OX4" i="2"/>
  <c r="OX5" i="2" s="1"/>
  <c r="OX6" i="2" s="1"/>
  <c r="OX7" i="2" s="1"/>
  <c r="OX8" i="2" s="1"/>
  <c r="OX9" i="2" s="1"/>
  <c r="OX10" i="2" s="1"/>
  <c r="OX11" i="2" s="1"/>
  <c r="OX12" i="2" s="1"/>
  <c r="OX13" i="2" s="1"/>
  <c r="OX14" i="2" s="1"/>
  <c r="OX15" i="2" s="1"/>
  <c r="OX16" i="2" s="1"/>
  <c r="OX17" i="2" s="1"/>
  <c r="OX18" i="2" s="1"/>
  <c r="OX19" i="2" s="1"/>
  <c r="OX20" i="2" s="1"/>
  <c r="OX21" i="2" s="1"/>
  <c r="OX22" i="2" s="1"/>
  <c r="OX23" i="2" s="1"/>
  <c r="OW4" i="2"/>
  <c r="OW5" i="2" s="1"/>
  <c r="OW6" i="2" s="1"/>
  <c r="OW7" i="2" s="1"/>
  <c r="OW8" i="2" s="1"/>
  <c r="OW9" i="2" s="1"/>
  <c r="OW10" i="2" s="1"/>
  <c r="OW11" i="2" s="1"/>
  <c r="OW12" i="2" s="1"/>
  <c r="OW13" i="2" s="1"/>
  <c r="OW14" i="2" s="1"/>
  <c r="OW15" i="2" s="1"/>
  <c r="OW16" i="2" s="1"/>
  <c r="OW17" i="2" s="1"/>
  <c r="OW18" i="2" s="1"/>
  <c r="OW19" i="2" s="1"/>
  <c r="OW20" i="2" s="1"/>
  <c r="OW21" i="2" s="1"/>
  <c r="OW22" i="2" s="1"/>
  <c r="OW23" i="2" s="1"/>
  <c r="OV4" i="2"/>
  <c r="OV5" i="2" s="1"/>
  <c r="OV6" i="2" s="1"/>
  <c r="OV7" i="2" s="1"/>
  <c r="OV8" i="2" s="1"/>
  <c r="OV9" i="2" s="1"/>
  <c r="OV10" i="2" s="1"/>
  <c r="OV11" i="2" s="1"/>
  <c r="OV12" i="2" s="1"/>
  <c r="OV13" i="2" s="1"/>
  <c r="OV14" i="2" s="1"/>
  <c r="OV15" i="2" s="1"/>
  <c r="OV16" i="2" s="1"/>
  <c r="OV17" i="2" s="1"/>
  <c r="OV18" i="2" s="1"/>
  <c r="OV19" i="2" s="1"/>
  <c r="OV20" i="2" s="1"/>
  <c r="OV21" i="2" s="1"/>
  <c r="OV22" i="2" s="1"/>
  <c r="OV23" i="2" s="1"/>
  <c r="OU4" i="2"/>
  <c r="OU5" i="2" s="1"/>
  <c r="OU6" i="2" s="1"/>
  <c r="OU7" i="2" s="1"/>
  <c r="OU8" i="2" s="1"/>
  <c r="OU9" i="2" s="1"/>
  <c r="OU10" i="2" s="1"/>
  <c r="OU11" i="2" s="1"/>
  <c r="OU12" i="2" s="1"/>
  <c r="OU13" i="2" s="1"/>
  <c r="OU14" i="2" s="1"/>
  <c r="OU15" i="2" s="1"/>
  <c r="OU16" i="2" s="1"/>
  <c r="OU17" i="2" s="1"/>
  <c r="OU18" i="2" s="1"/>
  <c r="OU19" i="2" s="1"/>
  <c r="OU20" i="2" s="1"/>
  <c r="OU21" i="2" s="1"/>
  <c r="OU22" i="2" s="1"/>
  <c r="OU23" i="2" s="1"/>
  <c r="OT4" i="2"/>
  <c r="OT5" i="2" s="1"/>
  <c r="OT6" i="2" s="1"/>
  <c r="OT7" i="2" s="1"/>
  <c r="OT8" i="2" s="1"/>
  <c r="OT9" i="2" s="1"/>
  <c r="OT10" i="2" s="1"/>
  <c r="OT11" i="2" s="1"/>
  <c r="OT12" i="2" s="1"/>
  <c r="OT13" i="2" s="1"/>
  <c r="OT14" i="2" s="1"/>
  <c r="OT15" i="2" s="1"/>
  <c r="OT16" i="2" s="1"/>
  <c r="OT17" i="2" s="1"/>
  <c r="OT18" i="2" s="1"/>
  <c r="OT19" i="2" s="1"/>
  <c r="OT20" i="2" s="1"/>
  <c r="OT21" i="2" s="1"/>
  <c r="OT22" i="2" s="1"/>
  <c r="OT23" i="2" s="1"/>
  <c r="OS4" i="2"/>
  <c r="OS5" i="2" s="1"/>
  <c r="OS6" i="2" s="1"/>
  <c r="OS7" i="2" s="1"/>
  <c r="OS8" i="2" s="1"/>
  <c r="OS9" i="2" s="1"/>
  <c r="OS10" i="2" s="1"/>
  <c r="OS11" i="2" s="1"/>
  <c r="OS12" i="2" s="1"/>
  <c r="OS13" i="2" s="1"/>
  <c r="OS14" i="2" s="1"/>
  <c r="OS15" i="2" s="1"/>
  <c r="OS16" i="2" s="1"/>
  <c r="OS17" i="2" s="1"/>
  <c r="OS18" i="2" s="1"/>
  <c r="OS19" i="2" s="1"/>
  <c r="OS20" i="2" s="1"/>
  <c r="OS21" i="2" s="1"/>
  <c r="OS22" i="2" s="1"/>
  <c r="OS23" i="2" s="1"/>
  <c r="OR4" i="2"/>
  <c r="OR5" i="2" s="1"/>
  <c r="OR6" i="2" s="1"/>
  <c r="OR7" i="2" s="1"/>
  <c r="OR8" i="2" s="1"/>
  <c r="OR9" i="2" s="1"/>
  <c r="OR10" i="2" s="1"/>
  <c r="OR11" i="2" s="1"/>
  <c r="OR12" i="2" s="1"/>
  <c r="OR13" i="2" s="1"/>
  <c r="OR14" i="2" s="1"/>
  <c r="OR15" i="2" s="1"/>
  <c r="OR16" i="2" s="1"/>
  <c r="OR17" i="2" s="1"/>
  <c r="OR18" i="2" s="1"/>
  <c r="OR19" i="2" s="1"/>
  <c r="OR20" i="2" s="1"/>
  <c r="OR21" i="2" s="1"/>
  <c r="OR22" i="2" s="1"/>
  <c r="OR23" i="2" s="1"/>
  <c r="OQ4" i="2"/>
  <c r="OQ5" i="2" s="1"/>
  <c r="OQ6" i="2" s="1"/>
  <c r="OQ7" i="2" s="1"/>
  <c r="OQ8" i="2" s="1"/>
  <c r="OQ9" i="2" s="1"/>
  <c r="OQ10" i="2" s="1"/>
  <c r="OQ11" i="2" s="1"/>
  <c r="OQ12" i="2" s="1"/>
  <c r="OQ13" i="2" s="1"/>
  <c r="OQ14" i="2" s="1"/>
  <c r="OQ15" i="2" s="1"/>
  <c r="OQ16" i="2" s="1"/>
  <c r="OQ17" i="2" s="1"/>
  <c r="OQ18" i="2" s="1"/>
  <c r="OQ19" i="2" s="1"/>
  <c r="OQ20" i="2" s="1"/>
  <c r="OQ21" i="2" s="1"/>
  <c r="OQ22" i="2" s="1"/>
  <c r="OQ23" i="2" s="1"/>
  <c r="OP4" i="2"/>
  <c r="OP5" i="2" s="1"/>
  <c r="OP6" i="2" s="1"/>
  <c r="OP7" i="2" s="1"/>
  <c r="OP8" i="2" s="1"/>
  <c r="OP9" i="2" s="1"/>
  <c r="OP10" i="2" s="1"/>
  <c r="OP11" i="2" s="1"/>
  <c r="OP12" i="2" s="1"/>
  <c r="OP13" i="2" s="1"/>
  <c r="OP14" i="2" s="1"/>
  <c r="OP15" i="2" s="1"/>
  <c r="OP16" i="2" s="1"/>
  <c r="OP17" i="2" s="1"/>
  <c r="OP18" i="2" s="1"/>
  <c r="OP19" i="2" s="1"/>
  <c r="OP20" i="2" s="1"/>
  <c r="OP21" i="2" s="1"/>
  <c r="OP22" i="2" s="1"/>
  <c r="OP23" i="2" s="1"/>
  <c r="OO4" i="2"/>
  <c r="OO5" i="2" s="1"/>
  <c r="OO6" i="2" s="1"/>
  <c r="OO7" i="2" s="1"/>
  <c r="OO8" i="2" s="1"/>
  <c r="OO9" i="2" s="1"/>
  <c r="OO10" i="2" s="1"/>
  <c r="OO11" i="2" s="1"/>
  <c r="OO12" i="2" s="1"/>
  <c r="OO13" i="2" s="1"/>
  <c r="OO14" i="2" s="1"/>
  <c r="OO15" i="2" s="1"/>
  <c r="OO16" i="2" s="1"/>
  <c r="OO17" i="2" s="1"/>
  <c r="OO18" i="2" s="1"/>
  <c r="OO19" i="2" s="1"/>
  <c r="OO20" i="2" s="1"/>
  <c r="OO21" i="2" s="1"/>
  <c r="OO22" i="2" s="1"/>
  <c r="OO23" i="2" s="1"/>
  <c r="ON4" i="2"/>
  <c r="ON5" i="2" s="1"/>
  <c r="ON6" i="2" s="1"/>
  <c r="ON7" i="2" s="1"/>
  <c r="ON8" i="2" s="1"/>
  <c r="ON9" i="2" s="1"/>
  <c r="ON10" i="2" s="1"/>
  <c r="ON11" i="2" s="1"/>
  <c r="ON12" i="2" s="1"/>
  <c r="ON13" i="2" s="1"/>
  <c r="ON14" i="2" s="1"/>
  <c r="ON15" i="2" s="1"/>
  <c r="ON16" i="2" s="1"/>
  <c r="ON17" i="2" s="1"/>
  <c r="ON18" i="2" s="1"/>
  <c r="ON19" i="2" s="1"/>
  <c r="ON20" i="2" s="1"/>
  <c r="ON21" i="2" s="1"/>
  <c r="ON22" i="2" s="1"/>
  <c r="ON23" i="2" s="1"/>
  <c r="OM4" i="2"/>
  <c r="OM5" i="2" s="1"/>
  <c r="OM6" i="2" s="1"/>
  <c r="OM7" i="2" s="1"/>
  <c r="OM8" i="2" s="1"/>
  <c r="OM9" i="2" s="1"/>
  <c r="OM10" i="2" s="1"/>
  <c r="OM11" i="2" s="1"/>
  <c r="OM12" i="2" s="1"/>
  <c r="OM13" i="2" s="1"/>
  <c r="OM14" i="2" s="1"/>
  <c r="OM15" i="2" s="1"/>
  <c r="OM16" i="2" s="1"/>
  <c r="OM17" i="2" s="1"/>
  <c r="OM18" i="2" s="1"/>
  <c r="OM19" i="2" s="1"/>
  <c r="OM20" i="2" s="1"/>
  <c r="OM21" i="2" s="1"/>
  <c r="OM22" i="2" s="1"/>
  <c r="OM23" i="2" s="1"/>
  <c r="OL4" i="2"/>
  <c r="OL5" i="2" s="1"/>
  <c r="OL6" i="2" s="1"/>
  <c r="OL7" i="2" s="1"/>
  <c r="OL8" i="2" s="1"/>
  <c r="OL9" i="2" s="1"/>
  <c r="OL10" i="2" s="1"/>
  <c r="OL11" i="2" s="1"/>
  <c r="OL12" i="2" s="1"/>
  <c r="OL13" i="2" s="1"/>
  <c r="OL14" i="2" s="1"/>
  <c r="OL15" i="2" s="1"/>
  <c r="OL16" i="2" s="1"/>
  <c r="OL17" i="2" s="1"/>
  <c r="OL18" i="2" s="1"/>
  <c r="OL19" i="2" s="1"/>
  <c r="OL20" i="2" s="1"/>
  <c r="OL21" i="2" s="1"/>
  <c r="OL22" i="2" s="1"/>
  <c r="OL23" i="2" s="1"/>
  <c r="OK4" i="2"/>
  <c r="OK5" i="2" s="1"/>
  <c r="OK6" i="2" s="1"/>
  <c r="OK7" i="2" s="1"/>
  <c r="OK8" i="2" s="1"/>
  <c r="OK9" i="2" s="1"/>
  <c r="OK10" i="2" s="1"/>
  <c r="OK11" i="2" s="1"/>
  <c r="OK12" i="2" s="1"/>
  <c r="OK13" i="2" s="1"/>
  <c r="OK14" i="2" s="1"/>
  <c r="OK15" i="2" s="1"/>
  <c r="OK16" i="2" s="1"/>
  <c r="OK17" i="2" s="1"/>
  <c r="OK18" i="2" s="1"/>
  <c r="OK19" i="2" s="1"/>
  <c r="OK20" i="2" s="1"/>
  <c r="OK21" i="2" s="1"/>
  <c r="OK22" i="2" s="1"/>
  <c r="OK23" i="2" s="1"/>
  <c r="OJ4" i="2"/>
  <c r="OJ5" i="2" s="1"/>
  <c r="OJ6" i="2" s="1"/>
  <c r="OJ7" i="2" s="1"/>
  <c r="OJ8" i="2" s="1"/>
  <c r="OJ9" i="2" s="1"/>
  <c r="OJ10" i="2" s="1"/>
  <c r="OJ11" i="2" s="1"/>
  <c r="OJ12" i="2" s="1"/>
  <c r="OJ13" i="2" s="1"/>
  <c r="OJ14" i="2" s="1"/>
  <c r="OJ15" i="2" s="1"/>
  <c r="OJ16" i="2" s="1"/>
  <c r="OJ17" i="2" s="1"/>
  <c r="OJ18" i="2" s="1"/>
  <c r="OJ19" i="2" s="1"/>
  <c r="OJ20" i="2" s="1"/>
  <c r="OJ21" i="2" s="1"/>
  <c r="OJ22" i="2" s="1"/>
  <c r="OJ23" i="2" s="1"/>
  <c r="OI4" i="2"/>
  <c r="OI5" i="2" s="1"/>
  <c r="OI6" i="2" s="1"/>
  <c r="OI7" i="2" s="1"/>
  <c r="OI8" i="2" s="1"/>
  <c r="OI9" i="2" s="1"/>
  <c r="OI10" i="2" s="1"/>
  <c r="OI11" i="2" s="1"/>
  <c r="OI12" i="2" s="1"/>
  <c r="OI13" i="2" s="1"/>
  <c r="OI14" i="2" s="1"/>
  <c r="OI15" i="2" s="1"/>
  <c r="OI16" i="2" s="1"/>
  <c r="OI17" i="2" s="1"/>
  <c r="OI18" i="2" s="1"/>
  <c r="OI19" i="2" s="1"/>
  <c r="OI20" i="2" s="1"/>
  <c r="OI21" i="2" s="1"/>
  <c r="OI22" i="2" s="1"/>
  <c r="OI23" i="2" s="1"/>
  <c r="OH4" i="2"/>
  <c r="OH5" i="2" s="1"/>
  <c r="OH6" i="2" s="1"/>
  <c r="OH7" i="2" s="1"/>
  <c r="OH8" i="2" s="1"/>
  <c r="OH9" i="2" s="1"/>
  <c r="OH10" i="2" s="1"/>
  <c r="OH11" i="2" s="1"/>
  <c r="OH12" i="2" s="1"/>
  <c r="OH13" i="2" s="1"/>
  <c r="OH14" i="2" s="1"/>
  <c r="OH15" i="2" s="1"/>
  <c r="OH16" i="2" s="1"/>
  <c r="OH17" i="2" s="1"/>
  <c r="OH18" i="2" s="1"/>
  <c r="OH19" i="2" s="1"/>
  <c r="OH20" i="2" s="1"/>
  <c r="OH21" i="2" s="1"/>
  <c r="OH22" i="2" s="1"/>
  <c r="OH23" i="2" s="1"/>
  <c r="OG4" i="2"/>
  <c r="OG5" i="2" s="1"/>
  <c r="OG6" i="2" s="1"/>
  <c r="OG7" i="2" s="1"/>
  <c r="OG8" i="2" s="1"/>
  <c r="OG9" i="2" s="1"/>
  <c r="OG10" i="2" s="1"/>
  <c r="OG11" i="2" s="1"/>
  <c r="OG12" i="2" s="1"/>
  <c r="OG13" i="2" s="1"/>
  <c r="OG14" i="2" s="1"/>
  <c r="OG15" i="2" s="1"/>
  <c r="OG16" i="2" s="1"/>
  <c r="OG17" i="2" s="1"/>
  <c r="OG18" i="2" s="1"/>
  <c r="OG19" i="2" s="1"/>
  <c r="OG20" i="2" s="1"/>
  <c r="OG21" i="2" s="1"/>
  <c r="OG22" i="2" s="1"/>
  <c r="OG23" i="2" s="1"/>
  <c r="OF4" i="2"/>
  <c r="OF5" i="2" s="1"/>
  <c r="OF6" i="2" s="1"/>
  <c r="OF7" i="2" s="1"/>
  <c r="OF8" i="2" s="1"/>
  <c r="OF9" i="2" s="1"/>
  <c r="OF10" i="2" s="1"/>
  <c r="OF11" i="2" s="1"/>
  <c r="OF12" i="2" s="1"/>
  <c r="OF13" i="2" s="1"/>
  <c r="OF14" i="2" s="1"/>
  <c r="OF15" i="2" s="1"/>
  <c r="OF16" i="2" s="1"/>
  <c r="OF17" i="2" s="1"/>
  <c r="OF18" i="2" s="1"/>
  <c r="OF19" i="2" s="1"/>
  <c r="OF20" i="2" s="1"/>
  <c r="OF21" i="2" s="1"/>
  <c r="OF22" i="2" s="1"/>
  <c r="OF23" i="2" s="1"/>
  <c r="OE4" i="2"/>
  <c r="OE5" i="2" s="1"/>
  <c r="OE6" i="2" s="1"/>
  <c r="OE7" i="2" s="1"/>
  <c r="OE8" i="2" s="1"/>
  <c r="OE9" i="2" s="1"/>
  <c r="OE10" i="2" s="1"/>
  <c r="OE11" i="2" s="1"/>
  <c r="OE12" i="2" s="1"/>
  <c r="OE13" i="2" s="1"/>
  <c r="OE14" i="2" s="1"/>
  <c r="OE15" i="2" s="1"/>
  <c r="OE16" i="2" s="1"/>
  <c r="OE17" i="2" s="1"/>
  <c r="OE18" i="2" s="1"/>
  <c r="OE19" i="2" s="1"/>
  <c r="OE20" i="2" s="1"/>
  <c r="OE21" i="2" s="1"/>
  <c r="OE22" i="2" s="1"/>
  <c r="OE23" i="2" s="1"/>
  <c r="OD4" i="2"/>
  <c r="OD5" i="2" s="1"/>
  <c r="OD6" i="2" s="1"/>
  <c r="OD7" i="2" s="1"/>
  <c r="OD8" i="2" s="1"/>
  <c r="OD9" i="2" s="1"/>
  <c r="OD10" i="2" s="1"/>
  <c r="OD11" i="2" s="1"/>
  <c r="OD12" i="2" s="1"/>
  <c r="OD13" i="2" s="1"/>
  <c r="OD14" i="2" s="1"/>
  <c r="OD15" i="2" s="1"/>
  <c r="OD16" i="2" s="1"/>
  <c r="OD17" i="2" s="1"/>
  <c r="OD18" i="2" s="1"/>
  <c r="OD19" i="2" s="1"/>
  <c r="OD20" i="2" s="1"/>
  <c r="OD21" i="2" s="1"/>
  <c r="OD22" i="2" s="1"/>
  <c r="OD23" i="2" s="1"/>
  <c r="OC4" i="2"/>
  <c r="OC5" i="2" s="1"/>
  <c r="OC6" i="2" s="1"/>
  <c r="OC7" i="2" s="1"/>
  <c r="OC8" i="2" s="1"/>
  <c r="OC9" i="2" s="1"/>
  <c r="OC10" i="2" s="1"/>
  <c r="OC11" i="2" s="1"/>
  <c r="OC12" i="2" s="1"/>
  <c r="OC13" i="2" s="1"/>
  <c r="OC14" i="2" s="1"/>
  <c r="OC15" i="2" s="1"/>
  <c r="OC16" i="2" s="1"/>
  <c r="OC17" i="2" s="1"/>
  <c r="OC18" i="2" s="1"/>
  <c r="OC19" i="2" s="1"/>
  <c r="OC20" i="2" s="1"/>
  <c r="OC21" i="2" s="1"/>
  <c r="OC22" i="2" s="1"/>
  <c r="OC23" i="2" s="1"/>
  <c r="OB4" i="2"/>
  <c r="OB5" i="2" s="1"/>
  <c r="OB6" i="2" s="1"/>
  <c r="OB7" i="2" s="1"/>
  <c r="OB8" i="2" s="1"/>
  <c r="OB9" i="2" s="1"/>
  <c r="OB10" i="2" s="1"/>
  <c r="OB11" i="2" s="1"/>
  <c r="OB12" i="2" s="1"/>
  <c r="OB13" i="2" s="1"/>
  <c r="OB14" i="2" s="1"/>
  <c r="OB15" i="2" s="1"/>
  <c r="OB16" i="2" s="1"/>
  <c r="OB17" i="2" s="1"/>
  <c r="OB18" i="2" s="1"/>
  <c r="OB19" i="2" s="1"/>
  <c r="OB20" i="2" s="1"/>
  <c r="OB21" i="2" s="1"/>
  <c r="OB22" i="2" s="1"/>
  <c r="OB23" i="2" s="1"/>
  <c r="OA4" i="2"/>
  <c r="OA5" i="2" s="1"/>
  <c r="OA6" i="2" s="1"/>
  <c r="OA7" i="2" s="1"/>
  <c r="OA8" i="2" s="1"/>
  <c r="OA9" i="2" s="1"/>
  <c r="OA10" i="2" s="1"/>
  <c r="OA11" i="2" s="1"/>
  <c r="OA12" i="2" s="1"/>
  <c r="OA13" i="2" s="1"/>
  <c r="OA14" i="2" s="1"/>
  <c r="OA15" i="2" s="1"/>
  <c r="OA16" i="2" s="1"/>
  <c r="OA17" i="2" s="1"/>
  <c r="OA18" i="2" s="1"/>
  <c r="OA19" i="2" s="1"/>
  <c r="OA20" i="2" s="1"/>
  <c r="OA21" i="2" s="1"/>
  <c r="OA22" i="2" s="1"/>
  <c r="OA23" i="2" s="1"/>
  <c r="NZ4" i="2"/>
  <c r="NZ5" i="2" s="1"/>
  <c r="NZ6" i="2" s="1"/>
  <c r="NZ7" i="2" s="1"/>
  <c r="NZ8" i="2" s="1"/>
  <c r="NZ9" i="2" s="1"/>
  <c r="NZ10" i="2" s="1"/>
  <c r="NZ11" i="2" s="1"/>
  <c r="NZ12" i="2" s="1"/>
  <c r="NZ13" i="2" s="1"/>
  <c r="NZ14" i="2" s="1"/>
  <c r="NZ15" i="2" s="1"/>
  <c r="NZ16" i="2" s="1"/>
  <c r="NZ17" i="2" s="1"/>
  <c r="NZ18" i="2" s="1"/>
  <c r="NZ19" i="2" s="1"/>
  <c r="NZ20" i="2" s="1"/>
  <c r="NZ21" i="2" s="1"/>
  <c r="NZ22" i="2" s="1"/>
  <c r="NZ23" i="2" s="1"/>
  <c r="NY4" i="2"/>
  <c r="NY5" i="2" s="1"/>
  <c r="NY6" i="2" s="1"/>
  <c r="NY7" i="2" s="1"/>
  <c r="NY8" i="2" s="1"/>
  <c r="NY9" i="2" s="1"/>
  <c r="NY10" i="2" s="1"/>
  <c r="NY11" i="2" s="1"/>
  <c r="NY12" i="2" s="1"/>
  <c r="NY13" i="2" s="1"/>
  <c r="NY14" i="2" s="1"/>
  <c r="NY15" i="2" s="1"/>
  <c r="NY16" i="2" s="1"/>
  <c r="NY17" i="2" s="1"/>
  <c r="NY18" i="2" s="1"/>
  <c r="NY19" i="2" s="1"/>
  <c r="NY20" i="2" s="1"/>
  <c r="NY21" i="2" s="1"/>
  <c r="NY22" i="2" s="1"/>
  <c r="NY23" i="2" s="1"/>
  <c r="NX4" i="2"/>
  <c r="NX5" i="2" s="1"/>
  <c r="NX6" i="2" s="1"/>
  <c r="NX7" i="2" s="1"/>
  <c r="NX8" i="2" s="1"/>
  <c r="NX9" i="2" s="1"/>
  <c r="NX10" i="2" s="1"/>
  <c r="NX11" i="2" s="1"/>
  <c r="NX12" i="2" s="1"/>
  <c r="NX13" i="2" s="1"/>
  <c r="NX14" i="2" s="1"/>
  <c r="NX15" i="2" s="1"/>
  <c r="NX16" i="2" s="1"/>
  <c r="NX17" i="2" s="1"/>
  <c r="NX18" i="2" s="1"/>
  <c r="NX19" i="2" s="1"/>
  <c r="NX20" i="2" s="1"/>
  <c r="NX21" i="2" s="1"/>
  <c r="NX22" i="2" s="1"/>
  <c r="NX23" i="2" s="1"/>
  <c r="NW4" i="2"/>
  <c r="NW5" i="2" s="1"/>
  <c r="NW6" i="2" s="1"/>
  <c r="NW7" i="2" s="1"/>
  <c r="NW8" i="2" s="1"/>
  <c r="NW9" i="2" s="1"/>
  <c r="NW10" i="2" s="1"/>
  <c r="NW11" i="2" s="1"/>
  <c r="NW12" i="2" s="1"/>
  <c r="NW13" i="2" s="1"/>
  <c r="NW14" i="2" s="1"/>
  <c r="NW15" i="2" s="1"/>
  <c r="NW16" i="2" s="1"/>
  <c r="NW17" i="2" s="1"/>
  <c r="NW18" i="2" s="1"/>
  <c r="NW19" i="2" s="1"/>
  <c r="NW20" i="2" s="1"/>
  <c r="NW21" i="2" s="1"/>
  <c r="NW22" i="2" s="1"/>
  <c r="NW23" i="2" s="1"/>
  <c r="NV4" i="2"/>
  <c r="NV5" i="2" s="1"/>
  <c r="NV6" i="2" s="1"/>
  <c r="NV7" i="2" s="1"/>
  <c r="NV8" i="2" s="1"/>
  <c r="NV9" i="2" s="1"/>
  <c r="NV10" i="2" s="1"/>
  <c r="NV11" i="2" s="1"/>
  <c r="NV12" i="2" s="1"/>
  <c r="NV13" i="2" s="1"/>
  <c r="NV14" i="2" s="1"/>
  <c r="NV15" i="2" s="1"/>
  <c r="NV16" i="2" s="1"/>
  <c r="NV17" i="2" s="1"/>
  <c r="NV18" i="2" s="1"/>
  <c r="NV19" i="2" s="1"/>
  <c r="NV20" i="2" s="1"/>
  <c r="NV21" i="2" s="1"/>
  <c r="NV22" i="2" s="1"/>
  <c r="NV23" i="2" s="1"/>
  <c r="NU4" i="2"/>
  <c r="NU5" i="2" s="1"/>
  <c r="NU6" i="2" s="1"/>
  <c r="NU7" i="2" s="1"/>
  <c r="NU8" i="2" s="1"/>
  <c r="NU9" i="2" s="1"/>
  <c r="NU10" i="2" s="1"/>
  <c r="NU11" i="2" s="1"/>
  <c r="NU12" i="2" s="1"/>
  <c r="NU13" i="2" s="1"/>
  <c r="NU14" i="2" s="1"/>
  <c r="NU15" i="2" s="1"/>
  <c r="NU16" i="2" s="1"/>
  <c r="NU17" i="2" s="1"/>
  <c r="NU18" i="2" s="1"/>
  <c r="NU19" i="2" s="1"/>
  <c r="NU20" i="2" s="1"/>
  <c r="NU21" i="2" s="1"/>
  <c r="NU22" i="2" s="1"/>
  <c r="NU23" i="2" s="1"/>
  <c r="NT4" i="2"/>
  <c r="NT5" i="2" s="1"/>
  <c r="NT6" i="2" s="1"/>
  <c r="NT7" i="2" s="1"/>
  <c r="NT8" i="2" s="1"/>
  <c r="NT9" i="2" s="1"/>
  <c r="NT10" i="2" s="1"/>
  <c r="NT11" i="2" s="1"/>
  <c r="NT12" i="2" s="1"/>
  <c r="NT13" i="2" s="1"/>
  <c r="NT14" i="2" s="1"/>
  <c r="NT15" i="2" s="1"/>
  <c r="NT16" i="2" s="1"/>
  <c r="NT17" i="2" s="1"/>
  <c r="NT18" i="2" s="1"/>
  <c r="NT19" i="2" s="1"/>
  <c r="NT20" i="2" s="1"/>
  <c r="NT21" i="2" s="1"/>
  <c r="NT22" i="2" s="1"/>
  <c r="NT23" i="2" s="1"/>
  <c r="NS4" i="2"/>
  <c r="NS5" i="2" s="1"/>
  <c r="NS6" i="2" s="1"/>
  <c r="NS7" i="2" s="1"/>
  <c r="NS8" i="2" s="1"/>
  <c r="NS9" i="2" s="1"/>
  <c r="NS10" i="2" s="1"/>
  <c r="NS11" i="2" s="1"/>
  <c r="NS12" i="2" s="1"/>
  <c r="NS13" i="2" s="1"/>
  <c r="NS14" i="2" s="1"/>
  <c r="NS15" i="2" s="1"/>
  <c r="NS16" i="2" s="1"/>
  <c r="NS17" i="2" s="1"/>
  <c r="NS18" i="2" s="1"/>
  <c r="NS19" i="2" s="1"/>
  <c r="NS20" i="2" s="1"/>
  <c r="NS21" i="2" s="1"/>
  <c r="NS22" i="2" s="1"/>
  <c r="NS23" i="2" s="1"/>
  <c r="NR4" i="2"/>
  <c r="NR5" i="2" s="1"/>
  <c r="NR6" i="2" s="1"/>
  <c r="NR7" i="2" s="1"/>
  <c r="NR8" i="2" s="1"/>
  <c r="NR9" i="2" s="1"/>
  <c r="NR10" i="2" s="1"/>
  <c r="NR11" i="2" s="1"/>
  <c r="NR12" i="2" s="1"/>
  <c r="NR13" i="2" s="1"/>
  <c r="NR14" i="2" s="1"/>
  <c r="NR15" i="2" s="1"/>
  <c r="NR16" i="2" s="1"/>
  <c r="NR17" i="2" s="1"/>
  <c r="NR18" i="2" s="1"/>
  <c r="NR19" i="2" s="1"/>
  <c r="NR20" i="2" s="1"/>
  <c r="NR21" i="2" s="1"/>
  <c r="NR22" i="2" s="1"/>
  <c r="NR23" i="2" s="1"/>
  <c r="NQ4" i="2"/>
  <c r="NQ5" i="2" s="1"/>
  <c r="NQ6" i="2" s="1"/>
  <c r="NQ7" i="2" s="1"/>
  <c r="NQ8" i="2" s="1"/>
  <c r="NQ9" i="2" s="1"/>
  <c r="NQ10" i="2" s="1"/>
  <c r="NQ11" i="2" s="1"/>
  <c r="NQ12" i="2" s="1"/>
  <c r="NQ13" i="2" s="1"/>
  <c r="NQ14" i="2" s="1"/>
  <c r="NQ15" i="2" s="1"/>
  <c r="NQ16" i="2" s="1"/>
  <c r="NQ17" i="2" s="1"/>
  <c r="NQ18" i="2" s="1"/>
  <c r="NQ19" i="2" s="1"/>
  <c r="NQ20" i="2" s="1"/>
  <c r="NQ21" i="2" s="1"/>
  <c r="NQ22" i="2" s="1"/>
  <c r="NQ23" i="2" s="1"/>
  <c r="NP4" i="2"/>
  <c r="NP5" i="2" s="1"/>
  <c r="NP6" i="2" s="1"/>
  <c r="NP7" i="2" s="1"/>
  <c r="NP8" i="2" s="1"/>
  <c r="NP9" i="2" s="1"/>
  <c r="NP10" i="2" s="1"/>
  <c r="NP11" i="2" s="1"/>
  <c r="NP12" i="2" s="1"/>
  <c r="NP13" i="2" s="1"/>
  <c r="NP14" i="2" s="1"/>
  <c r="NP15" i="2" s="1"/>
  <c r="NP16" i="2" s="1"/>
  <c r="NP17" i="2" s="1"/>
  <c r="NP18" i="2" s="1"/>
  <c r="NP19" i="2" s="1"/>
  <c r="NP20" i="2" s="1"/>
  <c r="NP21" i="2" s="1"/>
  <c r="NP22" i="2" s="1"/>
  <c r="NP23" i="2" s="1"/>
  <c r="NO4" i="2"/>
  <c r="NO5" i="2" s="1"/>
  <c r="NO6" i="2" s="1"/>
  <c r="NO7" i="2" s="1"/>
  <c r="NO8" i="2" s="1"/>
  <c r="NO9" i="2" s="1"/>
  <c r="NO10" i="2" s="1"/>
  <c r="NO11" i="2" s="1"/>
  <c r="NO12" i="2" s="1"/>
  <c r="NO13" i="2" s="1"/>
  <c r="NO14" i="2" s="1"/>
  <c r="NO15" i="2" s="1"/>
  <c r="NO16" i="2" s="1"/>
  <c r="NO17" i="2" s="1"/>
  <c r="NO18" i="2" s="1"/>
  <c r="NO19" i="2" s="1"/>
  <c r="NO20" i="2" s="1"/>
  <c r="NO21" i="2" s="1"/>
  <c r="NO22" i="2" s="1"/>
  <c r="NO23" i="2" s="1"/>
  <c r="NN4" i="2"/>
  <c r="NN5" i="2" s="1"/>
  <c r="NN6" i="2" s="1"/>
  <c r="NN7" i="2" s="1"/>
  <c r="NN8" i="2" s="1"/>
  <c r="NN9" i="2" s="1"/>
  <c r="NN10" i="2" s="1"/>
  <c r="NN11" i="2" s="1"/>
  <c r="NN12" i="2" s="1"/>
  <c r="NN13" i="2" s="1"/>
  <c r="NN14" i="2" s="1"/>
  <c r="NN15" i="2" s="1"/>
  <c r="NN16" i="2" s="1"/>
  <c r="NN17" i="2" s="1"/>
  <c r="NN18" i="2" s="1"/>
  <c r="NN19" i="2" s="1"/>
  <c r="NN20" i="2" s="1"/>
  <c r="NN21" i="2" s="1"/>
  <c r="NN22" i="2" s="1"/>
  <c r="NN23" i="2" s="1"/>
  <c r="NM4" i="2"/>
  <c r="NM5" i="2" s="1"/>
  <c r="NM6" i="2" s="1"/>
  <c r="NM7" i="2" s="1"/>
  <c r="NM8" i="2" s="1"/>
  <c r="NM9" i="2" s="1"/>
  <c r="NM10" i="2" s="1"/>
  <c r="NM11" i="2" s="1"/>
  <c r="NM12" i="2" s="1"/>
  <c r="NM13" i="2" s="1"/>
  <c r="NM14" i="2" s="1"/>
  <c r="NM15" i="2" s="1"/>
  <c r="NM16" i="2" s="1"/>
  <c r="NM17" i="2" s="1"/>
  <c r="NM18" i="2" s="1"/>
  <c r="NM19" i="2" s="1"/>
  <c r="NM20" i="2" s="1"/>
  <c r="NM21" i="2" s="1"/>
  <c r="NM22" i="2" s="1"/>
  <c r="NM23" i="2" s="1"/>
  <c r="NL4" i="2"/>
  <c r="NL5" i="2" s="1"/>
  <c r="NL6" i="2" s="1"/>
  <c r="NL7" i="2" s="1"/>
  <c r="NL8" i="2" s="1"/>
  <c r="NL9" i="2" s="1"/>
  <c r="NL10" i="2" s="1"/>
  <c r="NL11" i="2" s="1"/>
  <c r="NL12" i="2" s="1"/>
  <c r="NL13" i="2" s="1"/>
  <c r="NL14" i="2" s="1"/>
  <c r="NL15" i="2" s="1"/>
  <c r="NL16" i="2" s="1"/>
  <c r="NL17" i="2" s="1"/>
  <c r="NL18" i="2" s="1"/>
  <c r="NL19" i="2" s="1"/>
  <c r="NL20" i="2" s="1"/>
  <c r="NL21" i="2" s="1"/>
  <c r="NL22" i="2" s="1"/>
  <c r="NL23" i="2" s="1"/>
  <c r="NK4" i="2"/>
  <c r="NK5" i="2" s="1"/>
  <c r="NK6" i="2" s="1"/>
  <c r="NK7" i="2" s="1"/>
  <c r="NK8" i="2" s="1"/>
  <c r="NK9" i="2" s="1"/>
  <c r="NK10" i="2" s="1"/>
  <c r="NK11" i="2" s="1"/>
  <c r="NK12" i="2" s="1"/>
  <c r="NK13" i="2" s="1"/>
  <c r="NK14" i="2" s="1"/>
  <c r="NK15" i="2" s="1"/>
  <c r="NK16" i="2" s="1"/>
  <c r="NK17" i="2" s="1"/>
  <c r="NK18" i="2" s="1"/>
  <c r="NK19" i="2" s="1"/>
  <c r="NK20" i="2" s="1"/>
  <c r="NK21" i="2" s="1"/>
  <c r="NK22" i="2" s="1"/>
  <c r="NK23" i="2" s="1"/>
  <c r="NJ4" i="2"/>
  <c r="NJ5" i="2" s="1"/>
  <c r="NJ6" i="2" s="1"/>
  <c r="NJ7" i="2" s="1"/>
  <c r="NJ8" i="2" s="1"/>
  <c r="NJ9" i="2" s="1"/>
  <c r="NJ10" i="2" s="1"/>
  <c r="NJ11" i="2" s="1"/>
  <c r="NJ12" i="2" s="1"/>
  <c r="NJ13" i="2" s="1"/>
  <c r="NJ14" i="2" s="1"/>
  <c r="NJ15" i="2" s="1"/>
  <c r="NJ16" i="2" s="1"/>
  <c r="NJ17" i="2" s="1"/>
  <c r="NJ18" i="2" s="1"/>
  <c r="NJ19" i="2" s="1"/>
  <c r="NJ20" i="2" s="1"/>
  <c r="NJ21" i="2" s="1"/>
  <c r="NJ22" i="2" s="1"/>
  <c r="NJ23" i="2" s="1"/>
  <c r="NI4" i="2"/>
  <c r="NI5" i="2" s="1"/>
  <c r="NI6" i="2" s="1"/>
  <c r="NI7" i="2" s="1"/>
  <c r="NI8" i="2" s="1"/>
  <c r="NI9" i="2" s="1"/>
  <c r="NI10" i="2" s="1"/>
  <c r="NI11" i="2" s="1"/>
  <c r="NI12" i="2" s="1"/>
  <c r="NI13" i="2" s="1"/>
  <c r="NI14" i="2" s="1"/>
  <c r="NI15" i="2" s="1"/>
  <c r="NI16" i="2" s="1"/>
  <c r="NI17" i="2" s="1"/>
  <c r="NI18" i="2" s="1"/>
  <c r="NI19" i="2" s="1"/>
  <c r="NI20" i="2" s="1"/>
  <c r="NI21" i="2" s="1"/>
  <c r="NI22" i="2" s="1"/>
  <c r="NI23" i="2" s="1"/>
  <c r="NH4" i="2"/>
  <c r="NH5" i="2" s="1"/>
  <c r="NH6" i="2" s="1"/>
  <c r="NH7" i="2" s="1"/>
  <c r="NH8" i="2" s="1"/>
  <c r="NH9" i="2" s="1"/>
  <c r="NH10" i="2" s="1"/>
  <c r="NH11" i="2" s="1"/>
  <c r="NH12" i="2" s="1"/>
  <c r="NH13" i="2" s="1"/>
  <c r="NH14" i="2" s="1"/>
  <c r="NH15" i="2" s="1"/>
  <c r="NH16" i="2" s="1"/>
  <c r="NH17" i="2" s="1"/>
  <c r="NH18" i="2" s="1"/>
  <c r="NH19" i="2" s="1"/>
  <c r="NH20" i="2" s="1"/>
  <c r="NH21" i="2" s="1"/>
  <c r="NH22" i="2" s="1"/>
  <c r="NH23" i="2" s="1"/>
  <c r="NG4" i="2"/>
  <c r="NG5" i="2" s="1"/>
  <c r="NG6" i="2" s="1"/>
  <c r="NG7" i="2" s="1"/>
  <c r="NG8" i="2" s="1"/>
  <c r="NG9" i="2" s="1"/>
  <c r="NG10" i="2" s="1"/>
  <c r="NG11" i="2" s="1"/>
  <c r="NG12" i="2" s="1"/>
  <c r="NG13" i="2" s="1"/>
  <c r="NG14" i="2" s="1"/>
  <c r="NG15" i="2" s="1"/>
  <c r="NG16" i="2" s="1"/>
  <c r="NG17" i="2" s="1"/>
  <c r="NG18" i="2" s="1"/>
  <c r="NG19" i="2" s="1"/>
  <c r="NG20" i="2" s="1"/>
  <c r="NG21" i="2" s="1"/>
  <c r="NG22" i="2" s="1"/>
  <c r="NG23" i="2" s="1"/>
  <c r="NF4" i="2"/>
  <c r="NF5" i="2" s="1"/>
  <c r="NF6" i="2" s="1"/>
  <c r="NF7" i="2" s="1"/>
  <c r="NF8" i="2" s="1"/>
  <c r="NF9" i="2" s="1"/>
  <c r="NF10" i="2" s="1"/>
  <c r="NF11" i="2" s="1"/>
  <c r="NF12" i="2" s="1"/>
  <c r="NF13" i="2" s="1"/>
  <c r="NF14" i="2" s="1"/>
  <c r="NF15" i="2" s="1"/>
  <c r="NF16" i="2" s="1"/>
  <c r="NF17" i="2" s="1"/>
  <c r="NF18" i="2" s="1"/>
  <c r="NF19" i="2" s="1"/>
  <c r="NF20" i="2" s="1"/>
  <c r="NF21" i="2" s="1"/>
  <c r="NF22" i="2" s="1"/>
  <c r="NF23" i="2" s="1"/>
  <c r="NE4" i="2"/>
  <c r="NE5" i="2" s="1"/>
  <c r="NE6" i="2" s="1"/>
  <c r="NE7" i="2" s="1"/>
  <c r="NE8" i="2" s="1"/>
  <c r="NE9" i="2" s="1"/>
  <c r="NE10" i="2" s="1"/>
  <c r="NE11" i="2" s="1"/>
  <c r="NE12" i="2" s="1"/>
  <c r="NE13" i="2" s="1"/>
  <c r="NE14" i="2" s="1"/>
  <c r="NE15" i="2" s="1"/>
  <c r="NE16" i="2" s="1"/>
  <c r="NE17" i="2" s="1"/>
  <c r="NE18" i="2" s="1"/>
  <c r="NE19" i="2" s="1"/>
  <c r="NE20" i="2" s="1"/>
  <c r="NE21" i="2" s="1"/>
  <c r="NE22" i="2" s="1"/>
  <c r="NE23" i="2" s="1"/>
  <c r="ND4" i="2"/>
  <c r="ND5" i="2" s="1"/>
  <c r="ND6" i="2" s="1"/>
  <c r="ND7" i="2" s="1"/>
  <c r="ND8" i="2" s="1"/>
  <c r="ND9" i="2" s="1"/>
  <c r="ND10" i="2" s="1"/>
  <c r="ND11" i="2" s="1"/>
  <c r="ND12" i="2" s="1"/>
  <c r="ND13" i="2" s="1"/>
  <c r="ND14" i="2" s="1"/>
  <c r="ND15" i="2" s="1"/>
  <c r="ND16" i="2" s="1"/>
  <c r="ND17" i="2" s="1"/>
  <c r="ND18" i="2" s="1"/>
  <c r="ND19" i="2" s="1"/>
  <c r="ND20" i="2" s="1"/>
  <c r="ND21" i="2" s="1"/>
  <c r="ND22" i="2" s="1"/>
  <c r="ND23" i="2" s="1"/>
  <c r="NC4" i="2"/>
  <c r="NC5" i="2" s="1"/>
  <c r="NC6" i="2" s="1"/>
  <c r="NC7" i="2" s="1"/>
  <c r="NC8" i="2" s="1"/>
  <c r="NC9" i="2" s="1"/>
  <c r="NC10" i="2" s="1"/>
  <c r="NC11" i="2" s="1"/>
  <c r="NC12" i="2" s="1"/>
  <c r="NC13" i="2" s="1"/>
  <c r="NC14" i="2" s="1"/>
  <c r="NC15" i="2" s="1"/>
  <c r="NC16" i="2" s="1"/>
  <c r="NC17" i="2" s="1"/>
  <c r="NC18" i="2" s="1"/>
  <c r="NC19" i="2" s="1"/>
  <c r="NC20" i="2" s="1"/>
  <c r="NC21" i="2" s="1"/>
  <c r="NC22" i="2" s="1"/>
  <c r="NC23" i="2" s="1"/>
  <c r="NB4" i="2"/>
  <c r="NB5" i="2" s="1"/>
  <c r="NB6" i="2" s="1"/>
  <c r="NB7" i="2" s="1"/>
  <c r="NB8" i="2" s="1"/>
  <c r="NB9" i="2" s="1"/>
  <c r="NB10" i="2" s="1"/>
  <c r="NB11" i="2" s="1"/>
  <c r="NB12" i="2" s="1"/>
  <c r="NB13" i="2" s="1"/>
  <c r="NB14" i="2" s="1"/>
  <c r="NB15" i="2" s="1"/>
  <c r="NB16" i="2" s="1"/>
  <c r="NB17" i="2" s="1"/>
  <c r="NB18" i="2" s="1"/>
  <c r="NB19" i="2" s="1"/>
  <c r="NB20" i="2" s="1"/>
  <c r="NB21" i="2" s="1"/>
  <c r="NB22" i="2" s="1"/>
  <c r="NB23" i="2" s="1"/>
  <c r="NA4" i="2"/>
  <c r="NA5" i="2" s="1"/>
  <c r="NA6" i="2" s="1"/>
  <c r="NA7" i="2" s="1"/>
  <c r="NA8" i="2" s="1"/>
  <c r="NA9" i="2" s="1"/>
  <c r="NA10" i="2" s="1"/>
  <c r="NA11" i="2" s="1"/>
  <c r="NA12" i="2" s="1"/>
  <c r="NA13" i="2" s="1"/>
  <c r="NA14" i="2" s="1"/>
  <c r="NA15" i="2" s="1"/>
  <c r="NA16" i="2" s="1"/>
  <c r="NA17" i="2" s="1"/>
  <c r="NA18" i="2" s="1"/>
  <c r="NA19" i="2" s="1"/>
  <c r="NA20" i="2" s="1"/>
  <c r="NA21" i="2" s="1"/>
  <c r="NA22" i="2" s="1"/>
  <c r="NA23" i="2" s="1"/>
  <c r="MZ4" i="2"/>
  <c r="MZ5" i="2" s="1"/>
  <c r="MZ6" i="2" s="1"/>
  <c r="MZ7" i="2" s="1"/>
  <c r="MZ8" i="2" s="1"/>
  <c r="MZ9" i="2" s="1"/>
  <c r="MZ10" i="2" s="1"/>
  <c r="MZ11" i="2" s="1"/>
  <c r="MZ12" i="2" s="1"/>
  <c r="MZ13" i="2" s="1"/>
  <c r="MZ14" i="2" s="1"/>
  <c r="MZ15" i="2" s="1"/>
  <c r="MZ16" i="2" s="1"/>
  <c r="MZ17" i="2" s="1"/>
  <c r="MZ18" i="2" s="1"/>
  <c r="MZ19" i="2" s="1"/>
  <c r="MZ20" i="2" s="1"/>
  <c r="MZ21" i="2" s="1"/>
  <c r="MZ22" i="2" s="1"/>
  <c r="MZ23" i="2" s="1"/>
  <c r="MY4" i="2"/>
  <c r="MY5" i="2" s="1"/>
  <c r="MY6" i="2" s="1"/>
  <c r="MY7" i="2" s="1"/>
  <c r="MY8" i="2" s="1"/>
  <c r="MY9" i="2" s="1"/>
  <c r="MY10" i="2" s="1"/>
  <c r="MY11" i="2" s="1"/>
  <c r="MY12" i="2" s="1"/>
  <c r="MY13" i="2" s="1"/>
  <c r="MY14" i="2" s="1"/>
  <c r="MY15" i="2" s="1"/>
  <c r="MY16" i="2" s="1"/>
  <c r="MY17" i="2" s="1"/>
  <c r="MY18" i="2" s="1"/>
  <c r="MY19" i="2" s="1"/>
  <c r="MY20" i="2" s="1"/>
  <c r="MY21" i="2" s="1"/>
  <c r="MY22" i="2" s="1"/>
  <c r="MY23" i="2" s="1"/>
  <c r="MX4" i="2"/>
  <c r="MX5" i="2" s="1"/>
  <c r="MX6" i="2" s="1"/>
  <c r="MX7" i="2" s="1"/>
  <c r="MX8" i="2" s="1"/>
  <c r="MX9" i="2" s="1"/>
  <c r="MX10" i="2" s="1"/>
  <c r="MX11" i="2" s="1"/>
  <c r="MX12" i="2" s="1"/>
  <c r="MX13" i="2" s="1"/>
  <c r="MX14" i="2" s="1"/>
  <c r="MX15" i="2" s="1"/>
  <c r="MX16" i="2" s="1"/>
  <c r="MX17" i="2" s="1"/>
  <c r="MX18" i="2" s="1"/>
  <c r="MX19" i="2" s="1"/>
  <c r="MX20" i="2" s="1"/>
  <c r="MX21" i="2" s="1"/>
  <c r="MX22" i="2" s="1"/>
  <c r="MX23" i="2" s="1"/>
  <c r="MW4" i="2"/>
  <c r="MW5" i="2" s="1"/>
  <c r="MW6" i="2" s="1"/>
  <c r="MW7" i="2" s="1"/>
  <c r="MW8" i="2" s="1"/>
  <c r="MW9" i="2" s="1"/>
  <c r="MW10" i="2" s="1"/>
  <c r="MW11" i="2" s="1"/>
  <c r="MW12" i="2" s="1"/>
  <c r="MW13" i="2" s="1"/>
  <c r="MW14" i="2" s="1"/>
  <c r="MW15" i="2" s="1"/>
  <c r="MW16" i="2" s="1"/>
  <c r="MW17" i="2" s="1"/>
  <c r="MW18" i="2" s="1"/>
  <c r="MW19" i="2" s="1"/>
  <c r="MW20" i="2" s="1"/>
  <c r="MW21" i="2" s="1"/>
  <c r="MW22" i="2" s="1"/>
  <c r="MW23" i="2" s="1"/>
  <c r="MV4" i="2"/>
  <c r="MV5" i="2" s="1"/>
  <c r="MV6" i="2" s="1"/>
  <c r="MV7" i="2" s="1"/>
  <c r="MV8" i="2" s="1"/>
  <c r="MV9" i="2" s="1"/>
  <c r="MV10" i="2" s="1"/>
  <c r="MV11" i="2" s="1"/>
  <c r="MV12" i="2" s="1"/>
  <c r="MV13" i="2" s="1"/>
  <c r="MV14" i="2" s="1"/>
  <c r="MV15" i="2" s="1"/>
  <c r="MV16" i="2" s="1"/>
  <c r="MV17" i="2" s="1"/>
  <c r="MV18" i="2" s="1"/>
  <c r="MV19" i="2" s="1"/>
  <c r="MV20" i="2" s="1"/>
  <c r="MV21" i="2" s="1"/>
  <c r="MV22" i="2" s="1"/>
  <c r="MV23" i="2" s="1"/>
  <c r="MU4" i="2"/>
  <c r="MU5" i="2" s="1"/>
  <c r="MU6" i="2" s="1"/>
  <c r="MU7" i="2" s="1"/>
  <c r="MU8" i="2" s="1"/>
  <c r="MU9" i="2" s="1"/>
  <c r="MU10" i="2" s="1"/>
  <c r="MU11" i="2" s="1"/>
  <c r="MU12" i="2" s="1"/>
  <c r="MU13" i="2" s="1"/>
  <c r="MU14" i="2" s="1"/>
  <c r="MU15" i="2" s="1"/>
  <c r="MU16" i="2" s="1"/>
  <c r="MU17" i="2" s="1"/>
  <c r="MU18" i="2" s="1"/>
  <c r="MU19" i="2" s="1"/>
  <c r="MU20" i="2" s="1"/>
  <c r="MU21" i="2" s="1"/>
  <c r="MU22" i="2" s="1"/>
  <c r="MU23" i="2" s="1"/>
  <c r="MT4" i="2"/>
  <c r="MT5" i="2" s="1"/>
  <c r="MT6" i="2" s="1"/>
  <c r="MT7" i="2" s="1"/>
  <c r="MT8" i="2" s="1"/>
  <c r="MT9" i="2" s="1"/>
  <c r="MT10" i="2" s="1"/>
  <c r="MT11" i="2" s="1"/>
  <c r="MT12" i="2" s="1"/>
  <c r="MT13" i="2" s="1"/>
  <c r="MT14" i="2" s="1"/>
  <c r="MT15" i="2" s="1"/>
  <c r="MT16" i="2" s="1"/>
  <c r="MT17" i="2" s="1"/>
  <c r="MT18" i="2" s="1"/>
  <c r="MT19" i="2" s="1"/>
  <c r="MT20" i="2" s="1"/>
  <c r="MT21" i="2" s="1"/>
  <c r="MT22" i="2" s="1"/>
  <c r="MT23" i="2" s="1"/>
  <c r="MS4" i="2"/>
  <c r="MS5" i="2" s="1"/>
  <c r="MS6" i="2" s="1"/>
  <c r="MS7" i="2" s="1"/>
  <c r="MS8" i="2" s="1"/>
  <c r="MS9" i="2" s="1"/>
  <c r="MS10" i="2" s="1"/>
  <c r="MS11" i="2" s="1"/>
  <c r="MS12" i="2" s="1"/>
  <c r="MS13" i="2" s="1"/>
  <c r="MS14" i="2" s="1"/>
  <c r="MS15" i="2" s="1"/>
  <c r="MS16" i="2" s="1"/>
  <c r="MS17" i="2" s="1"/>
  <c r="MS18" i="2" s="1"/>
  <c r="MS19" i="2" s="1"/>
  <c r="MS20" i="2" s="1"/>
  <c r="MS21" i="2" s="1"/>
  <c r="MS22" i="2" s="1"/>
  <c r="MS23" i="2" s="1"/>
  <c r="MR4" i="2"/>
  <c r="MR5" i="2" s="1"/>
  <c r="MR6" i="2" s="1"/>
  <c r="MR7" i="2" s="1"/>
  <c r="MR8" i="2" s="1"/>
  <c r="MR9" i="2" s="1"/>
  <c r="MR10" i="2" s="1"/>
  <c r="MR11" i="2" s="1"/>
  <c r="MR12" i="2" s="1"/>
  <c r="MR13" i="2" s="1"/>
  <c r="MR14" i="2" s="1"/>
  <c r="MR15" i="2" s="1"/>
  <c r="MR16" i="2" s="1"/>
  <c r="MR17" i="2" s="1"/>
  <c r="MR18" i="2" s="1"/>
  <c r="MR19" i="2" s="1"/>
  <c r="MR20" i="2" s="1"/>
  <c r="MR21" i="2" s="1"/>
  <c r="MR22" i="2" s="1"/>
  <c r="MR23" i="2" s="1"/>
  <c r="MQ4" i="2"/>
  <c r="MQ5" i="2" s="1"/>
  <c r="MQ6" i="2" s="1"/>
  <c r="MQ7" i="2" s="1"/>
  <c r="MQ8" i="2" s="1"/>
  <c r="MQ9" i="2" s="1"/>
  <c r="MQ10" i="2" s="1"/>
  <c r="MQ11" i="2" s="1"/>
  <c r="MQ12" i="2" s="1"/>
  <c r="MQ13" i="2" s="1"/>
  <c r="MQ14" i="2" s="1"/>
  <c r="MQ15" i="2" s="1"/>
  <c r="MQ16" i="2" s="1"/>
  <c r="MQ17" i="2" s="1"/>
  <c r="MQ18" i="2" s="1"/>
  <c r="MQ19" i="2" s="1"/>
  <c r="MQ20" i="2" s="1"/>
  <c r="MQ21" i="2" s="1"/>
  <c r="MQ22" i="2" s="1"/>
  <c r="MQ23" i="2" s="1"/>
  <c r="MP4" i="2"/>
  <c r="MP5" i="2" s="1"/>
  <c r="MP6" i="2" s="1"/>
  <c r="MP7" i="2" s="1"/>
  <c r="MP8" i="2" s="1"/>
  <c r="MP9" i="2" s="1"/>
  <c r="MP10" i="2" s="1"/>
  <c r="MP11" i="2" s="1"/>
  <c r="MP12" i="2" s="1"/>
  <c r="MP13" i="2" s="1"/>
  <c r="MP14" i="2" s="1"/>
  <c r="MP15" i="2" s="1"/>
  <c r="MP16" i="2" s="1"/>
  <c r="MP17" i="2" s="1"/>
  <c r="MP18" i="2" s="1"/>
  <c r="MP19" i="2" s="1"/>
  <c r="MP20" i="2" s="1"/>
  <c r="MP21" i="2" s="1"/>
  <c r="MP22" i="2" s="1"/>
  <c r="MP23" i="2" s="1"/>
  <c r="MO4" i="2"/>
  <c r="MO5" i="2" s="1"/>
  <c r="MO6" i="2" s="1"/>
  <c r="MO7" i="2" s="1"/>
  <c r="MO8" i="2" s="1"/>
  <c r="MO9" i="2" s="1"/>
  <c r="MO10" i="2" s="1"/>
  <c r="MO11" i="2" s="1"/>
  <c r="MO12" i="2" s="1"/>
  <c r="MO13" i="2" s="1"/>
  <c r="MO14" i="2" s="1"/>
  <c r="MO15" i="2" s="1"/>
  <c r="MO16" i="2" s="1"/>
  <c r="MO17" i="2" s="1"/>
  <c r="MO18" i="2" s="1"/>
  <c r="MO19" i="2" s="1"/>
  <c r="MO20" i="2" s="1"/>
  <c r="MO21" i="2" s="1"/>
  <c r="MO22" i="2" s="1"/>
  <c r="MO23" i="2" s="1"/>
  <c r="MN4" i="2"/>
  <c r="MN5" i="2" s="1"/>
  <c r="MN6" i="2" s="1"/>
  <c r="MN7" i="2" s="1"/>
  <c r="MN8" i="2" s="1"/>
  <c r="MN9" i="2" s="1"/>
  <c r="MN10" i="2" s="1"/>
  <c r="MN11" i="2" s="1"/>
  <c r="MN12" i="2" s="1"/>
  <c r="MN13" i="2" s="1"/>
  <c r="MN14" i="2" s="1"/>
  <c r="MN15" i="2" s="1"/>
  <c r="MN16" i="2" s="1"/>
  <c r="MN17" i="2" s="1"/>
  <c r="MN18" i="2" s="1"/>
  <c r="MN19" i="2" s="1"/>
  <c r="MN20" i="2" s="1"/>
  <c r="MN21" i="2" s="1"/>
  <c r="MN22" i="2" s="1"/>
  <c r="MN23" i="2" s="1"/>
  <c r="MM4" i="2"/>
  <c r="MM5" i="2" s="1"/>
  <c r="MM6" i="2" s="1"/>
  <c r="MM7" i="2" s="1"/>
  <c r="MM8" i="2" s="1"/>
  <c r="MM9" i="2" s="1"/>
  <c r="MM10" i="2" s="1"/>
  <c r="MM11" i="2" s="1"/>
  <c r="MM12" i="2" s="1"/>
  <c r="MM13" i="2" s="1"/>
  <c r="MM14" i="2" s="1"/>
  <c r="MM15" i="2" s="1"/>
  <c r="MM16" i="2" s="1"/>
  <c r="MM17" i="2" s="1"/>
  <c r="MM18" i="2" s="1"/>
  <c r="MM19" i="2" s="1"/>
  <c r="MM20" i="2" s="1"/>
  <c r="MM21" i="2" s="1"/>
  <c r="MM22" i="2" s="1"/>
  <c r="MM23" i="2" s="1"/>
  <c r="ML4" i="2"/>
  <c r="ML5" i="2" s="1"/>
  <c r="ML6" i="2" s="1"/>
  <c r="ML7" i="2" s="1"/>
  <c r="ML8" i="2" s="1"/>
  <c r="ML9" i="2" s="1"/>
  <c r="ML10" i="2" s="1"/>
  <c r="ML11" i="2" s="1"/>
  <c r="ML12" i="2" s="1"/>
  <c r="ML13" i="2" s="1"/>
  <c r="ML14" i="2" s="1"/>
  <c r="ML15" i="2" s="1"/>
  <c r="ML16" i="2" s="1"/>
  <c r="ML17" i="2" s="1"/>
  <c r="ML18" i="2" s="1"/>
  <c r="ML19" i="2" s="1"/>
  <c r="ML20" i="2" s="1"/>
  <c r="ML21" i="2" s="1"/>
  <c r="ML22" i="2" s="1"/>
  <c r="ML23" i="2" s="1"/>
  <c r="MK4" i="2"/>
  <c r="MK5" i="2" s="1"/>
  <c r="MK6" i="2" s="1"/>
  <c r="MK7" i="2" s="1"/>
  <c r="MK8" i="2" s="1"/>
  <c r="MK9" i="2" s="1"/>
  <c r="MK10" i="2" s="1"/>
  <c r="MK11" i="2" s="1"/>
  <c r="MK12" i="2" s="1"/>
  <c r="MK13" i="2" s="1"/>
  <c r="MK14" i="2" s="1"/>
  <c r="MK15" i="2" s="1"/>
  <c r="MK16" i="2" s="1"/>
  <c r="MK17" i="2" s="1"/>
  <c r="MK18" i="2" s="1"/>
  <c r="MK19" i="2" s="1"/>
  <c r="MK20" i="2" s="1"/>
  <c r="MK21" i="2" s="1"/>
  <c r="MK22" i="2" s="1"/>
  <c r="MK23" i="2" s="1"/>
  <c r="MJ4" i="2"/>
  <c r="MJ5" i="2" s="1"/>
  <c r="MJ6" i="2" s="1"/>
  <c r="MJ7" i="2" s="1"/>
  <c r="MJ8" i="2" s="1"/>
  <c r="MJ9" i="2" s="1"/>
  <c r="MJ10" i="2" s="1"/>
  <c r="MJ11" i="2" s="1"/>
  <c r="MJ12" i="2" s="1"/>
  <c r="MJ13" i="2" s="1"/>
  <c r="MJ14" i="2" s="1"/>
  <c r="MJ15" i="2" s="1"/>
  <c r="MJ16" i="2" s="1"/>
  <c r="MJ17" i="2" s="1"/>
  <c r="MJ18" i="2" s="1"/>
  <c r="MJ19" i="2" s="1"/>
  <c r="MJ20" i="2" s="1"/>
  <c r="MJ21" i="2" s="1"/>
  <c r="MJ22" i="2" s="1"/>
  <c r="MJ23" i="2" s="1"/>
  <c r="MI4" i="2"/>
  <c r="MI5" i="2" s="1"/>
  <c r="MI6" i="2" s="1"/>
  <c r="MI7" i="2" s="1"/>
  <c r="MI8" i="2" s="1"/>
  <c r="MI9" i="2" s="1"/>
  <c r="MI10" i="2" s="1"/>
  <c r="MI11" i="2" s="1"/>
  <c r="MI12" i="2" s="1"/>
  <c r="MI13" i="2" s="1"/>
  <c r="MI14" i="2" s="1"/>
  <c r="MI15" i="2" s="1"/>
  <c r="MI16" i="2" s="1"/>
  <c r="MI17" i="2" s="1"/>
  <c r="MI18" i="2" s="1"/>
  <c r="MI19" i="2" s="1"/>
  <c r="MI20" i="2" s="1"/>
  <c r="MI21" i="2" s="1"/>
  <c r="MI22" i="2" s="1"/>
  <c r="MI23" i="2" s="1"/>
  <c r="MH4" i="2"/>
  <c r="MH5" i="2" s="1"/>
  <c r="MH6" i="2" s="1"/>
  <c r="MH7" i="2" s="1"/>
  <c r="MH8" i="2" s="1"/>
  <c r="MH9" i="2" s="1"/>
  <c r="MH10" i="2" s="1"/>
  <c r="MH11" i="2" s="1"/>
  <c r="MH12" i="2" s="1"/>
  <c r="MH13" i="2" s="1"/>
  <c r="MH14" i="2" s="1"/>
  <c r="MH15" i="2" s="1"/>
  <c r="MH16" i="2" s="1"/>
  <c r="MH17" i="2" s="1"/>
  <c r="MH18" i="2" s="1"/>
  <c r="MH19" i="2" s="1"/>
  <c r="MH20" i="2" s="1"/>
  <c r="MH21" i="2" s="1"/>
  <c r="MH22" i="2" s="1"/>
  <c r="MH23" i="2" s="1"/>
  <c r="MG4" i="2"/>
  <c r="MG5" i="2" s="1"/>
  <c r="MG6" i="2" s="1"/>
  <c r="MG7" i="2" s="1"/>
  <c r="MG8" i="2" s="1"/>
  <c r="MG9" i="2" s="1"/>
  <c r="MG10" i="2" s="1"/>
  <c r="MG11" i="2" s="1"/>
  <c r="MG12" i="2" s="1"/>
  <c r="MG13" i="2" s="1"/>
  <c r="MG14" i="2" s="1"/>
  <c r="MG15" i="2" s="1"/>
  <c r="MG16" i="2" s="1"/>
  <c r="MG17" i="2" s="1"/>
  <c r="MG18" i="2" s="1"/>
  <c r="MG19" i="2" s="1"/>
  <c r="MG20" i="2" s="1"/>
  <c r="MG21" i="2" s="1"/>
  <c r="MG22" i="2" s="1"/>
  <c r="MG23" i="2" s="1"/>
  <c r="MF4" i="2"/>
  <c r="MF5" i="2" s="1"/>
  <c r="MF6" i="2" s="1"/>
  <c r="MF7" i="2" s="1"/>
  <c r="MF8" i="2" s="1"/>
  <c r="MF9" i="2" s="1"/>
  <c r="MF10" i="2" s="1"/>
  <c r="MF11" i="2" s="1"/>
  <c r="MF12" i="2" s="1"/>
  <c r="MF13" i="2" s="1"/>
  <c r="MF14" i="2" s="1"/>
  <c r="MF15" i="2" s="1"/>
  <c r="MF16" i="2" s="1"/>
  <c r="MF17" i="2" s="1"/>
  <c r="MF18" i="2" s="1"/>
  <c r="MF19" i="2" s="1"/>
  <c r="MF20" i="2" s="1"/>
  <c r="MF21" i="2" s="1"/>
  <c r="MF22" i="2" s="1"/>
  <c r="MF23" i="2" s="1"/>
  <c r="ME4" i="2"/>
  <c r="ME5" i="2" s="1"/>
  <c r="ME6" i="2" s="1"/>
  <c r="ME7" i="2" s="1"/>
  <c r="ME8" i="2" s="1"/>
  <c r="ME9" i="2" s="1"/>
  <c r="ME10" i="2" s="1"/>
  <c r="ME11" i="2" s="1"/>
  <c r="ME12" i="2" s="1"/>
  <c r="ME13" i="2" s="1"/>
  <c r="ME14" i="2" s="1"/>
  <c r="ME15" i="2" s="1"/>
  <c r="ME16" i="2" s="1"/>
  <c r="ME17" i="2" s="1"/>
  <c r="ME18" i="2" s="1"/>
  <c r="ME19" i="2" s="1"/>
  <c r="ME20" i="2" s="1"/>
  <c r="ME21" i="2" s="1"/>
  <c r="ME22" i="2" s="1"/>
  <c r="ME23" i="2" s="1"/>
  <c r="MD4" i="2"/>
  <c r="MD5" i="2" s="1"/>
  <c r="MD6" i="2" s="1"/>
  <c r="MD7" i="2" s="1"/>
  <c r="MD8" i="2" s="1"/>
  <c r="MD9" i="2" s="1"/>
  <c r="MD10" i="2" s="1"/>
  <c r="MD11" i="2" s="1"/>
  <c r="MD12" i="2" s="1"/>
  <c r="MD13" i="2" s="1"/>
  <c r="MD14" i="2" s="1"/>
  <c r="MD15" i="2" s="1"/>
  <c r="MD16" i="2" s="1"/>
  <c r="MD17" i="2" s="1"/>
  <c r="MD18" i="2" s="1"/>
  <c r="MD19" i="2" s="1"/>
  <c r="MD20" i="2" s="1"/>
  <c r="MD21" i="2" s="1"/>
  <c r="MD22" i="2" s="1"/>
  <c r="MD23" i="2" s="1"/>
  <c r="MC4" i="2"/>
  <c r="MC5" i="2" s="1"/>
  <c r="MC6" i="2" s="1"/>
  <c r="MC7" i="2" s="1"/>
  <c r="MC8" i="2" s="1"/>
  <c r="MC9" i="2" s="1"/>
  <c r="MC10" i="2" s="1"/>
  <c r="MC11" i="2" s="1"/>
  <c r="MC12" i="2" s="1"/>
  <c r="MC13" i="2" s="1"/>
  <c r="MC14" i="2" s="1"/>
  <c r="MC15" i="2" s="1"/>
  <c r="MC16" i="2" s="1"/>
  <c r="MC17" i="2" s="1"/>
  <c r="MC18" i="2" s="1"/>
  <c r="MC19" i="2" s="1"/>
  <c r="MC20" i="2" s="1"/>
  <c r="MC21" i="2" s="1"/>
  <c r="MC22" i="2" s="1"/>
  <c r="MC23" i="2" s="1"/>
  <c r="MB4" i="2"/>
  <c r="MB5" i="2" s="1"/>
  <c r="MB6" i="2" s="1"/>
  <c r="MB7" i="2" s="1"/>
  <c r="MB8" i="2" s="1"/>
  <c r="MB9" i="2" s="1"/>
  <c r="MB10" i="2" s="1"/>
  <c r="MB11" i="2" s="1"/>
  <c r="MB12" i="2" s="1"/>
  <c r="MB13" i="2" s="1"/>
  <c r="MB14" i="2" s="1"/>
  <c r="MB15" i="2" s="1"/>
  <c r="MB16" i="2" s="1"/>
  <c r="MB17" i="2" s="1"/>
  <c r="MB18" i="2" s="1"/>
  <c r="MB19" i="2" s="1"/>
  <c r="MB20" i="2" s="1"/>
  <c r="MB21" i="2" s="1"/>
  <c r="MB22" i="2" s="1"/>
  <c r="MB23" i="2" s="1"/>
  <c r="MA4" i="2"/>
  <c r="MA5" i="2" s="1"/>
  <c r="MA6" i="2" s="1"/>
  <c r="MA7" i="2" s="1"/>
  <c r="MA8" i="2" s="1"/>
  <c r="MA9" i="2" s="1"/>
  <c r="MA10" i="2" s="1"/>
  <c r="MA11" i="2" s="1"/>
  <c r="MA12" i="2" s="1"/>
  <c r="MA13" i="2" s="1"/>
  <c r="MA14" i="2" s="1"/>
  <c r="MA15" i="2" s="1"/>
  <c r="MA16" i="2" s="1"/>
  <c r="MA17" i="2" s="1"/>
  <c r="MA18" i="2" s="1"/>
  <c r="MA19" i="2" s="1"/>
  <c r="MA20" i="2" s="1"/>
  <c r="MA21" i="2" s="1"/>
  <c r="MA22" i="2" s="1"/>
  <c r="MA23" i="2" s="1"/>
  <c r="LZ4" i="2"/>
  <c r="LZ5" i="2" s="1"/>
  <c r="LZ6" i="2" s="1"/>
  <c r="LZ7" i="2" s="1"/>
  <c r="LZ8" i="2" s="1"/>
  <c r="LZ9" i="2" s="1"/>
  <c r="LZ10" i="2" s="1"/>
  <c r="LZ11" i="2" s="1"/>
  <c r="LZ12" i="2" s="1"/>
  <c r="LZ13" i="2" s="1"/>
  <c r="LZ14" i="2" s="1"/>
  <c r="LZ15" i="2" s="1"/>
  <c r="LZ16" i="2" s="1"/>
  <c r="LZ17" i="2" s="1"/>
  <c r="LZ18" i="2" s="1"/>
  <c r="LZ19" i="2" s="1"/>
  <c r="LZ20" i="2" s="1"/>
  <c r="LZ21" i="2" s="1"/>
  <c r="LZ22" i="2" s="1"/>
  <c r="LZ23" i="2" s="1"/>
  <c r="LY4" i="2"/>
  <c r="LY5" i="2" s="1"/>
  <c r="LY6" i="2" s="1"/>
  <c r="LY7" i="2" s="1"/>
  <c r="LY8" i="2" s="1"/>
  <c r="LY9" i="2" s="1"/>
  <c r="LY10" i="2" s="1"/>
  <c r="LY11" i="2" s="1"/>
  <c r="LY12" i="2" s="1"/>
  <c r="LY13" i="2" s="1"/>
  <c r="LY14" i="2" s="1"/>
  <c r="LY15" i="2" s="1"/>
  <c r="LY16" i="2" s="1"/>
  <c r="LY17" i="2" s="1"/>
  <c r="LY18" i="2" s="1"/>
  <c r="LY19" i="2" s="1"/>
  <c r="LY20" i="2" s="1"/>
  <c r="LY21" i="2" s="1"/>
  <c r="LY22" i="2" s="1"/>
  <c r="LY23" i="2" s="1"/>
  <c r="LX4" i="2"/>
  <c r="LX5" i="2" s="1"/>
  <c r="LX6" i="2" s="1"/>
  <c r="LX7" i="2" s="1"/>
  <c r="LX8" i="2" s="1"/>
  <c r="LX9" i="2" s="1"/>
  <c r="LX10" i="2" s="1"/>
  <c r="LX11" i="2" s="1"/>
  <c r="LX12" i="2" s="1"/>
  <c r="LX13" i="2" s="1"/>
  <c r="LX14" i="2" s="1"/>
  <c r="LX15" i="2" s="1"/>
  <c r="LX16" i="2" s="1"/>
  <c r="LX17" i="2" s="1"/>
  <c r="LX18" i="2" s="1"/>
  <c r="LX19" i="2" s="1"/>
  <c r="LX20" i="2" s="1"/>
  <c r="LX21" i="2" s="1"/>
  <c r="LX22" i="2" s="1"/>
  <c r="LX23" i="2" s="1"/>
  <c r="LW4" i="2"/>
  <c r="LW5" i="2" s="1"/>
  <c r="LW6" i="2" s="1"/>
  <c r="LW7" i="2" s="1"/>
  <c r="LW8" i="2" s="1"/>
  <c r="LW9" i="2" s="1"/>
  <c r="LW10" i="2" s="1"/>
  <c r="LW11" i="2" s="1"/>
  <c r="LW12" i="2" s="1"/>
  <c r="LW13" i="2" s="1"/>
  <c r="LW14" i="2" s="1"/>
  <c r="LW15" i="2" s="1"/>
  <c r="LW16" i="2" s="1"/>
  <c r="LW17" i="2" s="1"/>
  <c r="LW18" i="2" s="1"/>
  <c r="LW19" i="2" s="1"/>
  <c r="LW20" i="2" s="1"/>
  <c r="LW21" i="2" s="1"/>
  <c r="LW22" i="2" s="1"/>
  <c r="LW23" i="2" s="1"/>
  <c r="LV4" i="2"/>
  <c r="LV5" i="2" s="1"/>
  <c r="LV6" i="2" s="1"/>
  <c r="LV7" i="2" s="1"/>
  <c r="LV8" i="2" s="1"/>
  <c r="LV9" i="2" s="1"/>
  <c r="LV10" i="2" s="1"/>
  <c r="LV11" i="2" s="1"/>
  <c r="LV12" i="2" s="1"/>
  <c r="LV13" i="2" s="1"/>
  <c r="LV14" i="2" s="1"/>
  <c r="LV15" i="2" s="1"/>
  <c r="LV16" i="2" s="1"/>
  <c r="LV17" i="2" s="1"/>
  <c r="LV18" i="2" s="1"/>
  <c r="LV19" i="2" s="1"/>
  <c r="LV20" i="2" s="1"/>
  <c r="LV21" i="2" s="1"/>
  <c r="LV22" i="2" s="1"/>
  <c r="LV23" i="2" s="1"/>
  <c r="LU4" i="2"/>
  <c r="LU5" i="2" s="1"/>
  <c r="LU6" i="2" s="1"/>
  <c r="LU7" i="2" s="1"/>
  <c r="LU8" i="2" s="1"/>
  <c r="LU9" i="2" s="1"/>
  <c r="LU10" i="2" s="1"/>
  <c r="LU11" i="2" s="1"/>
  <c r="LU12" i="2" s="1"/>
  <c r="LU13" i="2" s="1"/>
  <c r="LU14" i="2" s="1"/>
  <c r="LU15" i="2" s="1"/>
  <c r="LU16" i="2" s="1"/>
  <c r="LU17" i="2" s="1"/>
  <c r="LU18" i="2" s="1"/>
  <c r="LU19" i="2" s="1"/>
  <c r="LU20" i="2" s="1"/>
  <c r="LU21" i="2" s="1"/>
  <c r="LU22" i="2" s="1"/>
  <c r="LU23" i="2" s="1"/>
  <c r="LT4" i="2"/>
  <c r="LT5" i="2" s="1"/>
  <c r="LT6" i="2" s="1"/>
  <c r="LT7" i="2" s="1"/>
  <c r="LT8" i="2" s="1"/>
  <c r="LT9" i="2" s="1"/>
  <c r="LT10" i="2" s="1"/>
  <c r="LT11" i="2" s="1"/>
  <c r="LT12" i="2" s="1"/>
  <c r="LT13" i="2" s="1"/>
  <c r="LT14" i="2" s="1"/>
  <c r="LT15" i="2" s="1"/>
  <c r="LT16" i="2" s="1"/>
  <c r="LT17" i="2" s="1"/>
  <c r="LT18" i="2" s="1"/>
  <c r="LT19" i="2" s="1"/>
  <c r="LT20" i="2" s="1"/>
  <c r="LT21" i="2" s="1"/>
  <c r="LT22" i="2" s="1"/>
  <c r="LT23" i="2" s="1"/>
  <c r="LS4" i="2"/>
  <c r="LS5" i="2" s="1"/>
  <c r="LS6" i="2" s="1"/>
  <c r="LS7" i="2" s="1"/>
  <c r="LS8" i="2" s="1"/>
  <c r="LS9" i="2" s="1"/>
  <c r="LS10" i="2" s="1"/>
  <c r="LS11" i="2" s="1"/>
  <c r="LS12" i="2" s="1"/>
  <c r="LS13" i="2" s="1"/>
  <c r="LS14" i="2" s="1"/>
  <c r="LS15" i="2" s="1"/>
  <c r="LS16" i="2" s="1"/>
  <c r="LS17" i="2" s="1"/>
  <c r="LS18" i="2" s="1"/>
  <c r="LS19" i="2" s="1"/>
  <c r="LS20" i="2" s="1"/>
  <c r="LS21" i="2" s="1"/>
  <c r="LS22" i="2" s="1"/>
  <c r="LS23" i="2" s="1"/>
  <c r="LR4" i="2"/>
  <c r="LR5" i="2" s="1"/>
  <c r="LR6" i="2" s="1"/>
  <c r="LR7" i="2" s="1"/>
  <c r="LR8" i="2" s="1"/>
  <c r="LR9" i="2" s="1"/>
  <c r="LR10" i="2" s="1"/>
  <c r="LR11" i="2" s="1"/>
  <c r="LR12" i="2" s="1"/>
  <c r="LR13" i="2" s="1"/>
  <c r="LR14" i="2" s="1"/>
  <c r="LR15" i="2" s="1"/>
  <c r="LR16" i="2" s="1"/>
  <c r="LR17" i="2" s="1"/>
  <c r="LR18" i="2" s="1"/>
  <c r="LR19" i="2" s="1"/>
  <c r="LR20" i="2" s="1"/>
  <c r="LR21" i="2" s="1"/>
  <c r="LR22" i="2" s="1"/>
  <c r="LR23" i="2" s="1"/>
  <c r="LQ4" i="2"/>
  <c r="LQ5" i="2" s="1"/>
  <c r="LQ6" i="2" s="1"/>
  <c r="LQ7" i="2" s="1"/>
  <c r="LQ8" i="2" s="1"/>
  <c r="LQ9" i="2" s="1"/>
  <c r="LQ10" i="2" s="1"/>
  <c r="LQ11" i="2" s="1"/>
  <c r="LQ12" i="2" s="1"/>
  <c r="LQ13" i="2" s="1"/>
  <c r="LQ14" i="2" s="1"/>
  <c r="LQ15" i="2" s="1"/>
  <c r="LQ16" i="2" s="1"/>
  <c r="LQ17" i="2" s="1"/>
  <c r="LQ18" i="2" s="1"/>
  <c r="LQ19" i="2" s="1"/>
  <c r="LQ20" i="2" s="1"/>
  <c r="LQ21" i="2" s="1"/>
  <c r="LQ22" i="2" s="1"/>
  <c r="LQ23" i="2" s="1"/>
  <c r="LP4" i="2"/>
  <c r="LP5" i="2" s="1"/>
  <c r="LP6" i="2" s="1"/>
  <c r="LP7" i="2" s="1"/>
  <c r="LP8" i="2" s="1"/>
  <c r="LP9" i="2" s="1"/>
  <c r="LP10" i="2" s="1"/>
  <c r="LP11" i="2" s="1"/>
  <c r="LP12" i="2" s="1"/>
  <c r="LP13" i="2" s="1"/>
  <c r="LP14" i="2" s="1"/>
  <c r="LP15" i="2" s="1"/>
  <c r="LP16" i="2" s="1"/>
  <c r="LP17" i="2" s="1"/>
  <c r="LP18" i="2" s="1"/>
  <c r="LP19" i="2" s="1"/>
  <c r="LP20" i="2" s="1"/>
  <c r="LP21" i="2" s="1"/>
  <c r="LP22" i="2" s="1"/>
  <c r="LP23" i="2" s="1"/>
  <c r="LO4" i="2"/>
  <c r="LO5" i="2" s="1"/>
  <c r="LO6" i="2" s="1"/>
  <c r="LO7" i="2" s="1"/>
  <c r="LO8" i="2" s="1"/>
  <c r="LO9" i="2" s="1"/>
  <c r="LO10" i="2" s="1"/>
  <c r="LO11" i="2" s="1"/>
  <c r="LO12" i="2" s="1"/>
  <c r="LO13" i="2" s="1"/>
  <c r="LO14" i="2" s="1"/>
  <c r="LO15" i="2" s="1"/>
  <c r="LO16" i="2" s="1"/>
  <c r="LO17" i="2" s="1"/>
  <c r="LO18" i="2" s="1"/>
  <c r="LO19" i="2" s="1"/>
  <c r="LO20" i="2" s="1"/>
  <c r="LO21" i="2" s="1"/>
  <c r="LO22" i="2" s="1"/>
  <c r="LO23" i="2" s="1"/>
  <c r="LN4" i="2"/>
  <c r="LN5" i="2" s="1"/>
  <c r="LN6" i="2" s="1"/>
  <c r="LN7" i="2" s="1"/>
  <c r="LN8" i="2" s="1"/>
  <c r="LN9" i="2" s="1"/>
  <c r="LN10" i="2" s="1"/>
  <c r="LN11" i="2" s="1"/>
  <c r="LN12" i="2" s="1"/>
  <c r="LN13" i="2" s="1"/>
  <c r="LN14" i="2" s="1"/>
  <c r="LN15" i="2" s="1"/>
  <c r="LN16" i="2" s="1"/>
  <c r="LN17" i="2" s="1"/>
  <c r="LN18" i="2" s="1"/>
  <c r="LN19" i="2" s="1"/>
  <c r="LN20" i="2" s="1"/>
  <c r="LN21" i="2" s="1"/>
  <c r="LN22" i="2" s="1"/>
  <c r="LN23" i="2" s="1"/>
  <c r="LM4" i="2"/>
  <c r="LM5" i="2" s="1"/>
  <c r="LM6" i="2" s="1"/>
  <c r="LM7" i="2" s="1"/>
  <c r="LM8" i="2" s="1"/>
  <c r="LM9" i="2" s="1"/>
  <c r="LM10" i="2" s="1"/>
  <c r="LM11" i="2" s="1"/>
  <c r="LM12" i="2" s="1"/>
  <c r="LM13" i="2" s="1"/>
  <c r="LM14" i="2" s="1"/>
  <c r="LM15" i="2" s="1"/>
  <c r="LM16" i="2" s="1"/>
  <c r="LM17" i="2" s="1"/>
  <c r="LM18" i="2" s="1"/>
  <c r="LM19" i="2" s="1"/>
  <c r="LM20" i="2" s="1"/>
  <c r="LM21" i="2" s="1"/>
  <c r="LM22" i="2" s="1"/>
  <c r="LM23" i="2" s="1"/>
  <c r="LL4" i="2"/>
  <c r="LL5" i="2" s="1"/>
  <c r="LL6" i="2" s="1"/>
  <c r="LL7" i="2" s="1"/>
  <c r="LL8" i="2" s="1"/>
  <c r="LL9" i="2" s="1"/>
  <c r="LL10" i="2" s="1"/>
  <c r="LL11" i="2" s="1"/>
  <c r="LL12" i="2" s="1"/>
  <c r="LL13" i="2" s="1"/>
  <c r="LL14" i="2" s="1"/>
  <c r="LL15" i="2" s="1"/>
  <c r="LL16" i="2" s="1"/>
  <c r="LL17" i="2" s="1"/>
  <c r="LL18" i="2" s="1"/>
  <c r="LL19" i="2" s="1"/>
  <c r="LL20" i="2" s="1"/>
  <c r="LL21" i="2" s="1"/>
  <c r="LL22" i="2" s="1"/>
  <c r="LL23" i="2" s="1"/>
  <c r="LK4" i="2"/>
  <c r="LK5" i="2" s="1"/>
  <c r="LK6" i="2" s="1"/>
  <c r="LK7" i="2" s="1"/>
  <c r="LK8" i="2" s="1"/>
  <c r="LK9" i="2" s="1"/>
  <c r="LK10" i="2" s="1"/>
  <c r="LK11" i="2" s="1"/>
  <c r="LK12" i="2" s="1"/>
  <c r="LK13" i="2" s="1"/>
  <c r="LK14" i="2" s="1"/>
  <c r="LK15" i="2" s="1"/>
  <c r="LK16" i="2" s="1"/>
  <c r="LK17" i="2" s="1"/>
  <c r="LK18" i="2" s="1"/>
  <c r="LK19" i="2" s="1"/>
  <c r="LK20" i="2" s="1"/>
  <c r="LK21" i="2" s="1"/>
  <c r="LK22" i="2" s="1"/>
  <c r="LK23" i="2" s="1"/>
  <c r="LJ4" i="2"/>
  <c r="LJ5" i="2" s="1"/>
  <c r="LJ6" i="2" s="1"/>
  <c r="LJ7" i="2" s="1"/>
  <c r="LJ8" i="2" s="1"/>
  <c r="LJ9" i="2" s="1"/>
  <c r="LJ10" i="2" s="1"/>
  <c r="LJ11" i="2" s="1"/>
  <c r="LJ12" i="2" s="1"/>
  <c r="LJ13" i="2" s="1"/>
  <c r="LJ14" i="2" s="1"/>
  <c r="LJ15" i="2" s="1"/>
  <c r="LJ16" i="2" s="1"/>
  <c r="LJ17" i="2" s="1"/>
  <c r="LJ18" i="2" s="1"/>
  <c r="LJ19" i="2" s="1"/>
  <c r="LJ20" i="2" s="1"/>
  <c r="LJ21" i="2" s="1"/>
  <c r="LJ22" i="2" s="1"/>
  <c r="LJ23" i="2" s="1"/>
  <c r="LI4" i="2"/>
  <c r="LI5" i="2" s="1"/>
  <c r="LI6" i="2" s="1"/>
  <c r="LI7" i="2" s="1"/>
  <c r="LI8" i="2" s="1"/>
  <c r="LI9" i="2" s="1"/>
  <c r="LI10" i="2" s="1"/>
  <c r="LI11" i="2" s="1"/>
  <c r="LI12" i="2" s="1"/>
  <c r="LI13" i="2" s="1"/>
  <c r="LI14" i="2" s="1"/>
  <c r="LI15" i="2" s="1"/>
  <c r="LI16" i="2" s="1"/>
  <c r="LI17" i="2" s="1"/>
  <c r="LI18" i="2" s="1"/>
  <c r="LI19" i="2" s="1"/>
  <c r="LI20" i="2" s="1"/>
  <c r="LI21" i="2" s="1"/>
  <c r="LI22" i="2" s="1"/>
  <c r="LI23" i="2" s="1"/>
  <c r="LH4" i="2"/>
  <c r="LH5" i="2" s="1"/>
  <c r="LH6" i="2" s="1"/>
  <c r="LH7" i="2" s="1"/>
  <c r="LH8" i="2" s="1"/>
  <c r="LH9" i="2" s="1"/>
  <c r="LH10" i="2" s="1"/>
  <c r="LH11" i="2" s="1"/>
  <c r="LH12" i="2" s="1"/>
  <c r="LH13" i="2" s="1"/>
  <c r="LH14" i="2" s="1"/>
  <c r="LH15" i="2" s="1"/>
  <c r="LH16" i="2" s="1"/>
  <c r="LH17" i="2" s="1"/>
  <c r="LH18" i="2" s="1"/>
  <c r="LH19" i="2" s="1"/>
  <c r="LH20" i="2" s="1"/>
  <c r="LH21" i="2" s="1"/>
  <c r="LH22" i="2" s="1"/>
  <c r="LH23" i="2" s="1"/>
  <c r="LG4" i="2"/>
  <c r="LG5" i="2" s="1"/>
  <c r="LG6" i="2" s="1"/>
  <c r="LG7" i="2" s="1"/>
  <c r="LG8" i="2" s="1"/>
  <c r="LG9" i="2" s="1"/>
  <c r="LG10" i="2" s="1"/>
  <c r="LG11" i="2" s="1"/>
  <c r="LG12" i="2" s="1"/>
  <c r="LG13" i="2" s="1"/>
  <c r="LG14" i="2" s="1"/>
  <c r="LG15" i="2" s="1"/>
  <c r="LG16" i="2" s="1"/>
  <c r="LG17" i="2" s="1"/>
  <c r="LG18" i="2" s="1"/>
  <c r="LG19" i="2" s="1"/>
  <c r="LG20" i="2" s="1"/>
  <c r="LG21" i="2" s="1"/>
  <c r="LG22" i="2" s="1"/>
  <c r="LG23" i="2" s="1"/>
  <c r="LF4" i="2"/>
  <c r="LF5" i="2" s="1"/>
  <c r="LF6" i="2" s="1"/>
  <c r="LF7" i="2" s="1"/>
  <c r="LF8" i="2" s="1"/>
  <c r="LF9" i="2" s="1"/>
  <c r="LF10" i="2" s="1"/>
  <c r="LF11" i="2" s="1"/>
  <c r="LF12" i="2" s="1"/>
  <c r="LF13" i="2" s="1"/>
  <c r="LF14" i="2" s="1"/>
  <c r="LF15" i="2" s="1"/>
  <c r="LF16" i="2" s="1"/>
  <c r="LF17" i="2" s="1"/>
  <c r="LF18" i="2" s="1"/>
  <c r="LF19" i="2" s="1"/>
  <c r="LF20" i="2" s="1"/>
  <c r="LF21" i="2" s="1"/>
  <c r="LF22" i="2" s="1"/>
  <c r="LF23" i="2" s="1"/>
  <c r="LE4" i="2"/>
  <c r="LE5" i="2" s="1"/>
  <c r="LE6" i="2" s="1"/>
  <c r="LE7" i="2" s="1"/>
  <c r="LE8" i="2" s="1"/>
  <c r="LE9" i="2" s="1"/>
  <c r="LE10" i="2" s="1"/>
  <c r="LE11" i="2" s="1"/>
  <c r="LE12" i="2" s="1"/>
  <c r="LE13" i="2" s="1"/>
  <c r="LE14" i="2" s="1"/>
  <c r="LE15" i="2" s="1"/>
  <c r="LE16" i="2" s="1"/>
  <c r="LE17" i="2" s="1"/>
  <c r="LE18" i="2" s="1"/>
  <c r="LE19" i="2" s="1"/>
  <c r="LE20" i="2" s="1"/>
  <c r="LE21" i="2" s="1"/>
  <c r="LE22" i="2" s="1"/>
  <c r="LE23" i="2" s="1"/>
  <c r="LD4" i="2"/>
  <c r="LD5" i="2" s="1"/>
  <c r="LD6" i="2" s="1"/>
  <c r="LD7" i="2" s="1"/>
  <c r="LD8" i="2" s="1"/>
  <c r="LD9" i="2" s="1"/>
  <c r="LD10" i="2" s="1"/>
  <c r="LD11" i="2" s="1"/>
  <c r="LD12" i="2" s="1"/>
  <c r="LD13" i="2" s="1"/>
  <c r="LD14" i="2" s="1"/>
  <c r="LD15" i="2" s="1"/>
  <c r="LD16" i="2" s="1"/>
  <c r="LD17" i="2" s="1"/>
  <c r="LD18" i="2" s="1"/>
  <c r="LD19" i="2" s="1"/>
  <c r="LD20" i="2" s="1"/>
  <c r="LD21" i="2" s="1"/>
  <c r="LD22" i="2" s="1"/>
  <c r="LD23" i="2" s="1"/>
  <c r="LC4" i="2"/>
  <c r="LC5" i="2" s="1"/>
  <c r="LC6" i="2" s="1"/>
  <c r="LC7" i="2" s="1"/>
  <c r="LC8" i="2" s="1"/>
  <c r="LC9" i="2" s="1"/>
  <c r="LC10" i="2" s="1"/>
  <c r="LC11" i="2" s="1"/>
  <c r="LC12" i="2" s="1"/>
  <c r="LC13" i="2" s="1"/>
  <c r="LC14" i="2" s="1"/>
  <c r="LC15" i="2" s="1"/>
  <c r="LC16" i="2" s="1"/>
  <c r="LC17" i="2" s="1"/>
  <c r="LC18" i="2" s="1"/>
  <c r="LC19" i="2" s="1"/>
  <c r="LC20" i="2" s="1"/>
  <c r="LC21" i="2" s="1"/>
  <c r="LC22" i="2" s="1"/>
  <c r="LC23" i="2" s="1"/>
  <c r="LB4" i="2"/>
  <c r="LB5" i="2" s="1"/>
  <c r="LB6" i="2" s="1"/>
  <c r="LB7" i="2" s="1"/>
  <c r="LB8" i="2" s="1"/>
  <c r="LB9" i="2" s="1"/>
  <c r="LB10" i="2" s="1"/>
  <c r="LB11" i="2" s="1"/>
  <c r="LB12" i="2" s="1"/>
  <c r="LB13" i="2" s="1"/>
  <c r="LB14" i="2" s="1"/>
  <c r="LB15" i="2" s="1"/>
  <c r="LB16" i="2" s="1"/>
  <c r="LB17" i="2" s="1"/>
  <c r="LB18" i="2" s="1"/>
  <c r="LB19" i="2" s="1"/>
  <c r="LB20" i="2" s="1"/>
  <c r="LB21" i="2" s="1"/>
  <c r="LB22" i="2" s="1"/>
  <c r="LB23" i="2" s="1"/>
  <c r="LA4" i="2"/>
  <c r="LA5" i="2" s="1"/>
  <c r="LA6" i="2" s="1"/>
  <c r="LA7" i="2" s="1"/>
  <c r="LA8" i="2" s="1"/>
  <c r="LA9" i="2" s="1"/>
  <c r="LA10" i="2" s="1"/>
  <c r="LA11" i="2" s="1"/>
  <c r="LA12" i="2" s="1"/>
  <c r="LA13" i="2" s="1"/>
  <c r="LA14" i="2" s="1"/>
  <c r="LA15" i="2" s="1"/>
  <c r="LA16" i="2" s="1"/>
  <c r="LA17" i="2" s="1"/>
  <c r="LA18" i="2" s="1"/>
  <c r="LA19" i="2" s="1"/>
  <c r="LA20" i="2" s="1"/>
  <c r="LA21" i="2" s="1"/>
  <c r="LA22" i="2" s="1"/>
  <c r="LA23" i="2" s="1"/>
  <c r="KZ4" i="2"/>
  <c r="KZ5" i="2" s="1"/>
  <c r="KZ6" i="2" s="1"/>
  <c r="KZ7" i="2" s="1"/>
  <c r="KZ8" i="2" s="1"/>
  <c r="KZ9" i="2" s="1"/>
  <c r="KZ10" i="2" s="1"/>
  <c r="KZ11" i="2" s="1"/>
  <c r="KZ12" i="2" s="1"/>
  <c r="KZ13" i="2" s="1"/>
  <c r="KZ14" i="2" s="1"/>
  <c r="KZ15" i="2" s="1"/>
  <c r="KZ16" i="2" s="1"/>
  <c r="KZ17" i="2" s="1"/>
  <c r="KZ18" i="2" s="1"/>
  <c r="KZ19" i="2" s="1"/>
  <c r="KZ20" i="2" s="1"/>
  <c r="KZ21" i="2" s="1"/>
  <c r="KZ22" i="2" s="1"/>
  <c r="KZ23" i="2" s="1"/>
  <c r="KY4" i="2"/>
  <c r="KY5" i="2" s="1"/>
  <c r="KY6" i="2" s="1"/>
  <c r="KY7" i="2" s="1"/>
  <c r="KY8" i="2" s="1"/>
  <c r="KY9" i="2" s="1"/>
  <c r="KY10" i="2" s="1"/>
  <c r="KY11" i="2" s="1"/>
  <c r="KY12" i="2" s="1"/>
  <c r="KY13" i="2" s="1"/>
  <c r="KY14" i="2" s="1"/>
  <c r="KY15" i="2" s="1"/>
  <c r="KY16" i="2" s="1"/>
  <c r="KY17" i="2" s="1"/>
  <c r="KY18" i="2" s="1"/>
  <c r="KY19" i="2" s="1"/>
  <c r="KY20" i="2" s="1"/>
  <c r="KY21" i="2" s="1"/>
  <c r="KY22" i="2" s="1"/>
  <c r="KY23" i="2" s="1"/>
  <c r="KX4" i="2"/>
  <c r="KX5" i="2" s="1"/>
  <c r="KX6" i="2" s="1"/>
  <c r="KX7" i="2" s="1"/>
  <c r="KX8" i="2" s="1"/>
  <c r="KX9" i="2" s="1"/>
  <c r="KX10" i="2" s="1"/>
  <c r="KX11" i="2" s="1"/>
  <c r="KX12" i="2" s="1"/>
  <c r="KX13" i="2" s="1"/>
  <c r="KX14" i="2" s="1"/>
  <c r="KX15" i="2" s="1"/>
  <c r="KX16" i="2" s="1"/>
  <c r="KX17" i="2" s="1"/>
  <c r="KX18" i="2" s="1"/>
  <c r="KX19" i="2" s="1"/>
  <c r="KX20" i="2" s="1"/>
  <c r="KX21" i="2" s="1"/>
  <c r="KX22" i="2" s="1"/>
  <c r="KX23" i="2" s="1"/>
  <c r="KW4" i="2"/>
  <c r="KW5" i="2" s="1"/>
  <c r="KW6" i="2" s="1"/>
  <c r="KW7" i="2" s="1"/>
  <c r="KW8" i="2" s="1"/>
  <c r="KW9" i="2" s="1"/>
  <c r="KW10" i="2" s="1"/>
  <c r="KW11" i="2" s="1"/>
  <c r="KW12" i="2" s="1"/>
  <c r="KW13" i="2" s="1"/>
  <c r="KW14" i="2" s="1"/>
  <c r="KW15" i="2" s="1"/>
  <c r="KW16" i="2" s="1"/>
  <c r="KW17" i="2" s="1"/>
  <c r="KW18" i="2" s="1"/>
  <c r="KW19" i="2" s="1"/>
  <c r="KW20" i="2" s="1"/>
  <c r="KW21" i="2" s="1"/>
  <c r="KW22" i="2" s="1"/>
  <c r="KW23" i="2" s="1"/>
  <c r="KV4" i="2"/>
  <c r="KV5" i="2" s="1"/>
  <c r="KV6" i="2" s="1"/>
  <c r="KV7" i="2" s="1"/>
  <c r="KV8" i="2" s="1"/>
  <c r="KV9" i="2" s="1"/>
  <c r="KV10" i="2" s="1"/>
  <c r="KV11" i="2" s="1"/>
  <c r="KV12" i="2" s="1"/>
  <c r="KV13" i="2" s="1"/>
  <c r="KV14" i="2" s="1"/>
  <c r="KV15" i="2" s="1"/>
  <c r="KV16" i="2" s="1"/>
  <c r="KV17" i="2" s="1"/>
  <c r="KV18" i="2" s="1"/>
  <c r="KV19" i="2" s="1"/>
  <c r="KV20" i="2" s="1"/>
  <c r="KV21" i="2" s="1"/>
  <c r="KV22" i="2" s="1"/>
  <c r="KV23" i="2" s="1"/>
  <c r="KU4" i="2"/>
  <c r="KU5" i="2" s="1"/>
  <c r="KU6" i="2" s="1"/>
  <c r="KU7" i="2" s="1"/>
  <c r="KU8" i="2" s="1"/>
  <c r="KU9" i="2" s="1"/>
  <c r="KU10" i="2" s="1"/>
  <c r="KU11" i="2" s="1"/>
  <c r="KU12" i="2" s="1"/>
  <c r="KU13" i="2" s="1"/>
  <c r="KU14" i="2" s="1"/>
  <c r="KU15" i="2" s="1"/>
  <c r="KU16" i="2" s="1"/>
  <c r="KU17" i="2" s="1"/>
  <c r="KU18" i="2" s="1"/>
  <c r="KU19" i="2" s="1"/>
  <c r="KU20" i="2" s="1"/>
  <c r="KU21" i="2" s="1"/>
  <c r="KU22" i="2" s="1"/>
  <c r="KU23" i="2" s="1"/>
  <c r="KT4" i="2"/>
  <c r="KT5" i="2" s="1"/>
  <c r="KT6" i="2" s="1"/>
  <c r="KT7" i="2" s="1"/>
  <c r="KT8" i="2" s="1"/>
  <c r="KT9" i="2" s="1"/>
  <c r="KT10" i="2" s="1"/>
  <c r="KT11" i="2" s="1"/>
  <c r="KT12" i="2" s="1"/>
  <c r="KT13" i="2" s="1"/>
  <c r="KT14" i="2" s="1"/>
  <c r="KT15" i="2" s="1"/>
  <c r="KT16" i="2" s="1"/>
  <c r="KT17" i="2" s="1"/>
  <c r="KT18" i="2" s="1"/>
  <c r="KT19" i="2" s="1"/>
  <c r="KT20" i="2" s="1"/>
  <c r="KT21" i="2" s="1"/>
  <c r="KT22" i="2" s="1"/>
  <c r="KT23" i="2" s="1"/>
  <c r="KS4" i="2"/>
  <c r="KS5" i="2" s="1"/>
  <c r="KS6" i="2" s="1"/>
  <c r="KS7" i="2" s="1"/>
  <c r="KS8" i="2" s="1"/>
  <c r="KS9" i="2" s="1"/>
  <c r="KS10" i="2" s="1"/>
  <c r="KS11" i="2" s="1"/>
  <c r="KS12" i="2" s="1"/>
  <c r="KS13" i="2" s="1"/>
  <c r="KS14" i="2" s="1"/>
  <c r="KS15" i="2" s="1"/>
  <c r="KS16" i="2" s="1"/>
  <c r="KS17" i="2" s="1"/>
  <c r="KS18" i="2" s="1"/>
  <c r="KS19" i="2" s="1"/>
  <c r="KS20" i="2" s="1"/>
  <c r="KS21" i="2" s="1"/>
  <c r="KS22" i="2" s="1"/>
  <c r="KS23" i="2" s="1"/>
  <c r="KR4" i="2"/>
  <c r="KR5" i="2" s="1"/>
  <c r="KR6" i="2" s="1"/>
  <c r="KR7" i="2" s="1"/>
  <c r="KR8" i="2" s="1"/>
  <c r="KR9" i="2" s="1"/>
  <c r="KR10" i="2" s="1"/>
  <c r="KR11" i="2" s="1"/>
  <c r="KR12" i="2" s="1"/>
  <c r="KR13" i="2" s="1"/>
  <c r="KR14" i="2" s="1"/>
  <c r="KR15" i="2" s="1"/>
  <c r="KR16" i="2" s="1"/>
  <c r="KR17" i="2" s="1"/>
  <c r="KR18" i="2" s="1"/>
  <c r="KR19" i="2" s="1"/>
  <c r="KR20" i="2" s="1"/>
  <c r="KR21" i="2" s="1"/>
  <c r="KR22" i="2" s="1"/>
  <c r="KR23" i="2" s="1"/>
  <c r="KQ4" i="2"/>
  <c r="KQ5" i="2" s="1"/>
  <c r="KQ6" i="2" s="1"/>
  <c r="KQ7" i="2" s="1"/>
  <c r="KQ8" i="2" s="1"/>
  <c r="KQ9" i="2" s="1"/>
  <c r="KQ10" i="2" s="1"/>
  <c r="KQ11" i="2" s="1"/>
  <c r="KQ12" i="2" s="1"/>
  <c r="KQ13" i="2" s="1"/>
  <c r="KQ14" i="2" s="1"/>
  <c r="KQ15" i="2" s="1"/>
  <c r="KQ16" i="2" s="1"/>
  <c r="KQ17" i="2" s="1"/>
  <c r="KQ18" i="2" s="1"/>
  <c r="KQ19" i="2" s="1"/>
  <c r="KQ20" i="2" s="1"/>
  <c r="KQ21" i="2" s="1"/>
  <c r="KQ22" i="2" s="1"/>
  <c r="KQ23" i="2" s="1"/>
  <c r="KP4" i="2"/>
  <c r="KP5" i="2" s="1"/>
  <c r="KP6" i="2" s="1"/>
  <c r="KP7" i="2" s="1"/>
  <c r="KP8" i="2" s="1"/>
  <c r="KP9" i="2" s="1"/>
  <c r="KP10" i="2" s="1"/>
  <c r="KP11" i="2" s="1"/>
  <c r="KP12" i="2" s="1"/>
  <c r="KP13" i="2" s="1"/>
  <c r="KP14" i="2" s="1"/>
  <c r="KP15" i="2" s="1"/>
  <c r="KP16" i="2" s="1"/>
  <c r="KP17" i="2" s="1"/>
  <c r="KP18" i="2" s="1"/>
  <c r="KP19" i="2" s="1"/>
  <c r="KP20" i="2" s="1"/>
  <c r="KP21" i="2" s="1"/>
  <c r="KP22" i="2" s="1"/>
  <c r="KP23" i="2" s="1"/>
  <c r="KO4" i="2"/>
  <c r="KO5" i="2" s="1"/>
  <c r="KO6" i="2" s="1"/>
  <c r="KO7" i="2" s="1"/>
  <c r="KO8" i="2" s="1"/>
  <c r="KO9" i="2" s="1"/>
  <c r="KO10" i="2" s="1"/>
  <c r="KO11" i="2" s="1"/>
  <c r="KO12" i="2" s="1"/>
  <c r="KO13" i="2" s="1"/>
  <c r="KO14" i="2" s="1"/>
  <c r="KO15" i="2" s="1"/>
  <c r="KO16" i="2" s="1"/>
  <c r="KO17" i="2" s="1"/>
  <c r="KO18" i="2" s="1"/>
  <c r="KO19" i="2" s="1"/>
  <c r="KO20" i="2" s="1"/>
  <c r="KO21" i="2" s="1"/>
  <c r="KO22" i="2" s="1"/>
  <c r="KO23" i="2" s="1"/>
  <c r="KN4" i="2"/>
  <c r="KN5" i="2" s="1"/>
  <c r="KN6" i="2" s="1"/>
  <c r="KN7" i="2" s="1"/>
  <c r="KN8" i="2" s="1"/>
  <c r="KN9" i="2" s="1"/>
  <c r="KN10" i="2" s="1"/>
  <c r="KN11" i="2" s="1"/>
  <c r="KN12" i="2" s="1"/>
  <c r="KN13" i="2" s="1"/>
  <c r="KN14" i="2" s="1"/>
  <c r="KN15" i="2" s="1"/>
  <c r="KN16" i="2" s="1"/>
  <c r="KN17" i="2" s="1"/>
  <c r="KN18" i="2" s="1"/>
  <c r="KN19" i="2" s="1"/>
  <c r="KN20" i="2" s="1"/>
  <c r="KN21" i="2" s="1"/>
  <c r="KN22" i="2" s="1"/>
  <c r="KN23" i="2" s="1"/>
  <c r="KM4" i="2"/>
  <c r="KM5" i="2" s="1"/>
  <c r="KM6" i="2" s="1"/>
  <c r="KM7" i="2" s="1"/>
  <c r="KM8" i="2" s="1"/>
  <c r="KM9" i="2" s="1"/>
  <c r="KM10" i="2" s="1"/>
  <c r="KM11" i="2" s="1"/>
  <c r="KM12" i="2" s="1"/>
  <c r="KM13" i="2" s="1"/>
  <c r="KM14" i="2" s="1"/>
  <c r="KM15" i="2" s="1"/>
  <c r="KM16" i="2" s="1"/>
  <c r="KM17" i="2" s="1"/>
  <c r="KM18" i="2" s="1"/>
  <c r="KM19" i="2" s="1"/>
  <c r="KM20" i="2" s="1"/>
  <c r="KM21" i="2" s="1"/>
  <c r="KM22" i="2" s="1"/>
  <c r="KM23" i="2" s="1"/>
  <c r="KL4" i="2"/>
  <c r="KL5" i="2" s="1"/>
  <c r="KL6" i="2" s="1"/>
  <c r="KL7" i="2" s="1"/>
  <c r="KL8" i="2" s="1"/>
  <c r="KL9" i="2" s="1"/>
  <c r="KL10" i="2" s="1"/>
  <c r="KL11" i="2" s="1"/>
  <c r="KL12" i="2" s="1"/>
  <c r="KL13" i="2" s="1"/>
  <c r="KL14" i="2" s="1"/>
  <c r="KL15" i="2" s="1"/>
  <c r="KL16" i="2" s="1"/>
  <c r="KL17" i="2" s="1"/>
  <c r="KL18" i="2" s="1"/>
  <c r="KL19" i="2" s="1"/>
  <c r="KL20" i="2" s="1"/>
  <c r="KL21" i="2" s="1"/>
  <c r="KL22" i="2" s="1"/>
  <c r="KL23" i="2" s="1"/>
  <c r="KK4" i="2"/>
  <c r="KK5" i="2" s="1"/>
  <c r="KK6" i="2" s="1"/>
  <c r="KK7" i="2" s="1"/>
  <c r="KK8" i="2" s="1"/>
  <c r="KK9" i="2" s="1"/>
  <c r="KK10" i="2" s="1"/>
  <c r="KK11" i="2" s="1"/>
  <c r="KK12" i="2" s="1"/>
  <c r="KK13" i="2" s="1"/>
  <c r="KK14" i="2" s="1"/>
  <c r="KK15" i="2" s="1"/>
  <c r="KK16" i="2" s="1"/>
  <c r="KK17" i="2" s="1"/>
  <c r="KK18" i="2" s="1"/>
  <c r="KK19" i="2" s="1"/>
  <c r="KK20" i="2" s="1"/>
  <c r="KK21" i="2" s="1"/>
  <c r="KK22" i="2" s="1"/>
  <c r="KK23" i="2" s="1"/>
  <c r="KJ4" i="2"/>
  <c r="KJ5" i="2" s="1"/>
  <c r="KJ6" i="2" s="1"/>
  <c r="KJ7" i="2" s="1"/>
  <c r="KJ8" i="2" s="1"/>
  <c r="KJ9" i="2" s="1"/>
  <c r="KJ10" i="2" s="1"/>
  <c r="KJ11" i="2" s="1"/>
  <c r="KJ12" i="2" s="1"/>
  <c r="KJ13" i="2" s="1"/>
  <c r="KJ14" i="2" s="1"/>
  <c r="KJ15" i="2" s="1"/>
  <c r="KJ16" i="2" s="1"/>
  <c r="KJ17" i="2" s="1"/>
  <c r="KJ18" i="2" s="1"/>
  <c r="KJ19" i="2" s="1"/>
  <c r="KJ20" i="2" s="1"/>
  <c r="KJ21" i="2" s="1"/>
  <c r="KJ22" i="2" s="1"/>
  <c r="KJ23" i="2" s="1"/>
  <c r="KI4" i="2"/>
  <c r="KI5" i="2" s="1"/>
  <c r="KI6" i="2" s="1"/>
  <c r="KI7" i="2" s="1"/>
  <c r="KI8" i="2" s="1"/>
  <c r="KI9" i="2" s="1"/>
  <c r="KI10" i="2" s="1"/>
  <c r="KI11" i="2" s="1"/>
  <c r="KI12" i="2" s="1"/>
  <c r="KI13" i="2" s="1"/>
  <c r="KI14" i="2" s="1"/>
  <c r="KI15" i="2" s="1"/>
  <c r="KI16" i="2" s="1"/>
  <c r="KI17" i="2" s="1"/>
  <c r="KI18" i="2" s="1"/>
  <c r="KI19" i="2" s="1"/>
  <c r="KI20" i="2" s="1"/>
  <c r="KI21" i="2" s="1"/>
  <c r="KI22" i="2" s="1"/>
  <c r="KI23" i="2" s="1"/>
  <c r="KH4" i="2"/>
  <c r="KH5" i="2" s="1"/>
  <c r="KH6" i="2" s="1"/>
  <c r="KH7" i="2" s="1"/>
  <c r="KH8" i="2" s="1"/>
  <c r="KH9" i="2" s="1"/>
  <c r="KH10" i="2" s="1"/>
  <c r="KH11" i="2" s="1"/>
  <c r="KH12" i="2" s="1"/>
  <c r="KH13" i="2" s="1"/>
  <c r="KH14" i="2" s="1"/>
  <c r="KH15" i="2" s="1"/>
  <c r="KH16" i="2" s="1"/>
  <c r="KH17" i="2" s="1"/>
  <c r="KH18" i="2" s="1"/>
  <c r="KH19" i="2" s="1"/>
  <c r="KH20" i="2" s="1"/>
  <c r="KH21" i="2" s="1"/>
  <c r="KH22" i="2" s="1"/>
  <c r="KH23" i="2" s="1"/>
  <c r="KG4" i="2"/>
  <c r="KG5" i="2" s="1"/>
  <c r="KG6" i="2" s="1"/>
  <c r="KG7" i="2" s="1"/>
  <c r="KG8" i="2" s="1"/>
  <c r="KG9" i="2" s="1"/>
  <c r="KG10" i="2" s="1"/>
  <c r="KG11" i="2" s="1"/>
  <c r="KG12" i="2" s="1"/>
  <c r="KG13" i="2" s="1"/>
  <c r="KG14" i="2" s="1"/>
  <c r="KG15" i="2" s="1"/>
  <c r="KG16" i="2" s="1"/>
  <c r="KG17" i="2" s="1"/>
  <c r="KG18" i="2" s="1"/>
  <c r="KG19" i="2" s="1"/>
  <c r="KG20" i="2" s="1"/>
  <c r="KG21" i="2" s="1"/>
  <c r="KG22" i="2" s="1"/>
  <c r="KG23" i="2" s="1"/>
  <c r="KF4" i="2"/>
  <c r="KF5" i="2" s="1"/>
  <c r="KF6" i="2" s="1"/>
  <c r="KF7" i="2" s="1"/>
  <c r="KF8" i="2" s="1"/>
  <c r="KF9" i="2" s="1"/>
  <c r="KF10" i="2" s="1"/>
  <c r="KF11" i="2" s="1"/>
  <c r="KF12" i="2" s="1"/>
  <c r="KF13" i="2" s="1"/>
  <c r="KF14" i="2" s="1"/>
  <c r="KF15" i="2" s="1"/>
  <c r="KF16" i="2" s="1"/>
  <c r="KF17" i="2" s="1"/>
  <c r="KF18" i="2" s="1"/>
  <c r="KF19" i="2" s="1"/>
  <c r="KF20" i="2" s="1"/>
  <c r="KF21" i="2" s="1"/>
  <c r="KF22" i="2" s="1"/>
  <c r="KF23" i="2" s="1"/>
  <c r="KE4" i="2"/>
  <c r="KE5" i="2" s="1"/>
  <c r="KE6" i="2" s="1"/>
  <c r="KE7" i="2" s="1"/>
  <c r="KE8" i="2" s="1"/>
  <c r="KE9" i="2" s="1"/>
  <c r="KE10" i="2" s="1"/>
  <c r="KE11" i="2" s="1"/>
  <c r="KE12" i="2" s="1"/>
  <c r="KE13" i="2" s="1"/>
  <c r="KE14" i="2" s="1"/>
  <c r="KE15" i="2" s="1"/>
  <c r="KE16" i="2" s="1"/>
  <c r="KE17" i="2" s="1"/>
  <c r="KE18" i="2" s="1"/>
  <c r="KE19" i="2" s="1"/>
  <c r="KE20" i="2" s="1"/>
  <c r="KE21" i="2" s="1"/>
  <c r="KE22" i="2" s="1"/>
  <c r="KE23" i="2" s="1"/>
  <c r="KD4" i="2"/>
  <c r="KD5" i="2" s="1"/>
  <c r="KD6" i="2" s="1"/>
  <c r="KD7" i="2" s="1"/>
  <c r="KD8" i="2" s="1"/>
  <c r="KD9" i="2" s="1"/>
  <c r="KD10" i="2" s="1"/>
  <c r="KD11" i="2" s="1"/>
  <c r="KD12" i="2" s="1"/>
  <c r="KD13" i="2" s="1"/>
  <c r="KD14" i="2" s="1"/>
  <c r="KD15" i="2" s="1"/>
  <c r="KD16" i="2" s="1"/>
  <c r="KD17" i="2" s="1"/>
  <c r="KD18" i="2" s="1"/>
  <c r="KD19" i="2" s="1"/>
  <c r="KD20" i="2" s="1"/>
  <c r="KD21" i="2" s="1"/>
  <c r="KD22" i="2" s="1"/>
  <c r="KD23" i="2" s="1"/>
  <c r="KC4" i="2"/>
  <c r="KC5" i="2" s="1"/>
  <c r="KC6" i="2" s="1"/>
  <c r="KC7" i="2" s="1"/>
  <c r="KC8" i="2" s="1"/>
  <c r="KC9" i="2" s="1"/>
  <c r="KC10" i="2" s="1"/>
  <c r="KC11" i="2" s="1"/>
  <c r="KC12" i="2" s="1"/>
  <c r="KC13" i="2" s="1"/>
  <c r="KC14" i="2" s="1"/>
  <c r="KC15" i="2" s="1"/>
  <c r="KC16" i="2" s="1"/>
  <c r="KC17" i="2" s="1"/>
  <c r="KC18" i="2" s="1"/>
  <c r="KC19" i="2" s="1"/>
  <c r="KC20" i="2" s="1"/>
  <c r="KC21" i="2" s="1"/>
  <c r="KC22" i="2" s="1"/>
  <c r="KC23" i="2" s="1"/>
  <c r="KB4" i="2"/>
  <c r="KB5" i="2" s="1"/>
  <c r="KB6" i="2" s="1"/>
  <c r="KB7" i="2" s="1"/>
  <c r="KB8" i="2" s="1"/>
  <c r="KB9" i="2" s="1"/>
  <c r="KB10" i="2" s="1"/>
  <c r="KB11" i="2" s="1"/>
  <c r="KB12" i="2" s="1"/>
  <c r="KB13" i="2" s="1"/>
  <c r="KB14" i="2" s="1"/>
  <c r="KB15" i="2" s="1"/>
  <c r="KB16" i="2" s="1"/>
  <c r="KB17" i="2" s="1"/>
  <c r="KB18" i="2" s="1"/>
  <c r="KB19" i="2" s="1"/>
  <c r="KB20" i="2" s="1"/>
  <c r="KB21" i="2" s="1"/>
  <c r="KB22" i="2" s="1"/>
  <c r="KB23" i="2" s="1"/>
  <c r="KA4" i="2"/>
  <c r="KA5" i="2" s="1"/>
  <c r="KA6" i="2" s="1"/>
  <c r="KA7" i="2" s="1"/>
  <c r="KA8" i="2" s="1"/>
  <c r="KA9" i="2" s="1"/>
  <c r="KA10" i="2" s="1"/>
  <c r="KA11" i="2" s="1"/>
  <c r="KA12" i="2" s="1"/>
  <c r="KA13" i="2" s="1"/>
  <c r="KA14" i="2" s="1"/>
  <c r="KA15" i="2" s="1"/>
  <c r="KA16" i="2" s="1"/>
  <c r="KA17" i="2" s="1"/>
  <c r="KA18" i="2" s="1"/>
  <c r="KA19" i="2" s="1"/>
  <c r="KA20" i="2" s="1"/>
  <c r="KA21" i="2" s="1"/>
  <c r="KA22" i="2" s="1"/>
  <c r="KA23" i="2" s="1"/>
  <c r="JZ4" i="2"/>
  <c r="JZ5" i="2" s="1"/>
  <c r="JZ6" i="2" s="1"/>
  <c r="JZ7" i="2" s="1"/>
  <c r="JZ8" i="2" s="1"/>
  <c r="JZ9" i="2" s="1"/>
  <c r="JZ10" i="2" s="1"/>
  <c r="JZ11" i="2" s="1"/>
  <c r="JZ12" i="2" s="1"/>
  <c r="JZ13" i="2" s="1"/>
  <c r="JZ14" i="2" s="1"/>
  <c r="JZ15" i="2" s="1"/>
  <c r="JZ16" i="2" s="1"/>
  <c r="JZ17" i="2" s="1"/>
  <c r="JZ18" i="2" s="1"/>
  <c r="JZ19" i="2" s="1"/>
  <c r="JZ20" i="2" s="1"/>
  <c r="JZ21" i="2" s="1"/>
  <c r="JZ22" i="2" s="1"/>
  <c r="JZ23" i="2" s="1"/>
  <c r="JY4" i="2"/>
  <c r="JY5" i="2" s="1"/>
  <c r="JY6" i="2" s="1"/>
  <c r="JY7" i="2" s="1"/>
  <c r="JY8" i="2" s="1"/>
  <c r="JY9" i="2" s="1"/>
  <c r="JY10" i="2" s="1"/>
  <c r="JY11" i="2" s="1"/>
  <c r="JY12" i="2" s="1"/>
  <c r="JY13" i="2" s="1"/>
  <c r="JY14" i="2" s="1"/>
  <c r="JY15" i="2" s="1"/>
  <c r="JY16" i="2" s="1"/>
  <c r="JY17" i="2" s="1"/>
  <c r="JY18" i="2" s="1"/>
  <c r="JY19" i="2" s="1"/>
  <c r="JY20" i="2" s="1"/>
  <c r="JY21" i="2" s="1"/>
  <c r="JY22" i="2" s="1"/>
  <c r="JY23" i="2" s="1"/>
  <c r="JX4" i="2"/>
  <c r="JX5" i="2" s="1"/>
  <c r="JX6" i="2" s="1"/>
  <c r="JX7" i="2" s="1"/>
  <c r="JX8" i="2" s="1"/>
  <c r="JX9" i="2" s="1"/>
  <c r="JX10" i="2" s="1"/>
  <c r="JX11" i="2" s="1"/>
  <c r="JX12" i="2" s="1"/>
  <c r="JX13" i="2" s="1"/>
  <c r="JX14" i="2" s="1"/>
  <c r="JX15" i="2" s="1"/>
  <c r="JX16" i="2" s="1"/>
  <c r="JX17" i="2" s="1"/>
  <c r="JX18" i="2" s="1"/>
  <c r="JX19" i="2" s="1"/>
  <c r="JX20" i="2" s="1"/>
  <c r="JX21" i="2" s="1"/>
  <c r="JX22" i="2" s="1"/>
  <c r="JX23" i="2" s="1"/>
  <c r="JW4" i="2"/>
  <c r="JW5" i="2" s="1"/>
  <c r="JW6" i="2" s="1"/>
  <c r="JW7" i="2" s="1"/>
  <c r="JW8" i="2" s="1"/>
  <c r="JW9" i="2" s="1"/>
  <c r="JW10" i="2" s="1"/>
  <c r="JW11" i="2" s="1"/>
  <c r="JW12" i="2" s="1"/>
  <c r="JW13" i="2" s="1"/>
  <c r="JW14" i="2" s="1"/>
  <c r="JW15" i="2" s="1"/>
  <c r="JW16" i="2" s="1"/>
  <c r="JW17" i="2" s="1"/>
  <c r="JW18" i="2" s="1"/>
  <c r="JW19" i="2" s="1"/>
  <c r="JW20" i="2" s="1"/>
  <c r="JW21" i="2" s="1"/>
  <c r="JW22" i="2" s="1"/>
  <c r="JW23" i="2" s="1"/>
  <c r="JV4" i="2"/>
  <c r="JV5" i="2" s="1"/>
  <c r="JV6" i="2" s="1"/>
  <c r="JV7" i="2" s="1"/>
  <c r="JV8" i="2" s="1"/>
  <c r="JV9" i="2" s="1"/>
  <c r="JV10" i="2" s="1"/>
  <c r="JV11" i="2" s="1"/>
  <c r="JV12" i="2" s="1"/>
  <c r="JV13" i="2" s="1"/>
  <c r="JV14" i="2" s="1"/>
  <c r="JV15" i="2" s="1"/>
  <c r="JV16" i="2" s="1"/>
  <c r="JV17" i="2" s="1"/>
  <c r="JV18" i="2" s="1"/>
  <c r="JV19" i="2" s="1"/>
  <c r="JV20" i="2" s="1"/>
  <c r="JV21" i="2" s="1"/>
  <c r="JV22" i="2" s="1"/>
  <c r="JV23" i="2" s="1"/>
  <c r="JU4" i="2"/>
  <c r="JU5" i="2" s="1"/>
  <c r="JU6" i="2" s="1"/>
  <c r="JU7" i="2" s="1"/>
  <c r="JU8" i="2" s="1"/>
  <c r="JU9" i="2" s="1"/>
  <c r="JU10" i="2" s="1"/>
  <c r="JU11" i="2" s="1"/>
  <c r="JU12" i="2" s="1"/>
  <c r="JU13" i="2" s="1"/>
  <c r="JU14" i="2" s="1"/>
  <c r="JU15" i="2" s="1"/>
  <c r="JU16" i="2" s="1"/>
  <c r="JU17" i="2" s="1"/>
  <c r="JU18" i="2" s="1"/>
  <c r="JU19" i="2" s="1"/>
  <c r="JU20" i="2" s="1"/>
  <c r="JU21" i="2" s="1"/>
  <c r="JU22" i="2" s="1"/>
  <c r="JU23" i="2" s="1"/>
  <c r="JT4" i="2"/>
  <c r="JT5" i="2" s="1"/>
  <c r="JT6" i="2" s="1"/>
  <c r="JT7" i="2" s="1"/>
  <c r="JT8" i="2" s="1"/>
  <c r="JT9" i="2" s="1"/>
  <c r="JT10" i="2" s="1"/>
  <c r="JT11" i="2" s="1"/>
  <c r="JT12" i="2" s="1"/>
  <c r="JT13" i="2" s="1"/>
  <c r="JT14" i="2" s="1"/>
  <c r="JT15" i="2" s="1"/>
  <c r="JT16" i="2" s="1"/>
  <c r="JT17" i="2" s="1"/>
  <c r="JT18" i="2" s="1"/>
  <c r="JT19" i="2" s="1"/>
  <c r="JT20" i="2" s="1"/>
  <c r="JT21" i="2" s="1"/>
  <c r="JT22" i="2" s="1"/>
  <c r="JT23" i="2" s="1"/>
  <c r="JS4" i="2"/>
  <c r="JS5" i="2" s="1"/>
  <c r="JS6" i="2" s="1"/>
  <c r="JS7" i="2" s="1"/>
  <c r="JS8" i="2" s="1"/>
  <c r="JS9" i="2" s="1"/>
  <c r="JS10" i="2" s="1"/>
  <c r="JS11" i="2" s="1"/>
  <c r="JS12" i="2" s="1"/>
  <c r="JS13" i="2" s="1"/>
  <c r="JS14" i="2" s="1"/>
  <c r="JS15" i="2" s="1"/>
  <c r="JS16" i="2" s="1"/>
  <c r="JS17" i="2" s="1"/>
  <c r="JS18" i="2" s="1"/>
  <c r="JS19" i="2" s="1"/>
  <c r="JS20" i="2" s="1"/>
  <c r="JS21" i="2" s="1"/>
  <c r="JS22" i="2" s="1"/>
  <c r="JS23" i="2" s="1"/>
  <c r="JR4" i="2"/>
  <c r="JR5" i="2" s="1"/>
  <c r="JR6" i="2" s="1"/>
  <c r="JR7" i="2" s="1"/>
  <c r="JR8" i="2" s="1"/>
  <c r="JR9" i="2" s="1"/>
  <c r="JR10" i="2" s="1"/>
  <c r="JR11" i="2" s="1"/>
  <c r="JR12" i="2" s="1"/>
  <c r="JR13" i="2" s="1"/>
  <c r="JR14" i="2" s="1"/>
  <c r="JR15" i="2" s="1"/>
  <c r="JR16" i="2" s="1"/>
  <c r="JR17" i="2" s="1"/>
  <c r="JR18" i="2" s="1"/>
  <c r="JR19" i="2" s="1"/>
  <c r="JR20" i="2" s="1"/>
  <c r="JR21" i="2" s="1"/>
  <c r="JR22" i="2" s="1"/>
  <c r="JR23" i="2" s="1"/>
  <c r="JQ4" i="2"/>
  <c r="JQ5" i="2" s="1"/>
  <c r="JQ6" i="2" s="1"/>
  <c r="JQ7" i="2" s="1"/>
  <c r="JQ8" i="2" s="1"/>
  <c r="JQ9" i="2" s="1"/>
  <c r="JQ10" i="2" s="1"/>
  <c r="JQ11" i="2" s="1"/>
  <c r="JQ12" i="2" s="1"/>
  <c r="JQ13" i="2" s="1"/>
  <c r="JQ14" i="2" s="1"/>
  <c r="JQ15" i="2" s="1"/>
  <c r="JQ16" i="2" s="1"/>
  <c r="JQ17" i="2" s="1"/>
  <c r="JQ18" i="2" s="1"/>
  <c r="JQ19" i="2" s="1"/>
  <c r="JQ20" i="2" s="1"/>
  <c r="JQ21" i="2" s="1"/>
  <c r="JQ22" i="2" s="1"/>
  <c r="JQ23" i="2" s="1"/>
  <c r="JP4" i="2"/>
  <c r="JP5" i="2" s="1"/>
  <c r="JP6" i="2" s="1"/>
  <c r="JP7" i="2" s="1"/>
  <c r="JP8" i="2" s="1"/>
  <c r="JP9" i="2" s="1"/>
  <c r="JP10" i="2" s="1"/>
  <c r="JP11" i="2" s="1"/>
  <c r="JP12" i="2" s="1"/>
  <c r="JP13" i="2" s="1"/>
  <c r="JP14" i="2" s="1"/>
  <c r="JP15" i="2" s="1"/>
  <c r="JP16" i="2" s="1"/>
  <c r="JP17" i="2" s="1"/>
  <c r="JP18" i="2" s="1"/>
  <c r="JP19" i="2" s="1"/>
  <c r="JP20" i="2" s="1"/>
  <c r="JP21" i="2" s="1"/>
  <c r="JP22" i="2" s="1"/>
  <c r="JP23" i="2" s="1"/>
  <c r="JO4" i="2"/>
  <c r="JO5" i="2" s="1"/>
  <c r="JO6" i="2" s="1"/>
  <c r="JO7" i="2" s="1"/>
  <c r="JO8" i="2" s="1"/>
  <c r="JO9" i="2" s="1"/>
  <c r="JO10" i="2" s="1"/>
  <c r="JO11" i="2" s="1"/>
  <c r="JO12" i="2" s="1"/>
  <c r="JO13" i="2" s="1"/>
  <c r="JO14" i="2" s="1"/>
  <c r="JO15" i="2" s="1"/>
  <c r="JO16" i="2" s="1"/>
  <c r="JO17" i="2" s="1"/>
  <c r="JO18" i="2" s="1"/>
  <c r="JO19" i="2" s="1"/>
  <c r="JO20" i="2" s="1"/>
  <c r="JO21" i="2" s="1"/>
  <c r="JO22" i="2" s="1"/>
  <c r="JO23" i="2" s="1"/>
  <c r="JN4" i="2"/>
  <c r="JN5" i="2" s="1"/>
  <c r="JN6" i="2" s="1"/>
  <c r="JN7" i="2" s="1"/>
  <c r="JN8" i="2" s="1"/>
  <c r="JN9" i="2" s="1"/>
  <c r="JN10" i="2" s="1"/>
  <c r="JN11" i="2" s="1"/>
  <c r="JN12" i="2" s="1"/>
  <c r="JN13" i="2" s="1"/>
  <c r="JN14" i="2" s="1"/>
  <c r="JN15" i="2" s="1"/>
  <c r="JN16" i="2" s="1"/>
  <c r="JN17" i="2" s="1"/>
  <c r="JN18" i="2" s="1"/>
  <c r="JN19" i="2" s="1"/>
  <c r="JN20" i="2" s="1"/>
  <c r="JN21" i="2" s="1"/>
  <c r="JN22" i="2" s="1"/>
  <c r="JN23" i="2" s="1"/>
  <c r="JM4" i="2"/>
  <c r="JM5" i="2" s="1"/>
  <c r="JM6" i="2" s="1"/>
  <c r="JM7" i="2" s="1"/>
  <c r="JM8" i="2" s="1"/>
  <c r="JM9" i="2" s="1"/>
  <c r="JM10" i="2" s="1"/>
  <c r="JM11" i="2" s="1"/>
  <c r="JM12" i="2" s="1"/>
  <c r="JM13" i="2" s="1"/>
  <c r="JM14" i="2" s="1"/>
  <c r="JM15" i="2" s="1"/>
  <c r="JM16" i="2" s="1"/>
  <c r="JM17" i="2" s="1"/>
  <c r="JM18" i="2" s="1"/>
  <c r="JM19" i="2" s="1"/>
  <c r="JM20" i="2" s="1"/>
  <c r="JM21" i="2" s="1"/>
  <c r="JM22" i="2" s="1"/>
  <c r="JM23" i="2" s="1"/>
  <c r="JL4" i="2"/>
  <c r="JL5" i="2" s="1"/>
  <c r="JL6" i="2" s="1"/>
  <c r="JL7" i="2" s="1"/>
  <c r="JL8" i="2" s="1"/>
  <c r="JL9" i="2" s="1"/>
  <c r="JL10" i="2" s="1"/>
  <c r="JL11" i="2" s="1"/>
  <c r="JL12" i="2" s="1"/>
  <c r="JL13" i="2" s="1"/>
  <c r="JL14" i="2" s="1"/>
  <c r="JL15" i="2" s="1"/>
  <c r="JL16" i="2" s="1"/>
  <c r="JL17" i="2" s="1"/>
  <c r="JL18" i="2" s="1"/>
  <c r="JL19" i="2" s="1"/>
  <c r="JL20" i="2" s="1"/>
  <c r="JL21" i="2" s="1"/>
  <c r="JL22" i="2" s="1"/>
  <c r="JL23" i="2" s="1"/>
  <c r="JK4" i="2"/>
  <c r="JK5" i="2" s="1"/>
  <c r="JK6" i="2" s="1"/>
  <c r="JK7" i="2" s="1"/>
  <c r="JK8" i="2" s="1"/>
  <c r="JK9" i="2" s="1"/>
  <c r="JK10" i="2" s="1"/>
  <c r="JK11" i="2" s="1"/>
  <c r="JK12" i="2" s="1"/>
  <c r="JK13" i="2" s="1"/>
  <c r="JK14" i="2" s="1"/>
  <c r="JK15" i="2" s="1"/>
  <c r="JK16" i="2" s="1"/>
  <c r="JK17" i="2" s="1"/>
  <c r="JK18" i="2" s="1"/>
  <c r="JK19" i="2" s="1"/>
  <c r="JK20" i="2" s="1"/>
  <c r="JK21" i="2" s="1"/>
  <c r="JK22" i="2" s="1"/>
  <c r="JK23" i="2" s="1"/>
  <c r="JJ4" i="2"/>
  <c r="JJ5" i="2" s="1"/>
  <c r="JJ6" i="2" s="1"/>
  <c r="JJ7" i="2" s="1"/>
  <c r="JJ8" i="2" s="1"/>
  <c r="JJ9" i="2" s="1"/>
  <c r="JJ10" i="2" s="1"/>
  <c r="JJ11" i="2" s="1"/>
  <c r="JJ12" i="2" s="1"/>
  <c r="JJ13" i="2" s="1"/>
  <c r="JJ14" i="2" s="1"/>
  <c r="JJ15" i="2" s="1"/>
  <c r="JJ16" i="2" s="1"/>
  <c r="JJ17" i="2" s="1"/>
  <c r="JJ18" i="2" s="1"/>
  <c r="JJ19" i="2" s="1"/>
  <c r="JJ20" i="2" s="1"/>
  <c r="JJ21" i="2" s="1"/>
  <c r="JJ22" i="2" s="1"/>
  <c r="JJ23" i="2" s="1"/>
  <c r="JI4" i="2"/>
  <c r="JI5" i="2" s="1"/>
  <c r="JI6" i="2" s="1"/>
  <c r="JI7" i="2" s="1"/>
  <c r="JI8" i="2" s="1"/>
  <c r="JI9" i="2" s="1"/>
  <c r="JI10" i="2" s="1"/>
  <c r="JI11" i="2" s="1"/>
  <c r="JI12" i="2" s="1"/>
  <c r="JI13" i="2" s="1"/>
  <c r="JI14" i="2" s="1"/>
  <c r="JI15" i="2" s="1"/>
  <c r="JI16" i="2" s="1"/>
  <c r="JI17" i="2" s="1"/>
  <c r="JI18" i="2" s="1"/>
  <c r="JI19" i="2" s="1"/>
  <c r="JI20" i="2" s="1"/>
  <c r="JI21" i="2" s="1"/>
  <c r="JI22" i="2" s="1"/>
  <c r="JI23" i="2" s="1"/>
  <c r="JH4" i="2"/>
  <c r="JH5" i="2" s="1"/>
  <c r="JH6" i="2" s="1"/>
  <c r="JH7" i="2" s="1"/>
  <c r="JH8" i="2" s="1"/>
  <c r="JH9" i="2" s="1"/>
  <c r="JH10" i="2" s="1"/>
  <c r="JH11" i="2" s="1"/>
  <c r="JH12" i="2" s="1"/>
  <c r="JH13" i="2" s="1"/>
  <c r="JH14" i="2" s="1"/>
  <c r="JH15" i="2" s="1"/>
  <c r="JH16" i="2" s="1"/>
  <c r="JH17" i="2" s="1"/>
  <c r="JH18" i="2" s="1"/>
  <c r="JH19" i="2" s="1"/>
  <c r="JH20" i="2" s="1"/>
  <c r="JH21" i="2" s="1"/>
  <c r="JH22" i="2" s="1"/>
  <c r="JH23" i="2" s="1"/>
  <c r="JG4" i="2"/>
  <c r="JG5" i="2" s="1"/>
  <c r="JG6" i="2" s="1"/>
  <c r="JG7" i="2" s="1"/>
  <c r="JG8" i="2" s="1"/>
  <c r="JG9" i="2" s="1"/>
  <c r="JG10" i="2" s="1"/>
  <c r="JG11" i="2" s="1"/>
  <c r="JG12" i="2" s="1"/>
  <c r="JG13" i="2" s="1"/>
  <c r="JG14" i="2" s="1"/>
  <c r="JG15" i="2" s="1"/>
  <c r="JG16" i="2" s="1"/>
  <c r="JG17" i="2" s="1"/>
  <c r="JG18" i="2" s="1"/>
  <c r="JG19" i="2" s="1"/>
  <c r="JG20" i="2" s="1"/>
  <c r="JG21" i="2" s="1"/>
  <c r="JG22" i="2" s="1"/>
  <c r="JG23" i="2" s="1"/>
  <c r="JF4" i="2"/>
  <c r="JF5" i="2" s="1"/>
  <c r="JF6" i="2" s="1"/>
  <c r="JF7" i="2" s="1"/>
  <c r="JF8" i="2" s="1"/>
  <c r="JF9" i="2" s="1"/>
  <c r="JF10" i="2" s="1"/>
  <c r="JF11" i="2" s="1"/>
  <c r="JF12" i="2" s="1"/>
  <c r="JF13" i="2" s="1"/>
  <c r="JF14" i="2" s="1"/>
  <c r="JF15" i="2" s="1"/>
  <c r="JF16" i="2" s="1"/>
  <c r="JF17" i="2" s="1"/>
  <c r="JF18" i="2" s="1"/>
  <c r="JF19" i="2" s="1"/>
  <c r="JF20" i="2" s="1"/>
  <c r="JF21" i="2" s="1"/>
  <c r="JF22" i="2" s="1"/>
  <c r="JF23" i="2" s="1"/>
  <c r="JE4" i="2"/>
  <c r="JE5" i="2" s="1"/>
  <c r="JE6" i="2" s="1"/>
  <c r="JE7" i="2" s="1"/>
  <c r="JE8" i="2" s="1"/>
  <c r="JE9" i="2" s="1"/>
  <c r="JE10" i="2" s="1"/>
  <c r="JE11" i="2" s="1"/>
  <c r="JE12" i="2" s="1"/>
  <c r="JE13" i="2" s="1"/>
  <c r="JE14" i="2" s="1"/>
  <c r="JE15" i="2" s="1"/>
  <c r="JE16" i="2" s="1"/>
  <c r="JE17" i="2" s="1"/>
  <c r="JE18" i="2" s="1"/>
  <c r="JE19" i="2" s="1"/>
  <c r="JE20" i="2" s="1"/>
  <c r="JE21" i="2" s="1"/>
  <c r="JE22" i="2" s="1"/>
  <c r="JE23" i="2" s="1"/>
  <c r="JD4" i="2"/>
  <c r="JD5" i="2" s="1"/>
  <c r="JD6" i="2" s="1"/>
  <c r="JD7" i="2" s="1"/>
  <c r="JD8" i="2" s="1"/>
  <c r="JD9" i="2" s="1"/>
  <c r="JD10" i="2" s="1"/>
  <c r="JD11" i="2" s="1"/>
  <c r="JD12" i="2" s="1"/>
  <c r="JD13" i="2" s="1"/>
  <c r="JD14" i="2" s="1"/>
  <c r="JD15" i="2" s="1"/>
  <c r="JD16" i="2" s="1"/>
  <c r="JD17" i="2" s="1"/>
  <c r="JD18" i="2" s="1"/>
  <c r="JD19" i="2" s="1"/>
  <c r="JD20" i="2" s="1"/>
  <c r="JD21" i="2" s="1"/>
  <c r="JD22" i="2" s="1"/>
  <c r="JD23" i="2" s="1"/>
  <c r="JC4" i="2"/>
  <c r="JC5" i="2" s="1"/>
  <c r="JC6" i="2" s="1"/>
  <c r="JC7" i="2" s="1"/>
  <c r="JC8" i="2" s="1"/>
  <c r="JC9" i="2" s="1"/>
  <c r="JC10" i="2" s="1"/>
  <c r="JC11" i="2" s="1"/>
  <c r="JC12" i="2" s="1"/>
  <c r="JC13" i="2" s="1"/>
  <c r="JC14" i="2" s="1"/>
  <c r="JC15" i="2" s="1"/>
  <c r="JC16" i="2" s="1"/>
  <c r="JC17" i="2" s="1"/>
  <c r="JC18" i="2" s="1"/>
  <c r="JC19" i="2" s="1"/>
  <c r="JC20" i="2" s="1"/>
  <c r="JC21" i="2" s="1"/>
  <c r="JC22" i="2" s="1"/>
  <c r="JC23" i="2" s="1"/>
  <c r="JB4" i="2"/>
  <c r="JB5" i="2" s="1"/>
  <c r="JB6" i="2" s="1"/>
  <c r="JB7" i="2" s="1"/>
  <c r="JB8" i="2" s="1"/>
  <c r="JB9" i="2" s="1"/>
  <c r="JB10" i="2" s="1"/>
  <c r="JB11" i="2" s="1"/>
  <c r="JB12" i="2" s="1"/>
  <c r="JB13" i="2" s="1"/>
  <c r="JB14" i="2" s="1"/>
  <c r="JB15" i="2" s="1"/>
  <c r="JB16" i="2" s="1"/>
  <c r="JB17" i="2" s="1"/>
  <c r="JB18" i="2" s="1"/>
  <c r="JB19" i="2" s="1"/>
  <c r="JB20" i="2" s="1"/>
  <c r="JB21" i="2" s="1"/>
  <c r="JB22" i="2" s="1"/>
  <c r="JB23" i="2" s="1"/>
  <c r="JA4" i="2"/>
  <c r="JA5" i="2" s="1"/>
  <c r="JA6" i="2" s="1"/>
  <c r="JA7" i="2" s="1"/>
  <c r="JA8" i="2" s="1"/>
  <c r="JA9" i="2" s="1"/>
  <c r="JA10" i="2" s="1"/>
  <c r="JA11" i="2" s="1"/>
  <c r="JA12" i="2" s="1"/>
  <c r="JA13" i="2" s="1"/>
  <c r="JA14" i="2" s="1"/>
  <c r="JA15" i="2" s="1"/>
  <c r="JA16" i="2" s="1"/>
  <c r="JA17" i="2" s="1"/>
  <c r="JA18" i="2" s="1"/>
  <c r="JA19" i="2" s="1"/>
  <c r="JA20" i="2" s="1"/>
  <c r="JA21" i="2" s="1"/>
  <c r="JA22" i="2" s="1"/>
  <c r="JA23" i="2" s="1"/>
  <c r="IZ4" i="2"/>
  <c r="IZ5" i="2" s="1"/>
  <c r="IZ6" i="2" s="1"/>
  <c r="IZ7" i="2" s="1"/>
  <c r="IZ8" i="2" s="1"/>
  <c r="IZ9" i="2" s="1"/>
  <c r="IZ10" i="2" s="1"/>
  <c r="IZ11" i="2" s="1"/>
  <c r="IZ12" i="2" s="1"/>
  <c r="IZ13" i="2" s="1"/>
  <c r="IZ14" i="2" s="1"/>
  <c r="IZ15" i="2" s="1"/>
  <c r="IZ16" i="2" s="1"/>
  <c r="IZ17" i="2" s="1"/>
  <c r="IZ18" i="2" s="1"/>
  <c r="IZ19" i="2" s="1"/>
  <c r="IZ20" i="2" s="1"/>
  <c r="IZ21" i="2" s="1"/>
  <c r="IZ22" i="2" s="1"/>
  <c r="IZ23" i="2" s="1"/>
  <c r="IY4" i="2"/>
  <c r="IY5" i="2" s="1"/>
  <c r="IY6" i="2" s="1"/>
  <c r="IY7" i="2" s="1"/>
  <c r="IY8" i="2" s="1"/>
  <c r="IY9" i="2" s="1"/>
  <c r="IY10" i="2" s="1"/>
  <c r="IY11" i="2" s="1"/>
  <c r="IY12" i="2" s="1"/>
  <c r="IY13" i="2" s="1"/>
  <c r="IY14" i="2" s="1"/>
  <c r="IY15" i="2" s="1"/>
  <c r="IY16" i="2" s="1"/>
  <c r="IY17" i="2" s="1"/>
  <c r="IY18" i="2" s="1"/>
  <c r="IY19" i="2" s="1"/>
  <c r="IY20" i="2" s="1"/>
  <c r="IY21" i="2" s="1"/>
  <c r="IY22" i="2" s="1"/>
  <c r="IY23" i="2" s="1"/>
  <c r="IX4" i="2"/>
  <c r="IX5" i="2" s="1"/>
  <c r="IX6" i="2" s="1"/>
  <c r="IX7" i="2" s="1"/>
  <c r="IX8" i="2" s="1"/>
  <c r="IX9" i="2" s="1"/>
  <c r="IX10" i="2" s="1"/>
  <c r="IX11" i="2" s="1"/>
  <c r="IX12" i="2" s="1"/>
  <c r="IX13" i="2" s="1"/>
  <c r="IX14" i="2" s="1"/>
  <c r="IX15" i="2" s="1"/>
  <c r="IX16" i="2" s="1"/>
  <c r="IX17" i="2" s="1"/>
  <c r="IX18" i="2" s="1"/>
  <c r="IX19" i="2" s="1"/>
  <c r="IX20" i="2" s="1"/>
  <c r="IX21" i="2" s="1"/>
  <c r="IX22" i="2" s="1"/>
  <c r="IX23" i="2" s="1"/>
  <c r="IW4" i="2"/>
  <c r="IW5" i="2" s="1"/>
  <c r="IW6" i="2" s="1"/>
  <c r="IW7" i="2" s="1"/>
  <c r="IW8" i="2" s="1"/>
  <c r="IW9" i="2" s="1"/>
  <c r="IW10" i="2" s="1"/>
  <c r="IW11" i="2" s="1"/>
  <c r="IW12" i="2" s="1"/>
  <c r="IW13" i="2" s="1"/>
  <c r="IW14" i="2" s="1"/>
  <c r="IW15" i="2" s="1"/>
  <c r="IW16" i="2" s="1"/>
  <c r="IW17" i="2" s="1"/>
  <c r="IW18" i="2" s="1"/>
  <c r="IW19" i="2" s="1"/>
  <c r="IW20" i="2" s="1"/>
  <c r="IW21" i="2" s="1"/>
  <c r="IW22" i="2" s="1"/>
  <c r="IW23" i="2" s="1"/>
  <c r="IV4" i="2"/>
  <c r="IV5" i="2" s="1"/>
  <c r="IV6" i="2" s="1"/>
  <c r="IV7" i="2" s="1"/>
  <c r="IV8" i="2" s="1"/>
  <c r="IV9" i="2" s="1"/>
  <c r="IV10" i="2" s="1"/>
  <c r="IV11" i="2" s="1"/>
  <c r="IV12" i="2" s="1"/>
  <c r="IV13" i="2" s="1"/>
  <c r="IV14" i="2" s="1"/>
  <c r="IV15" i="2" s="1"/>
  <c r="IV16" i="2" s="1"/>
  <c r="IV17" i="2" s="1"/>
  <c r="IV18" i="2" s="1"/>
  <c r="IV19" i="2" s="1"/>
  <c r="IV20" i="2" s="1"/>
  <c r="IV21" i="2" s="1"/>
  <c r="IV22" i="2" s="1"/>
  <c r="IV23" i="2" s="1"/>
  <c r="IU4" i="2"/>
  <c r="IU5" i="2" s="1"/>
  <c r="IU6" i="2" s="1"/>
  <c r="IU7" i="2" s="1"/>
  <c r="IU8" i="2" s="1"/>
  <c r="IU9" i="2" s="1"/>
  <c r="IU10" i="2" s="1"/>
  <c r="IU11" i="2" s="1"/>
  <c r="IU12" i="2" s="1"/>
  <c r="IU13" i="2" s="1"/>
  <c r="IU14" i="2" s="1"/>
  <c r="IU15" i="2" s="1"/>
  <c r="IU16" i="2" s="1"/>
  <c r="IU17" i="2" s="1"/>
  <c r="IU18" i="2" s="1"/>
  <c r="IU19" i="2" s="1"/>
  <c r="IU20" i="2" s="1"/>
  <c r="IU21" i="2" s="1"/>
  <c r="IU22" i="2" s="1"/>
  <c r="IU23" i="2" s="1"/>
  <c r="IT4" i="2"/>
  <c r="IT5" i="2" s="1"/>
  <c r="IT6" i="2" s="1"/>
  <c r="IT7" i="2" s="1"/>
  <c r="IT8" i="2" s="1"/>
  <c r="IT9" i="2" s="1"/>
  <c r="IT10" i="2" s="1"/>
  <c r="IT11" i="2" s="1"/>
  <c r="IT12" i="2" s="1"/>
  <c r="IT13" i="2" s="1"/>
  <c r="IT14" i="2" s="1"/>
  <c r="IT15" i="2" s="1"/>
  <c r="IT16" i="2" s="1"/>
  <c r="IT17" i="2" s="1"/>
  <c r="IT18" i="2" s="1"/>
  <c r="IT19" i="2" s="1"/>
  <c r="IT20" i="2" s="1"/>
  <c r="IT21" i="2" s="1"/>
  <c r="IT22" i="2" s="1"/>
  <c r="IT23" i="2" s="1"/>
  <c r="IS4" i="2"/>
  <c r="IS5" i="2" s="1"/>
  <c r="IS6" i="2" s="1"/>
  <c r="IS7" i="2" s="1"/>
  <c r="IS8" i="2" s="1"/>
  <c r="IS9" i="2" s="1"/>
  <c r="IS10" i="2" s="1"/>
  <c r="IS11" i="2" s="1"/>
  <c r="IS12" i="2" s="1"/>
  <c r="IS13" i="2" s="1"/>
  <c r="IS14" i="2" s="1"/>
  <c r="IS15" i="2" s="1"/>
  <c r="IS16" i="2" s="1"/>
  <c r="IS17" i="2" s="1"/>
  <c r="IS18" i="2" s="1"/>
  <c r="IS19" i="2" s="1"/>
  <c r="IS20" i="2" s="1"/>
  <c r="IS21" i="2" s="1"/>
  <c r="IS22" i="2" s="1"/>
  <c r="IS23" i="2" s="1"/>
  <c r="IR4" i="2"/>
  <c r="IR5" i="2" s="1"/>
  <c r="IR6" i="2" s="1"/>
  <c r="IR7" i="2" s="1"/>
  <c r="IR8" i="2" s="1"/>
  <c r="IR9" i="2" s="1"/>
  <c r="IR10" i="2" s="1"/>
  <c r="IR11" i="2" s="1"/>
  <c r="IR12" i="2" s="1"/>
  <c r="IR13" i="2" s="1"/>
  <c r="IR14" i="2" s="1"/>
  <c r="IR15" i="2" s="1"/>
  <c r="IR16" i="2" s="1"/>
  <c r="IR17" i="2" s="1"/>
  <c r="IR18" i="2" s="1"/>
  <c r="IR19" i="2" s="1"/>
  <c r="IR20" i="2" s="1"/>
  <c r="IR21" i="2" s="1"/>
  <c r="IR22" i="2" s="1"/>
  <c r="IR23" i="2" s="1"/>
  <c r="IQ4" i="2"/>
  <c r="IQ5" i="2" s="1"/>
  <c r="IQ6" i="2" s="1"/>
  <c r="IQ7" i="2" s="1"/>
  <c r="IQ8" i="2" s="1"/>
  <c r="IQ9" i="2" s="1"/>
  <c r="IQ10" i="2" s="1"/>
  <c r="IQ11" i="2" s="1"/>
  <c r="IQ12" i="2" s="1"/>
  <c r="IQ13" i="2" s="1"/>
  <c r="IQ14" i="2" s="1"/>
  <c r="IQ15" i="2" s="1"/>
  <c r="IQ16" i="2" s="1"/>
  <c r="IQ17" i="2" s="1"/>
  <c r="IQ18" i="2" s="1"/>
  <c r="IQ19" i="2" s="1"/>
  <c r="IQ20" i="2" s="1"/>
  <c r="IQ21" i="2" s="1"/>
  <c r="IQ22" i="2" s="1"/>
  <c r="IQ23" i="2" s="1"/>
  <c r="IP4" i="2"/>
  <c r="IP5" i="2" s="1"/>
  <c r="IP6" i="2" s="1"/>
  <c r="IP7" i="2" s="1"/>
  <c r="IP8" i="2" s="1"/>
  <c r="IP9" i="2" s="1"/>
  <c r="IP10" i="2" s="1"/>
  <c r="IP11" i="2" s="1"/>
  <c r="IP12" i="2" s="1"/>
  <c r="IP13" i="2" s="1"/>
  <c r="IP14" i="2" s="1"/>
  <c r="IP15" i="2" s="1"/>
  <c r="IP16" i="2" s="1"/>
  <c r="IP17" i="2" s="1"/>
  <c r="IP18" i="2" s="1"/>
  <c r="IP19" i="2" s="1"/>
  <c r="IP20" i="2" s="1"/>
  <c r="IP21" i="2" s="1"/>
  <c r="IP22" i="2" s="1"/>
  <c r="IP23" i="2" s="1"/>
  <c r="IO4" i="2"/>
  <c r="IO5" i="2" s="1"/>
  <c r="IO6" i="2" s="1"/>
  <c r="IO7" i="2" s="1"/>
  <c r="IO8" i="2" s="1"/>
  <c r="IO9" i="2" s="1"/>
  <c r="IO10" i="2" s="1"/>
  <c r="IO11" i="2" s="1"/>
  <c r="IO12" i="2" s="1"/>
  <c r="IO13" i="2" s="1"/>
  <c r="IO14" i="2" s="1"/>
  <c r="IO15" i="2" s="1"/>
  <c r="IO16" i="2" s="1"/>
  <c r="IO17" i="2" s="1"/>
  <c r="IO18" i="2" s="1"/>
  <c r="IO19" i="2" s="1"/>
  <c r="IO20" i="2" s="1"/>
  <c r="IO21" i="2" s="1"/>
  <c r="IO22" i="2" s="1"/>
  <c r="IO23" i="2" s="1"/>
  <c r="IN4" i="2"/>
  <c r="IN5" i="2" s="1"/>
  <c r="IN6" i="2" s="1"/>
  <c r="IN7" i="2" s="1"/>
  <c r="IN8" i="2" s="1"/>
  <c r="IN9" i="2" s="1"/>
  <c r="IN10" i="2" s="1"/>
  <c r="IN11" i="2" s="1"/>
  <c r="IN12" i="2" s="1"/>
  <c r="IN13" i="2" s="1"/>
  <c r="IN14" i="2" s="1"/>
  <c r="IN15" i="2" s="1"/>
  <c r="IN16" i="2" s="1"/>
  <c r="IN17" i="2" s="1"/>
  <c r="IN18" i="2" s="1"/>
  <c r="IN19" i="2" s="1"/>
  <c r="IN20" i="2" s="1"/>
  <c r="IN21" i="2" s="1"/>
  <c r="IN22" i="2" s="1"/>
  <c r="IN23" i="2" s="1"/>
  <c r="IM4" i="2"/>
  <c r="IM5" i="2" s="1"/>
  <c r="IM6" i="2" s="1"/>
  <c r="IM7" i="2" s="1"/>
  <c r="IM8" i="2" s="1"/>
  <c r="IM9" i="2" s="1"/>
  <c r="IM10" i="2" s="1"/>
  <c r="IM11" i="2" s="1"/>
  <c r="IM12" i="2" s="1"/>
  <c r="IM13" i="2" s="1"/>
  <c r="IM14" i="2" s="1"/>
  <c r="IM15" i="2" s="1"/>
  <c r="IM16" i="2" s="1"/>
  <c r="IM17" i="2" s="1"/>
  <c r="IM18" i="2" s="1"/>
  <c r="IM19" i="2" s="1"/>
  <c r="IM20" i="2" s="1"/>
  <c r="IM21" i="2" s="1"/>
  <c r="IM22" i="2" s="1"/>
  <c r="IM23" i="2" s="1"/>
  <c r="IL4" i="2"/>
  <c r="IL5" i="2" s="1"/>
  <c r="IL6" i="2" s="1"/>
  <c r="IL7" i="2" s="1"/>
  <c r="IL8" i="2" s="1"/>
  <c r="IL9" i="2" s="1"/>
  <c r="IL10" i="2" s="1"/>
  <c r="IL11" i="2" s="1"/>
  <c r="IL12" i="2" s="1"/>
  <c r="IL13" i="2" s="1"/>
  <c r="IL14" i="2" s="1"/>
  <c r="IL15" i="2" s="1"/>
  <c r="IL16" i="2" s="1"/>
  <c r="IL17" i="2" s="1"/>
  <c r="IL18" i="2" s="1"/>
  <c r="IL19" i="2" s="1"/>
  <c r="IL20" i="2" s="1"/>
  <c r="IL21" i="2" s="1"/>
  <c r="IL22" i="2" s="1"/>
  <c r="IL23" i="2" s="1"/>
  <c r="IK4" i="2"/>
  <c r="IK5" i="2" s="1"/>
  <c r="IK6" i="2" s="1"/>
  <c r="IK7" i="2" s="1"/>
  <c r="IK8" i="2" s="1"/>
  <c r="IK9" i="2" s="1"/>
  <c r="IK10" i="2" s="1"/>
  <c r="IK11" i="2" s="1"/>
  <c r="IK12" i="2" s="1"/>
  <c r="IK13" i="2" s="1"/>
  <c r="IK14" i="2" s="1"/>
  <c r="IK15" i="2" s="1"/>
  <c r="IK16" i="2" s="1"/>
  <c r="IK17" i="2" s="1"/>
  <c r="IK18" i="2" s="1"/>
  <c r="IK19" i="2" s="1"/>
  <c r="IK20" i="2" s="1"/>
  <c r="IK21" i="2" s="1"/>
  <c r="IK22" i="2" s="1"/>
  <c r="IK23" i="2" s="1"/>
  <c r="IJ4" i="2"/>
  <c r="IJ5" i="2" s="1"/>
  <c r="IJ6" i="2" s="1"/>
  <c r="IJ7" i="2" s="1"/>
  <c r="IJ8" i="2" s="1"/>
  <c r="IJ9" i="2" s="1"/>
  <c r="IJ10" i="2" s="1"/>
  <c r="IJ11" i="2" s="1"/>
  <c r="IJ12" i="2" s="1"/>
  <c r="IJ13" i="2" s="1"/>
  <c r="IJ14" i="2" s="1"/>
  <c r="IJ15" i="2" s="1"/>
  <c r="IJ16" i="2" s="1"/>
  <c r="IJ17" i="2" s="1"/>
  <c r="IJ18" i="2" s="1"/>
  <c r="IJ19" i="2" s="1"/>
  <c r="IJ20" i="2" s="1"/>
  <c r="IJ21" i="2" s="1"/>
  <c r="IJ22" i="2" s="1"/>
  <c r="IJ23" i="2" s="1"/>
  <c r="II4" i="2"/>
  <c r="II5" i="2" s="1"/>
  <c r="II6" i="2" s="1"/>
  <c r="II7" i="2" s="1"/>
  <c r="II8" i="2" s="1"/>
  <c r="II9" i="2" s="1"/>
  <c r="II10" i="2" s="1"/>
  <c r="II11" i="2" s="1"/>
  <c r="II12" i="2" s="1"/>
  <c r="II13" i="2" s="1"/>
  <c r="II14" i="2" s="1"/>
  <c r="II15" i="2" s="1"/>
  <c r="II16" i="2" s="1"/>
  <c r="II17" i="2" s="1"/>
  <c r="II18" i="2" s="1"/>
  <c r="II19" i="2" s="1"/>
  <c r="II20" i="2" s="1"/>
  <c r="II21" i="2" s="1"/>
  <c r="II22" i="2" s="1"/>
  <c r="II23" i="2" s="1"/>
  <c r="IH4" i="2"/>
  <c r="IH5" i="2" s="1"/>
  <c r="IH6" i="2" s="1"/>
  <c r="IH7" i="2" s="1"/>
  <c r="IH8" i="2" s="1"/>
  <c r="IH9" i="2" s="1"/>
  <c r="IH10" i="2" s="1"/>
  <c r="IH11" i="2" s="1"/>
  <c r="IH12" i="2" s="1"/>
  <c r="IH13" i="2" s="1"/>
  <c r="IH14" i="2" s="1"/>
  <c r="IH15" i="2" s="1"/>
  <c r="IH16" i="2" s="1"/>
  <c r="IH17" i="2" s="1"/>
  <c r="IH18" i="2" s="1"/>
  <c r="IH19" i="2" s="1"/>
  <c r="IH20" i="2" s="1"/>
  <c r="IH21" i="2" s="1"/>
  <c r="IH22" i="2" s="1"/>
  <c r="IH23" i="2" s="1"/>
  <c r="IG4" i="2"/>
  <c r="IG5" i="2" s="1"/>
  <c r="IG6" i="2" s="1"/>
  <c r="IG7" i="2" s="1"/>
  <c r="IG8" i="2" s="1"/>
  <c r="IG9" i="2" s="1"/>
  <c r="IG10" i="2" s="1"/>
  <c r="IG11" i="2" s="1"/>
  <c r="IG12" i="2" s="1"/>
  <c r="IG13" i="2" s="1"/>
  <c r="IG14" i="2" s="1"/>
  <c r="IG15" i="2" s="1"/>
  <c r="IG16" i="2" s="1"/>
  <c r="IG17" i="2" s="1"/>
  <c r="IG18" i="2" s="1"/>
  <c r="IG19" i="2" s="1"/>
  <c r="IG20" i="2" s="1"/>
  <c r="IG21" i="2" s="1"/>
  <c r="IG22" i="2" s="1"/>
  <c r="IG23" i="2" s="1"/>
  <c r="IF4" i="2"/>
  <c r="IF5" i="2" s="1"/>
  <c r="IF6" i="2" s="1"/>
  <c r="IF7" i="2" s="1"/>
  <c r="IF8" i="2" s="1"/>
  <c r="IF9" i="2" s="1"/>
  <c r="IF10" i="2" s="1"/>
  <c r="IF11" i="2" s="1"/>
  <c r="IF12" i="2" s="1"/>
  <c r="IF13" i="2" s="1"/>
  <c r="IF14" i="2" s="1"/>
  <c r="IF15" i="2" s="1"/>
  <c r="IF16" i="2" s="1"/>
  <c r="IF17" i="2" s="1"/>
  <c r="IF18" i="2" s="1"/>
  <c r="IF19" i="2" s="1"/>
  <c r="IF20" i="2" s="1"/>
  <c r="IF21" i="2" s="1"/>
  <c r="IF22" i="2" s="1"/>
  <c r="IF23" i="2" s="1"/>
  <c r="IE4" i="2"/>
  <c r="IE5" i="2" s="1"/>
  <c r="IE6" i="2" s="1"/>
  <c r="IE7" i="2" s="1"/>
  <c r="IE8" i="2" s="1"/>
  <c r="IE9" i="2" s="1"/>
  <c r="IE10" i="2" s="1"/>
  <c r="IE11" i="2" s="1"/>
  <c r="IE12" i="2" s="1"/>
  <c r="IE13" i="2" s="1"/>
  <c r="IE14" i="2" s="1"/>
  <c r="IE15" i="2" s="1"/>
  <c r="IE16" i="2" s="1"/>
  <c r="IE17" i="2" s="1"/>
  <c r="IE18" i="2" s="1"/>
  <c r="IE19" i="2" s="1"/>
  <c r="IE20" i="2" s="1"/>
  <c r="IE21" i="2" s="1"/>
  <c r="IE22" i="2" s="1"/>
  <c r="IE23" i="2" s="1"/>
  <c r="ID4" i="2"/>
  <c r="ID5" i="2" s="1"/>
  <c r="ID6" i="2" s="1"/>
  <c r="ID7" i="2" s="1"/>
  <c r="ID8" i="2" s="1"/>
  <c r="ID9" i="2" s="1"/>
  <c r="ID10" i="2" s="1"/>
  <c r="ID11" i="2" s="1"/>
  <c r="ID12" i="2" s="1"/>
  <c r="ID13" i="2" s="1"/>
  <c r="ID14" i="2" s="1"/>
  <c r="ID15" i="2" s="1"/>
  <c r="ID16" i="2" s="1"/>
  <c r="ID17" i="2" s="1"/>
  <c r="ID18" i="2" s="1"/>
  <c r="ID19" i="2" s="1"/>
  <c r="ID20" i="2" s="1"/>
  <c r="ID21" i="2" s="1"/>
  <c r="ID22" i="2" s="1"/>
  <c r="ID23" i="2" s="1"/>
  <c r="IC4" i="2"/>
  <c r="IC5" i="2" s="1"/>
  <c r="IC6" i="2" s="1"/>
  <c r="IC7" i="2" s="1"/>
  <c r="IC8" i="2" s="1"/>
  <c r="IC9" i="2" s="1"/>
  <c r="IC10" i="2" s="1"/>
  <c r="IC11" i="2" s="1"/>
  <c r="IC12" i="2" s="1"/>
  <c r="IC13" i="2" s="1"/>
  <c r="IC14" i="2" s="1"/>
  <c r="IC15" i="2" s="1"/>
  <c r="IC16" i="2" s="1"/>
  <c r="IC17" i="2" s="1"/>
  <c r="IC18" i="2" s="1"/>
  <c r="IC19" i="2" s="1"/>
  <c r="IC20" i="2" s="1"/>
  <c r="IC21" i="2" s="1"/>
  <c r="IC22" i="2" s="1"/>
  <c r="IC23" i="2" s="1"/>
  <c r="IB4" i="2"/>
  <c r="IB5" i="2" s="1"/>
  <c r="IB6" i="2" s="1"/>
  <c r="IB7" i="2" s="1"/>
  <c r="IB8" i="2" s="1"/>
  <c r="IB9" i="2" s="1"/>
  <c r="IB10" i="2" s="1"/>
  <c r="IB11" i="2" s="1"/>
  <c r="IB12" i="2" s="1"/>
  <c r="IB13" i="2" s="1"/>
  <c r="IB14" i="2" s="1"/>
  <c r="IB15" i="2" s="1"/>
  <c r="IB16" i="2" s="1"/>
  <c r="IB17" i="2" s="1"/>
  <c r="IB18" i="2" s="1"/>
  <c r="IB19" i="2" s="1"/>
  <c r="IB20" i="2" s="1"/>
  <c r="IB21" i="2" s="1"/>
  <c r="IB22" i="2" s="1"/>
  <c r="IB23" i="2" s="1"/>
  <c r="IA4" i="2"/>
  <c r="IA5" i="2" s="1"/>
  <c r="IA6" i="2" s="1"/>
  <c r="IA7" i="2" s="1"/>
  <c r="IA8" i="2" s="1"/>
  <c r="IA9" i="2" s="1"/>
  <c r="IA10" i="2" s="1"/>
  <c r="IA11" i="2" s="1"/>
  <c r="IA12" i="2" s="1"/>
  <c r="IA13" i="2" s="1"/>
  <c r="IA14" i="2" s="1"/>
  <c r="IA15" i="2" s="1"/>
  <c r="IA16" i="2" s="1"/>
  <c r="IA17" i="2" s="1"/>
  <c r="IA18" i="2" s="1"/>
  <c r="IA19" i="2" s="1"/>
  <c r="IA20" i="2" s="1"/>
  <c r="IA21" i="2" s="1"/>
  <c r="IA22" i="2" s="1"/>
  <c r="IA23" i="2" s="1"/>
  <c r="HZ4" i="2"/>
  <c r="HZ5" i="2" s="1"/>
  <c r="HZ6" i="2" s="1"/>
  <c r="HZ7" i="2" s="1"/>
  <c r="HZ8" i="2" s="1"/>
  <c r="HZ9" i="2" s="1"/>
  <c r="HZ10" i="2" s="1"/>
  <c r="HZ11" i="2" s="1"/>
  <c r="HZ12" i="2" s="1"/>
  <c r="HZ13" i="2" s="1"/>
  <c r="HZ14" i="2" s="1"/>
  <c r="HZ15" i="2" s="1"/>
  <c r="HZ16" i="2" s="1"/>
  <c r="HZ17" i="2" s="1"/>
  <c r="HZ18" i="2" s="1"/>
  <c r="HZ19" i="2" s="1"/>
  <c r="HZ20" i="2" s="1"/>
  <c r="HZ21" i="2" s="1"/>
  <c r="HZ22" i="2" s="1"/>
  <c r="HZ23" i="2" s="1"/>
  <c r="HY4" i="2"/>
  <c r="HY5" i="2" s="1"/>
  <c r="HY6" i="2" s="1"/>
  <c r="HY7" i="2" s="1"/>
  <c r="HY8" i="2" s="1"/>
  <c r="HY9" i="2" s="1"/>
  <c r="HY10" i="2" s="1"/>
  <c r="HY11" i="2" s="1"/>
  <c r="HY12" i="2" s="1"/>
  <c r="HY13" i="2" s="1"/>
  <c r="HY14" i="2" s="1"/>
  <c r="HY15" i="2" s="1"/>
  <c r="HY16" i="2" s="1"/>
  <c r="HY17" i="2" s="1"/>
  <c r="HY18" i="2" s="1"/>
  <c r="HY19" i="2" s="1"/>
  <c r="HY20" i="2" s="1"/>
  <c r="HY21" i="2" s="1"/>
  <c r="HY22" i="2" s="1"/>
  <c r="HY23" i="2" s="1"/>
  <c r="HX4" i="2"/>
  <c r="HX5" i="2" s="1"/>
  <c r="HX6" i="2" s="1"/>
  <c r="HX7" i="2" s="1"/>
  <c r="HX8" i="2" s="1"/>
  <c r="HX9" i="2" s="1"/>
  <c r="HX10" i="2" s="1"/>
  <c r="HX11" i="2" s="1"/>
  <c r="HX12" i="2" s="1"/>
  <c r="HX13" i="2" s="1"/>
  <c r="HX14" i="2" s="1"/>
  <c r="HX15" i="2" s="1"/>
  <c r="HX16" i="2" s="1"/>
  <c r="HX17" i="2" s="1"/>
  <c r="HX18" i="2" s="1"/>
  <c r="HX19" i="2" s="1"/>
  <c r="HX20" i="2" s="1"/>
  <c r="HX21" i="2" s="1"/>
  <c r="HX22" i="2" s="1"/>
  <c r="HX23" i="2" s="1"/>
  <c r="HW4" i="2"/>
  <c r="HW5" i="2" s="1"/>
  <c r="HW6" i="2" s="1"/>
  <c r="HW7" i="2" s="1"/>
  <c r="HW8" i="2" s="1"/>
  <c r="HW9" i="2" s="1"/>
  <c r="HW10" i="2" s="1"/>
  <c r="HW11" i="2" s="1"/>
  <c r="HW12" i="2" s="1"/>
  <c r="HW13" i="2" s="1"/>
  <c r="HW14" i="2" s="1"/>
  <c r="HW15" i="2" s="1"/>
  <c r="HW16" i="2" s="1"/>
  <c r="HW17" i="2" s="1"/>
  <c r="HW18" i="2" s="1"/>
  <c r="HW19" i="2" s="1"/>
  <c r="HW20" i="2" s="1"/>
  <c r="HW21" i="2" s="1"/>
  <c r="HW22" i="2" s="1"/>
  <c r="HW23" i="2" s="1"/>
  <c r="HV4" i="2"/>
  <c r="HV5" i="2" s="1"/>
  <c r="HV6" i="2" s="1"/>
  <c r="HV7" i="2" s="1"/>
  <c r="HV8" i="2" s="1"/>
  <c r="HV9" i="2" s="1"/>
  <c r="HV10" i="2" s="1"/>
  <c r="HV11" i="2" s="1"/>
  <c r="HV12" i="2" s="1"/>
  <c r="HV13" i="2" s="1"/>
  <c r="HV14" i="2" s="1"/>
  <c r="HV15" i="2" s="1"/>
  <c r="HV16" i="2" s="1"/>
  <c r="HV17" i="2" s="1"/>
  <c r="HV18" i="2" s="1"/>
  <c r="HV19" i="2" s="1"/>
  <c r="HV20" i="2" s="1"/>
  <c r="HV21" i="2" s="1"/>
  <c r="HV22" i="2" s="1"/>
  <c r="HV23" i="2" s="1"/>
  <c r="HU4" i="2"/>
  <c r="HU5" i="2" s="1"/>
  <c r="HU6" i="2" s="1"/>
  <c r="HU7" i="2" s="1"/>
  <c r="HU8" i="2" s="1"/>
  <c r="HU9" i="2" s="1"/>
  <c r="HU10" i="2" s="1"/>
  <c r="HU11" i="2" s="1"/>
  <c r="HU12" i="2" s="1"/>
  <c r="HU13" i="2" s="1"/>
  <c r="HU14" i="2" s="1"/>
  <c r="HU15" i="2" s="1"/>
  <c r="HU16" i="2" s="1"/>
  <c r="HU17" i="2" s="1"/>
  <c r="HU18" i="2" s="1"/>
  <c r="HU19" i="2" s="1"/>
  <c r="HU20" i="2" s="1"/>
  <c r="HU21" i="2" s="1"/>
  <c r="HU22" i="2" s="1"/>
  <c r="HU23" i="2" s="1"/>
  <c r="HT4" i="2"/>
  <c r="HT5" i="2" s="1"/>
  <c r="HT6" i="2" s="1"/>
  <c r="HT7" i="2" s="1"/>
  <c r="HT8" i="2" s="1"/>
  <c r="HT9" i="2" s="1"/>
  <c r="HT10" i="2" s="1"/>
  <c r="HT11" i="2" s="1"/>
  <c r="HT12" i="2" s="1"/>
  <c r="HT13" i="2" s="1"/>
  <c r="HT14" i="2" s="1"/>
  <c r="HT15" i="2" s="1"/>
  <c r="HT16" i="2" s="1"/>
  <c r="HT17" i="2" s="1"/>
  <c r="HT18" i="2" s="1"/>
  <c r="HT19" i="2" s="1"/>
  <c r="HT20" i="2" s="1"/>
  <c r="HT21" i="2" s="1"/>
  <c r="HT22" i="2" s="1"/>
  <c r="HT23" i="2" s="1"/>
  <c r="HS4" i="2"/>
  <c r="HS5" i="2" s="1"/>
  <c r="HS6" i="2" s="1"/>
  <c r="HS7" i="2" s="1"/>
  <c r="HS8" i="2" s="1"/>
  <c r="HS9" i="2" s="1"/>
  <c r="HS10" i="2" s="1"/>
  <c r="HS11" i="2" s="1"/>
  <c r="HS12" i="2" s="1"/>
  <c r="HS13" i="2" s="1"/>
  <c r="HS14" i="2" s="1"/>
  <c r="HS15" i="2" s="1"/>
  <c r="HS16" i="2" s="1"/>
  <c r="HS17" i="2" s="1"/>
  <c r="HS18" i="2" s="1"/>
  <c r="HS19" i="2" s="1"/>
  <c r="HS20" i="2" s="1"/>
  <c r="HS21" i="2" s="1"/>
  <c r="HS22" i="2" s="1"/>
  <c r="HS23" i="2" s="1"/>
  <c r="HR4" i="2"/>
  <c r="HR5" i="2" s="1"/>
  <c r="HR6" i="2" s="1"/>
  <c r="HR7" i="2" s="1"/>
  <c r="HR8" i="2" s="1"/>
  <c r="HR9" i="2" s="1"/>
  <c r="HR10" i="2" s="1"/>
  <c r="HR11" i="2" s="1"/>
  <c r="HR12" i="2" s="1"/>
  <c r="HR13" i="2" s="1"/>
  <c r="HR14" i="2" s="1"/>
  <c r="HR15" i="2" s="1"/>
  <c r="HR16" i="2" s="1"/>
  <c r="HR17" i="2" s="1"/>
  <c r="HR18" i="2" s="1"/>
  <c r="HR19" i="2" s="1"/>
  <c r="HR20" i="2" s="1"/>
  <c r="HR21" i="2" s="1"/>
  <c r="HR22" i="2" s="1"/>
  <c r="HR23" i="2" s="1"/>
  <c r="HQ4" i="2"/>
  <c r="HQ5" i="2" s="1"/>
  <c r="HQ6" i="2" s="1"/>
  <c r="HQ7" i="2" s="1"/>
  <c r="HQ8" i="2" s="1"/>
  <c r="HQ9" i="2" s="1"/>
  <c r="HQ10" i="2" s="1"/>
  <c r="HQ11" i="2" s="1"/>
  <c r="HQ12" i="2" s="1"/>
  <c r="HQ13" i="2" s="1"/>
  <c r="HQ14" i="2" s="1"/>
  <c r="HQ15" i="2" s="1"/>
  <c r="HQ16" i="2" s="1"/>
  <c r="HQ17" i="2" s="1"/>
  <c r="HQ18" i="2" s="1"/>
  <c r="HQ19" i="2" s="1"/>
  <c r="HQ20" i="2" s="1"/>
  <c r="HQ21" i="2" s="1"/>
  <c r="HQ22" i="2" s="1"/>
  <c r="HQ23" i="2" s="1"/>
  <c r="HP4" i="2"/>
  <c r="HP5" i="2" s="1"/>
  <c r="HP6" i="2" s="1"/>
  <c r="HP7" i="2" s="1"/>
  <c r="HP8" i="2" s="1"/>
  <c r="HP9" i="2" s="1"/>
  <c r="HP10" i="2" s="1"/>
  <c r="HP11" i="2" s="1"/>
  <c r="HP12" i="2" s="1"/>
  <c r="HP13" i="2" s="1"/>
  <c r="HP14" i="2" s="1"/>
  <c r="HP15" i="2" s="1"/>
  <c r="HP16" i="2" s="1"/>
  <c r="HP17" i="2" s="1"/>
  <c r="HP18" i="2" s="1"/>
  <c r="HP19" i="2" s="1"/>
  <c r="HP20" i="2" s="1"/>
  <c r="HP21" i="2" s="1"/>
  <c r="HP22" i="2" s="1"/>
  <c r="HP23" i="2" s="1"/>
  <c r="HO4" i="2"/>
  <c r="HO5" i="2" s="1"/>
  <c r="HO6" i="2" s="1"/>
  <c r="HO7" i="2" s="1"/>
  <c r="HO8" i="2" s="1"/>
  <c r="HO9" i="2" s="1"/>
  <c r="HO10" i="2" s="1"/>
  <c r="HO11" i="2" s="1"/>
  <c r="HO12" i="2" s="1"/>
  <c r="HO13" i="2" s="1"/>
  <c r="HO14" i="2" s="1"/>
  <c r="HO15" i="2" s="1"/>
  <c r="HO16" i="2" s="1"/>
  <c r="HO17" i="2" s="1"/>
  <c r="HO18" i="2" s="1"/>
  <c r="HO19" i="2" s="1"/>
  <c r="HO20" i="2" s="1"/>
  <c r="HO21" i="2" s="1"/>
  <c r="HO22" i="2" s="1"/>
  <c r="HO23" i="2" s="1"/>
  <c r="HN4" i="2"/>
  <c r="HN5" i="2" s="1"/>
  <c r="HN6" i="2" s="1"/>
  <c r="HN7" i="2" s="1"/>
  <c r="HN8" i="2" s="1"/>
  <c r="HN9" i="2" s="1"/>
  <c r="HN10" i="2" s="1"/>
  <c r="HN11" i="2" s="1"/>
  <c r="HN12" i="2" s="1"/>
  <c r="HN13" i="2" s="1"/>
  <c r="HN14" i="2" s="1"/>
  <c r="HN15" i="2" s="1"/>
  <c r="HN16" i="2" s="1"/>
  <c r="HN17" i="2" s="1"/>
  <c r="HN18" i="2" s="1"/>
  <c r="HN19" i="2" s="1"/>
  <c r="HN20" i="2" s="1"/>
  <c r="HN21" i="2" s="1"/>
  <c r="HN22" i="2" s="1"/>
  <c r="HN23" i="2" s="1"/>
  <c r="HM4" i="2"/>
  <c r="HM5" i="2" s="1"/>
  <c r="HM6" i="2" s="1"/>
  <c r="HM7" i="2" s="1"/>
  <c r="HM8" i="2" s="1"/>
  <c r="HM9" i="2" s="1"/>
  <c r="HM10" i="2" s="1"/>
  <c r="HM11" i="2" s="1"/>
  <c r="HM12" i="2" s="1"/>
  <c r="HM13" i="2" s="1"/>
  <c r="HM14" i="2" s="1"/>
  <c r="HM15" i="2" s="1"/>
  <c r="HM16" i="2" s="1"/>
  <c r="HM17" i="2" s="1"/>
  <c r="HM18" i="2" s="1"/>
  <c r="HM19" i="2" s="1"/>
  <c r="HM20" i="2" s="1"/>
  <c r="HM21" i="2" s="1"/>
  <c r="HM22" i="2" s="1"/>
  <c r="HM23" i="2" s="1"/>
  <c r="HL4" i="2"/>
  <c r="HL5" i="2" s="1"/>
  <c r="HL6" i="2" s="1"/>
  <c r="HL7" i="2" s="1"/>
  <c r="HL8" i="2" s="1"/>
  <c r="HL9" i="2" s="1"/>
  <c r="HL10" i="2" s="1"/>
  <c r="HL11" i="2" s="1"/>
  <c r="HL12" i="2" s="1"/>
  <c r="HL13" i="2" s="1"/>
  <c r="HL14" i="2" s="1"/>
  <c r="HL15" i="2" s="1"/>
  <c r="HL16" i="2" s="1"/>
  <c r="HL17" i="2" s="1"/>
  <c r="HL18" i="2" s="1"/>
  <c r="HL19" i="2" s="1"/>
  <c r="HL20" i="2" s="1"/>
  <c r="HL21" i="2" s="1"/>
  <c r="HL22" i="2" s="1"/>
  <c r="HL23" i="2" s="1"/>
  <c r="HK4" i="2"/>
  <c r="HK5" i="2" s="1"/>
  <c r="HK6" i="2" s="1"/>
  <c r="HK7" i="2" s="1"/>
  <c r="HK8" i="2" s="1"/>
  <c r="HK9" i="2" s="1"/>
  <c r="HK10" i="2" s="1"/>
  <c r="HK11" i="2" s="1"/>
  <c r="HK12" i="2" s="1"/>
  <c r="HK13" i="2" s="1"/>
  <c r="HK14" i="2" s="1"/>
  <c r="HK15" i="2" s="1"/>
  <c r="HK16" i="2" s="1"/>
  <c r="HK17" i="2" s="1"/>
  <c r="HK18" i="2" s="1"/>
  <c r="HK19" i="2" s="1"/>
  <c r="HK20" i="2" s="1"/>
  <c r="HK21" i="2" s="1"/>
  <c r="HK22" i="2" s="1"/>
  <c r="HK23" i="2" s="1"/>
  <c r="HJ4" i="2"/>
  <c r="HJ5" i="2" s="1"/>
  <c r="HJ6" i="2" s="1"/>
  <c r="HJ7" i="2" s="1"/>
  <c r="HJ8" i="2" s="1"/>
  <c r="HJ9" i="2" s="1"/>
  <c r="HJ10" i="2" s="1"/>
  <c r="HJ11" i="2" s="1"/>
  <c r="HJ12" i="2" s="1"/>
  <c r="HJ13" i="2" s="1"/>
  <c r="HJ14" i="2" s="1"/>
  <c r="HJ15" i="2" s="1"/>
  <c r="HJ16" i="2" s="1"/>
  <c r="HJ17" i="2" s="1"/>
  <c r="HJ18" i="2" s="1"/>
  <c r="HJ19" i="2" s="1"/>
  <c r="HJ20" i="2" s="1"/>
  <c r="HJ21" i="2" s="1"/>
  <c r="HJ22" i="2" s="1"/>
  <c r="HJ23" i="2" s="1"/>
  <c r="HI4" i="2"/>
  <c r="HI5" i="2" s="1"/>
  <c r="HI6" i="2" s="1"/>
  <c r="HI7" i="2" s="1"/>
  <c r="HI8" i="2" s="1"/>
  <c r="HI9" i="2" s="1"/>
  <c r="HI10" i="2" s="1"/>
  <c r="HI11" i="2" s="1"/>
  <c r="HI12" i="2" s="1"/>
  <c r="HI13" i="2" s="1"/>
  <c r="HI14" i="2" s="1"/>
  <c r="HI15" i="2" s="1"/>
  <c r="HI16" i="2" s="1"/>
  <c r="HI17" i="2" s="1"/>
  <c r="HI18" i="2" s="1"/>
  <c r="HI19" i="2" s="1"/>
  <c r="HI20" i="2" s="1"/>
  <c r="HI21" i="2" s="1"/>
  <c r="HI22" i="2" s="1"/>
  <c r="HI23" i="2" s="1"/>
  <c r="HH4" i="2"/>
  <c r="HH5" i="2" s="1"/>
  <c r="HH6" i="2" s="1"/>
  <c r="HH7" i="2" s="1"/>
  <c r="HH8" i="2" s="1"/>
  <c r="HH9" i="2" s="1"/>
  <c r="HH10" i="2" s="1"/>
  <c r="HH11" i="2" s="1"/>
  <c r="HH12" i="2" s="1"/>
  <c r="HH13" i="2" s="1"/>
  <c r="HH14" i="2" s="1"/>
  <c r="HH15" i="2" s="1"/>
  <c r="HH16" i="2" s="1"/>
  <c r="HH17" i="2" s="1"/>
  <c r="HH18" i="2" s="1"/>
  <c r="HH19" i="2" s="1"/>
  <c r="HH20" i="2" s="1"/>
  <c r="HH21" i="2" s="1"/>
  <c r="HH22" i="2" s="1"/>
  <c r="HH23" i="2" s="1"/>
  <c r="HG4" i="2"/>
  <c r="HG5" i="2" s="1"/>
  <c r="HG6" i="2" s="1"/>
  <c r="HG7" i="2" s="1"/>
  <c r="HG8" i="2" s="1"/>
  <c r="HG9" i="2" s="1"/>
  <c r="HG10" i="2" s="1"/>
  <c r="HG11" i="2" s="1"/>
  <c r="HG12" i="2" s="1"/>
  <c r="HG13" i="2" s="1"/>
  <c r="HG14" i="2" s="1"/>
  <c r="HG15" i="2" s="1"/>
  <c r="HG16" i="2" s="1"/>
  <c r="HG17" i="2" s="1"/>
  <c r="HG18" i="2" s="1"/>
  <c r="HG19" i="2" s="1"/>
  <c r="HG20" i="2" s="1"/>
  <c r="HG21" i="2" s="1"/>
  <c r="HG22" i="2" s="1"/>
  <c r="HG23" i="2" s="1"/>
  <c r="HF4" i="2"/>
  <c r="HF5" i="2" s="1"/>
  <c r="HF6" i="2" s="1"/>
  <c r="HF7" i="2" s="1"/>
  <c r="HF8" i="2" s="1"/>
  <c r="HF9" i="2" s="1"/>
  <c r="HF10" i="2" s="1"/>
  <c r="HF11" i="2" s="1"/>
  <c r="HF12" i="2" s="1"/>
  <c r="HF13" i="2" s="1"/>
  <c r="HF14" i="2" s="1"/>
  <c r="HF15" i="2" s="1"/>
  <c r="HF16" i="2" s="1"/>
  <c r="HF17" i="2" s="1"/>
  <c r="HF18" i="2" s="1"/>
  <c r="HF19" i="2" s="1"/>
  <c r="HF20" i="2" s="1"/>
  <c r="HF21" i="2" s="1"/>
  <c r="HF22" i="2" s="1"/>
  <c r="HF23" i="2" s="1"/>
  <c r="HE4" i="2"/>
  <c r="HE5" i="2" s="1"/>
  <c r="HE6" i="2" s="1"/>
  <c r="HE7" i="2" s="1"/>
  <c r="HE8" i="2" s="1"/>
  <c r="HE9" i="2" s="1"/>
  <c r="HE10" i="2" s="1"/>
  <c r="HE11" i="2" s="1"/>
  <c r="HE12" i="2" s="1"/>
  <c r="HE13" i="2" s="1"/>
  <c r="HE14" i="2" s="1"/>
  <c r="HE15" i="2" s="1"/>
  <c r="HE16" i="2" s="1"/>
  <c r="HE17" i="2" s="1"/>
  <c r="HE18" i="2" s="1"/>
  <c r="HE19" i="2" s="1"/>
  <c r="HE20" i="2" s="1"/>
  <c r="HE21" i="2" s="1"/>
  <c r="HE22" i="2" s="1"/>
  <c r="HE23" i="2" s="1"/>
  <c r="HD4" i="2"/>
  <c r="HD5" i="2" s="1"/>
  <c r="HD6" i="2" s="1"/>
  <c r="HD7" i="2" s="1"/>
  <c r="HD8" i="2" s="1"/>
  <c r="HD9" i="2" s="1"/>
  <c r="HD10" i="2" s="1"/>
  <c r="HD11" i="2" s="1"/>
  <c r="HD12" i="2" s="1"/>
  <c r="HD13" i="2" s="1"/>
  <c r="HD14" i="2" s="1"/>
  <c r="HD15" i="2" s="1"/>
  <c r="HD16" i="2" s="1"/>
  <c r="HD17" i="2" s="1"/>
  <c r="HD18" i="2" s="1"/>
  <c r="HD19" i="2" s="1"/>
  <c r="HD20" i="2" s="1"/>
  <c r="HD21" i="2" s="1"/>
  <c r="HD22" i="2" s="1"/>
  <c r="HD23" i="2" s="1"/>
  <c r="HC4" i="2"/>
  <c r="HC5" i="2" s="1"/>
  <c r="HC6" i="2" s="1"/>
  <c r="HC7" i="2" s="1"/>
  <c r="HC8" i="2" s="1"/>
  <c r="HC9" i="2" s="1"/>
  <c r="HC10" i="2" s="1"/>
  <c r="HC11" i="2" s="1"/>
  <c r="HC12" i="2" s="1"/>
  <c r="HC13" i="2" s="1"/>
  <c r="HC14" i="2" s="1"/>
  <c r="HC15" i="2" s="1"/>
  <c r="HC16" i="2" s="1"/>
  <c r="HC17" i="2" s="1"/>
  <c r="HC18" i="2" s="1"/>
  <c r="HC19" i="2" s="1"/>
  <c r="HC20" i="2" s="1"/>
  <c r="HC21" i="2" s="1"/>
  <c r="HC22" i="2" s="1"/>
  <c r="HC23" i="2" s="1"/>
  <c r="HB4" i="2"/>
  <c r="HB5" i="2" s="1"/>
  <c r="HB6" i="2" s="1"/>
  <c r="HB7" i="2" s="1"/>
  <c r="HB8" i="2" s="1"/>
  <c r="HB9" i="2" s="1"/>
  <c r="HB10" i="2" s="1"/>
  <c r="HB11" i="2" s="1"/>
  <c r="HB12" i="2" s="1"/>
  <c r="HB13" i="2" s="1"/>
  <c r="HB14" i="2" s="1"/>
  <c r="HB15" i="2" s="1"/>
  <c r="HB16" i="2" s="1"/>
  <c r="HB17" i="2" s="1"/>
  <c r="HB18" i="2" s="1"/>
  <c r="HB19" i="2" s="1"/>
  <c r="HB20" i="2" s="1"/>
  <c r="HB21" i="2" s="1"/>
  <c r="HB22" i="2" s="1"/>
  <c r="HB23" i="2" s="1"/>
  <c r="HA4" i="2"/>
  <c r="HA5" i="2" s="1"/>
  <c r="HA6" i="2" s="1"/>
  <c r="HA7" i="2" s="1"/>
  <c r="HA8" i="2" s="1"/>
  <c r="HA9" i="2" s="1"/>
  <c r="HA10" i="2" s="1"/>
  <c r="HA11" i="2" s="1"/>
  <c r="HA12" i="2" s="1"/>
  <c r="HA13" i="2" s="1"/>
  <c r="HA14" i="2" s="1"/>
  <c r="HA15" i="2" s="1"/>
  <c r="HA16" i="2" s="1"/>
  <c r="HA17" i="2" s="1"/>
  <c r="HA18" i="2" s="1"/>
  <c r="HA19" i="2" s="1"/>
  <c r="HA20" i="2" s="1"/>
  <c r="HA21" i="2" s="1"/>
  <c r="HA22" i="2" s="1"/>
  <c r="HA23" i="2" s="1"/>
  <c r="GZ4" i="2"/>
  <c r="GZ5" i="2" s="1"/>
  <c r="GZ6" i="2" s="1"/>
  <c r="GZ7" i="2" s="1"/>
  <c r="GZ8" i="2" s="1"/>
  <c r="GZ9" i="2" s="1"/>
  <c r="GZ10" i="2" s="1"/>
  <c r="GZ11" i="2" s="1"/>
  <c r="GZ12" i="2" s="1"/>
  <c r="GZ13" i="2" s="1"/>
  <c r="GZ14" i="2" s="1"/>
  <c r="GZ15" i="2" s="1"/>
  <c r="GZ16" i="2" s="1"/>
  <c r="GZ17" i="2" s="1"/>
  <c r="GZ18" i="2" s="1"/>
  <c r="GZ19" i="2" s="1"/>
  <c r="GZ20" i="2" s="1"/>
  <c r="GZ21" i="2" s="1"/>
  <c r="GZ22" i="2" s="1"/>
  <c r="GZ23" i="2" s="1"/>
  <c r="GY4" i="2"/>
  <c r="GY5" i="2" s="1"/>
  <c r="GY6" i="2" s="1"/>
  <c r="GY7" i="2" s="1"/>
  <c r="GY8" i="2" s="1"/>
  <c r="GY9" i="2" s="1"/>
  <c r="GY10" i="2" s="1"/>
  <c r="GY11" i="2" s="1"/>
  <c r="GY12" i="2" s="1"/>
  <c r="GY13" i="2" s="1"/>
  <c r="GY14" i="2" s="1"/>
  <c r="GY15" i="2" s="1"/>
  <c r="GY16" i="2" s="1"/>
  <c r="GY17" i="2" s="1"/>
  <c r="GY18" i="2" s="1"/>
  <c r="GY19" i="2" s="1"/>
  <c r="GY20" i="2" s="1"/>
  <c r="GY21" i="2" s="1"/>
  <c r="GY22" i="2" s="1"/>
  <c r="GY23" i="2" s="1"/>
  <c r="GX4" i="2"/>
  <c r="GX5" i="2" s="1"/>
  <c r="GX6" i="2" s="1"/>
  <c r="GX7" i="2" s="1"/>
  <c r="GX8" i="2" s="1"/>
  <c r="GX9" i="2" s="1"/>
  <c r="GX10" i="2" s="1"/>
  <c r="GX11" i="2" s="1"/>
  <c r="GX12" i="2" s="1"/>
  <c r="GX13" i="2" s="1"/>
  <c r="GX14" i="2" s="1"/>
  <c r="GX15" i="2" s="1"/>
  <c r="GX16" i="2" s="1"/>
  <c r="GX17" i="2" s="1"/>
  <c r="GX18" i="2" s="1"/>
  <c r="GX19" i="2" s="1"/>
  <c r="GX20" i="2" s="1"/>
  <c r="GX21" i="2" s="1"/>
  <c r="GX22" i="2" s="1"/>
  <c r="GX23" i="2" s="1"/>
  <c r="GW4" i="2"/>
  <c r="GW5" i="2" s="1"/>
  <c r="GW6" i="2" s="1"/>
  <c r="GW7" i="2" s="1"/>
  <c r="GW8" i="2" s="1"/>
  <c r="GW9" i="2" s="1"/>
  <c r="GW10" i="2" s="1"/>
  <c r="GW11" i="2" s="1"/>
  <c r="GW12" i="2" s="1"/>
  <c r="GW13" i="2" s="1"/>
  <c r="GW14" i="2" s="1"/>
  <c r="GW15" i="2" s="1"/>
  <c r="GW16" i="2" s="1"/>
  <c r="GW17" i="2" s="1"/>
  <c r="GW18" i="2" s="1"/>
  <c r="GW19" i="2" s="1"/>
  <c r="GW20" i="2" s="1"/>
  <c r="GW21" i="2" s="1"/>
  <c r="GW22" i="2" s="1"/>
  <c r="GW23" i="2" s="1"/>
  <c r="GV4" i="2"/>
  <c r="GV5" i="2" s="1"/>
  <c r="GV6" i="2" s="1"/>
  <c r="GV7" i="2" s="1"/>
  <c r="GV8" i="2" s="1"/>
  <c r="GV9" i="2" s="1"/>
  <c r="GV10" i="2" s="1"/>
  <c r="GV11" i="2" s="1"/>
  <c r="GV12" i="2" s="1"/>
  <c r="GV13" i="2" s="1"/>
  <c r="GV14" i="2" s="1"/>
  <c r="GV15" i="2" s="1"/>
  <c r="GV16" i="2" s="1"/>
  <c r="GV17" i="2" s="1"/>
  <c r="GV18" i="2" s="1"/>
  <c r="GV19" i="2" s="1"/>
  <c r="GV20" i="2" s="1"/>
  <c r="GV21" i="2" s="1"/>
  <c r="GV22" i="2" s="1"/>
  <c r="GV23" i="2" s="1"/>
  <c r="GU4" i="2"/>
  <c r="GU5" i="2" s="1"/>
  <c r="GU6" i="2" s="1"/>
  <c r="GU7" i="2" s="1"/>
  <c r="GU8" i="2" s="1"/>
  <c r="GU9" i="2" s="1"/>
  <c r="GU10" i="2" s="1"/>
  <c r="GU11" i="2" s="1"/>
  <c r="GU12" i="2" s="1"/>
  <c r="GU13" i="2" s="1"/>
  <c r="GU14" i="2" s="1"/>
  <c r="GU15" i="2" s="1"/>
  <c r="GU16" i="2" s="1"/>
  <c r="GU17" i="2" s="1"/>
  <c r="GU18" i="2" s="1"/>
  <c r="GU19" i="2" s="1"/>
  <c r="GU20" i="2" s="1"/>
  <c r="GU21" i="2" s="1"/>
  <c r="GU22" i="2" s="1"/>
  <c r="GU23" i="2" s="1"/>
  <c r="GT4" i="2"/>
  <c r="GT5" i="2" s="1"/>
  <c r="GT6" i="2" s="1"/>
  <c r="GT7" i="2" s="1"/>
  <c r="GT8" i="2" s="1"/>
  <c r="GT9" i="2" s="1"/>
  <c r="GT10" i="2" s="1"/>
  <c r="GT11" i="2" s="1"/>
  <c r="GT12" i="2" s="1"/>
  <c r="GT13" i="2" s="1"/>
  <c r="GT14" i="2" s="1"/>
  <c r="GT15" i="2" s="1"/>
  <c r="GT16" i="2" s="1"/>
  <c r="GT17" i="2" s="1"/>
  <c r="GT18" i="2" s="1"/>
  <c r="GT19" i="2" s="1"/>
  <c r="GT20" i="2" s="1"/>
  <c r="GT21" i="2" s="1"/>
  <c r="GT22" i="2" s="1"/>
  <c r="GT23" i="2" s="1"/>
  <c r="GS4" i="2"/>
  <c r="GS5" i="2" s="1"/>
  <c r="GS6" i="2" s="1"/>
  <c r="GS7" i="2" s="1"/>
  <c r="GS8" i="2" s="1"/>
  <c r="GS9" i="2" s="1"/>
  <c r="GS10" i="2" s="1"/>
  <c r="GS11" i="2" s="1"/>
  <c r="GS12" i="2" s="1"/>
  <c r="GS13" i="2" s="1"/>
  <c r="GS14" i="2" s="1"/>
  <c r="GS15" i="2" s="1"/>
  <c r="GS16" i="2" s="1"/>
  <c r="GS17" i="2" s="1"/>
  <c r="GS18" i="2" s="1"/>
  <c r="GS19" i="2" s="1"/>
  <c r="GS20" i="2" s="1"/>
  <c r="GS21" i="2" s="1"/>
  <c r="GS22" i="2" s="1"/>
  <c r="GS23" i="2" s="1"/>
  <c r="GR4" i="2"/>
  <c r="GR5" i="2" s="1"/>
  <c r="GR6" i="2" s="1"/>
  <c r="GR7" i="2" s="1"/>
  <c r="GR8" i="2" s="1"/>
  <c r="GR9" i="2" s="1"/>
  <c r="GR10" i="2" s="1"/>
  <c r="GR11" i="2" s="1"/>
  <c r="GR12" i="2" s="1"/>
  <c r="GR13" i="2" s="1"/>
  <c r="GR14" i="2" s="1"/>
  <c r="GR15" i="2" s="1"/>
  <c r="GR16" i="2" s="1"/>
  <c r="GR17" i="2" s="1"/>
  <c r="GR18" i="2" s="1"/>
  <c r="GR19" i="2" s="1"/>
  <c r="GR20" i="2" s="1"/>
  <c r="GR21" i="2" s="1"/>
  <c r="GR22" i="2" s="1"/>
  <c r="GR23" i="2" s="1"/>
  <c r="GQ4" i="2"/>
  <c r="GQ5" i="2" s="1"/>
  <c r="GQ6" i="2" s="1"/>
  <c r="GQ7" i="2" s="1"/>
  <c r="GQ8" i="2" s="1"/>
  <c r="GQ9" i="2" s="1"/>
  <c r="GQ10" i="2" s="1"/>
  <c r="GQ11" i="2" s="1"/>
  <c r="GQ12" i="2" s="1"/>
  <c r="GQ13" i="2" s="1"/>
  <c r="GQ14" i="2" s="1"/>
  <c r="GQ15" i="2" s="1"/>
  <c r="GQ16" i="2" s="1"/>
  <c r="GQ17" i="2" s="1"/>
  <c r="GQ18" i="2" s="1"/>
  <c r="GQ19" i="2" s="1"/>
  <c r="GQ20" i="2" s="1"/>
  <c r="GQ21" i="2" s="1"/>
  <c r="GQ22" i="2" s="1"/>
  <c r="GQ23" i="2" s="1"/>
  <c r="GP4" i="2"/>
  <c r="GP5" i="2" s="1"/>
  <c r="GP6" i="2" s="1"/>
  <c r="GP7" i="2" s="1"/>
  <c r="GP8" i="2" s="1"/>
  <c r="GP9" i="2" s="1"/>
  <c r="GP10" i="2" s="1"/>
  <c r="GP11" i="2" s="1"/>
  <c r="GP12" i="2" s="1"/>
  <c r="GP13" i="2" s="1"/>
  <c r="GP14" i="2" s="1"/>
  <c r="GP15" i="2" s="1"/>
  <c r="GP16" i="2" s="1"/>
  <c r="GP17" i="2" s="1"/>
  <c r="GP18" i="2" s="1"/>
  <c r="GP19" i="2" s="1"/>
  <c r="GP20" i="2" s="1"/>
  <c r="GP21" i="2" s="1"/>
  <c r="GP22" i="2" s="1"/>
  <c r="GP23" i="2" s="1"/>
  <c r="GO4" i="2"/>
  <c r="GO5" i="2" s="1"/>
  <c r="GO6" i="2" s="1"/>
  <c r="GO7" i="2" s="1"/>
  <c r="GO8" i="2" s="1"/>
  <c r="GO9" i="2" s="1"/>
  <c r="GO10" i="2" s="1"/>
  <c r="GO11" i="2" s="1"/>
  <c r="GO12" i="2" s="1"/>
  <c r="GO13" i="2" s="1"/>
  <c r="GO14" i="2" s="1"/>
  <c r="GO15" i="2" s="1"/>
  <c r="GO16" i="2" s="1"/>
  <c r="GO17" i="2" s="1"/>
  <c r="GO18" i="2" s="1"/>
  <c r="GO19" i="2" s="1"/>
  <c r="GO20" i="2" s="1"/>
  <c r="GO21" i="2" s="1"/>
  <c r="GO22" i="2" s="1"/>
  <c r="GO23" i="2" s="1"/>
  <c r="GN4" i="2"/>
  <c r="GN5" i="2" s="1"/>
  <c r="GN6" i="2" s="1"/>
  <c r="GN7" i="2" s="1"/>
  <c r="GN8" i="2" s="1"/>
  <c r="GN9" i="2" s="1"/>
  <c r="GN10" i="2" s="1"/>
  <c r="GN11" i="2" s="1"/>
  <c r="GN12" i="2" s="1"/>
  <c r="GN13" i="2" s="1"/>
  <c r="GN14" i="2" s="1"/>
  <c r="GN15" i="2" s="1"/>
  <c r="GN16" i="2" s="1"/>
  <c r="GN17" i="2" s="1"/>
  <c r="GN18" i="2" s="1"/>
  <c r="GN19" i="2" s="1"/>
  <c r="GN20" i="2" s="1"/>
  <c r="GN21" i="2" s="1"/>
  <c r="GN22" i="2" s="1"/>
  <c r="GN23" i="2" s="1"/>
  <c r="GM4" i="2"/>
  <c r="GM5" i="2" s="1"/>
  <c r="GM6" i="2" s="1"/>
  <c r="GM7" i="2" s="1"/>
  <c r="GM8" i="2" s="1"/>
  <c r="GM9" i="2" s="1"/>
  <c r="GM10" i="2" s="1"/>
  <c r="GM11" i="2" s="1"/>
  <c r="GM12" i="2" s="1"/>
  <c r="GM13" i="2" s="1"/>
  <c r="GM14" i="2" s="1"/>
  <c r="GM15" i="2" s="1"/>
  <c r="GM16" i="2" s="1"/>
  <c r="GM17" i="2" s="1"/>
  <c r="GM18" i="2" s="1"/>
  <c r="GM19" i="2" s="1"/>
  <c r="GM20" i="2" s="1"/>
  <c r="GM21" i="2" s="1"/>
  <c r="GM22" i="2" s="1"/>
  <c r="GM23" i="2" s="1"/>
  <c r="GL4" i="2"/>
  <c r="GL5" i="2" s="1"/>
  <c r="GL6" i="2" s="1"/>
  <c r="GL7" i="2" s="1"/>
  <c r="GL8" i="2" s="1"/>
  <c r="GL9" i="2" s="1"/>
  <c r="GL10" i="2" s="1"/>
  <c r="GL11" i="2" s="1"/>
  <c r="GL12" i="2" s="1"/>
  <c r="GL13" i="2" s="1"/>
  <c r="GL14" i="2" s="1"/>
  <c r="GL15" i="2" s="1"/>
  <c r="GL16" i="2" s="1"/>
  <c r="GL17" i="2" s="1"/>
  <c r="GL18" i="2" s="1"/>
  <c r="GL19" i="2" s="1"/>
  <c r="GL20" i="2" s="1"/>
  <c r="GL21" i="2" s="1"/>
  <c r="GL22" i="2" s="1"/>
  <c r="GL23" i="2" s="1"/>
  <c r="GK4" i="2"/>
  <c r="GK5" i="2" s="1"/>
  <c r="GK6" i="2" s="1"/>
  <c r="GK7" i="2" s="1"/>
  <c r="GK8" i="2" s="1"/>
  <c r="GK9" i="2" s="1"/>
  <c r="GK10" i="2" s="1"/>
  <c r="GK11" i="2" s="1"/>
  <c r="GK12" i="2" s="1"/>
  <c r="GK13" i="2" s="1"/>
  <c r="GK14" i="2" s="1"/>
  <c r="GK15" i="2" s="1"/>
  <c r="GK16" i="2" s="1"/>
  <c r="GK17" i="2" s="1"/>
  <c r="GK18" i="2" s="1"/>
  <c r="GK19" i="2" s="1"/>
  <c r="GK20" i="2" s="1"/>
  <c r="GK21" i="2" s="1"/>
  <c r="GK22" i="2" s="1"/>
  <c r="GK23" i="2" s="1"/>
  <c r="GJ4" i="2"/>
  <c r="GJ5" i="2" s="1"/>
  <c r="GJ6" i="2" s="1"/>
  <c r="GJ7" i="2" s="1"/>
  <c r="GJ8" i="2" s="1"/>
  <c r="GJ9" i="2" s="1"/>
  <c r="GJ10" i="2" s="1"/>
  <c r="GJ11" i="2" s="1"/>
  <c r="GJ12" i="2" s="1"/>
  <c r="GJ13" i="2" s="1"/>
  <c r="GJ14" i="2" s="1"/>
  <c r="GJ15" i="2" s="1"/>
  <c r="GJ16" i="2" s="1"/>
  <c r="GJ17" i="2" s="1"/>
  <c r="GJ18" i="2" s="1"/>
  <c r="GJ19" i="2" s="1"/>
  <c r="GJ20" i="2" s="1"/>
  <c r="GJ21" i="2" s="1"/>
  <c r="GJ22" i="2" s="1"/>
  <c r="GJ23" i="2" s="1"/>
  <c r="GI4" i="2"/>
  <c r="GI5" i="2" s="1"/>
  <c r="GI6" i="2" s="1"/>
  <c r="GI7" i="2" s="1"/>
  <c r="GI8" i="2" s="1"/>
  <c r="GI9" i="2" s="1"/>
  <c r="GI10" i="2" s="1"/>
  <c r="GI11" i="2" s="1"/>
  <c r="GI12" i="2" s="1"/>
  <c r="GI13" i="2" s="1"/>
  <c r="GI14" i="2" s="1"/>
  <c r="GI15" i="2" s="1"/>
  <c r="GI16" i="2" s="1"/>
  <c r="GI17" i="2" s="1"/>
  <c r="GI18" i="2" s="1"/>
  <c r="GI19" i="2" s="1"/>
  <c r="GI20" i="2" s="1"/>
  <c r="GI21" i="2" s="1"/>
  <c r="GI22" i="2" s="1"/>
  <c r="GI23" i="2" s="1"/>
  <c r="GH4" i="2"/>
  <c r="GH5" i="2" s="1"/>
  <c r="GH6" i="2" s="1"/>
  <c r="GH7" i="2" s="1"/>
  <c r="GH8" i="2" s="1"/>
  <c r="GH9" i="2" s="1"/>
  <c r="GH10" i="2" s="1"/>
  <c r="GH11" i="2" s="1"/>
  <c r="GH12" i="2" s="1"/>
  <c r="GH13" i="2" s="1"/>
  <c r="GH14" i="2" s="1"/>
  <c r="GH15" i="2" s="1"/>
  <c r="GH16" i="2" s="1"/>
  <c r="GH17" i="2" s="1"/>
  <c r="GH18" i="2" s="1"/>
  <c r="GH19" i="2" s="1"/>
  <c r="GH20" i="2" s="1"/>
  <c r="GH21" i="2" s="1"/>
  <c r="GH22" i="2" s="1"/>
  <c r="GH23" i="2" s="1"/>
  <c r="GG4" i="2"/>
  <c r="GG5" i="2" s="1"/>
  <c r="GG6" i="2" s="1"/>
  <c r="GG7" i="2" s="1"/>
  <c r="GG8" i="2" s="1"/>
  <c r="GG9" i="2" s="1"/>
  <c r="GG10" i="2" s="1"/>
  <c r="GG11" i="2" s="1"/>
  <c r="GG12" i="2" s="1"/>
  <c r="GG13" i="2" s="1"/>
  <c r="GG14" i="2" s="1"/>
  <c r="GG15" i="2" s="1"/>
  <c r="GG16" i="2" s="1"/>
  <c r="GG17" i="2" s="1"/>
  <c r="GG18" i="2" s="1"/>
  <c r="GG19" i="2" s="1"/>
  <c r="GG20" i="2" s="1"/>
  <c r="GG21" i="2" s="1"/>
  <c r="GG22" i="2" s="1"/>
  <c r="GG23" i="2" s="1"/>
  <c r="GF4" i="2"/>
  <c r="GF5" i="2" s="1"/>
  <c r="GF6" i="2" s="1"/>
  <c r="GF7" i="2" s="1"/>
  <c r="GF8" i="2" s="1"/>
  <c r="GF9" i="2" s="1"/>
  <c r="GF10" i="2" s="1"/>
  <c r="GF11" i="2" s="1"/>
  <c r="GF12" i="2" s="1"/>
  <c r="GF13" i="2" s="1"/>
  <c r="GF14" i="2" s="1"/>
  <c r="GF15" i="2" s="1"/>
  <c r="GF16" i="2" s="1"/>
  <c r="GF17" i="2" s="1"/>
  <c r="GF18" i="2" s="1"/>
  <c r="GF19" i="2" s="1"/>
  <c r="GF20" i="2" s="1"/>
  <c r="GF21" i="2" s="1"/>
  <c r="GF22" i="2" s="1"/>
  <c r="GF23" i="2" s="1"/>
  <c r="GE4" i="2"/>
  <c r="GE5" i="2" s="1"/>
  <c r="GE6" i="2" s="1"/>
  <c r="GE7" i="2" s="1"/>
  <c r="GE8" i="2" s="1"/>
  <c r="GE9" i="2" s="1"/>
  <c r="GE10" i="2" s="1"/>
  <c r="GE11" i="2" s="1"/>
  <c r="GE12" i="2" s="1"/>
  <c r="GE13" i="2" s="1"/>
  <c r="GE14" i="2" s="1"/>
  <c r="GE15" i="2" s="1"/>
  <c r="GE16" i="2" s="1"/>
  <c r="GE17" i="2" s="1"/>
  <c r="GE18" i="2" s="1"/>
  <c r="GE19" i="2" s="1"/>
  <c r="GE20" i="2" s="1"/>
  <c r="GE21" i="2" s="1"/>
  <c r="GE22" i="2" s="1"/>
  <c r="GE23" i="2" s="1"/>
  <c r="GD4" i="2"/>
  <c r="GD5" i="2" s="1"/>
  <c r="GD6" i="2" s="1"/>
  <c r="GD7" i="2" s="1"/>
  <c r="GD8" i="2" s="1"/>
  <c r="GD9" i="2" s="1"/>
  <c r="GD10" i="2" s="1"/>
  <c r="GD11" i="2" s="1"/>
  <c r="GD12" i="2" s="1"/>
  <c r="GD13" i="2" s="1"/>
  <c r="GD14" i="2" s="1"/>
  <c r="GD15" i="2" s="1"/>
  <c r="GD16" i="2" s="1"/>
  <c r="GD17" i="2" s="1"/>
  <c r="GD18" i="2" s="1"/>
  <c r="GD19" i="2" s="1"/>
  <c r="GD20" i="2" s="1"/>
  <c r="GD21" i="2" s="1"/>
  <c r="GD22" i="2" s="1"/>
  <c r="GD23" i="2" s="1"/>
  <c r="GC4" i="2"/>
  <c r="GC5" i="2" s="1"/>
  <c r="GC6" i="2" s="1"/>
  <c r="GC7" i="2" s="1"/>
  <c r="GC8" i="2" s="1"/>
  <c r="GC9" i="2" s="1"/>
  <c r="GC10" i="2" s="1"/>
  <c r="GC11" i="2" s="1"/>
  <c r="GC12" i="2" s="1"/>
  <c r="GC13" i="2" s="1"/>
  <c r="GC14" i="2" s="1"/>
  <c r="GC15" i="2" s="1"/>
  <c r="GC16" i="2" s="1"/>
  <c r="GC17" i="2" s="1"/>
  <c r="GC18" i="2" s="1"/>
  <c r="GC19" i="2" s="1"/>
  <c r="GC20" i="2" s="1"/>
  <c r="GC21" i="2" s="1"/>
  <c r="GC22" i="2" s="1"/>
  <c r="GC23" i="2" s="1"/>
  <c r="GB4" i="2"/>
  <c r="GB5" i="2" s="1"/>
  <c r="GB6" i="2" s="1"/>
  <c r="GB7" i="2" s="1"/>
  <c r="GB8" i="2" s="1"/>
  <c r="GB9" i="2" s="1"/>
  <c r="GB10" i="2" s="1"/>
  <c r="GB11" i="2" s="1"/>
  <c r="GB12" i="2" s="1"/>
  <c r="GB13" i="2" s="1"/>
  <c r="GB14" i="2" s="1"/>
  <c r="GB15" i="2" s="1"/>
  <c r="GB16" i="2" s="1"/>
  <c r="GB17" i="2" s="1"/>
  <c r="GB18" i="2" s="1"/>
  <c r="GB19" i="2" s="1"/>
  <c r="GB20" i="2" s="1"/>
  <c r="GB21" i="2" s="1"/>
  <c r="GB22" i="2" s="1"/>
  <c r="GB23" i="2" s="1"/>
  <c r="GA4" i="2"/>
  <c r="GA5" i="2" s="1"/>
  <c r="GA6" i="2" s="1"/>
  <c r="GA7" i="2" s="1"/>
  <c r="GA8" i="2" s="1"/>
  <c r="GA9" i="2" s="1"/>
  <c r="GA10" i="2" s="1"/>
  <c r="GA11" i="2" s="1"/>
  <c r="GA12" i="2" s="1"/>
  <c r="GA13" i="2" s="1"/>
  <c r="GA14" i="2" s="1"/>
  <c r="GA15" i="2" s="1"/>
  <c r="GA16" i="2" s="1"/>
  <c r="GA17" i="2" s="1"/>
  <c r="GA18" i="2" s="1"/>
  <c r="GA19" i="2" s="1"/>
  <c r="GA20" i="2" s="1"/>
  <c r="GA21" i="2" s="1"/>
  <c r="GA22" i="2" s="1"/>
  <c r="GA23" i="2" s="1"/>
  <c r="FZ4" i="2"/>
  <c r="FZ5" i="2" s="1"/>
  <c r="FZ6" i="2" s="1"/>
  <c r="FZ7" i="2" s="1"/>
  <c r="FZ8" i="2" s="1"/>
  <c r="FZ9" i="2" s="1"/>
  <c r="FZ10" i="2" s="1"/>
  <c r="FZ11" i="2" s="1"/>
  <c r="FZ12" i="2" s="1"/>
  <c r="FZ13" i="2" s="1"/>
  <c r="FZ14" i="2" s="1"/>
  <c r="FZ15" i="2" s="1"/>
  <c r="FZ16" i="2" s="1"/>
  <c r="FZ17" i="2" s="1"/>
  <c r="FZ18" i="2" s="1"/>
  <c r="FZ19" i="2" s="1"/>
  <c r="FZ20" i="2" s="1"/>
  <c r="FZ21" i="2" s="1"/>
  <c r="FZ22" i="2" s="1"/>
  <c r="FZ23" i="2" s="1"/>
  <c r="FY4" i="2"/>
  <c r="FY5" i="2" s="1"/>
  <c r="FY6" i="2" s="1"/>
  <c r="FY7" i="2" s="1"/>
  <c r="FY8" i="2" s="1"/>
  <c r="FY9" i="2" s="1"/>
  <c r="FY10" i="2" s="1"/>
  <c r="FY11" i="2" s="1"/>
  <c r="FY12" i="2" s="1"/>
  <c r="FY13" i="2" s="1"/>
  <c r="FY14" i="2" s="1"/>
  <c r="FY15" i="2" s="1"/>
  <c r="FY16" i="2" s="1"/>
  <c r="FY17" i="2" s="1"/>
  <c r="FY18" i="2" s="1"/>
  <c r="FY19" i="2" s="1"/>
  <c r="FY20" i="2" s="1"/>
  <c r="FY21" i="2" s="1"/>
  <c r="FY22" i="2" s="1"/>
  <c r="FY23" i="2" s="1"/>
  <c r="FX4" i="2"/>
  <c r="FX5" i="2" s="1"/>
  <c r="FX6" i="2" s="1"/>
  <c r="FX7" i="2" s="1"/>
  <c r="FX8" i="2" s="1"/>
  <c r="FX9" i="2" s="1"/>
  <c r="FX10" i="2" s="1"/>
  <c r="FX11" i="2" s="1"/>
  <c r="FX12" i="2" s="1"/>
  <c r="FX13" i="2" s="1"/>
  <c r="FX14" i="2" s="1"/>
  <c r="FX15" i="2" s="1"/>
  <c r="FX16" i="2" s="1"/>
  <c r="FX17" i="2" s="1"/>
  <c r="FX18" i="2" s="1"/>
  <c r="FX19" i="2" s="1"/>
  <c r="FX20" i="2" s="1"/>
  <c r="FX21" i="2" s="1"/>
  <c r="FX22" i="2" s="1"/>
  <c r="FX23" i="2" s="1"/>
  <c r="FW4" i="2"/>
  <c r="FW5" i="2" s="1"/>
  <c r="FW6" i="2" s="1"/>
  <c r="FW7" i="2" s="1"/>
  <c r="FW8" i="2" s="1"/>
  <c r="FW9" i="2" s="1"/>
  <c r="FW10" i="2" s="1"/>
  <c r="FW11" i="2" s="1"/>
  <c r="FW12" i="2" s="1"/>
  <c r="FW13" i="2" s="1"/>
  <c r="FW14" i="2" s="1"/>
  <c r="FW15" i="2" s="1"/>
  <c r="FW16" i="2" s="1"/>
  <c r="FW17" i="2" s="1"/>
  <c r="FW18" i="2" s="1"/>
  <c r="FW19" i="2" s="1"/>
  <c r="FW20" i="2" s="1"/>
  <c r="FW21" i="2" s="1"/>
  <c r="FW22" i="2" s="1"/>
  <c r="FW23" i="2" s="1"/>
  <c r="FV4" i="2"/>
  <c r="FV5" i="2" s="1"/>
  <c r="FV6" i="2" s="1"/>
  <c r="FV7" i="2" s="1"/>
  <c r="FV8" i="2" s="1"/>
  <c r="FV9" i="2" s="1"/>
  <c r="FV10" i="2" s="1"/>
  <c r="FV11" i="2" s="1"/>
  <c r="FV12" i="2" s="1"/>
  <c r="FV13" i="2" s="1"/>
  <c r="FV14" i="2" s="1"/>
  <c r="FV15" i="2" s="1"/>
  <c r="FV16" i="2" s="1"/>
  <c r="FV17" i="2" s="1"/>
  <c r="FV18" i="2" s="1"/>
  <c r="FV19" i="2" s="1"/>
  <c r="FV20" i="2" s="1"/>
  <c r="FV21" i="2" s="1"/>
  <c r="FV22" i="2" s="1"/>
  <c r="FV23" i="2" s="1"/>
  <c r="FU4" i="2"/>
  <c r="FU5" i="2" s="1"/>
  <c r="FU6" i="2" s="1"/>
  <c r="FU7" i="2" s="1"/>
  <c r="FU8" i="2" s="1"/>
  <c r="FU9" i="2" s="1"/>
  <c r="FU10" i="2" s="1"/>
  <c r="FU11" i="2" s="1"/>
  <c r="FU12" i="2" s="1"/>
  <c r="FU13" i="2" s="1"/>
  <c r="FU14" i="2" s="1"/>
  <c r="FU15" i="2" s="1"/>
  <c r="FU16" i="2" s="1"/>
  <c r="FU17" i="2" s="1"/>
  <c r="FU18" i="2" s="1"/>
  <c r="FU19" i="2" s="1"/>
  <c r="FU20" i="2" s="1"/>
  <c r="FU21" i="2" s="1"/>
  <c r="FU22" i="2" s="1"/>
  <c r="FU23" i="2" s="1"/>
  <c r="FT4" i="2"/>
  <c r="FT5" i="2" s="1"/>
  <c r="FT6" i="2" s="1"/>
  <c r="FT7" i="2" s="1"/>
  <c r="FT8" i="2" s="1"/>
  <c r="FT9" i="2" s="1"/>
  <c r="FT10" i="2" s="1"/>
  <c r="FT11" i="2" s="1"/>
  <c r="FT12" i="2" s="1"/>
  <c r="FT13" i="2" s="1"/>
  <c r="FT14" i="2" s="1"/>
  <c r="FT15" i="2" s="1"/>
  <c r="FT16" i="2" s="1"/>
  <c r="FT17" i="2" s="1"/>
  <c r="FT18" i="2" s="1"/>
  <c r="FT19" i="2" s="1"/>
  <c r="FT20" i="2" s="1"/>
  <c r="FT21" i="2" s="1"/>
  <c r="FT22" i="2" s="1"/>
  <c r="FT23" i="2" s="1"/>
  <c r="FS4" i="2"/>
  <c r="FS5" i="2" s="1"/>
  <c r="FS6" i="2" s="1"/>
  <c r="FS7" i="2" s="1"/>
  <c r="FS8" i="2" s="1"/>
  <c r="FS9" i="2" s="1"/>
  <c r="FS10" i="2" s="1"/>
  <c r="FS11" i="2" s="1"/>
  <c r="FS12" i="2" s="1"/>
  <c r="FS13" i="2" s="1"/>
  <c r="FS14" i="2" s="1"/>
  <c r="FS15" i="2" s="1"/>
  <c r="FS16" i="2" s="1"/>
  <c r="FS17" i="2" s="1"/>
  <c r="FS18" i="2" s="1"/>
  <c r="FS19" i="2" s="1"/>
  <c r="FS20" i="2" s="1"/>
  <c r="FS21" i="2" s="1"/>
  <c r="FS22" i="2" s="1"/>
  <c r="FS23" i="2" s="1"/>
  <c r="FR4" i="2"/>
  <c r="FR5" i="2" s="1"/>
  <c r="FR6" i="2" s="1"/>
  <c r="FR7" i="2" s="1"/>
  <c r="FR8" i="2" s="1"/>
  <c r="FR9" i="2" s="1"/>
  <c r="FR10" i="2" s="1"/>
  <c r="FR11" i="2" s="1"/>
  <c r="FR12" i="2" s="1"/>
  <c r="FR13" i="2" s="1"/>
  <c r="FR14" i="2" s="1"/>
  <c r="FR15" i="2" s="1"/>
  <c r="FR16" i="2" s="1"/>
  <c r="FR17" i="2" s="1"/>
  <c r="FR18" i="2" s="1"/>
  <c r="FR19" i="2" s="1"/>
  <c r="FR20" i="2" s="1"/>
  <c r="FR21" i="2" s="1"/>
  <c r="FR22" i="2" s="1"/>
  <c r="FR23" i="2" s="1"/>
  <c r="FQ4" i="2"/>
  <c r="FQ5" i="2" s="1"/>
  <c r="FQ6" i="2" s="1"/>
  <c r="FQ7" i="2" s="1"/>
  <c r="FQ8" i="2" s="1"/>
  <c r="FQ9" i="2" s="1"/>
  <c r="FQ10" i="2" s="1"/>
  <c r="FQ11" i="2" s="1"/>
  <c r="FQ12" i="2" s="1"/>
  <c r="FQ13" i="2" s="1"/>
  <c r="FQ14" i="2" s="1"/>
  <c r="FQ15" i="2" s="1"/>
  <c r="FQ16" i="2" s="1"/>
  <c r="FQ17" i="2" s="1"/>
  <c r="FQ18" i="2" s="1"/>
  <c r="FQ19" i="2" s="1"/>
  <c r="FQ20" i="2" s="1"/>
  <c r="FQ21" i="2" s="1"/>
  <c r="FQ22" i="2" s="1"/>
  <c r="FQ23" i="2" s="1"/>
  <c r="FP4" i="2"/>
  <c r="FP5" i="2" s="1"/>
  <c r="FP6" i="2" s="1"/>
  <c r="FP7" i="2" s="1"/>
  <c r="FP8" i="2" s="1"/>
  <c r="FP9" i="2" s="1"/>
  <c r="FP10" i="2" s="1"/>
  <c r="FP11" i="2" s="1"/>
  <c r="FP12" i="2" s="1"/>
  <c r="FP13" i="2" s="1"/>
  <c r="FP14" i="2" s="1"/>
  <c r="FP15" i="2" s="1"/>
  <c r="FP16" i="2" s="1"/>
  <c r="FP17" i="2" s="1"/>
  <c r="FP18" i="2" s="1"/>
  <c r="FP19" i="2" s="1"/>
  <c r="FP20" i="2" s="1"/>
  <c r="FP21" i="2" s="1"/>
  <c r="FP22" i="2" s="1"/>
  <c r="FP23" i="2" s="1"/>
  <c r="FO4" i="2"/>
  <c r="FO5" i="2" s="1"/>
  <c r="FO6" i="2" s="1"/>
  <c r="FO7" i="2" s="1"/>
  <c r="FO8" i="2" s="1"/>
  <c r="FO9" i="2" s="1"/>
  <c r="FO10" i="2" s="1"/>
  <c r="FO11" i="2" s="1"/>
  <c r="FO12" i="2" s="1"/>
  <c r="FO13" i="2" s="1"/>
  <c r="FO14" i="2" s="1"/>
  <c r="FO15" i="2" s="1"/>
  <c r="FO16" i="2" s="1"/>
  <c r="FO17" i="2" s="1"/>
  <c r="FO18" i="2" s="1"/>
  <c r="FO19" i="2" s="1"/>
  <c r="FO20" i="2" s="1"/>
  <c r="FO21" i="2" s="1"/>
  <c r="FO22" i="2" s="1"/>
  <c r="FO23" i="2" s="1"/>
  <c r="FN4" i="2"/>
  <c r="FN5" i="2" s="1"/>
  <c r="FN6" i="2" s="1"/>
  <c r="FN7" i="2" s="1"/>
  <c r="FN8" i="2" s="1"/>
  <c r="FN9" i="2" s="1"/>
  <c r="FN10" i="2" s="1"/>
  <c r="FN11" i="2" s="1"/>
  <c r="FN12" i="2" s="1"/>
  <c r="FN13" i="2" s="1"/>
  <c r="FN14" i="2" s="1"/>
  <c r="FN15" i="2" s="1"/>
  <c r="FN16" i="2" s="1"/>
  <c r="FN17" i="2" s="1"/>
  <c r="FN18" i="2" s="1"/>
  <c r="FN19" i="2" s="1"/>
  <c r="FN20" i="2" s="1"/>
  <c r="FN21" i="2" s="1"/>
  <c r="FN22" i="2" s="1"/>
  <c r="FN23" i="2" s="1"/>
  <c r="FM4" i="2"/>
  <c r="FM5" i="2" s="1"/>
  <c r="FM6" i="2" s="1"/>
  <c r="FM7" i="2" s="1"/>
  <c r="FM8" i="2" s="1"/>
  <c r="FM9" i="2" s="1"/>
  <c r="FM10" i="2" s="1"/>
  <c r="FM11" i="2" s="1"/>
  <c r="FM12" i="2" s="1"/>
  <c r="FM13" i="2" s="1"/>
  <c r="FM14" i="2" s="1"/>
  <c r="FM15" i="2" s="1"/>
  <c r="FM16" i="2" s="1"/>
  <c r="FM17" i="2" s="1"/>
  <c r="FM18" i="2" s="1"/>
  <c r="FM19" i="2" s="1"/>
  <c r="FM20" i="2" s="1"/>
  <c r="FM21" i="2" s="1"/>
  <c r="FM22" i="2" s="1"/>
  <c r="FM23" i="2" s="1"/>
  <c r="FL4" i="2"/>
  <c r="FL5" i="2" s="1"/>
  <c r="FL6" i="2" s="1"/>
  <c r="FL7" i="2" s="1"/>
  <c r="FL8" i="2" s="1"/>
  <c r="FL9" i="2" s="1"/>
  <c r="FL10" i="2" s="1"/>
  <c r="FL11" i="2" s="1"/>
  <c r="FL12" i="2" s="1"/>
  <c r="FL13" i="2" s="1"/>
  <c r="FL14" i="2" s="1"/>
  <c r="FL15" i="2" s="1"/>
  <c r="FL16" i="2" s="1"/>
  <c r="FL17" i="2" s="1"/>
  <c r="FL18" i="2" s="1"/>
  <c r="FL19" i="2" s="1"/>
  <c r="FL20" i="2" s="1"/>
  <c r="FL21" i="2" s="1"/>
  <c r="FL22" i="2" s="1"/>
  <c r="FL23" i="2" s="1"/>
  <c r="FK4" i="2"/>
  <c r="FK5" i="2" s="1"/>
  <c r="FK6" i="2" s="1"/>
  <c r="FK7" i="2" s="1"/>
  <c r="FK8" i="2" s="1"/>
  <c r="FK9" i="2" s="1"/>
  <c r="FK10" i="2" s="1"/>
  <c r="FK11" i="2" s="1"/>
  <c r="FK12" i="2" s="1"/>
  <c r="FK13" i="2" s="1"/>
  <c r="FK14" i="2" s="1"/>
  <c r="FK15" i="2" s="1"/>
  <c r="FK16" i="2" s="1"/>
  <c r="FK17" i="2" s="1"/>
  <c r="FK18" i="2" s="1"/>
  <c r="FK19" i="2" s="1"/>
  <c r="FK20" i="2" s="1"/>
  <c r="FK21" i="2" s="1"/>
  <c r="FK22" i="2" s="1"/>
  <c r="FK23" i="2" s="1"/>
  <c r="FJ4" i="2"/>
  <c r="FJ5" i="2" s="1"/>
  <c r="FJ6" i="2" s="1"/>
  <c r="FJ7" i="2" s="1"/>
  <c r="FJ8" i="2" s="1"/>
  <c r="FJ9" i="2" s="1"/>
  <c r="FJ10" i="2" s="1"/>
  <c r="FJ11" i="2" s="1"/>
  <c r="FJ12" i="2" s="1"/>
  <c r="FJ13" i="2" s="1"/>
  <c r="FJ14" i="2" s="1"/>
  <c r="FJ15" i="2" s="1"/>
  <c r="FJ16" i="2" s="1"/>
  <c r="FJ17" i="2" s="1"/>
  <c r="FJ18" i="2" s="1"/>
  <c r="FJ19" i="2" s="1"/>
  <c r="FJ20" i="2" s="1"/>
  <c r="FJ21" i="2" s="1"/>
  <c r="FJ22" i="2" s="1"/>
  <c r="FJ23" i="2" s="1"/>
  <c r="FI4" i="2"/>
  <c r="FI5" i="2" s="1"/>
  <c r="FI6" i="2" s="1"/>
  <c r="FI7" i="2" s="1"/>
  <c r="FI8" i="2" s="1"/>
  <c r="FI9" i="2" s="1"/>
  <c r="FI10" i="2" s="1"/>
  <c r="FI11" i="2" s="1"/>
  <c r="FI12" i="2" s="1"/>
  <c r="FI13" i="2" s="1"/>
  <c r="FI14" i="2" s="1"/>
  <c r="FI15" i="2" s="1"/>
  <c r="FI16" i="2" s="1"/>
  <c r="FI17" i="2" s="1"/>
  <c r="FI18" i="2" s="1"/>
  <c r="FI19" i="2" s="1"/>
  <c r="FI20" i="2" s="1"/>
  <c r="FI21" i="2" s="1"/>
  <c r="FI22" i="2" s="1"/>
  <c r="FI23" i="2" s="1"/>
  <c r="FH4" i="2"/>
  <c r="FH5" i="2" s="1"/>
  <c r="FH6" i="2" s="1"/>
  <c r="FH7" i="2" s="1"/>
  <c r="FH8" i="2" s="1"/>
  <c r="FH9" i="2" s="1"/>
  <c r="FH10" i="2" s="1"/>
  <c r="FH11" i="2" s="1"/>
  <c r="FH12" i="2" s="1"/>
  <c r="FH13" i="2" s="1"/>
  <c r="FH14" i="2" s="1"/>
  <c r="FH15" i="2" s="1"/>
  <c r="FH16" i="2" s="1"/>
  <c r="FH17" i="2" s="1"/>
  <c r="FH18" i="2" s="1"/>
  <c r="FH19" i="2" s="1"/>
  <c r="FH20" i="2" s="1"/>
  <c r="FH21" i="2" s="1"/>
  <c r="FH22" i="2" s="1"/>
  <c r="FH23" i="2" s="1"/>
  <c r="FG4" i="2"/>
  <c r="FG5" i="2" s="1"/>
  <c r="FG6" i="2" s="1"/>
  <c r="FG7" i="2" s="1"/>
  <c r="FG8" i="2" s="1"/>
  <c r="FG9" i="2" s="1"/>
  <c r="FG10" i="2" s="1"/>
  <c r="FG11" i="2" s="1"/>
  <c r="FG12" i="2" s="1"/>
  <c r="FG13" i="2" s="1"/>
  <c r="FG14" i="2" s="1"/>
  <c r="FG15" i="2" s="1"/>
  <c r="FG16" i="2" s="1"/>
  <c r="FG17" i="2" s="1"/>
  <c r="FG18" i="2" s="1"/>
  <c r="FG19" i="2" s="1"/>
  <c r="FG20" i="2" s="1"/>
  <c r="FG21" i="2" s="1"/>
  <c r="FG22" i="2" s="1"/>
  <c r="FG23" i="2" s="1"/>
  <c r="FF4" i="2"/>
  <c r="FF5" i="2" s="1"/>
  <c r="FF6" i="2" s="1"/>
  <c r="FF7" i="2" s="1"/>
  <c r="FF8" i="2" s="1"/>
  <c r="FF9" i="2" s="1"/>
  <c r="FF10" i="2" s="1"/>
  <c r="FF11" i="2" s="1"/>
  <c r="FF12" i="2" s="1"/>
  <c r="FF13" i="2" s="1"/>
  <c r="FF14" i="2" s="1"/>
  <c r="FF15" i="2" s="1"/>
  <c r="FF16" i="2" s="1"/>
  <c r="FF17" i="2" s="1"/>
  <c r="FF18" i="2" s="1"/>
  <c r="FF19" i="2" s="1"/>
  <c r="FF20" i="2" s="1"/>
  <c r="FF21" i="2" s="1"/>
  <c r="FF22" i="2" s="1"/>
  <c r="FF23" i="2" s="1"/>
  <c r="FE4" i="2"/>
  <c r="FE5" i="2" s="1"/>
  <c r="FE6" i="2" s="1"/>
  <c r="FE7" i="2" s="1"/>
  <c r="FE8" i="2" s="1"/>
  <c r="FE9" i="2" s="1"/>
  <c r="FE10" i="2" s="1"/>
  <c r="FE11" i="2" s="1"/>
  <c r="FE12" i="2" s="1"/>
  <c r="FE13" i="2" s="1"/>
  <c r="FE14" i="2" s="1"/>
  <c r="FE15" i="2" s="1"/>
  <c r="FE16" i="2" s="1"/>
  <c r="FE17" i="2" s="1"/>
  <c r="FE18" i="2" s="1"/>
  <c r="FE19" i="2" s="1"/>
  <c r="FE20" i="2" s="1"/>
  <c r="FE21" i="2" s="1"/>
  <c r="FE22" i="2" s="1"/>
  <c r="FE23" i="2" s="1"/>
  <c r="FD4" i="2"/>
  <c r="FD5" i="2" s="1"/>
  <c r="FD6" i="2" s="1"/>
  <c r="FD7" i="2" s="1"/>
  <c r="FD8" i="2" s="1"/>
  <c r="FD9" i="2" s="1"/>
  <c r="FD10" i="2" s="1"/>
  <c r="FD11" i="2" s="1"/>
  <c r="FD12" i="2" s="1"/>
  <c r="FD13" i="2" s="1"/>
  <c r="FD14" i="2" s="1"/>
  <c r="FD15" i="2" s="1"/>
  <c r="FD16" i="2" s="1"/>
  <c r="FD17" i="2" s="1"/>
  <c r="FD18" i="2" s="1"/>
  <c r="FD19" i="2" s="1"/>
  <c r="FD20" i="2" s="1"/>
  <c r="FD21" i="2" s="1"/>
  <c r="FD22" i="2" s="1"/>
  <c r="FD23" i="2" s="1"/>
  <c r="FC4" i="2"/>
  <c r="FC5" i="2" s="1"/>
  <c r="FC6" i="2" s="1"/>
  <c r="FC7" i="2" s="1"/>
  <c r="FC8" i="2" s="1"/>
  <c r="FC9" i="2" s="1"/>
  <c r="FC10" i="2" s="1"/>
  <c r="FC11" i="2" s="1"/>
  <c r="FC12" i="2" s="1"/>
  <c r="FC13" i="2" s="1"/>
  <c r="FC14" i="2" s="1"/>
  <c r="FC15" i="2" s="1"/>
  <c r="FC16" i="2" s="1"/>
  <c r="FC17" i="2" s="1"/>
  <c r="FC18" i="2" s="1"/>
  <c r="FC19" i="2" s="1"/>
  <c r="FC20" i="2" s="1"/>
  <c r="FC21" i="2" s="1"/>
  <c r="FC22" i="2" s="1"/>
  <c r="FC23" i="2" s="1"/>
  <c r="FB4" i="2"/>
  <c r="FB5" i="2" s="1"/>
  <c r="FB6" i="2" s="1"/>
  <c r="FB7" i="2" s="1"/>
  <c r="FB8" i="2" s="1"/>
  <c r="FB9" i="2" s="1"/>
  <c r="FB10" i="2" s="1"/>
  <c r="FB11" i="2" s="1"/>
  <c r="FB12" i="2" s="1"/>
  <c r="FB13" i="2" s="1"/>
  <c r="FB14" i="2" s="1"/>
  <c r="FB15" i="2" s="1"/>
  <c r="FB16" i="2" s="1"/>
  <c r="FB17" i="2" s="1"/>
  <c r="FB18" i="2" s="1"/>
  <c r="FB19" i="2" s="1"/>
  <c r="FB20" i="2" s="1"/>
  <c r="FB21" i="2" s="1"/>
  <c r="FB22" i="2" s="1"/>
  <c r="FB23" i="2" s="1"/>
  <c r="FA4" i="2"/>
  <c r="FA5" i="2" s="1"/>
  <c r="FA6" i="2" s="1"/>
  <c r="FA7" i="2" s="1"/>
  <c r="FA8" i="2" s="1"/>
  <c r="FA9" i="2" s="1"/>
  <c r="FA10" i="2" s="1"/>
  <c r="FA11" i="2" s="1"/>
  <c r="FA12" i="2" s="1"/>
  <c r="FA13" i="2" s="1"/>
  <c r="FA14" i="2" s="1"/>
  <c r="FA15" i="2" s="1"/>
  <c r="FA16" i="2" s="1"/>
  <c r="FA17" i="2" s="1"/>
  <c r="FA18" i="2" s="1"/>
  <c r="FA19" i="2" s="1"/>
  <c r="FA20" i="2" s="1"/>
  <c r="FA21" i="2" s="1"/>
  <c r="FA22" i="2" s="1"/>
  <c r="FA23" i="2" s="1"/>
  <c r="EZ4" i="2"/>
  <c r="EZ5" i="2" s="1"/>
  <c r="EZ6" i="2" s="1"/>
  <c r="EZ7" i="2" s="1"/>
  <c r="EZ8" i="2" s="1"/>
  <c r="EZ9" i="2" s="1"/>
  <c r="EZ10" i="2" s="1"/>
  <c r="EZ11" i="2" s="1"/>
  <c r="EZ12" i="2" s="1"/>
  <c r="EZ13" i="2" s="1"/>
  <c r="EZ14" i="2" s="1"/>
  <c r="EZ15" i="2" s="1"/>
  <c r="EZ16" i="2" s="1"/>
  <c r="EZ17" i="2" s="1"/>
  <c r="EZ18" i="2" s="1"/>
  <c r="EZ19" i="2" s="1"/>
  <c r="EZ20" i="2" s="1"/>
  <c r="EZ21" i="2" s="1"/>
  <c r="EZ22" i="2" s="1"/>
  <c r="EZ23" i="2" s="1"/>
  <c r="EY4" i="2"/>
  <c r="EY5" i="2" s="1"/>
  <c r="EY6" i="2" s="1"/>
  <c r="EY7" i="2" s="1"/>
  <c r="EY8" i="2" s="1"/>
  <c r="EY9" i="2" s="1"/>
  <c r="EY10" i="2" s="1"/>
  <c r="EY11" i="2" s="1"/>
  <c r="EY12" i="2" s="1"/>
  <c r="EY13" i="2" s="1"/>
  <c r="EY14" i="2" s="1"/>
  <c r="EY15" i="2" s="1"/>
  <c r="EY16" i="2" s="1"/>
  <c r="EY17" i="2" s="1"/>
  <c r="EY18" i="2" s="1"/>
  <c r="EY19" i="2" s="1"/>
  <c r="EY20" i="2" s="1"/>
  <c r="EY21" i="2" s="1"/>
  <c r="EY22" i="2" s="1"/>
  <c r="EY23" i="2" s="1"/>
  <c r="EX4" i="2"/>
  <c r="EX5" i="2" s="1"/>
  <c r="EX6" i="2" s="1"/>
  <c r="EX7" i="2" s="1"/>
  <c r="EX8" i="2" s="1"/>
  <c r="EX9" i="2" s="1"/>
  <c r="EX10" i="2" s="1"/>
  <c r="EX11" i="2" s="1"/>
  <c r="EX12" i="2" s="1"/>
  <c r="EX13" i="2" s="1"/>
  <c r="EX14" i="2" s="1"/>
  <c r="EX15" i="2" s="1"/>
  <c r="EX16" i="2" s="1"/>
  <c r="EX17" i="2" s="1"/>
  <c r="EX18" i="2" s="1"/>
  <c r="EX19" i="2" s="1"/>
  <c r="EX20" i="2" s="1"/>
  <c r="EX21" i="2" s="1"/>
  <c r="EX22" i="2" s="1"/>
  <c r="EX23" i="2" s="1"/>
  <c r="EW4" i="2"/>
  <c r="EW5" i="2" s="1"/>
  <c r="EW6" i="2" s="1"/>
  <c r="EW7" i="2" s="1"/>
  <c r="EW8" i="2" s="1"/>
  <c r="EW9" i="2" s="1"/>
  <c r="EW10" i="2" s="1"/>
  <c r="EW11" i="2" s="1"/>
  <c r="EW12" i="2" s="1"/>
  <c r="EW13" i="2" s="1"/>
  <c r="EW14" i="2" s="1"/>
  <c r="EW15" i="2" s="1"/>
  <c r="EW16" i="2" s="1"/>
  <c r="EW17" i="2" s="1"/>
  <c r="EW18" i="2" s="1"/>
  <c r="EW19" i="2" s="1"/>
  <c r="EW20" i="2" s="1"/>
  <c r="EW21" i="2" s="1"/>
  <c r="EW22" i="2" s="1"/>
  <c r="EW23" i="2" s="1"/>
  <c r="EV4" i="2"/>
  <c r="EV5" i="2" s="1"/>
  <c r="EV6" i="2" s="1"/>
  <c r="EV7" i="2" s="1"/>
  <c r="EV8" i="2" s="1"/>
  <c r="EV9" i="2" s="1"/>
  <c r="EV10" i="2" s="1"/>
  <c r="EV11" i="2" s="1"/>
  <c r="EV12" i="2" s="1"/>
  <c r="EV13" i="2" s="1"/>
  <c r="EV14" i="2" s="1"/>
  <c r="EV15" i="2" s="1"/>
  <c r="EV16" i="2" s="1"/>
  <c r="EV17" i="2" s="1"/>
  <c r="EV18" i="2" s="1"/>
  <c r="EV19" i="2" s="1"/>
  <c r="EV20" i="2" s="1"/>
  <c r="EV21" i="2" s="1"/>
  <c r="EV22" i="2" s="1"/>
  <c r="EV23" i="2" s="1"/>
  <c r="EU4" i="2"/>
  <c r="EU5" i="2" s="1"/>
  <c r="EU6" i="2" s="1"/>
  <c r="EU7" i="2" s="1"/>
  <c r="EU8" i="2" s="1"/>
  <c r="EU9" i="2" s="1"/>
  <c r="EU10" i="2" s="1"/>
  <c r="EU11" i="2" s="1"/>
  <c r="EU12" i="2" s="1"/>
  <c r="EU13" i="2" s="1"/>
  <c r="EU14" i="2" s="1"/>
  <c r="EU15" i="2" s="1"/>
  <c r="EU16" i="2" s="1"/>
  <c r="EU17" i="2" s="1"/>
  <c r="EU18" i="2" s="1"/>
  <c r="EU19" i="2" s="1"/>
  <c r="EU20" i="2" s="1"/>
  <c r="EU21" i="2" s="1"/>
  <c r="EU22" i="2" s="1"/>
  <c r="EU23" i="2" s="1"/>
  <c r="ET4" i="2"/>
  <c r="ET5" i="2" s="1"/>
  <c r="ET6" i="2" s="1"/>
  <c r="ET7" i="2" s="1"/>
  <c r="ET8" i="2" s="1"/>
  <c r="ET9" i="2" s="1"/>
  <c r="ET10" i="2" s="1"/>
  <c r="ET11" i="2" s="1"/>
  <c r="ET12" i="2" s="1"/>
  <c r="ET13" i="2" s="1"/>
  <c r="ET14" i="2" s="1"/>
  <c r="ET15" i="2" s="1"/>
  <c r="ET16" i="2" s="1"/>
  <c r="ET17" i="2" s="1"/>
  <c r="ET18" i="2" s="1"/>
  <c r="ET19" i="2" s="1"/>
  <c r="ET20" i="2" s="1"/>
  <c r="ET21" i="2" s="1"/>
  <c r="ET22" i="2" s="1"/>
  <c r="ET23" i="2" s="1"/>
  <c r="ES4" i="2"/>
  <c r="ES5" i="2" s="1"/>
  <c r="ES6" i="2" s="1"/>
  <c r="ES7" i="2" s="1"/>
  <c r="ES8" i="2" s="1"/>
  <c r="ES9" i="2" s="1"/>
  <c r="ES10" i="2" s="1"/>
  <c r="ES11" i="2" s="1"/>
  <c r="ES12" i="2" s="1"/>
  <c r="ES13" i="2" s="1"/>
  <c r="ES14" i="2" s="1"/>
  <c r="ES15" i="2" s="1"/>
  <c r="ES16" i="2" s="1"/>
  <c r="ES17" i="2" s="1"/>
  <c r="ES18" i="2" s="1"/>
  <c r="ES19" i="2" s="1"/>
  <c r="ES20" i="2" s="1"/>
  <c r="ES21" i="2" s="1"/>
  <c r="ES22" i="2" s="1"/>
  <c r="ES23" i="2" s="1"/>
  <c r="ER4" i="2"/>
  <c r="ER5" i="2" s="1"/>
  <c r="ER6" i="2" s="1"/>
  <c r="ER7" i="2" s="1"/>
  <c r="ER8" i="2" s="1"/>
  <c r="ER9" i="2" s="1"/>
  <c r="ER10" i="2" s="1"/>
  <c r="ER11" i="2" s="1"/>
  <c r="ER12" i="2" s="1"/>
  <c r="ER13" i="2" s="1"/>
  <c r="ER14" i="2" s="1"/>
  <c r="ER15" i="2" s="1"/>
  <c r="ER16" i="2" s="1"/>
  <c r="ER17" i="2" s="1"/>
  <c r="ER18" i="2" s="1"/>
  <c r="ER19" i="2" s="1"/>
  <c r="ER20" i="2" s="1"/>
  <c r="ER21" i="2" s="1"/>
  <c r="ER22" i="2" s="1"/>
  <c r="ER23" i="2" s="1"/>
  <c r="EQ4" i="2"/>
  <c r="EQ5" i="2" s="1"/>
  <c r="EQ6" i="2" s="1"/>
  <c r="EQ7" i="2" s="1"/>
  <c r="EQ8" i="2" s="1"/>
  <c r="EQ9" i="2" s="1"/>
  <c r="EQ10" i="2" s="1"/>
  <c r="EQ11" i="2" s="1"/>
  <c r="EQ12" i="2" s="1"/>
  <c r="EQ13" i="2" s="1"/>
  <c r="EQ14" i="2" s="1"/>
  <c r="EQ15" i="2" s="1"/>
  <c r="EQ16" i="2" s="1"/>
  <c r="EQ17" i="2" s="1"/>
  <c r="EQ18" i="2" s="1"/>
  <c r="EQ19" i="2" s="1"/>
  <c r="EQ20" i="2" s="1"/>
  <c r="EQ21" i="2" s="1"/>
  <c r="EQ22" i="2" s="1"/>
  <c r="EQ23" i="2" s="1"/>
  <c r="EP4" i="2"/>
  <c r="EP5" i="2" s="1"/>
  <c r="EP6" i="2" s="1"/>
  <c r="EP7" i="2" s="1"/>
  <c r="EP8" i="2" s="1"/>
  <c r="EP9" i="2" s="1"/>
  <c r="EP10" i="2" s="1"/>
  <c r="EP11" i="2" s="1"/>
  <c r="EP12" i="2" s="1"/>
  <c r="EP13" i="2" s="1"/>
  <c r="EP14" i="2" s="1"/>
  <c r="EP15" i="2" s="1"/>
  <c r="EP16" i="2" s="1"/>
  <c r="EP17" i="2" s="1"/>
  <c r="EP18" i="2" s="1"/>
  <c r="EP19" i="2" s="1"/>
  <c r="EP20" i="2" s="1"/>
  <c r="EP21" i="2" s="1"/>
  <c r="EP22" i="2" s="1"/>
  <c r="EP23" i="2" s="1"/>
  <c r="EO4" i="2"/>
  <c r="EO5" i="2" s="1"/>
  <c r="EO6" i="2" s="1"/>
  <c r="EO7" i="2" s="1"/>
  <c r="EO8" i="2" s="1"/>
  <c r="EO9" i="2" s="1"/>
  <c r="EO10" i="2" s="1"/>
  <c r="EO11" i="2" s="1"/>
  <c r="EO12" i="2" s="1"/>
  <c r="EO13" i="2" s="1"/>
  <c r="EO14" i="2" s="1"/>
  <c r="EO15" i="2" s="1"/>
  <c r="EO16" i="2" s="1"/>
  <c r="EO17" i="2" s="1"/>
  <c r="EO18" i="2" s="1"/>
  <c r="EO19" i="2" s="1"/>
  <c r="EO20" i="2" s="1"/>
  <c r="EO21" i="2" s="1"/>
  <c r="EO22" i="2" s="1"/>
  <c r="EO23" i="2" s="1"/>
  <c r="EN4" i="2"/>
  <c r="EN5" i="2" s="1"/>
  <c r="EN6" i="2" s="1"/>
  <c r="EN7" i="2" s="1"/>
  <c r="EN8" i="2" s="1"/>
  <c r="EN9" i="2" s="1"/>
  <c r="EN10" i="2" s="1"/>
  <c r="EN11" i="2" s="1"/>
  <c r="EN12" i="2" s="1"/>
  <c r="EN13" i="2" s="1"/>
  <c r="EN14" i="2" s="1"/>
  <c r="EN15" i="2" s="1"/>
  <c r="EN16" i="2" s="1"/>
  <c r="EN17" i="2" s="1"/>
  <c r="EN18" i="2" s="1"/>
  <c r="EN19" i="2" s="1"/>
  <c r="EN20" i="2" s="1"/>
  <c r="EN21" i="2" s="1"/>
  <c r="EN22" i="2" s="1"/>
  <c r="EN23" i="2" s="1"/>
  <c r="EM4" i="2"/>
  <c r="EM5" i="2" s="1"/>
  <c r="EM6" i="2" s="1"/>
  <c r="EM7" i="2" s="1"/>
  <c r="EM8" i="2" s="1"/>
  <c r="EM9" i="2" s="1"/>
  <c r="EM10" i="2" s="1"/>
  <c r="EM11" i="2" s="1"/>
  <c r="EM12" i="2" s="1"/>
  <c r="EM13" i="2" s="1"/>
  <c r="EM14" i="2" s="1"/>
  <c r="EM15" i="2" s="1"/>
  <c r="EM16" i="2" s="1"/>
  <c r="EM17" i="2" s="1"/>
  <c r="EM18" i="2" s="1"/>
  <c r="EM19" i="2" s="1"/>
  <c r="EM20" i="2" s="1"/>
  <c r="EM21" i="2" s="1"/>
  <c r="EM22" i="2" s="1"/>
  <c r="EM23" i="2" s="1"/>
  <c r="EL4" i="2"/>
  <c r="EL5" i="2" s="1"/>
  <c r="EL6" i="2" s="1"/>
  <c r="EL7" i="2" s="1"/>
  <c r="EL8" i="2" s="1"/>
  <c r="EL9" i="2" s="1"/>
  <c r="EL10" i="2" s="1"/>
  <c r="EL11" i="2" s="1"/>
  <c r="EL12" i="2" s="1"/>
  <c r="EL13" i="2" s="1"/>
  <c r="EL14" i="2" s="1"/>
  <c r="EL15" i="2" s="1"/>
  <c r="EL16" i="2" s="1"/>
  <c r="EL17" i="2" s="1"/>
  <c r="EL18" i="2" s="1"/>
  <c r="EL19" i="2" s="1"/>
  <c r="EL20" i="2" s="1"/>
  <c r="EL21" i="2" s="1"/>
  <c r="EL22" i="2" s="1"/>
  <c r="EL23" i="2" s="1"/>
  <c r="EK4" i="2"/>
  <c r="EK5" i="2" s="1"/>
  <c r="EK6" i="2" s="1"/>
  <c r="EK7" i="2" s="1"/>
  <c r="EK8" i="2" s="1"/>
  <c r="EK9" i="2" s="1"/>
  <c r="EK10" i="2" s="1"/>
  <c r="EK11" i="2" s="1"/>
  <c r="EK12" i="2" s="1"/>
  <c r="EK13" i="2" s="1"/>
  <c r="EK14" i="2" s="1"/>
  <c r="EK15" i="2" s="1"/>
  <c r="EK16" i="2" s="1"/>
  <c r="EK17" i="2" s="1"/>
  <c r="EK18" i="2" s="1"/>
  <c r="EK19" i="2" s="1"/>
  <c r="EK20" i="2" s="1"/>
  <c r="EK21" i="2" s="1"/>
  <c r="EK22" i="2" s="1"/>
  <c r="EK23" i="2" s="1"/>
  <c r="EJ4" i="2"/>
  <c r="EJ5" i="2" s="1"/>
  <c r="EJ6" i="2" s="1"/>
  <c r="EJ7" i="2" s="1"/>
  <c r="EJ8" i="2" s="1"/>
  <c r="EJ9" i="2" s="1"/>
  <c r="EJ10" i="2" s="1"/>
  <c r="EJ11" i="2" s="1"/>
  <c r="EJ12" i="2" s="1"/>
  <c r="EJ13" i="2" s="1"/>
  <c r="EJ14" i="2" s="1"/>
  <c r="EJ15" i="2" s="1"/>
  <c r="EJ16" i="2" s="1"/>
  <c r="EJ17" i="2" s="1"/>
  <c r="EJ18" i="2" s="1"/>
  <c r="EJ19" i="2" s="1"/>
  <c r="EJ20" i="2" s="1"/>
  <c r="EJ21" i="2" s="1"/>
  <c r="EJ22" i="2" s="1"/>
  <c r="EJ23" i="2" s="1"/>
  <c r="EI4" i="2"/>
  <c r="EI5" i="2" s="1"/>
  <c r="EI6" i="2" s="1"/>
  <c r="EI7" i="2" s="1"/>
  <c r="EI8" i="2" s="1"/>
  <c r="EI9" i="2" s="1"/>
  <c r="EI10" i="2" s="1"/>
  <c r="EI11" i="2" s="1"/>
  <c r="EI12" i="2" s="1"/>
  <c r="EI13" i="2" s="1"/>
  <c r="EI14" i="2" s="1"/>
  <c r="EI15" i="2" s="1"/>
  <c r="EI16" i="2" s="1"/>
  <c r="EI17" i="2" s="1"/>
  <c r="EI18" i="2" s="1"/>
  <c r="EI19" i="2" s="1"/>
  <c r="EI20" i="2" s="1"/>
  <c r="EI21" i="2" s="1"/>
  <c r="EI22" i="2" s="1"/>
  <c r="EI23" i="2" s="1"/>
  <c r="EH4" i="2"/>
  <c r="EH5" i="2" s="1"/>
  <c r="EH6" i="2" s="1"/>
  <c r="EH7" i="2" s="1"/>
  <c r="EH8" i="2" s="1"/>
  <c r="EH9" i="2" s="1"/>
  <c r="EH10" i="2" s="1"/>
  <c r="EH11" i="2" s="1"/>
  <c r="EH12" i="2" s="1"/>
  <c r="EH13" i="2" s="1"/>
  <c r="EH14" i="2" s="1"/>
  <c r="EH15" i="2" s="1"/>
  <c r="EH16" i="2" s="1"/>
  <c r="EH17" i="2" s="1"/>
  <c r="EH18" i="2" s="1"/>
  <c r="EH19" i="2" s="1"/>
  <c r="EH20" i="2" s="1"/>
  <c r="EH21" i="2" s="1"/>
  <c r="EH22" i="2" s="1"/>
  <c r="EH23" i="2" s="1"/>
  <c r="EG4" i="2"/>
  <c r="EG5" i="2" s="1"/>
  <c r="EG6" i="2" s="1"/>
  <c r="EG7" i="2" s="1"/>
  <c r="EG8" i="2" s="1"/>
  <c r="EG9" i="2" s="1"/>
  <c r="EG10" i="2" s="1"/>
  <c r="EG11" i="2" s="1"/>
  <c r="EG12" i="2" s="1"/>
  <c r="EG13" i="2" s="1"/>
  <c r="EG14" i="2" s="1"/>
  <c r="EG15" i="2" s="1"/>
  <c r="EG16" i="2" s="1"/>
  <c r="EG17" i="2" s="1"/>
  <c r="EG18" i="2" s="1"/>
  <c r="EG19" i="2" s="1"/>
  <c r="EG20" i="2" s="1"/>
  <c r="EG21" i="2" s="1"/>
  <c r="EG22" i="2" s="1"/>
  <c r="EG23" i="2" s="1"/>
  <c r="EF4" i="2"/>
  <c r="EF5" i="2" s="1"/>
  <c r="EF6" i="2" s="1"/>
  <c r="EF7" i="2" s="1"/>
  <c r="EF8" i="2" s="1"/>
  <c r="EF9" i="2" s="1"/>
  <c r="EF10" i="2" s="1"/>
  <c r="EF11" i="2" s="1"/>
  <c r="EF12" i="2" s="1"/>
  <c r="EF13" i="2" s="1"/>
  <c r="EF14" i="2" s="1"/>
  <c r="EF15" i="2" s="1"/>
  <c r="EF16" i="2" s="1"/>
  <c r="EF17" i="2" s="1"/>
  <c r="EF18" i="2" s="1"/>
  <c r="EF19" i="2" s="1"/>
  <c r="EF20" i="2" s="1"/>
  <c r="EF21" i="2" s="1"/>
  <c r="EF22" i="2" s="1"/>
  <c r="EF23" i="2" s="1"/>
  <c r="EE4" i="2"/>
  <c r="EE5" i="2" s="1"/>
  <c r="EE6" i="2" s="1"/>
  <c r="EE7" i="2" s="1"/>
  <c r="EE8" i="2" s="1"/>
  <c r="EE9" i="2" s="1"/>
  <c r="EE10" i="2" s="1"/>
  <c r="EE11" i="2" s="1"/>
  <c r="EE12" i="2" s="1"/>
  <c r="EE13" i="2" s="1"/>
  <c r="EE14" i="2" s="1"/>
  <c r="EE15" i="2" s="1"/>
  <c r="EE16" i="2" s="1"/>
  <c r="EE17" i="2" s="1"/>
  <c r="EE18" i="2" s="1"/>
  <c r="EE19" i="2" s="1"/>
  <c r="EE20" i="2" s="1"/>
  <c r="EE21" i="2" s="1"/>
  <c r="EE22" i="2" s="1"/>
  <c r="EE23" i="2" s="1"/>
  <c r="ED4" i="2"/>
  <c r="ED5" i="2" s="1"/>
  <c r="ED6" i="2" s="1"/>
  <c r="ED7" i="2" s="1"/>
  <c r="ED8" i="2" s="1"/>
  <c r="ED9" i="2" s="1"/>
  <c r="ED10" i="2" s="1"/>
  <c r="ED11" i="2" s="1"/>
  <c r="ED12" i="2" s="1"/>
  <c r="ED13" i="2" s="1"/>
  <c r="ED14" i="2" s="1"/>
  <c r="ED15" i="2" s="1"/>
  <c r="ED16" i="2" s="1"/>
  <c r="ED17" i="2" s="1"/>
  <c r="ED18" i="2" s="1"/>
  <c r="ED19" i="2" s="1"/>
  <c r="ED20" i="2" s="1"/>
  <c r="ED21" i="2" s="1"/>
  <c r="ED22" i="2" s="1"/>
  <c r="ED23" i="2" s="1"/>
  <c r="EC4" i="2"/>
  <c r="EC5" i="2" s="1"/>
  <c r="EC6" i="2" s="1"/>
  <c r="EC7" i="2" s="1"/>
  <c r="EC8" i="2" s="1"/>
  <c r="EC9" i="2" s="1"/>
  <c r="EC10" i="2" s="1"/>
  <c r="EC11" i="2" s="1"/>
  <c r="EC12" i="2" s="1"/>
  <c r="EC13" i="2" s="1"/>
  <c r="EC14" i="2" s="1"/>
  <c r="EC15" i="2" s="1"/>
  <c r="EC16" i="2" s="1"/>
  <c r="EC17" i="2" s="1"/>
  <c r="EC18" i="2" s="1"/>
  <c r="EC19" i="2" s="1"/>
  <c r="EC20" i="2" s="1"/>
  <c r="EC21" i="2" s="1"/>
  <c r="EC22" i="2" s="1"/>
  <c r="EC23" i="2" s="1"/>
  <c r="EB4" i="2"/>
  <c r="EB5" i="2" s="1"/>
  <c r="EB6" i="2" s="1"/>
  <c r="EB7" i="2" s="1"/>
  <c r="EB8" i="2" s="1"/>
  <c r="EB9" i="2" s="1"/>
  <c r="EB10" i="2" s="1"/>
  <c r="EB11" i="2" s="1"/>
  <c r="EB12" i="2" s="1"/>
  <c r="EB13" i="2" s="1"/>
  <c r="EB14" i="2" s="1"/>
  <c r="EB15" i="2" s="1"/>
  <c r="EB16" i="2" s="1"/>
  <c r="EB17" i="2" s="1"/>
  <c r="EB18" i="2" s="1"/>
  <c r="EB19" i="2" s="1"/>
  <c r="EB20" i="2" s="1"/>
  <c r="EB21" i="2" s="1"/>
  <c r="EB22" i="2" s="1"/>
  <c r="EB23" i="2" s="1"/>
  <c r="EA4" i="2"/>
  <c r="EA5" i="2" s="1"/>
  <c r="EA6" i="2" s="1"/>
  <c r="EA7" i="2" s="1"/>
  <c r="EA8" i="2" s="1"/>
  <c r="EA9" i="2" s="1"/>
  <c r="EA10" i="2" s="1"/>
  <c r="EA11" i="2" s="1"/>
  <c r="EA12" i="2" s="1"/>
  <c r="EA13" i="2" s="1"/>
  <c r="EA14" i="2" s="1"/>
  <c r="EA15" i="2" s="1"/>
  <c r="EA16" i="2" s="1"/>
  <c r="EA17" i="2" s="1"/>
  <c r="EA18" i="2" s="1"/>
  <c r="EA19" i="2" s="1"/>
  <c r="EA20" i="2" s="1"/>
  <c r="EA21" i="2" s="1"/>
  <c r="EA22" i="2" s="1"/>
  <c r="EA23" i="2" s="1"/>
  <c r="DZ4" i="2"/>
  <c r="DZ5" i="2" s="1"/>
  <c r="DZ6" i="2" s="1"/>
  <c r="DZ7" i="2" s="1"/>
  <c r="DZ8" i="2" s="1"/>
  <c r="DZ9" i="2" s="1"/>
  <c r="DZ10" i="2" s="1"/>
  <c r="DZ11" i="2" s="1"/>
  <c r="DZ12" i="2" s="1"/>
  <c r="DZ13" i="2" s="1"/>
  <c r="DZ14" i="2" s="1"/>
  <c r="DZ15" i="2" s="1"/>
  <c r="DZ16" i="2" s="1"/>
  <c r="DZ17" i="2" s="1"/>
  <c r="DZ18" i="2" s="1"/>
  <c r="DZ19" i="2" s="1"/>
  <c r="DZ20" i="2" s="1"/>
  <c r="DZ21" i="2" s="1"/>
  <c r="DZ22" i="2" s="1"/>
  <c r="DZ23" i="2" s="1"/>
  <c r="DY4" i="2"/>
  <c r="DY5" i="2" s="1"/>
  <c r="DY6" i="2" s="1"/>
  <c r="DY7" i="2" s="1"/>
  <c r="DY8" i="2" s="1"/>
  <c r="DY9" i="2" s="1"/>
  <c r="DY10" i="2" s="1"/>
  <c r="DY11" i="2" s="1"/>
  <c r="DY12" i="2" s="1"/>
  <c r="DY13" i="2" s="1"/>
  <c r="DY14" i="2" s="1"/>
  <c r="DY15" i="2" s="1"/>
  <c r="DY16" i="2" s="1"/>
  <c r="DY17" i="2" s="1"/>
  <c r="DY18" i="2" s="1"/>
  <c r="DY19" i="2" s="1"/>
  <c r="DY20" i="2" s="1"/>
  <c r="DY21" i="2" s="1"/>
  <c r="DY22" i="2" s="1"/>
  <c r="DY23" i="2" s="1"/>
  <c r="DX4" i="2"/>
  <c r="DX5" i="2" s="1"/>
  <c r="DX6" i="2" s="1"/>
  <c r="DX7" i="2" s="1"/>
  <c r="DX8" i="2" s="1"/>
  <c r="DX9" i="2" s="1"/>
  <c r="DX10" i="2" s="1"/>
  <c r="DX11" i="2" s="1"/>
  <c r="DX12" i="2" s="1"/>
  <c r="DX13" i="2" s="1"/>
  <c r="DX14" i="2" s="1"/>
  <c r="DX15" i="2" s="1"/>
  <c r="DX16" i="2" s="1"/>
  <c r="DX17" i="2" s="1"/>
  <c r="DX18" i="2" s="1"/>
  <c r="DX19" i="2" s="1"/>
  <c r="DX20" i="2" s="1"/>
  <c r="DX21" i="2" s="1"/>
  <c r="DX22" i="2" s="1"/>
  <c r="DX23" i="2" s="1"/>
  <c r="DW4" i="2"/>
  <c r="DW5" i="2" s="1"/>
  <c r="DW6" i="2" s="1"/>
  <c r="DW7" i="2" s="1"/>
  <c r="DW8" i="2" s="1"/>
  <c r="DW9" i="2" s="1"/>
  <c r="DW10" i="2" s="1"/>
  <c r="DW11" i="2" s="1"/>
  <c r="DW12" i="2" s="1"/>
  <c r="DW13" i="2" s="1"/>
  <c r="DW14" i="2" s="1"/>
  <c r="DW15" i="2" s="1"/>
  <c r="DW16" i="2" s="1"/>
  <c r="DW17" i="2" s="1"/>
  <c r="DW18" i="2" s="1"/>
  <c r="DW19" i="2" s="1"/>
  <c r="DW20" i="2" s="1"/>
  <c r="DW21" i="2" s="1"/>
  <c r="DW22" i="2" s="1"/>
  <c r="DW23" i="2" s="1"/>
  <c r="DV4" i="2"/>
  <c r="DV5" i="2" s="1"/>
  <c r="DV6" i="2" s="1"/>
  <c r="DV7" i="2" s="1"/>
  <c r="DV8" i="2" s="1"/>
  <c r="DV9" i="2" s="1"/>
  <c r="DV10" i="2" s="1"/>
  <c r="DV11" i="2" s="1"/>
  <c r="DV12" i="2" s="1"/>
  <c r="DV13" i="2" s="1"/>
  <c r="DV14" i="2" s="1"/>
  <c r="DV15" i="2" s="1"/>
  <c r="DV16" i="2" s="1"/>
  <c r="DV17" i="2" s="1"/>
  <c r="DV18" i="2" s="1"/>
  <c r="DV19" i="2" s="1"/>
  <c r="DV20" i="2" s="1"/>
  <c r="DV21" i="2" s="1"/>
  <c r="DV22" i="2" s="1"/>
  <c r="DV23" i="2" s="1"/>
  <c r="DU4" i="2"/>
  <c r="DU5" i="2" s="1"/>
  <c r="DU6" i="2" s="1"/>
  <c r="DU7" i="2" s="1"/>
  <c r="DU8" i="2" s="1"/>
  <c r="DU9" i="2" s="1"/>
  <c r="DU10" i="2" s="1"/>
  <c r="DU11" i="2" s="1"/>
  <c r="DU12" i="2" s="1"/>
  <c r="DU13" i="2" s="1"/>
  <c r="DU14" i="2" s="1"/>
  <c r="DU15" i="2" s="1"/>
  <c r="DU16" i="2" s="1"/>
  <c r="DU17" i="2" s="1"/>
  <c r="DU18" i="2" s="1"/>
  <c r="DU19" i="2" s="1"/>
  <c r="DU20" i="2" s="1"/>
  <c r="DU21" i="2" s="1"/>
  <c r="DU22" i="2" s="1"/>
  <c r="DU23" i="2" s="1"/>
  <c r="DT4" i="2"/>
  <c r="DT5" i="2" s="1"/>
  <c r="DT6" i="2" s="1"/>
  <c r="DT7" i="2" s="1"/>
  <c r="DT8" i="2" s="1"/>
  <c r="DT9" i="2" s="1"/>
  <c r="DT10" i="2" s="1"/>
  <c r="DT11" i="2" s="1"/>
  <c r="DT12" i="2" s="1"/>
  <c r="DT13" i="2" s="1"/>
  <c r="DT14" i="2" s="1"/>
  <c r="DT15" i="2" s="1"/>
  <c r="DT16" i="2" s="1"/>
  <c r="DT17" i="2" s="1"/>
  <c r="DT18" i="2" s="1"/>
  <c r="DT19" i="2" s="1"/>
  <c r="DT20" i="2" s="1"/>
  <c r="DT21" i="2" s="1"/>
  <c r="DT22" i="2" s="1"/>
  <c r="DT23" i="2" s="1"/>
  <c r="DS4" i="2"/>
  <c r="DS5" i="2" s="1"/>
  <c r="DS6" i="2" s="1"/>
  <c r="DS7" i="2" s="1"/>
  <c r="DS8" i="2" s="1"/>
  <c r="DS9" i="2" s="1"/>
  <c r="DS10" i="2" s="1"/>
  <c r="DS11" i="2" s="1"/>
  <c r="DS12" i="2" s="1"/>
  <c r="DS13" i="2" s="1"/>
  <c r="DS14" i="2" s="1"/>
  <c r="DS15" i="2" s="1"/>
  <c r="DS16" i="2" s="1"/>
  <c r="DS17" i="2" s="1"/>
  <c r="DS18" i="2" s="1"/>
  <c r="DS19" i="2" s="1"/>
  <c r="DS20" i="2" s="1"/>
  <c r="DS21" i="2" s="1"/>
  <c r="DS22" i="2" s="1"/>
  <c r="DS23" i="2" s="1"/>
  <c r="DR4" i="2"/>
  <c r="DR5" i="2" s="1"/>
  <c r="DR6" i="2" s="1"/>
  <c r="DR7" i="2" s="1"/>
  <c r="DR8" i="2" s="1"/>
  <c r="DR9" i="2" s="1"/>
  <c r="DR10" i="2" s="1"/>
  <c r="DR11" i="2" s="1"/>
  <c r="DR12" i="2" s="1"/>
  <c r="DR13" i="2" s="1"/>
  <c r="DR14" i="2" s="1"/>
  <c r="DR15" i="2" s="1"/>
  <c r="DR16" i="2" s="1"/>
  <c r="DR17" i="2" s="1"/>
  <c r="DR18" i="2" s="1"/>
  <c r="DR19" i="2" s="1"/>
  <c r="DR20" i="2" s="1"/>
  <c r="DR21" i="2" s="1"/>
  <c r="DR22" i="2" s="1"/>
  <c r="DR23" i="2" s="1"/>
  <c r="DQ4" i="2"/>
  <c r="DQ5" i="2" s="1"/>
  <c r="DQ6" i="2" s="1"/>
  <c r="DQ7" i="2" s="1"/>
  <c r="DQ8" i="2" s="1"/>
  <c r="DQ9" i="2" s="1"/>
  <c r="DQ10" i="2" s="1"/>
  <c r="DQ11" i="2" s="1"/>
  <c r="DQ12" i="2" s="1"/>
  <c r="DQ13" i="2" s="1"/>
  <c r="DQ14" i="2" s="1"/>
  <c r="DQ15" i="2" s="1"/>
  <c r="DQ16" i="2" s="1"/>
  <c r="DQ17" i="2" s="1"/>
  <c r="DQ18" i="2" s="1"/>
  <c r="DQ19" i="2" s="1"/>
  <c r="DQ20" i="2" s="1"/>
  <c r="DQ21" i="2" s="1"/>
  <c r="DQ22" i="2" s="1"/>
  <c r="DQ23" i="2" s="1"/>
  <c r="DP4" i="2"/>
  <c r="DP5" i="2" s="1"/>
  <c r="DP6" i="2" s="1"/>
  <c r="DP7" i="2" s="1"/>
  <c r="DP8" i="2" s="1"/>
  <c r="DP9" i="2" s="1"/>
  <c r="DP10" i="2" s="1"/>
  <c r="DP11" i="2" s="1"/>
  <c r="DP12" i="2" s="1"/>
  <c r="DP13" i="2" s="1"/>
  <c r="DP14" i="2" s="1"/>
  <c r="DP15" i="2" s="1"/>
  <c r="DP16" i="2" s="1"/>
  <c r="DP17" i="2" s="1"/>
  <c r="DP18" i="2" s="1"/>
  <c r="DP19" i="2" s="1"/>
  <c r="DP20" i="2" s="1"/>
  <c r="DP21" i="2" s="1"/>
  <c r="DP22" i="2" s="1"/>
  <c r="DP23" i="2" s="1"/>
  <c r="DO4" i="2"/>
  <c r="DO5" i="2" s="1"/>
  <c r="DO6" i="2" s="1"/>
  <c r="DO7" i="2" s="1"/>
  <c r="DO8" i="2" s="1"/>
  <c r="DO9" i="2" s="1"/>
  <c r="DO10" i="2" s="1"/>
  <c r="DO11" i="2" s="1"/>
  <c r="DO12" i="2" s="1"/>
  <c r="DO13" i="2" s="1"/>
  <c r="DO14" i="2" s="1"/>
  <c r="DO15" i="2" s="1"/>
  <c r="DO16" i="2" s="1"/>
  <c r="DO17" i="2" s="1"/>
  <c r="DO18" i="2" s="1"/>
  <c r="DO19" i="2" s="1"/>
  <c r="DO20" i="2" s="1"/>
  <c r="DO21" i="2" s="1"/>
  <c r="DO22" i="2" s="1"/>
  <c r="DO23" i="2" s="1"/>
  <c r="DN4" i="2"/>
  <c r="DN5" i="2" s="1"/>
  <c r="DN6" i="2" s="1"/>
  <c r="DN7" i="2" s="1"/>
  <c r="DN8" i="2" s="1"/>
  <c r="DN9" i="2" s="1"/>
  <c r="DN10" i="2" s="1"/>
  <c r="DN11" i="2" s="1"/>
  <c r="DN12" i="2" s="1"/>
  <c r="DN13" i="2" s="1"/>
  <c r="DN14" i="2" s="1"/>
  <c r="DN15" i="2" s="1"/>
  <c r="DN16" i="2" s="1"/>
  <c r="DN17" i="2" s="1"/>
  <c r="DN18" i="2" s="1"/>
  <c r="DN19" i="2" s="1"/>
  <c r="DN20" i="2" s="1"/>
  <c r="DN21" i="2" s="1"/>
  <c r="DN22" i="2" s="1"/>
  <c r="DN23" i="2" s="1"/>
  <c r="DM4" i="2"/>
  <c r="DM5" i="2" s="1"/>
  <c r="DM6" i="2" s="1"/>
  <c r="DM7" i="2" s="1"/>
  <c r="DM8" i="2" s="1"/>
  <c r="DM9" i="2" s="1"/>
  <c r="DM10" i="2" s="1"/>
  <c r="DM11" i="2" s="1"/>
  <c r="DM12" i="2" s="1"/>
  <c r="DM13" i="2" s="1"/>
  <c r="DM14" i="2" s="1"/>
  <c r="DM15" i="2" s="1"/>
  <c r="DM16" i="2" s="1"/>
  <c r="DM17" i="2" s="1"/>
  <c r="DM18" i="2" s="1"/>
  <c r="DM19" i="2" s="1"/>
  <c r="DM20" i="2" s="1"/>
  <c r="DM21" i="2" s="1"/>
  <c r="DM22" i="2" s="1"/>
  <c r="DM23" i="2" s="1"/>
  <c r="DL4" i="2"/>
  <c r="DL5" i="2" s="1"/>
  <c r="DL6" i="2" s="1"/>
  <c r="DL7" i="2" s="1"/>
  <c r="DL8" i="2" s="1"/>
  <c r="DL9" i="2" s="1"/>
  <c r="DL10" i="2" s="1"/>
  <c r="DL11" i="2" s="1"/>
  <c r="DL12" i="2" s="1"/>
  <c r="DL13" i="2" s="1"/>
  <c r="DL14" i="2" s="1"/>
  <c r="DL15" i="2" s="1"/>
  <c r="DL16" i="2" s="1"/>
  <c r="DL17" i="2" s="1"/>
  <c r="DL18" i="2" s="1"/>
  <c r="DL19" i="2" s="1"/>
  <c r="DL20" i="2" s="1"/>
  <c r="DL21" i="2" s="1"/>
  <c r="DL22" i="2" s="1"/>
  <c r="DL23" i="2" s="1"/>
  <c r="DK4" i="2"/>
  <c r="DK5" i="2" s="1"/>
  <c r="DK6" i="2" s="1"/>
  <c r="DK7" i="2" s="1"/>
  <c r="DK8" i="2" s="1"/>
  <c r="DK9" i="2" s="1"/>
  <c r="DK10" i="2" s="1"/>
  <c r="DK11" i="2" s="1"/>
  <c r="DK12" i="2" s="1"/>
  <c r="DK13" i="2" s="1"/>
  <c r="DK14" i="2" s="1"/>
  <c r="DK15" i="2" s="1"/>
  <c r="DK16" i="2" s="1"/>
  <c r="DK17" i="2" s="1"/>
  <c r="DK18" i="2" s="1"/>
  <c r="DK19" i="2" s="1"/>
  <c r="DK20" i="2" s="1"/>
  <c r="DK21" i="2" s="1"/>
  <c r="DK22" i="2" s="1"/>
  <c r="DK23" i="2" s="1"/>
  <c r="DJ4" i="2"/>
  <c r="DJ5" i="2" s="1"/>
  <c r="DJ6" i="2" s="1"/>
  <c r="DJ7" i="2" s="1"/>
  <c r="DJ8" i="2" s="1"/>
  <c r="DJ9" i="2" s="1"/>
  <c r="DJ10" i="2" s="1"/>
  <c r="DJ11" i="2" s="1"/>
  <c r="DJ12" i="2" s="1"/>
  <c r="DJ13" i="2" s="1"/>
  <c r="DJ14" i="2" s="1"/>
  <c r="DJ15" i="2" s="1"/>
  <c r="DJ16" i="2" s="1"/>
  <c r="DJ17" i="2" s="1"/>
  <c r="DJ18" i="2" s="1"/>
  <c r="DJ19" i="2" s="1"/>
  <c r="DJ20" i="2" s="1"/>
  <c r="DJ21" i="2" s="1"/>
  <c r="DJ22" i="2" s="1"/>
  <c r="DJ23" i="2" s="1"/>
  <c r="DI4" i="2"/>
  <c r="DI5" i="2" s="1"/>
  <c r="DI6" i="2" s="1"/>
  <c r="DI7" i="2" s="1"/>
  <c r="DI8" i="2" s="1"/>
  <c r="DI9" i="2" s="1"/>
  <c r="DI10" i="2" s="1"/>
  <c r="DI11" i="2" s="1"/>
  <c r="DI12" i="2" s="1"/>
  <c r="DI13" i="2" s="1"/>
  <c r="DI14" i="2" s="1"/>
  <c r="DI15" i="2" s="1"/>
  <c r="DI16" i="2" s="1"/>
  <c r="DI17" i="2" s="1"/>
  <c r="DI18" i="2" s="1"/>
  <c r="DI19" i="2" s="1"/>
  <c r="DI20" i="2" s="1"/>
  <c r="DI21" i="2" s="1"/>
  <c r="DI22" i="2" s="1"/>
  <c r="DI23" i="2" s="1"/>
  <c r="DH4" i="2"/>
  <c r="DH5" i="2" s="1"/>
  <c r="DH6" i="2" s="1"/>
  <c r="DH7" i="2" s="1"/>
  <c r="DH8" i="2" s="1"/>
  <c r="DH9" i="2" s="1"/>
  <c r="DH10" i="2" s="1"/>
  <c r="DH11" i="2" s="1"/>
  <c r="DH12" i="2" s="1"/>
  <c r="DH13" i="2" s="1"/>
  <c r="DH14" i="2" s="1"/>
  <c r="DH15" i="2" s="1"/>
  <c r="DH16" i="2" s="1"/>
  <c r="DH17" i="2" s="1"/>
  <c r="DH18" i="2" s="1"/>
  <c r="DH19" i="2" s="1"/>
  <c r="DH20" i="2" s="1"/>
  <c r="DH21" i="2" s="1"/>
  <c r="DH22" i="2" s="1"/>
  <c r="DH23" i="2" s="1"/>
  <c r="DG4" i="2"/>
  <c r="DG5" i="2" s="1"/>
  <c r="DG6" i="2" s="1"/>
  <c r="DG7" i="2" s="1"/>
  <c r="DG8" i="2" s="1"/>
  <c r="DG9" i="2" s="1"/>
  <c r="DG10" i="2" s="1"/>
  <c r="DG11" i="2" s="1"/>
  <c r="DG12" i="2" s="1"/>
  <c r="DG13" i="2" s="1"/>
  <c r="DG14" i="2" s="1"/>
  <c r="DG15" i="2" s="1"/>
  <c r="DG16" i="2" s="1"/>
  <c r="DG17" i="2" s="1"/>
  <c r="DG18" i="2" s="1"/>
  <c r="DG19" i="2" s="1"/>
  <c r="DG20" i="2" s="1"/>
  <c r="DG21" i="2" s="1"/>
  <c r="DG22" i="2" s="1"/>
  <c r="DG23" i="2" s="1"/>
  <c r="DF4" i="2"/>
  <c r="DF5" i="2" s="1"/>
  <c r="DF6" i="2" s="1"/>
  <c r="DF7" i="2" s="1"/>
  <c r="DF8" i="2" s="1"/>
  <c r="DF9" i="2" s="1"/>
  <c r="DF10" i="2" s="1"/>
  <c r="DF11" i="2" s="1"/>
  <c r="DF12" i="2" s="1"/>
  <c r="DF13" i="2" s="1"/>
  <c r="DF14" i="2" s="1"/>
  <c r="DF15" i="2" s="1"/>
  <c r="DF16" i="2" s="1"/>
  <c r="DF17" i="2" s="1"/>
  <c r="DF18" i="2" s="1"/>
  <c r="DF19" i="2" s="1"/>
  <c r="DF20" i="2" s="1"/>
  <c r="DF21" i="2" s="1"/>
  <c r="DF22" i="2" s="1"/>
  <c r="DF23" i="2" s="1"/>
  <c r="DE4" i="2"/>
  <c r="DE5" i="2" s="1"/>
  <c r="DE6" i="2" s="1"/>
  <c r="DE7" i="2" s="1"/>
  <c r="DE8" i="2" s="1"/>
  <c r="DE9" i="2" s="1"/>
  <c r="DE10" i="2" s="1"/>
  <c r="DE11" i="2" s="1"/>
  <c r="DE12" i="2" s="1"/>
  <c r="DE13" i="2" s="1"/>
  <c r="DE14" i="2" s="1"/>
  <c r="DE15" i="2" s="1"/>
  <c r="DE16" i="2" s="1"/>
  <c r="DE17" i="2" s="1"/>
  <c r="DE18" i="2" s="1"/>
  <c r="DE19" i="2" s="1"/>
  <c r="DE20" i="2" s="1"/>
  <c r="DE21" i="2" s="1"/>
  <c r="DE22" i="2" s="1"/>
  <c r="DE23" i="2" s="1"/>
  <c r="DD4" i="2"/>
  <c r="DD5" i="2" s="1"/>
  <c r="DD6" i="2" s="1"/>
  <c r="DD7" i="2" s="1"/>
  <c r="DD8" i="2" s="1"/>
  <c r="DD9" i="2" s="1"/>
  <c r="DD10" i="2" s="1"/>
  <c r="DD11" i="2" s="1"/>
  <c r="DD12" i="2" s="1"/>
  <c r="DD13" i="2" s="1"/>
  <c r="DD14" i="2" s="1"/>
  <c r="DD15" i="2" s="1"/>
  <c r="DD16" i="2" s="1"/>
  <c r="DD17" i="2" s="1"/>
  <c r="DD18" i="2" s="1"/>
  <c r="DD19" i="2" s="1"/>
  <c r="DD20" i="2" s="1"/>
  <c r="DD21" i="2" s="1"/>
  <c r="DD22" i="2" s="1"/>
  <c r="DD23" i="2" s="1"/>
  <c r="DC4" i="2"/>
  <c r="DC5" i="2" s="1"/>
  <c r="DC6" i="2" s="1"/>
  <c r="DC7" i="2" s="1"/>
  <c r="DC8" i="2" s="1"/>
  <c r="DC9" i="2" s="1"/>
  <c r="DC10" i="2" s="1"/>
  <c r="DC11" i="2" s="1"/>
  <c r="DC12" i="2" s="1"/>
  <c r="DC13" i="2" s="1"/>
  <c r="DC14" i="2" s="1"/>
  <c r="DC15" i="2" s="1"/>
  <c r="DC16" i="2" s="1"/>
  <c r="DC17" i="2" s="1"/>
  <c r="DC18" i="2" s="1"/>
  <c r="DC19" i="2" s="1"/>
  <c r="DC20" i="2" s="1"/>
  <c r="DC21" i="2" s="1"/>
  <c r="DC22" i="2" s="1"/>
  <c r="DC23" i="2" s="1"/>
  <c r="DB4" i="2"/>
  <c r="DB5" i="2" s="1"/>
  <c r="DB6" i="2" s="1"/>
  <c r="DB7" i="2" s="1"/>
  <c r="DB8" i="2" s="1"/>
  <c r="DB9" i="2" s="1"/>
  <c r="DB10" i="2" s="1"/>
  <c r="DB11" i="2" s="1"/>
  <c r="DB12" i="2" s="1"/>
  <c r="DB13" i="2" s="1"/>
  <c r="DB14" i="2" s="1"/>
  <c r="DB15" i="2" s="1"/>
  <c r="DB16" i="2" s="1"/>
  <c r="DB17" i="2" s="1"/>
  <c r="DB18" i="2" s="1"/>
  <c r="DB19" i="2" s="1"/>
  <c r="DB20" i="2" s="1"/>
  <c r="DB21" i="2" s="1"/>
  <c r="DB22" i="2" s="1"/>
  <c r="DB23" i="2" s="1"/>
  <c r="DA4" i="2"/>
  <c r="DA5" i="2" s="1"/>
  <c r="DA6" i="2" s="1"/>
  <c r="DA7" i="2" s="1"/>
  <c r="DA8" i="2" s="1"/>
  <c r="DA9" i="2" s="1"/>
  <c r="DA10" i="2" s="1"/>
  <c r="DA11" i="2" s="1"/>
  <c r="DA12" i="2" s="1"/>
  <c r="DA13" i="2" s="1"/>
  <c r="DA14" i="2" s="1"/>
  <c r="DA15" i="2" s="1"/>
  <c r="DA16" i="2" s="1"/>
  <c r="DA17" i="2" s="1"/>
  <c r="DA18" i="2" s="1"/>
  <c r="DA19" i="2" s="1"/>
  <c r="DA20" i="2" s="1"/>
  <c r="DA21" i="2" s="1"/>
  <c r="DA22" i="2" s="1"/>
  <c r="DA23" i="2" s="1"/>
  <c r="CZ4" i="2"/>
  <c r="CZ5" i="2" s="1"/>
  <c r="CZ6" i="2" s="1"/>
  <c r="CZ7" i="2" s="1"/>
  <c r="CZ8" i="2" s="1"/>
  <c r="CZ9" i="2" s="1"/>
  <c r="CZ10" i="2" s="1"/>
  <c r="CZ11" i="2" s="1"/>
  <c r="CZ12" i="2" s="1"/>
  <c r="CZ13" i="2" s="1"/>
  <c r="CZ14" i="2" s="1"/>
  <c r="CZ15" i="2" s="1"/>
  <c r="CZ16" i="2" s="1"/>
  <c r="CZ17" i="2" s="1"/>
  <c r="CZ18" i="2" s="1"/>
  <c r="CZ19" i="2" s="1"/>
  <c r="CZ20" i="2" s="1"/>
  <c r="CZ21" i="2" s="1"/>
  <c r="CZ22" i="2" s="1"/>
  <c r="CZ23" i="2" s="1"/>
  <c r="CY4" i="2"/>
  <c r="CY5" i="2" s="1"/>
  <c r="CY6" i="2" s="1"/>
  <c r="CY7" i="2" s="1"/>
  <c r="CY8" i="2" s="1"/>
  <c r="CY9" i="2" s="1"/>
  <c r="CY10" i="2" s="1"/>
  <c r="CY11" i="2" s="1"/>
  <c r="CY12" i="2" s="1"/>
  <c r="CY13" i="2" s="1"/>
  <c r="CY14" i="2" s="1"/>
  <c r="CY15" i="2" s="1"/>
  <c r="CY16" i="2" s="1"/>
  <c r="CY17" i="2" s="1"/>
  <c r="CY18" i="2" s="1"/>
  <c r="CY19" i="2" s="1"/>
  <c r="CY20" i="2" s="1"/>
  <c r="CY21" i="2" s="1"/>
  <c r="CY22" i="2" s="1"/>
  <c r="CY23" i="2" s="1"/>
  <c r="CX4" i="2"/>
  <c r="CX5" i="2" s="1"/>
  <c r="CX6" i="2" s="1"/>
  <c r="CX7" i="2" s="1"/>
  <c r="CX8" i="2" s="1"/>
  <c r="CX9" i="2" s="1"/>
  <c r="CX10" i="2" s="1"/>
  <c r="CX11" i="2" s="1"/>
  <c r="CX12" i="2" s="1"/>
  <c r="CX13" i="2" s="1"/>
  <c r="CX14" i="2" s="1"/>
  <c r="CX15" i="2" s="1"/>
  <c r="CX16" i="2" s="1"/>
  <c r="CX17" i="2" s="1"/>
  <c r="CX18" i="2" s="1"/>
  <c r="CX19" i="2" s="1"/>
  <c r="CX20" i="2" s="1"/>
  <c r="CX21" i="2" s="1"/>
  <c r="CX22" i="2" s="1"/>
  <c r="CX23" i="2" s="1"/>
  <c r="CW4" i="2"/>
  <c r="CW5" i="2" s="1"/>
  <c r="CW6" i="2" s="1"/>
  <c r="CW7" i="2" s="1"/>
  <c r="CW8" i="2" s="1"/>
  <c r="CW9" i="2" s="1"/>
  <c r="CW10" i="2" s="1"/>
  <c r="CW11" i="2" s="1"/>
  <c r="CW12" i="2" s="1"/>
  <c r="CW13" i="2" s="1"/>
  <c r="CW14" i="2" s="1"/>
  <c r="CW15" i="2" s="1"/>
  <c r="CW16" i="2" s="1"/>
  <c r="CW17" i="2" s="1"/>
  <c r="CW18" i="2" s="1"/>
  <c r="CW19" i="2" s="1"/>
  <c r="CW20" i="2" s="1"/>
  <c r="CW21" i="2" s="1"/>
  <c r="CW22" i="2" s="1"/>
  <c r="CW23" i="2" s="1"/>
  <c r="CV4" i="2"/>
  <c r="CV5" i="2" s="1"/>
  <c r="CV6" i="2" s="1"/>
  <c r="CV7" i="2" s="1"/>
  <c r="CV8" i="2" s="1"/>
  <c r="CV9" i="2" s="1"/>
  <c r="CV10" i="2" s="1"/>
  <c r="CV11" i="2" s="1"/>
  <c r="CV12" i="2" s="1"/>
  <c r="CV13" i="2" s="1"/>
  <c r="CV14" i="2" s="1"/>
  <c r="CV15" i="2" s="1"/>
  <c r="CV16" i="2" s="1"/>
  <c r="CV17" i="2" s="1"/>
  <c r="CV18" i="2" s="1"/>
  <c r="CV19" i="2" s="1"/>
  <c r="CV20" i="2" s="1"/>
  <c r="CV21" i="2" s="1"/>
  <c r="CV22" i="2" s="1"/>
  <c r="CV23" i="2" s="1"/>
  <c r="CU4" i="2"/>
  <c r="CU5" i="2" s="1"/>
  <c r="CU6" i="2" s="1"/>
  <c r="CU7" i="2" s="1"/>
  <c r="CU8" i="2" s="1"/>
  <c r="CU9" i="2" s="1"/>
  <c r="CU10" i="2" s="1"/>
  <c r="CU11" i="2" s="1"/>
  <c r="CU12" i="2" s="1"/>
  <c r="CU13" i="2" s="1"/>
  <c r="CU14" i="2" s="1"/>
  <c r="CU15" i="2" s="1"/>
  <c r="CU16" i="2" s="1"/>
  <c r="CU17" i="2" s="1"/>
  <c r="CU18" i="2" s="1"/>
  <c r="CU19" i="2" s="1"/>
  <c r="CU20" i="2" s="1"/>
  <c r="CU21" i="2" s="1"/>
  <c r="CU22" i="2" s="1"/>
  <c r="CU23" i="2" s="1"/>
  <c r="CT4" i="2"/>
  <c r="CT5" i="2" s="1"/>
  <c r="CT6" i="2" s="1"/>
  <c r="CT7" i="2" s="1"/>
  <c r="CT8" i="2" s="1"/>
  <c r="CT9" i="2" s="1"/>
  <c r="CT10" i="2" s="1"/>
  <c r="CT11" i="2" s="1"/>
  <c r="CT12" i="2" s="1"/>
  <c r="CT13" i="2" s="1"/>
  <c r="CT14" i="2" s="1"/>
  <c r="CT15" i="2" s="1"/>
  <c r="CT16" i="2" s="1"/>
  <c r="CT17" i="2" s="1"/>
  <c r="CT18" i="2" s="1"/>
  <c r="CT19" i="2" s="1"/>
  <c r="CT20" i="2" s="1"/>
  <c r="CT21" i="2" s="1"/>
  <c r="CT22" i="2" s="1"/>
  <c r="CT23" i="2" s="1"/>
  <c r="CS4" i="2"/>
  <c r="CS5" i="2" s="1"/>
  <c r="CS6" i="2" s="1"/>
  <c r="CS7" i="2" s="1"/>
  <c r="CS8" i="2" s="1"/>
  <c r="CS9" i="2" s="1"/>
  <c r="CS10" i="2" s="1"/>
  <c r="CS11" i="2" s="1"/>
  <c r="CS12" i="2" s="1"/>
  <c r="CS13" i="2" s="1"/>
  <c r="CS14" i="2" s="1"/>
  <c r="CS15" i="2" s="1"/>
  <c r="CS16" i="2" s="1"/>
  <c r="CS17" i="2" s="1"/>
  <c r="CS18" i="2" s="1"/>
  <c r="CS19" i="2" s="1"/>
  <c r="CS20" i="2" s="1"/>
  <c r="CS21" i="2" s="1"/>
  <c r="CS22" i="2" s="1"/>
  <c r="CS23" i="2" s="1"/>
  <c r="CR4" i="2"/>
  <c r="CR5" i="2" s="1"/>
  <c r="CR6" i="2" s="1"/>
  <c r="CR7" i="2" s="1"/>
  <c r="CR8" i="2" s="1"/>
  <c r="CR9" i="2" s="1"/>
  <c r="CR10" i="2" s="1"/>
  <c r="CR11" i="2" s="1"/>
  <c r="CR12" i="2" s="1"/>
  <c r="CR13" i="2" s="1"/>
  <c r="CR14" i="2" s="1"/>
  <c r="CR15" i="2" s="1"/>
  <c r="CR16" i="2" s="1"/>
  <c r="CR17" i="2" s="1"/>
  <c r="CR18" i="2" s="1"/>
  <c r="CR19" i="2" s="1"/>
  <c r="CR20" i="2" s="1"/>
  <c r="CR21" i="2" s="1"/>
  <c r="CR22" i="2" s="1"/>
  <c r="CR23" i="2" s="1"/>
  <c r="CQ4" i="2"/>
  <c r="CQ5" i="2" s="1"/>
  <c r="CQ6" i="2" s="1"/>
  <c r="CQ7" i="2" s="1"/>
  <c r="CQ8" i="2" s="1"/>
  <c r="CQ9" i="2" s="1"/>
  <c r="CQ10" i="2" s="1"/>
  <c r="CQ11" i="2" s="1"/>
  <c r="CQ12" i="2" s="1"/>
  <c r="CQ13" i="2" s="1"/>
  <c r="CQ14" i="2" s="1"/>
  <c r="CQ15" i="2" s="1"/>
  <c r="CQ16" i="2" s="1"/>
  <c r="CQ17" i="2" s="1"/>
  <c r="CQ18" i="2" s="1"/>
  <c r="CQ19" i="2" s="1"/>
  <c r="CQ20" i="2" s="1"/>
  <c r="CQ21" i="2" s="1"/>
  <c r="CQ22" i="2" s="1"/>
  <c r="CQ23" i="2" s="1"/>
  <c r="CP4" i="2"/>
  <c r="CP5" i="2" s="1"/>
  <c r="CP6" i="2" s="1"/>
  <c r="CP7" i="2" s="1"/>
  <c r="CP8" i="2" s="1"/>
  <c r="CP9" i="2" s="1"/>
  <c r="CP10" i="2" s="1"/>
  <c r="CP11" i="2" s="1"/>
  <c r="CP12" i="2" s="1"/>
  <c r="CP13" i="2" s="1"/>
  <c r="CP14" i="2" s="1"/>
  <c r="CP15" i="2" s="1"/>
  <c r="CP16" i="2" s="1"/>
  <c r="CP17" i="2" s="1"/>
  <c r="CP18" i="2" s="1"/>
  <c r="CP19" i="2" s="1"/>
  <c r="CP20" i="2" s="1"/>
  <c r="CP21" i="2" s="1"/>
  <c r="CP22" i="2" s="1"/>
  <c r="CP23" i="2" s="1"/>
  <c r="CO4" i="2"/>
  <c r="CO5" i="2" s="1"/>
  <c r="CO6" i="2" s="1"/>
  <c r="CO7" i="2" s="1"/>
  <c r="CO8" i="2" s="1"/>
  <c r="CO9" i="2" s="1"/>
  <c r="CO10" i="2" s="1"/>
  <c r="CO11" i="2" s="1"/>
  <c r="CO12" i="2" s="1"/>
  <c r="CO13" i="2" s="1"/>
  <c r="CO14" i="2" s="1"/>
  <c r="CO15" i="2" s="1"/>
  <c r="CO16" i="2" s="1"/>
  <c r="CO17" i="2" s="1"/>
  <c r="CO18" i="2" s="1"/>
  <c r="CO19" i="2" s="1"/>
  <c r="CO20" i="2" s="1"/>
  <c r="CO21" i="2" s="1"/>
  <c r="CO22" i="2" s="1"/>
  <c r="CO23" i="2" s="1"/>
  <c r="CN4" i="2"/>
  <c r="CN5" i="2" s="1"/>
  <c r="CN6" i="2" s="1"/>
  <c r="CN7" i="2" s="1"/>
  <c r="CN8" i="2" s="1"/>
  <c r="CN9" i="2" s="1"/>
  <c r="CN10" i="2" s="1"/>
  <c r="CN11" i="2" s="1"/>
  <c r="CN12" i="2" s="1"/>
  <c r="CN13" i="2" s="1"/>
  <c r="CN14" i="2" s="1"/>
  <c r="CN15" i="2" s="1"/>
  <c r="CN16" i="2" s="1"/>
  <c r="CN17" i="2" s="1"/>
  <c r="CN18" i="2" s="1"/>
  <c r="CN19" i="2" s="1"/>
  <c r="CN20" i="2" s="1"/>
  <c r="CN21" i="2" s="1"/>
  <c r="CN22" i="2" s="1"/>
  <c r="CN23" i="2" s="1"/>
  <c r="CM4" i="2"/>
  <c r="CM5" i="2" s="1"/>
  <c r="CM6" i="2" s="1"/>
  <c r="CM7" i="2" s="1"/>
  <c r="CM8" i="2" s="1"/>
  <c r="CM9" i="2" s="1"/>
  <c r="CM10" i="2" s="1"/>
  <c r="CM11" i="2" s="1"/>
  <c r="CM12" i="2" s="1"/>
  <c r="CM13" i="2" s="1"/>
  <c r="CM14" i="2" s="1"/>
  <c r="CM15" i="2" s="1"/>
  <c r="CM16" i="2" s="1"/>
  <c r="CM17" i="2" s="1"/>
  <c r="CM18" i="2" s="1"/>
  <c r="CM19" i="2" s="1"/>
  <c r="CM20" i="2" s="1"/>
  <c r="CM21" i="2" s="1"/>
  <c r="CM22" i="2" s="1"/>
  <c r="CM23" i="2" s="1"/>
  <c r="CL4" i="2"/>
  <c r="CL5" i="2" s="1"/>
  <c r="CL6" i="2" s="1"/>
  <c r="CL7" i="2" s="1"/>
  <c r="CL8" i="2" s="1"/>
  <c r="CL9" i="2" s="1"/>
  <c r="CL10" i="2" s="1"/>
  <c r="CL11" i="2" s="1"/>
  <c r="CL12" i="2" s="1"/>
  <c r="CL13" i="2" s="1"/>
  <c r="CL14" i="2" s="1"/>
  <c r="CL15" i="2" s="1"/>
  <c r="CL16" i="2" s="1"/>
  <c r="CL17" i="2" s="1"/>
  <c r="CL18" i="2" s="1"/>
  <c r="CL19" i="2" s="1"/>
  <c r="CL20" i="2" s="1"/>
  <c r="CL21" i="2" s="1"/>
  <c r="CL22" i="2" s="1"/>
  <c r="CL23" i="2" s="1"/>
  <c r="CK4" i="2"/>
  <c r="CK5" i="2" s="1"/>
  <c r="CK6" i="2" s="1"/>
  <c r="CK7" i="2" s="1"/>
  <c r="CK8" i="2" s="1"/>
  <c r="CK9" i="2" s="1"/>
  <c r="CK10" i="2" s="1"/>
  <c r="CK11" i="2" s="1"/>
  <c r="CK12" i="2" s="1"/>
  <c r="CK13" i="2" s="1"/>
  <c r="CK14" i="2" s="1"/>
  <c r="CK15" i="2" s="1"/>
  <c r="CK16" i="2" s="1"/>
  <c r="CK17" i="2" s="1"/>
  <c r="CK18" i="2" s="1"/>
  <c r="CK19" i="2" s="1"/>
  <c r="CK20" i="2" s="1"/>
  <c r="CK21" i="2" s="1"/>
  <c r="CK22" i="2" s="1"/>
  <c r="CK23" i="2" s="1"/>
  <c r="CJ4" i="2"/>
  <c r="CJ5" i="2" s="1"/>
  <c r="CJ6" i="2" s="1"/>
  <c r="CJ7" i="2" s="1"/>
  <c r="CJ8" i="2" s="1"/>
  <c r="CJ9" i="2" s="1"/>
  <c r="CJ10" i="2" s="1"/>
  <c r="CJ11" i="2" s="1"/>
  <c r="CJ12" i="2" s="1"/>
  <c r="CJ13" i="2" s="1"/>
  <c r="CJ14" i="2" s="1"/>
  <c r="CJ15" i="2" s="1"/>
  <c r="CJ16" i="2" s="1"/>
  <c r="CJ17" i="2" s="1"/>
  <c r="CJ18" i="2" s="1"/>
  <c r="CJ19" i="2" s="1"/>
  <c r="CJ20" i="2" s="1"/>
  <c r="CJ21" i="2" s="1"/>
  <c r="CJ22" i="2" s="1"/>
  <c r="CJ23" i="2" s="1"/>
  <c r="CI4" i="2"/>
  <c r="CI5" i="2" s="1"/>
  <c r="CI6" i="2" s="1"/>
  <c r="CI7" i="2" s="1"/>
  <c r="CI8" i="2" s="1"/>
  <c r="CI9" i="2" s="1"/>
  <c r="CI10" i="2" s="1"/>
  <c r="CI11" i="2" s="1"/>
  <c r="CI12" i="2" s="1"/>
  <c r="CI13" i="2" s="1"/>
  <c r="CI14" i="2" s="1"/>
  <c r="CI15" i="2" s="1"/>
  <c r="CI16" i="2" s="1"/>
  <c r="CI17" i="2" s="1"/>
  <c r="CI18" i="2" s="1"/>
  <c r="CI19" i="2" s="1"/>
  <c r="CI20" i="2" s="1"/>
  <c r="CI21" i="2" s="1"/>
  <c r="CI22" i="2" s="1"/>
  <c r="CI23" i="2" s="1"/>
  <c r="CH4" i="2"/>
  <c r="CH5" i="2" s="1"/>
  <c r="CH6" i="2" s="1"/>
  <c r="CH7" i="2" s="1"/>
  <c r="CH8" i="2" s="1"/>
  <c r="CH9" i="2" s="1"/>
  <c r="CH10" i="2" s="1"/>
  <c r="CH11" i="2" s="1"/>
  <c r="CH12" i="2" s="1"/>
  <c r="CH13" i="2" s="1"/>
  <c r="CH14" i="2" s="1"/>
  <c r="CH15" i="2" s="1"/>
  <c r="CH16" i="2" s="1"/>
  <c r="CH17" i="2" s="1"/>
  <c r="CH18" i="2" s="1"/>
  <c r="CH19" i="2" s="1"/>
  <c r="CH20" i="2" s="1"/>
  <c r="CH21" i="2" s="1"/>
  <c r="CH22" i="2" s="1"/>
  <c r="CH23" i="2" s="1"/>
  <c r="CG4" i="2"/>
  <c r="CG5" i="2" s="1"/>
  <c r="CG6" i="2" s="1"/>
  <c r="CG7" i="2" s="1"/>
  <c r="CG8" i="2" s="1"/>
  <c r="CG9" i="2" s="1"/>
  <c r="CG10" i="2" s="1"/>
  <c r="CG11" i="2" s="1"/>
  <c r="CG12" i="2" s="1"/>
  <c r="CG13" i="2" s="1"/>
  <c r="CG14" i="2" s="1"/>
  <c r="CG15" i="2" s="1"/>
  <c r="CG16" i="2" s="1"/>
  <c r="CG17" i="2" s="1"/>
  <c r="CG18" i="2" s="1"/>
  <c r="CG19" i="2" s="1"/>
  <c r="CG20" i="2" s="1"/>
  <c r="CG21" i="2" s="1"/>
  <c r="CG22" i="2" s="1"/>
  <c r="CG23" i="2" s="1"/>
  <c r="CF4" i="2"/>
  <c r="CF5" i="2" s="1"/>
  <c r="CF6" i="2" s="1"/>
  <c r="CF7" i="2" s="1"/>
  <c r="CF8" i="2" s="1"/>
  <c r="CF9" i="2" s="1"/>
  <c r="CF10" i="2" s="1"/>
  <c r="CF11" i="2" s="1"/>
  <c r="CF12" i="2" s="1"/>
  <c r="CF13" i="2" s="1"/>
  <c r="CF14" i="2" s="1"/>
  <c r="CF15" i="2" s="1"/>
  <c r="CF16" i="2" s="1"/>
  <c r="CF17" i="2" s="1"/>
  <c r="CF18" i="2" s="1"/>
  <c r="CF19" i="2" s="1"/>
  <c r="CF20" i="2" s="1"/>
  <c r="CF21" i="2" s="1"/>
  <c r="CF22" i="2" s="1"/>
  <c r="CF23" i="2" s="1"/>
  <c r="CE4" i="2"/>
  <c r="CE5" i="2" s="1"/>
  <c r="CE6" i="2" s="1"/>
  <c r="CE7" i="2" s="1"/>
  <c r="CE8" i="2" s="1"/>
  <c r="CE9" i="2" s="1"/>
  <c r="CE10" i="2" s="1"/>
  <c r="CE11" i="2" s="1"/>
  <c r="CE12" i="2" s="1"/>
  <c r="CE13" i="2" s="1"/>
  <c r="CE14" i="2" s="1"/>
  <c r="CE15" i="2" s="1"/>
  <c r="CE16" i="2" s="1"/>
  <c r="CE17" i="2" s="1"/>
  <c r="CE18" i="2" s="1"/>
  <c r="CE19" i="2" s="1"/>
  <c r="CE20" i="2" s="1"/>
  <c r="CE21" i="2" s="1"/>
  <c r="CE22" i="2" s="1"/>
  <c r="CE23" i="2" s="1"/>
  <c r="CD4" i="2"/>
  <c r="CD5" i="2" s="1"/>
  <c r="CD6" i="2" s="1"/>
  <c r="CD7" i="2" s="1"/>
  <c r="CD8" i="2" s="1"/>
  <c r="CD9" i="2" s="1"/>
  <c r="CD10" i="2" s="1"/>
  <c r="CD11" i="2" s="1"/>
  <c r="CD12" i="2" s="1"/>
  <c r="CD13" i="2" s="1"/>
  <c r="CD14" i="2" s="1"/>
  <c r="CD15" i="2" s="1"/>
  <c r="CD16" i="2" s="1"/>
  <c r="CD17" i="2" s="1"/>
  <c r="CD18" i="2" s="1"/>
  <c r="CD19" i="2" s="1"/>
  <c r="CD20" i="2" s="1"/>
  <c r="CD21" i="2" s="1"/>
  <c r="CD22" i="2" s="1"/>
  <c r="CD23" i="2" s="1"/>
  <c r="CC4" i="2"/>
  <c r="CC5" i="2" s="1"/>
  <c r="CC6" i="2" s="1"/>
  <c r="CC7" i="2" s="1"/>
  <c r="CC8" i="2" s="1"/>
  <c r="CC9" i="2" s="1"/>
  <c r="CC10" i="2" s="1"/>
  <c r="CC11" i="2" s="1"/>
  <c r="CC12" i="2" s="1"/>
  <c r="CC13" i="2" s="1"/>
  <c r="CC14" i="2" s="1"/>
  <c r="CC15" i="2" s="1"/>
  <c r="CC16" i="2" s="1"/>
  <c r="CC17" i="2" s="1"/>
  <c r="CC18" i="2" s="1"/>
  <c r="CC19" i="2" s="1"/>
  <c r="CC20" i="2" s="1"/>
  <c r="CC21" i="2" s="1"/>
  <c r="CC22" i="2" s="1"/>
  <c r="CC23" i="2" s="1"/>
  <c r="CB4" i="2"/>
  <c r="CB5" i="2" s="1"/>
  <c r="CB6" i="2" s="1"/>
  <c r="CB7" i="2" s="1"/>
  <c r="CB8" i="2" s="1"/>
  <c r="CB9" i="2" s="1"/>
  <c r="CB10" i="2" s="1"/>
  <c r="CB11" i="2" s="1"/>
  <c r="CB12" i="2" s="1"/>
  <c r="CB13" i="2" s="1"/>
  <c r="CB14" i="2" s="1"/>
  <c r="CB15" i="2" s="1"/>
  <c r="CB16" i="2" s="1"/>
  <c r="CB17" i="2" s="1"/>
  <c r="CB18" i="2" s="1"/>
  <c r="CB19" i="2" s="1"/>
  <c r="CB20" i="2" s="1"/>
  <c r="CB21" i="2" s="1"/>
  <c r="CB22" i="2" s="1"/>
  <c r="CB23" i="2" s="1"/>
  <c r="CA4" i="2"/>
  <c r="CA5" i="2" s="1"/>
  <c r="CA6" i="2" s="1"/>
  <c r="CA7" i="2" s="1"/>
  <c r="CA8" i="2" s="1"/>
  <c r="CA9" i="2" s="1"/>
  <c r="CA10" i="2" s="1"/>
  <c r="CA11" i="2" s="1"/>
  <c r="CA12" i="2" s="1"/>
  <c r="CA13" i="2" s="1"/>
  <c r="CA14" i="2" s="1"/>
  <c r="CA15" i="2" s="1"/>
  <c r="CA16" i="2" s="1"/>
  <c r="CA17" i="2" s="1"/>
  <c r="CA18" i="2" s="1"/>
  <c r="CA19" i="2" s="1"/>
  <c r="CA20" i="2" s="1"/>
  <c r="CA21" i="2" s="1"/>
  <c r="CA22" i="2" s="1"/>
  <c r="CA23" i="2" s="1"/>
  <c r="BZ4" i="2"/>
  <c r="BZ5" i="2" s="1"/>
  <c r="BZ6" i="2" s="1"/>
  <c r="BZ7" i="2" s="1"/>
  <c r="BZ8" i="2" s="1"/>
  <c r="BZ9" i="2" s="1"/>
  <c r="BZ10" i="2" s="1"/>
  <c r="BZ11" i="2" s="1"/>
  <c r="BZ12" i="2" s="1"/>
  <c r="BZ13" i="2" s="1"/>
  <c r="BZ14" i="2" s="1"/>
  <c r="BZ15" i="2" s="1"/>
  <c r="BZ16" i="2" s="1"/>
  <c r="BZ17" i="2" s="1"/>
  <c r="BZ18" i="2" s="1"/>
  <c r="BZ19" i="2" s="1"/>
  <c r="BZ20" i="2" s="1"/>
  <c r="BZ21" i="2" s="1"/>
  <c r="BZ22" i="2" s="1"/>
  <c r="BZ23" i="2" s="1"/>
  <c r="BY4" i="2"/>
  <c r="BY5" i="2" s="1"/>
  <c r="BY6" i="2" s="1"/>
  <c r="BY7" i="2" s="1"/>
  <c r="BY8" i="2" s="1"/>
  <c r="BY9" i="2" s="1"/>
  <c r="BY10" i="2" s="1"/>
  <c r="BY11" i="2" s="1"/>
  <c r="BY12" i="2" s="1"/>
  <c r="BY13" i="2" s="1"/>
  <c r="BY14" i="2" s="1"/>
  <c r="BY15" i="2" s="1"/>
  <c r="BY16" i="2" s="1"/>
  <c r="BY17" i="2" s="1"/>
  <c r="BY18" i="2" s="1"/>
  <c r="BY19" i="2" s="1"/>
  <c r="BY20" i="2" s="1"/>
  <c r="BY21" i="2" s="1"/>
  <c r="BY22" i="2" s="1"/>
  <c r="BY23" i="2" s="1"/>
  <c r="BX4" i="2"/>
  <c r="BX5" i="2" s="1"/>
  <c r="BX6" i="2" s="1"/>
  <c r="BX7" i="2" s="1"/>
  <c r="BX8" i="2" s="1"/>
  <c r="BX9" i="2" s="1"/>
  <c r="BX10" i="2" s="1"/>
  <c r="BX11" i="2" s="1"/>
  <c r="BX12" i="2" s="1"/>
  <c r="BX13" i="2" s="1"/>
  <c r="BX14" i="2" s="1"/>
  <c r="BX15" i="2" s="1"/>
  <c r="BX16" i="2" s="1"/>
  <c r="BX17" i="2" s="1"/>
  <c r="BX18" i="2" s="1"/>
  <c r="BX19" i="2" s="1"/>
  <c r="BX20" i="2" s="1"/>
  <c r="BX21" i="2" s="1"/>
  <c r="BX22" i="2" s="1"/>
  <c r="BX23" i="2" s="1"/>
  <c r="BW4" i="2"/>
  <c r="BW5" i="2" s="1"/>
  <c r="BW6" i="2" s="1"/>
  <c r="BW7" i="2" s="1"/>
  <c r="BW8" i="2" s="1"/>
  <c r="BW9" i="2" s="1"/>
  <c r="BW10" i="2" s="1"/>
  <c r="BW11" i="2" s="1"/>
  <c r="BW12" i="2" s="1"/>
  <c r="BW13" i="2" s="1"/>
  <c r="BW14" i="2" s="1"/>
  <c r="BW15" i="2" s="1"/>
  <c r="BW16" i="2" s="1"/>
  <c r="BW17" i="2" s="1"/>
  <c r="BW18" i="2" s="1"/>
  <c r="BW19" i="2" s="1"/>
  <c r="BW20" i="2" s="1"/>
  <c r="BW21" i="2" s="1"/>
  <c r="BW22" i="2" s="1"/>
  <c r="BW23" i="2" s="1"/>
  <c r="BV4" i="2"/>
  <c r="BV5" i="2" s="1"/>
  <c r="BV6" i="2" s="1"/>
  <c r="BV7" i="2" s="1"/>
  <c r="BV8" i="2" s="1"/>
  <c r="BV9" i="2" s="1"/>
  <c r="BV10" i="2" s="1"/>
  <c r="BV11" i="2" s="1"/>
  <c r="BV12" i="2" s="1"/>
  <c r="BV13" i="2" s="1"/>
  <c r="BV14" i="2" s="1"/>
  <c r="BV15" i="2" s="1"/>
  <c r="BV16" i="2" s="1"/>
  <c r="BV17" i="2" s="1"/>
  <c r="BV18" i="2" s="1"/>
  <c r="BV19" i="2" s="1"/>
  <c r="BV20" i="2" s="1"/>
  <c r="BV21" i="2" s="1"/>
  <c r="BV22" i="2" s="1"/>
  <c r="BV23" i="2" s="1"/>
  <c r="BU4" i="2"/>
  <c r="BU5" i="2" s="1"/>
  <c r="BU6" i="2" s="1"/>
  <c r="BU7" i="2" s="1"/>
  <c r="BU8" i="2" s="1"/>
  <c r="BU9" i="2" s="1"/>
  <c r="BU10" i="2" s="1"/>
  <c r="BU11" i="2" s="1"/>
  <c r="BU12" i="2" s="1"/>
  <c r="BU13" i="2" s="1"/>
  <c r="BU14" i="2" s="1"/>
  <c r="BU15" i="2" s="1"/>
  <c r="BU16" i="2" s="1"/>
  <c r="BU17" i="2" s="1"/>
  <c r="BU18" i="2" s="1"/>
  <c r="BU19" i="2" s="1"/>
  <c r="BU20" i="2" s="1"/>
  <c r="BU21" i="2" s="1"/>
  <c r="BU22" i="2" s="1"/>
  <c r="BU23" i="2" s="1"/>
  <c r="BT4" i="2"/>
  <c r="BT5" i="2" s="1"/>
  <c r="BT6" i="2" s="1"/>
  <c r="BT7" i="2" s="1"/>
  <c r="BT8" i="2" s="1"/>
  <c r="BT9" i="2" s="1"/>
  <c r="BT10" i="2" s="1"/>
  <c r="BT11" i="2" s="1"/>
  <c r="BT12" i="2" s="1"/>
  <c r="BT13" i="2" s="1"/>
  <c r="BT14" i="2" s="1"/>
  <c r="BT15" i="2" s="1"/>
  <c r="BT16" i="2" s="1"/>
  <c r="BT17" i="2" s="1"/>
  <c r="BT18" i="2" s="1"/>
  <c r="BT19" i="2" s="1"/>
  <c r="BT20" i="2" s="1"/>
  <c r="BT21" i="2" s="1"/>
  <c r="BT22" i="2" s="1"/>
  <c r="BT23" i="2" s="1"/>
  <c r="BS4" i="2"/>
  <c r="BS5" i="2" s="1"/>
  <c r="BS6" i="2" s="1"/>
  <c r="BS7" i="2" s="1"/>
  <c r="BS8" i="2" s="1"/>
  <c r="BS9" i="2" s="1"/>
  <c r="BS10" i="2" s="1"/>
  <c r="BS11" i="2" s="1"/>
  <c r="BS12" i="2" s="1"/>
  <c r="BS13" i="2" s="1"/>
  <c r="BS14" i="2" s="1"/>
  <c r="BS15" i="2" s="1"/>
  <c r="BS16" i="2" s="1"/>
  <c r="BS17" i="2" s="1"/>
  <c r="BS18" i="2" s="1"/>
  <c r="BS19" i="2" s="1"/>
  <c r="BS20" i="2" s="1"/>
  <c r="BS21" i="2" s="1"/>
  <c r="BS22" i="2" s="1"/>
  <c r="BS23" i="2" s="1"/>
  <c r="BR4" i="2"/>
  <c r="BR5" i="2" s="1"/>
  <c r="BR6" i="2" s="1"/>
  <c r="BR7" i="2" s="1"/>
  <c r="BR8" i="2" s="1"/>
  <c r="BR9" i="2" s="1"/>
  <c r="BR10" i="2" s="1"/>
  <c r="BR11" i="2" s="1"/>
  <c r="BR12" i="2" s="1"/>
  <c r="BR13" i="2" s="1"/>
  <c r="BR14" i="2" s="1"/>
  <c r="BR15" i="2" s="1"/>
  <c r="BR16" i="2" s="1"/>
  <c r="BR17" i="2" s="1"/>
  <c r="BR18" i="2" s="1"/>
  <c r="BR19" i="2" s="1"/>
  <c r="BR20" i="2" s="1"/>
  <c r="BR21" i="2" s="1"/>
  <c r="BR22" i="2" s="1"/>
  <c r="BR23" i="2" s="1"/>
  <c r="BQ4" i="2"/>
  <c r="BQ5" i="2" s="1"/>
  <c r="BQ6" i="2" s="1"/>
  <c r="BQ7" i="2" s="1"/>
  <c r="BQ8" i="2" s="1"/>
  <c r="BQ9" i="2" s="1"/>
  <c r="BQ10" i="2" s="1"/>
  <c r="BQ11" i="2" s="1"/>
  <c r="BQ12" i="2" s="1"/>
  <c r="BQ13" i="2" s="1"/>
  <c r="BQ14" i="2" s="1"/>
  <c r="BQ15" i="2" s="1"/>
  <c r="BQ16" i="2" s="1"/>
  <c r="BQ17" i="2" s="1"/>
  <c r="BQ18" i="2" s="1"/>
  <c r="BQ19" i="2" s="1"/>
  <c r="BQ20" i="2" s="1"/>
  <c r="BQ21" i="2" s="1"/>
  <c r="BQ22" i="2" s="1"/>
  <c r="BQ23" i="2" s="1"/>
  <c r="BP4" i="2"/>
  <c r="BP5" i="2" s="1"/>
  <c r="BP6" i="2" s="1"/>
  <c r="BP7" i="2" s="1"/>
  <c r="BP8" i="2" s="1"/>
  <c r="BP9" i="2" s="1"/>
  <c r="BP10" i="2" s="1"/>
  <c r="BP11" i="2" s="1"/>
  <c r="BP12" i="2" s="1"/>
  <c r="BP13" i="2" s="1"/>
  <c r="BP14" i="2" s="1"/>
  <c r="BP15" i="2" s="1"/>
  <c r="BP16" i="2" s="1"/>
  <c r="BP17" i="2" s="1"/>
  <c r="BP18" i="2" s="1"/>
  <c r="BP19" i="2" s="1"/>
  <c r="BP20" i="2" s="1"/>
  <c r="BP21" i="2" s="1"/>
  <c r="BP22" i="2" s="1"/>
  <c r="BP23" i="2" s="1"/>
  <c r="BO4" i="2"/>
  <c r="BO5" i="2" s="1"/>
  <c r="BO6" i="2" s="1"/>
  <c r="BO7" i="2" s="1"/>
  <c r="BO8" i="2" s="1"/>
  <c r="BO9" i="2" s="1"/>
  <c r="BO10" i="2" s="1"/>
  <c r="BO11" i="2" s="1"/>
  <c r="BO12" i="2" s="1"/>
  <c r="BO13" i="2" s="1"/>
  <c r="BO14" i="2" s="1"/>
  <c r="BO15" i="2" s="1"/>
  <c r="BO16" i="2" s="1"/>
  <c r="BO17" i="2" s="1"/>
  <c r="BO18" i="2" s="1"/>
  <c r="BO19" i="2" s="1"/>
  <c r="BO20" i="2" s="1"/>
  <c r="BO21" i="2" s="1"/>
  <c r="BO22" i="2" s="1"/>
  <c r="BO23" i="2" s="1"/>
  <c r="BN4" i="2"/>
  <c r="BN5" i="2" s="1"/>
  <c r="BN6" i="2" s="1"/>
  <c r="BN7" i="2" s="1"/>
  <c r="BN8" i="2" s="1"/>
  <c r="BN9" i="2" s="1"/>
  <c r="BN10" i="2" s="1"/>
  <c r="BN11" i="2" s="1"/>
  <c r="BN12" i="2" s="1"/>
  <c r="BN13" i="2" s="1"/>
  <c r="BN14" i="2" s="1"/>
  <c r="BN15" i="2" s="1"/>
  <c r="BN16" i="2" s="1"/>
  <c r="BN17" i="2" s="1"/>
  <c r="BN18" i="2" s="1"/>
  <c r="BN19" i="2" s="1"/>
  <c r="BN20" i="2" s="1"/>
  <c r="BN21" i="2" s="1"/>
  <c r="BN22" i="2" s="1"/>
  <c r="BN23" i="2" s="1"/>
  <c r="BM4" i="2"/>
  <c r="BM5" i="2" s="1"/>
  <c r="BM6" i="2" s="1"/>
  <c r="BM7" i="2" s="1"/>
  <c r="BM8" i="2" s="1"/>
  <c r="BM9" i="2" s="1"/>
  <c r="BM10" i="2" s="1"/>
  <c r="BM11" i="2" s="1"/>
  <c r="BM12" i="2" s="1"/>
  <c r="BM13" i="2" s="1"/>
  <c r="BM14" i="2" s="1"/>
  <c r="BM15" i="2" s="1"/>
  <c r="BM16" i="2" s="1"/>
  <c r="BM17" i="2" s="1"/>
  <c r="BM18" i="2" s="1"/>
  <c r="BM19" i="2" s="1"/>
  <c r="BM20" i="2" s="1"/>
  <c r="BM21" i="2" s="1"/>
  <c r="BM22" i="2" s="1"/>
  <c r="BM23" i="2" s="1"/>
  <c r="BL4" i="2"/>
  <c r="BL5" i="2" s="1"/>
  <c r="BL6" i="2" s="1"/>
  <c r="BL7" i="2" s="1"/>
  <c r="BL8" i="2" s="1"/>
  <c r="BL9" i="2" s="1"/>
  <c r="BL10" i="2" s="1"/>
  <c r="BL11" i="2" s="1"/>
  <c r="BL12" i="2" s="1"/>
  <c r="BL13" i="2" s="1"/>
  <c r="BL14" i="2" s="1"/>
  <c r="BL15" i="2" s="1"/>
  <c r="BL16" i="2" s="1"/>
  <c r="BL17" i="2" s="1"/>
  <c r="BL18" i="2" s="1"/>
  <c r="BL19" i="2" s="1"/>
  <c r="BL20" i="2" s="1"/>
  <c r="BL21" i="2" s="1"/>
  <c r="BL22" i="2" s="1"/>
  <c r="BL23" i="2" s="1"/>
  <c r="BK4" i="2"/>
  <c r="BK5" i="2" s="1"/>
  <c r="BK6" i="2" s="1"/>
  <c r="BK7" i="2" s="1"/>
  <c r="BK8" i="2" s="1"/>
  <c r="BK9" i="2" s="1"/>
  <c r="BK10" i="2" s="1"/>
  <c r="BK11" i="2" s="1"/>
  <c r="BK12" i="2" s="1"/>
  <c r="BK13" i="2" s="1"/>
  <c r="BK14" i="2" s="1"/>
  <c r="BK15" i="2" s="1"/>
  <c r="BK16" i="2" s="1"/>
  <c r="BK17" i="2" s="1"/>
  <c r="BK18" i="2" s="1"/>
  <c r="BK19" i="2" s="1"/>
  <c r="BK20" i="2" s="1"/>
  <c r="BK21" i="2" s="1"/>
  <c r="BK22" i="2" s="1"/>
  <c r="BK23" i="2" s="1"/>
  <c r="BJ4" i="2"/>
  <c r="BJ5" i="2" s="1"/>
  <c r="BJ6" i="2" s="1"/>
  <c r="BJ7" i="2" s="1"/>
  <c r="BJ8" i="2" s="1"/>
  <c r="BJ9" i="2" s="1"/>
  <c r="BJ10" i="2" s="1"/>
  <c r="BJ11" i="2" s="1"/>
  <c r="BJ12" i="2" s="1"/>
  <c r="BJ13" i="2" s="1"/>
  <c r="BJ14" i="2" s="1"/>
  <c r="BJ15" i="2" s="1"/>
  <c r="BJ16" i="2" s="1"/>
  <c r="BJ17" i="2" s="1"/>
  <c r="BJ18" i="2" s="1"/>
  <c r="BJ19" i="2" s="1"/>
  <c r="BJ20" i="2" s="1"/>
  <c r="BJ21" i="2" s="1"/>
  <c r="BJ22" i="2" s="1"/>
  <c r="BJ23" i="2" s="1"/>
  <c r="BI4" i="2"/>
  <c r="BI5" i="2" s="1"/>
  <c r="BI6" i="2" s="1"/>
  <c r="BI7" i="2" s="1"/>
  <c r="BI8" i="2" s="1"/>
  <c r="BI9" i="2" s="1"/>
  <c r="BI10" i="2" s="1"/>
  <c r="BI11" i="2" s="1"/>
  <c r="BI12" i="2" s="1"/>
  <c r="BI13" i="2" s="1"/>
  <c r="BI14" i="2" s="1"/>
  <c r="BI15" i="2" s="1"/>
  <c r="BI16" i="2" s="1"/>
  <c r="BI17" i="2" s="1"/>
  <c r="BI18" i="2" s="1"/>
  <c r="BI19" i="2" s="1"/>
  <c r="BI20" i="2" s="1"/>
  <c r="BI21" i="2" s="1"/>
  <c r="BI22" i="2" s="1"/>
  <c r="BI23" i="2" s="1"/>
  <c r="BH4" i="2"/>
  <c r="BH5" i="2" s="1"/>
  <c r="BH6" i="2" s="1"/>
  <c r="BH7" i="2" s="1"/>
  <c r="BH8" i="2" s="1"/>
  <c r="BH9" i="2" s="1"/>
  <c r="BH10" i="2" s="1"/>
  <c r="BH11" i="2" s="1"/>
  <c r="BH12" i="2" s="1"/>
  <c r="BH13" i="2" s="1"/>
  <c r="BH14" i="2" s="1"/>
  <c r="BH15" i="2" s="1"/>
  <c r="BH16" i="2" s="1"/>
  <c r="BH17" i="2" s="1"/>
  <c r="BH18" i="2" s="1"/>
  <c r="BH19" i="2" s="1"/>
  <c r="BH20" i="2" s="1"/>
  <c r="BH21" i="2" s="1"/>
  <c r="BH22" i="2" s="1"/>
  <c r="BH23" i="2" s="1"/>
  <c r="BG4" i="2"/>
  <c r="BG5" i="2" s="1"/>
  <c r="BG6" i="2" s="1"/>
  <c r="BG7" i="2" s="1"/>
  <c r="BG8" i="2" s="1"/>
  <c r="BG9" i="2" s="1"/>
  <c r="BG10" i="2" s="1"/>
  <c r="BG11" i="2" s="1"/>
  <c r="BG12" i="2" s="1"/>
  <c r="BG13" i="2" s="1"/>
  <c r="BG14" i="2" s="1"/>
  <c r="BG15" i="2" s="1"/>
  <c r="BG16" i="2" s="1"/>
  <c r="BG17" i="2" s="1"/>
  <c r="BG18" i="2" s="1"/>
  <c r="BG19" i="2" s="1"/>
  <c r="BG20" i="2" s="1"/>
  <c r="BG21" i="2" s="1"/>
  <c r="BG22" i="2" s="1"/>
  <c r="BG23" i="2" s="1"/>
  <c r="BF4" i="2"/>
  <c r="BF5" i="2" s="1"/>
  <c r="BF6" i="2" s="1"/>
  <c r="BF7" i="2" s="1"/>
  <c r="BF8" i="2" s="1"/>
  <c r="BF9" i="2" s="1"/>
  <c r="BF10" i="2" s="1"/>
  <c r="BF11" i="2" s="1"/>
  <c r="BF12" i="2" s="1"/>
  <c r="BF13" i="2" s="1"/>
  <c r="BF14" i="2" s="1"/>
  <c r="BF15" i="2" s="1"/>
  <c r="BF16" i="2" s="1"/>
  <c r="BF17" i="2" s="1"/>
  <c r="BF18" i="2" s="1"/>
  <c r="BF19" i="2" s="1"/>
  <c r="BF20" i="2" s="1"/>
  <c r="BF21" i="2" s="1"/>
  <c r="BF22" i="2" s="1"/>
  <c r="BF23" i="2" s="1"/>
  <c r="BE4" i="2"/>
  <c r="BE5" i="2" s="1"/>
  <c r="BE6" i="2" s="1"/>
  <c r="BE7" i="2" s="1"/>
  <c r="BE8" i="2" s="1"/>
  <c r="BE9" i="2" s="1"/>
  <c r="BE10" i="2" s="1"/>
  <c r="BE11" i="2" s="1"/>
  <c r="BE12" i="2" s="1"/>
  <c r="BE13" i="2" s="1"/>
  <c r="BE14" i="2" s="1"/>
  <c r="BE15" i="2" s="1"/>
  <c r="BE16" i="2" s="1"/>
  <c r="BE17" i="2" s="1"/>
  <c r="BE18" i="2" s="1"/>
  <c r="BE19" i="2" s="1"/>
  <c r="BE20" i="2" s="1"/>
  <c r="BE21" i="2" s="1"/>
  <c r="BE22" i="2" s="1"/>
  <c r="BE23" i="2" s="1"/>
  <c r="BD4" i="2"/>
  <c r="BD5" i="2" s="1"/>
  <c r="BD6" i="2" s="1"/>
  <c r="BD7" i="2" s="1"/>
  <c r="BD8" i="2" s="1"/>
  <c r="BD9" i="2" s="1"/>
  <c r="BD10" i="2" s="1"/>
  <c r="BD11" i="2" s="1"/>
  <c r="BD12" i="2" s="1"/>
  <c r="BD13" i="2" s="1"/>
  <c r="BD14" i="2" s="1"/>
  <c r="BD15" i="2" s="1"/>
  <c r="BD16" i="2" s="1"/>
  <c r="BD17" i="2" s="1"/>
  <c r="BD18" i="2" s="1"/>
  <c r="BD19" i="2" s="1"/>
  <c r="BD20" i="2" s="1"/>
  <c r="BD21" i="2" s="1"/>
  <c r="BD22" i="2" s="1"/>
  <c r="BD23" i="2" s="1"/>
  <c r="BC4" i="2"/>
  <c r="BC5" i="2" s="1"/>
  <c r="BC6" i="2" s="1"/>
  <c r="BC7" i="2" s="1"/>
  <c r="BC8" i="2" s="1"/>
  <c r="BC9" i="2" s="1"/>
  <c r="BC10" i="2" s="1"/>
  <c r="BC11" i="2" s="1"/>
  <c r="BC12" i="2" s="1"/>
  <c r="BC13" i="2" s="1"/>
  <c r="BC14" i="2" s="1"/>
  <c r="BC15" i="2" s="1"/>
  <c r="BC16" i="2" s="1"/>
  <c r="BC17" i="2" s="1"/>
  <c r="BC18" i="2" s="1"/>
  <c r="BC19" i="2" s="1"/>
  <c r="BC20" i="2" s="1"/>
  <c r="BC21" i="2" s="1"/>
  <c r="BC22" i="2" s="1"/>
  <c r="BC23" i="2" s="1"/>
  <c r="BB4" i="2"/>
  <c r="BB5" i="2" s="1"/>
  <c r="BB6" i="2" s="1"/>
  <c r="BB7" i="2" s="1"/>
  <c r="BB8" i="2" s="1"/>
  <c r="BB9" i="2" s="1"/>
  <c r="BB10" i="2" s="1"/>
  <c r="BB11" i="2" s="1"/>
  <c r="BB12" i="2" s="1"/>
  <c r="BB13" i="2" s="1"/>
  <c r="BB14" i="2" s="1"/>
  <c r="BB15" i="2" s="1"/>
  <c r="BB16" i="2" s="1"/>
  <c r="BB17" i="2" s="1"/>
  <c r="BB18" i="2" s="1"/>
  <c r="BB19" i="2" s="1"/>
  <c r="BB20" i="2" s="1"/>
  <c r="BB21" i="2" s="1"/>
  <c r="BB22" i="2" s="1"/>
  <c r="BB23" i="2" s="1"/>
  <c r="BA4" i="2"/>
  <c r="BA5" i="2" s="1"/>
  <c r="BA6" i="2" s="1"/>
  <c r="BA7" i="2" s="1"/>
  <c r="BA8" i="2" s="1"/>
  <c r="BA9" i="2" s="1"/>
  <c r="BA10" i="2" s="1"/>
  <c r="BA11" i="2" s="1"/>
  <c r="BA12" i="2" s="1"/>
  <c r="BA13" i="2" s="1"/>
  <c r="BA14" i="2" s="1"/>
  <c r="BA15" i="2" s="1"/>
  <c r="BA16" i="2" s="1"/>
  <c r="BA17" i="2" s="1"/>
  <c r="BA18" i="2" s="1"/>
  <c r="BA19" i="2" s="1"/>
  <c r="BA20" i="2" s="1"/>
  <c r="BA21" i="2" s="1"/>
  <c r="BA22" i="2" s="1"/>
  <c r="BA23" i="2" s="1"/>
  <c r="AZ4" i="2"/>
  <c r="AZ5" i="2" s="1"/>
  <c r="AZ6" i="2" s="1"/>
  <c r="AZ7" i="2" s="1"/>
  <c r="AZ8" i="2" s="1"/>
  <c r="AZ9" i="2" s="1"/>
  <c r="AZ10" i="2" s="1"/>
  <c r="AZ11" i="2" s="1"/>
  <c r="AZ12" i="2" s="1"/>
  <c r="AZ13" i="2" s="1"/>
  <c r="AZ14" i="2" s="1"/>
  <c r="AZ15" i="2" s="1"/>
  <c r="AZ16" i="2" s="1"/>
  <c r="AZ17" i="2" s="1"/>
  <c r="AZ18" i="2" s="1"/>
  <c r="AZ19" i="2" s="1"/>
  <c r="AZ20" i="2" s="1"/>
  <c r="AZ21" i="2" s="1"/>
  <c r="AZ22" i="2" s="1"/>
  <c r="AZ23" i="2" s="1"/>
  <c r="AY4" i="2"/>
  <c r="AY5" i="2" s="1"/>
  <c r="AY6" i="2" s="1"/>
  <c r="AY7" i="2" s="1"/>
  <c r="AY8" i="2" s="1"/>
  <c r="AY9" i="2" s="1"/>
  <c r="AY10" i="2" s="1"/>
  <c r="AY11" i="2" s="1"/>
  <c r="AY12" i="2" s="1"/>
  <c r="AY13" i="2" s="1"/>
  <c r="AY14" i="2" s="1"/>
  <c r="AY15" i="2" s="1"/>
  <c r="AY16" i="2" s="1"/>
  <c r="AY17" i="2" s="1"/>
  <c r="AY18" i="2" s="1"/>
  <c r="AY19" i="2" s="1"/>
  <c r="AY20" i="2" s="1"/>
  <c r="AY21" i="2" s="1"/>
  <c r="AY22" i="2" s="1"/>
  <c r="AY23" i="2" s="1"/>
  <c r="AX4" i="2"/>
  <c r="AX5" i="2" s="1"/>
  <c r="AX6" i="2" s="1"/>
  <c r="AX7" i="2" s="1"/>
  <c r="AX8" i="2" s="1"/>
  <c r="AX9" i="2" s="1"/>
  <c r="AX10" i="2" s="1"/>
  <c r="AX11" i="2" s="1"/>
  <c r="AX12" i="2" s="1"/>
  <c r="AX13" i="2" s="1"/>
  <c r="AX14" i="2" s="1"/>
  <c r="AX15" i="2" s="1"/>
  <c r="AX16" i="2" s="1"/>
  <c r="AX17" i="2" s="1"/>
  <c r="AX18" i="2" s="1"/>
  <c r="AX19" i="2" s="1"/>
  <c r="AX20" i="2" s="1"/>
  <c r="AX21" i="2" s="1"/>
  <c r="AX22" i="2" s="1"/>
  <c r="AX23" i="2" s="1"/>
  <c r="AW4" i="2"/>
  <c r="AW5" i="2" s="1"/>
  <c r="AW6" i="2" s="1"/>
  <c r="AW7" i="2" s="1"/>
  <c r="AW8" i="2" s="1"/>
  <c r="AW9" i="2" s="1"/>
  <c r="AW10" i="2" s="1"/>
  <c r="AW11" i="2" s="1"/>
  <c r="AW12" i="2" s="1"/>
  <c r="AW13" i="2" s="1"/>
  <c r="AW14" i="2" s="1"/>
  <c r="AW15" i="2" s="1"/>
  <c r="AW16" i="2" s="1"/>
  <c r="AW17" i="2" s="1"/>
  <c r="AW18" i="2" s="1"/>
  <c r="AW19" i="2" s="1"/>
  <c r="AW20" i="2" s="1"/>
  <c r="AW21" i="2" s="1"/>
  <c r="AW22" i="2" s="1"/>
  <c r="AW23" i="2" s="1"/>
  <c r="AV4" i="2"/>
  <c r="AV5" i="2" s="1"/>
  <c r="AV6" i="2" s="1"/>
  <c r="AV7" i="2" s="1"/>
  <c r="AV8" i="2" s="1"/>
  <c r="AV9" i="2" s="1"/>
  <c r="AV10" i="2" s="1"/>
  <c r="AV11" i="2" s="1"/>
  <c r="AV12" i="2" s="1"/>
  <c r="AV13" i="2" s="1"/>
  <c r="AV14" i="2" s="1"/>
  <c r="AV15" i="2" s="1"/>
  <c r="AV16" i="2" s="1"/>
  <c r="AV17" i="2" s="1"/>
  <c r="AV18" i="2" s="1"/>
  <c r="AV19" i="2" s="1"/>
  <c r="AV20" i="2" s="1"/>
  <c r="AV21" i="2" s="1"/>
  <c r="AV22" i="2" s="1"/>
  <c r="AV23" i="2" s="1"/>
  <c r="AU4" i="2"/>
  <c r="AU5" i="2" s="1"/>
  <c r="AU6" i="2" s="1"/>
  <c r="AU7" i="2" s="1"/>
  <c r="AU8" i="2" s="1"/>
  <c r="AU9" i="2" s="1"/>
  <c r="AU10" i="2" s="1"/>
  <c r="AU11" i="2" s="1"/>
  <c r="AU12" i="2" s="1"/>
  <c r="AU13" i="2" s="1"/>
  <c r="AU14" i="2" s="1"/>
  <c r="AU15" i="2" s="1"/>
  <c r="AU16" i="2" s="1"/>
  <c r="AU17" i="2" s="1"/>
  <c r="AU18" i="2" s="1"/>
  <c r="AU19" i="2" s="1"/>
  <c r="AU20" i="2" s="1"/>
  <c r="AU21" i="2" s="1"/>
  <c r="AU22" i="2" s="1"/>
  <c r="AU23" i="2" s="1"/>
  <c r="AT4" i="2"/>
  <c r="AT5" i="2" s="1"/>
  <c r="AT6" i="2" s="1"/>
  <c r="AT7" i="2" s="1"/>
  <c r="AT8" i="2" s="1"/>
  <c r="AT9" i="2" s="1"/>
  <c r="AT10" i="2" s="1"/>
  <c r="AT11" i="2" s="1"/>
  <c r="AT12" i="2" s="1"/>
  <c r="AT13" i="2" s="1"/>
  <c r="AT14" i="2" s="1"/>
  <c r="AT15" i="2" s="1"/>
  <c r="AT16" i="2" s="1"/>
  <c r="AT17" i="2" s="1"/>
  <c r="AT18" i="2" s="1"/>
  <c r="AT19" i="2" s="1"/>
  <c r="AT20" i="2" s="1"/>
  <c r="AT21" i="2" s="1"/>
  <c r="AT22" i="2" s="1"/>
  <c r="AT23" i="2" s="1"/>
  <c r="AS4" i="2"/>
  <c r="AS5" i="2" s="1"/>
  <c r="AS6" i="2" s="1"/>
  <c r="AS7" i="2" s="1"/>
  <c r="AS8" i="2" s="1"/>
  <c r="AS9" i="2" s="1"/>
  <c r="AS10" i="2" s="1"/>
  <c r="AS11" i="2" s="1"/>
  <c r="AS12" i="2" s="1"/>
  <c r="AS13" i="2" s="1"/>
  <c r="AS14" i="2" s="1"/>
  <c r="AS15" i="2" s="1"/>
  <c r="AS16" i="2" s="1"/>
  <c r="AS17" i="2" s="1"/>
  <c r="AS18" i="2" s="1"/>
  <c r="AS19" i="2" s="1"/>
  <c r="AS20" i="2" s="1"/>
  <c r="AS21" i="2" s="1"/>
  <c r="AS22" i="2" s="1"/>
  <c r="AS23" i="2" s="1"/>
  <c r="AR4" i="2"/>
  <c r="AR5" i="2" s="1"/>
  <c r="AR6" i="2" s="1"/>
  <c r="AR7" i="2" s="1"/>
  <c r="AR8" i="2" s="1"/>
  <c r="AR9" i="2" s="1"/>
  <c r="AR10" i="2" s="1"/>
  <c r="AR11" i="2" s="1"/>
  <c r="AR12" i="2" s="1"/>
  <c r="AR13" i="2" s="1"/>
  <c r="AR14" i="2" s="1"/>
  <c r="AR15" i="2" s="1"/>
  <c r="AR16" i="2" s="1"/>
  <c r="AR17" i="2" s="1"/>
  <c r="AR18" i="2" s="1"/>
  <c r="AR19" i="2" s="1"/>
  <c r="AR20" i="2" s="1"/>
  <c r="AR21" i="2" s="1"/>
  <c r="AR22" i="2" s="1"/>
  <c r="AR23" i="2" s="1"/>
  <c r="AQ4" i="2"/>
  <c r="AQ5" i="2" s="1"/>
  <c r="AQ6" i="2" s="1"/>
  <c r="AQ7" i="2" s="1"/>
  <c r="AQ8" i="2" s="1"/>
  <c r="AQ9" i="2" s="1"/>
  <c r="AQ10" i="2" s="1"/>
  <c r="AQ11" i="2" s="1"/>
  <c r="AQ12" i="2" s="1"/>
  <c r="AQ13" i="2" s="1"/>
  <c r="AQ14" i="2" s="1"/>
  <c r="AQ15" i="2" s="1"/>
  <c r="AQ16" i="2" s="1"/>
  <c r="AQ17" i="2" s="1"/>
  <c r="AQ18" i="2" s="1"/>
  <c r="AQ19" i="2" s="1"/>
  <c r="AQ20" i="2" s="1"/>
  <c r="AQ21" i="2" s="1"/>
  <c r="AQ22" i="2" s="1"/>
  <c r="AQ23" i="2" s="1"/>
  <c r="AP4" i="2"/>
  <c r="AP5" i="2" s="1"/>
  <c r="AP6" i="2" s="1"/>
  <c r="AP7" i="2" s="1"/>
  <c r="AP8" i="2" s="1"/>
  <c r="AP9" i="2" s="1"/>
  <c r="AP10" i="2" s="1"/>
  <c r="AP11" i="2" s="1"/>
  <c r="AP12" i="2" s="1"/>
  <c r="AP13" i="2" s="1"/>
  <c r="AP14" i="2" s="1"/>
  <c r="AP15" i="2" s="1"/>
  <c r="AP16" i="2" s="1"/>
  <c r="AP17" i="2" s="1"/>
  <c r="AP18" i="2" s="1"/>
  <c r="AP19" i="2" s="1"/>
  <c r="AP20" i="2" s="1"/>
  <c r="AP21" i="2" s="1"/>
  <c r="AP22" i="2" s="1"/>
  <c r="AP23" i="2" s="1"/>
  <c r="AO4" i="2"/>
  <c r="AO5" i="2" s="1"/>
  <c r="AO6" i="2" s="1"/>
  <c r="AO7" i="2" s="1"/>
  <c r="AO8" i="2" s="1"/>
  <c r="AO9" i="2" s="1"/>
  <c r="AO10" i="2" s="1"/>
  <c r="AO11" i="2" s="1"/>
  <c r="AO12" i="2" s="1"/>
  <c r="AO13" i="2" s="1"/>
  <c r="AO14" i="2" s="1"/>
  <c r="AO15" i="2" s="1"/>
  <c r="AO16" i="2" s="1"/>
  <c r="AO17" i="2" s="1"/>
  <c r="AO18" i="2" s="1"/>
  <c r="AO19" i="2" s="1"/>
  <c r="AO20" i="2" s="1"/>
  <c r="AO21" i="2" s="1"/>
  <c r="AO22" i="2" s="1"/>
  <c r="AO23" i="2" s="1"/>
  <c r="AN4" i="2"/>
  <c r="AN5" i="2" s="1"/>
  <c r="AN6" i="2" s="1"/>
  <c r="AN7" i="2" s="1"/>
  <c r="AN8" i="2" s="1"/>
  <c r="AN9" i="2" s="1"/>
  <c r="AN10" i="2" s="1"/>
  <c r="AN11" i="2" s="1"/>
  <c r="AN12" i="2" s="1"/>
  <c r="AN13" i="2" s="1"/>
  <c r="AN14" i="2" s="1"/>
  <c r="AN15" i="2" s="1"/>
  <c r="AN16" i="2" s="1"/>
  <c r="AN17" i="2" s="1"/>
  <c r="AN18" i="2" s="1"/>
  <c r="AN19" i="2" s="1"/>
  <c r="AN20" i="2" s="1"/>
  <c r="AN21" i="2" s="1"/>
  <c r="AN22" i="2" s="1"/>
  <c r="AN23" i="2" s="1"/>
  <c r="AM4" i="2"/>
  <c r="AM5" i="2" s="1"/>
  <c r="AM6" i="2" s="1"/>
  <c r="AM7" i="2" s="1"/>
  <c r="AM8" i="2" s="1"/>
  <c r="AM9" i="2" s="1"/>
  <c r="AM10" i="2" s="1"/>
  <c r="AM11" i="2" s="1"/>
  <c r="AM12" i="2" s="1"/>
  <c r="AM13" i="2" s="1"/>
  <c r="AM14" i="2" s="1"/>
  <c r="AM15" i="2" s="1"/>
  <c r="AM16" i="2" s="1"/>
  <c r="AM17" i="2" s="1"/>
  <c r="AM18" i="2" s="1"/>
  <c r="AM19" i="2" s="1"/>
  <c r="AM20" i="2" s="1"/>
  <c r="AM21" i="2" s="1"/>
  <c r="AM22" i="2" s="1"/>
  <c r="AM23" i="2" s="1"/>
  <c r="AL4" i="2"/>
  <c r="AL5" i="2" s="1"/>
  <c r="AL6" i="2" s="1"/>
  <c r="AL7" i="2" s="1"/>
  <c r="AL8" i="2" s="1"/>
  <c r="AL9" i="2" s="1"/>
  <c r="AL10" i="2" s="1"/>
  <c r="AL11" i="2" s="1"/>
  <c r="AL12" i="2" s="1"/>
  <c r="AL13" i="2" s="1"/>
  <c r="AL14" i="2" s="1"/>
  <c r="AL15" i="2" s="1"/>
  <c r="AL16" i="2" s="1"/>
  <c r="AL17" i="2" s="1"/>
  <c r="AL18" i="2" s="1"/>
  <c r="AL19" i="2" s="1"/>
  <c r="AL20" i="2" s="1"/>
  <c r="AL21" i="2" s="1"/>
  <c r="AL22" i="2" s="1"/>
  <c r="AL23" i="2" s="1"/>
  <c r="AK4" i="2"/>
  <c r="AK5" i="2" s="1"/>
  <c r="AK6" i="2" s="1"/>
  <c r="AK7" i="2" s="1"/>
  <c r="AK8" i="2" s="1"/>
  <c r="AK9" i="2" s="1"/>
  <c r="AK10" i="2" s="1"/>
  <c r="AK11" i="2" s="1"/>
  <c r="AK12" i="2" s="1"/>
  <c r="AK13" i="2" s="1"/>
  <c r="AK14" i="2" s="1"/>
  <c r="AK15" i="2" s="1"/>
  <c r="AK16" i="2" s="1"/>
  <c r="AK17" i="2" s="1"/>
  <c r="AK18" i="2" s="1"/>
  <c r="AK19" i="2" s="1"/>
  <c r="AK20" i="2" s="1"/>
  <c r="AK21" i="2" s="1"/>
  <c r="AK22" i="2" s="1"/>
  <c r="AK23" i="2" s="1"/>
  <c r="AJ4" i="2"/>
  <c r="AJ5" i="2" s="1"/>
  <c r="AJ6" i="2" s="1"/>
  <c r="AJ7" i="2" s="1"/>
  <c r="AJ8" i="2" s="1"/>
  <c r="AJ9" i="2" s="1"/>
  <c r="AJ10" i="2" s="1"/>
  <c r="AJ11" i="2" s="1"/>
  <c r="AJ12" i="2" s="1"/>
  <c r="AJ13" i="2" s="1"/>
  <c r="AJ14" i="2" s="1"/>
  <c r="AJ15" i="2" s="1"/>
  <c r="AJ16" i="2" s="1"/>
  <c r="AJ17" i="2" s="1"/>
  <c r="AJ18" i="2" s="1"/>
  <c r="AJ19" i="2" s="1"/>
  <c r="AJ20" i="2" s="1"/>
  <c r="AJ21" i="2" s="1"/>
  <c r="AJ22" i="2" s="1"/>
  <c r="AJ23" i="2" s="1"/>
  <c r="AI4" i="2"/>
  <c r="AI5" i="2" s="1"/>
  <c r="AI6" i="2" s="1"/>
  <c r="AI7" i="2" s="1"/>
  <c r="AI8" i="2" s="1"/>
  <c r="AI9" i="2" s="1"/>
  <c r="AI10" i="2" s="1"/>
  <c r="AI11" i="2" s="1"/>
  <c r="AI12" i="2" s="1"/>
  <c r="AI13" i="2" s="1"/>
  <c r="AI14" i="2" s="1"/>
  <c r="AI15" i="2" s="1"/>
  <c r="AI16" i="2" s="1"/>
  <c r="AI17" i="2" s="1"/>
  <c r="AI18" i="2" s="1"/>
  <c r="AI19" i="2" s="1"/>
  <c r="AI20" i="2" s="1"/>
  <c r="AI21" i="2" s="1"/>
  <c r="AI22" i="2" s="1"/>
  <c r="AI23" i="2" s="1"/>
  <c r="AH4" i="2"/>
  <c r="AH5" i="2" s="1"/>
  <c r="AH6" i="2" s="1"/>
  <c r="AH7" i="2" s="1"/>
  <c r="AH8" i="2" s="1"/>
  <c r="AH9" i="2" s="1"/>
  <c r="AH10" i="2" s="1"/>
  <c r="AH11" i="2" s="1"/>
  <c r="AH12" i="2" s="1"/>
  <c r="AH13" i="2" s="1"/>
  <c r="AH14" i="2" s="1"/>
  <c r="AH15" i="2" s="1"/>
  <c r="AH16" i="2" s="1"/>
  <c r="AH17" i="2" s="1"/>
  <c r="AH18" i="2" s="1"/>
  <c r="AH19" i="2" s="1"/>
  <c r="AH20" i="2" s="1"/>
  <c r="AH21" i="2" s="1"/>
  <c r="AH22" i="2" s="1"/>
  <c r="AH23" i="2" s="1"/>
  <c r="AG4" i="2"/>
  <c r="AG5" i="2" s="1"/>
  <c r="AG6" i="2" s="1"/>
  <c r="AG7" i="2" s="1"/>
  <c r="AG8" i="2" s="1"/>
  <c r="AG9" i="2" s="1"/>
  <c r="AG10" i="2" s="1"/>
  <c r="AG11" i="2" s="1"/>
  <c r="AG12" i="2" s="1"/>
  <c r="AG13" i="2" s="1"/>
  <c r="AG14" i="2" s="1"/>
  <c r="AG15" i="2" s="1"/>
  <c r="AG16" i="2" s="1"/>
  <c r="AG17" i="2" s="1"/>
  <c r="AG18" i="2" s="1"/>
  <c r="AG19" i="2" s="1"/>
  <c r="AG20" i="2" s="1"/>
  <c r="AG21" i="2" s="1"/>
  <c r="AG22" i="2" s="1"/>
  <c r="AG23" i="2" s="1"/>
  <c r="AF4" i="2"/>
  <c r="AF5" i="2" s="1"/>
  <c r="AF6" i="2" s="1"/>
  <c r="AF7" i="2" s="1"/>
  <c r="AF8" i="2" s="1"/>
  <c r="AF9" i="2" s="1"/>
  <c r="AF10" i="2" s="1"/>
  <c r="AF11" i="2" s="1"/>
  <c r="AF12" i="2" s="1"/>
  <c r="AF13" i="2" s="1"/>
  <c r="AF14" i="2" s="1"/>
  <c r="AF15" i="2" s="1"/>
  <c r="AF16" i="2" s="1"/>
  <c r="AF17" i="2" s="1"/>
  <c r="AF18" i="2" s="1"/>
  <c r="AF19" i="2" s="1"/>
  <c r="AF20" i="2" s="1"/>
  <c r="AF21" i="2" s="1"/>
  <c r="AF22" i="2" s="1"/>
  <c r="AF23" i="2" s="1"/>
  <c r="AE4" i="2"/>
  <c r="AE5" i="2" s="1"/>
  <c r="AE6" i="2" s="1"/>
  <c r="AE7" i="2" s="1"/>
  <c r="AE8" i="2" s="1"/>
  <c r="AE9" i="2" s="1"/>
  <c r="AE10" i="2" s="1"/>
  <c r="AE11" i="2" s="1"/>
  <c r="AE12" i="2" s="1"/>
  <c r="AE13" i="2" s="1"/>
  <c r="AE14" i="2" s="1"/>
  <c r="AE15" i="2" s="1"/>
  <c r="AE16" i="2" s="1"/>
  <c r="AE17" i="2" s="1"/>
  <c r="AE18" i="2" s="1"/>
  <c r="AE19" i="2" s="1"/>
  <c r="AE20" i="2" s="1"/>
  <c r="AE21" i="2" s="1"/>
  <c r="AE22" i="2" s="1"/>
  <c r="AE23" i="2" s="1"/>
  <c r="AD4" i="2"/>
  <c r="AD5" i="2" s="1"/>
  <c r="AD6" i="2" s="1"/>
  <c r="AD7" i="2" s="1"/>
  <c r="AD8" i="2" s="1"/>
  <c r="AD9" i="2" s="1"/>
  <c r="AD10" i="2" s="1"/>
  <c r="AD11" i="2" s="1"/>
  <c r="AD12" i="2" s="1"/>
  <c r="AD13" i="2" s="1"/>
  <c r="AD14" i="2" s="1"/>
  <c r="AD15" i="2" s="1"/>
  <c r="AD16" i="2" s="1"/>
  <c r="AD17" i="2" s="1"/>
  <c r="AD18" i="2" s="1"/>
  <c r="AD19" i="2" s="1"/>
  <c r="AD20" i="2" s="1"/>
  <c r="AD21" i="2" s="1"/>
  <c r="AD22" i="2" s="1"/>
  <c r="AD23" i="2" s="1"/>
  <c r="AC4" i="2"/>
  <c r="AC5" i="2" s="1"/>
  <c r="AC6" i="2" s="1"/>
  <c r="AC7" i="2" s="1"/>
  <c r="AC8" i="2" s="1"/>
  <c r="AC9" i="2" s="1"/>
  <c r="AC10" i="2" s="1"/>
  <c r="AC11" i="2" s="1"/>
  <c r="AC12" i="2" s="1"/>
  <c r="AC13" i="2" s="1"/>
  <c r="AC14" i="2" s="1"/>
  <c r="AC15" i="2" s="1"/>
  <c r="AC16" i="2" s="1"/>
  <c r="AC17" i="2" s="1"/>
  <c r="AC18" i="2" s="1"/>
  <c r="AC19" i="2" s="1"/>
  <c r="AC20" i="2" s="1"/>
  <c r="AC21" i="2" s="1"/>
  <c r="AC22" i="2" s="1"/>
  <c r="AC23" i="2" s="1"/>
  <c r="AB4" i="2"/>
  <c r="AB5" i="2" s="1"/>
  <c r="AB6" i="2" s="1"/>
  <c r="AB7" i="2" s="1"/>
  <c r="AB8" i="2" s="1"/>
  <c r="AB9" i="2" s="1"/>
  <c r="AB10" i="2" s="1"/>
  <c r="AB11" i="2" s="1"/>
  <c r="AB12" i="2" s="1"/>
  <c r="AB13" i="2" s="1"/>
  <c r="AB14" i="2" s="1"/>
  <c r="AB15" i="2" s="1"/>
  <c r="AB16" i="2" s="1"/>
  <c r="AB17" i="2" s="1"/>
  <c r="AB18" i="2" s="1"/>
  <c r="AB19" i="2" s="1"/>
  <c r="AB20" i="2" s="1"/>
  <c r="AB21" i="2" s="1"/>
  <c r="AB22" i="2" s="1"/>
  <c r="AB23" i="2" s="1"/>
  <c r="AA4" i="2"/>
  <c r="AA5" i="2" s="1"/>
  <c r="AA6" i="2" s="1"/>
  <c r="AA7" i="2" s="1"/>
  <c r="AA8" i="2" s="1"/>
  <c r="AA9" i="2" s="1"/>
  <c r="AA10" i="2" s="1"/>
  <c r="AA11" i="2" s="1"/>
  <c r="AA12" i="2" s="1"/>
  <c r="AA13" i="2" s="1"/>
  <c r="AA14" i="2" s="1"/>
  <c r="AA15" i="2" s="1"/>
  <c r="AA16" i="2" s="1"/>
  <c r="AA17" i="2" s="1"/>
  <c r="AA18" i="2" s="1"/>
  <c r="AA19" i="2" s="1"/>
  <c r="AA20" i="2" s="1"/>
  <c r="AA21" i="2" s="1"/>
  <c r="AA22" i="2" s="1"/>
  <c r="AA23" i="2" s="1"/>
  <c r="Z4" i="2"/>
  <c r="Z5" i="2" s="1"/>
  <c r="Z6" i="2" s="1"/>
  <c r="Z7" i="2" s="1"/>
  <c r="Z8" i="2" s="1"/>
  <c r="Z9" i="2" s="1"/>
  <c r="Z10" i="2" s="1"/>
  <c r="Z11" i="2" s="1"/>
  <c r="Z12" i="2" s="1"/>
  <c r="Z13" i="2" s="1"/>
  <c r="Z14" i="2" s="1"/>
  <c r="Z15" i="2" s="1"/>
  <c r="Z16" i="2" s="1"/>
  <c r="Z17" i="2" s="1"/>
  <c r="Z18" i="2" s="1"/>
  <c r="Z19" i="2" s="1"/>
  <c r="Z20" i="2" s="1"/>
  <c r="Z21" i="2" s="1"/>
  <c r="Z22" i="2" s="1"/>
  <c r="Z23" i="2" s="1"/>
  <c r="Y4" i="2"/>
  <c r="Y5" i="2" s="1"/>
  <c r="Y6" i="2" s="1"/>
  <c r="Y7" i="2" s="1"/>
  <c r="Y8" i="2" s="1"/>
  <c r="Y9" i="2" s="1"/>
  <c r="Y10" i="2" s="1"/>
  <c r="Y11" i="2" s="1"/>
  <c r="Y12" i="2" s="1"/>
  <c r="Y13" i="2" s="1"/>
  <c r="Y14" i="2" s="1"/>
  <c r="Y15" i="2" s="1"/>
  <c r="Y16" i="2" s="1"/>
  <c r="Y17" i="2" s="1"/>
  <c r="Y18" i="2" s="1"/>
  <c r="Y19" i="2" s="1"/>
  <c r="Y20" i="2" s="1"/>
  <c r="Y21" i="2" s="1"/>
  <c r="Y22" i="2" s="1"/>
  <c r="Y23" i="2" s="1"/>
  <c r="X4" i="2"/>
  <c r="X5" i="2" s="1"/>
  <c r="X6" i="2" s="1"/>
  <c r="X7" i="2" s="1"/>
  <c r="X8" i="2" s="1"/>
  <c r="X9" i="2" s="1"/>
  <c r="X10" i="2" s="1"/>
  <c r="X11" i="2" s="1"/>
  <c r="X12" i="2" s="1"/>
  <c r="X13" i="2" s="1"/>
  <c r="X14" i="2" s="1"/>
  <c r="X15" i="2" s="1"/>
  <c r="X16" i="2" s="1"/>
  <c r="X17" i="2" s="1"/>
  <c r="X18" i="2" s="1"/>
  <c r="X19" i="2" s="1"/>
  <c r="X20" i="2" s="1"/>
  <c r="X21" i="2" s="1"/>
  <c r="X22" i="2" s="1"/>
  <c r="X23" i="2" s="1"/>
  <c r="W4" i="2"/>
  <c r="W5" i="2" s="1"/>
  <c r="W6" i="2" s="1"/>
  <c r="W7" i="2" s="1"/>
  <c r="W8" i="2" s="1"/>
  <c r="W9" i="2" s="1"/>
  <c r="W10" i="2" s="1"/>
  <c r="W11" i="2" s="1"/>
  <c r="W12" i="2" s="1"/>
  <c r="W13" i="2" s="1"/>
  <c r="W14" i="2" s="1"/>
  <c r="W15" i="2" s="1"/>
  <c r="W16" i="2" s="1"/>
  <c r="W17" i="2" s="1"/>
  <c r="W18" i="2" s="1"/>
  <c r="W19" i="2" s="1"/>
  <c r="W20" i="2" s="1"/>
  <c r="W21" i="2" s="1"/>
  <c r="W22" i="2" s="1"/>
  <c r="W23" i="2" s="1"/>
  <c r="V4" i="2"/>
  <c r="V5" i="2" s="1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U4" i="2"/>
  <c r="U5" i="2" s="1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T4" i="2"/>
  <c r="T5" i="2" s="1"/>
  <c r="T6" i="2" s="1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S4" i="2"/>
  <c r="S5" i="2" s="1"/>
  <c r="S6" i="2" s="1"/>
  <c r="S7" i="2" s="1"/>
  <c r="S8" i="2" s="1"/>
  <c r="S9" i="2" s="1"/>
  <c r="S10" i="2" s="1"/>
  <c r="S11" i="2" s="1"/>
  <c r="S12" i="2" s="1"/>
  <c r="S13" i="2" s="1"/>
  <c r="S14" i="2" s="1"/>
  <c r="S15" i="2" s="1"/>
  <c r="S16" i="2" s="1"/>
  <c r="S17" i="2" s="1"/>
  <c r="S18" i="2" s="1"/>
  <c r="S19" i="2" s="1"/>
  <c r="S20" i="2" s="1"/>
  <c r="S21" i="2" s="1"/>
  <c r="S22" i="2" s="1"/>
  <c r="S23" i="2" s="1"/>
  <c r="R4" i="2"/>
  <c r="R5" i="2" s="1"/>
  <c r="R6" i="2" s="1"/>
  <c r="R7" i="2" s="1"/>
  <c r="R8" i="2" s="1"/>
  <c r="R9" i="2" s="1"/>
  <c r="R10" i="2" s="1"/>
  <c r="R11" i="2" s="1"/>
  <c r="R12" i="2" s="1"/>
  <c r="R13" i="2" s="1"/>
  <c r="R14" i="2" s="1"/>
  <c r="R15" i="2" s="1"/>
  <c r="R16" i="2" s="1"/>
  <c r="R17" i="2" s="1"/>
  <c r="R18" i="2" s="1"/>
  <c r="R19" i="2" s="1"/>
  <c r="R20" i="2" s="1"/>
  <c r="R21" i="2" s="1"/>
  <c r="R22" i="2" s="1"/>
  <c r="R23" i="2" s="1"/>
  <c r="Q4" i="2"/>
  <c r="Q5" i="2" s="1"/>
  <c r="Q6" i="2" s="1"/>
  <c r="Q7" i="2" s="1"/>
  <c r="Q8" i="2" s="1"/>
  <c r="Q9" i="2" s="1"/>
  <c r="Q10" i="2" s="1"/>
  <c r="Q11" i="2" s="1"/>
  <c r="Q12" i="2" s="1"/>
  <c r="Q13" i="2" s="1"/>
  <c r="Q14" i="2" s="1"/>
  <c r="Q15" i="2" s="1"/>
  <c r="Q16" i="2" s="1"/>
  <c r="Q17" i="2" s="1"/>
  <c r="Q18" i="2" s="1"/>
  <c r="Q19" i="2" s="1"/>
  <c r="Q20" i="2" s="1"/>
  <c r="Q21" i="2" s="1"/>
  <c r="Q22" i="2" s="1"/>
  <c r="Q23" i="2" s="1"/>
  <c r="P4" i="2"/>
  <c r="P5" i="2" s="1"/>
  <c r="P6" i="2" s="1"/>
  <c r="P7" i="2" s="1"/>
  <c r="P8" i="2" s="1"/>
  <c r="P9" i="2" s="1"/>
  <c r="P10" i="2" s="1"/>
  <c r="P11" i="2" s="1"/>
  <c r="P12" i="2" s="1"/>
  <c r="P13" i="2" s="1"/>
  <c r="P14" i="2" s="1"/>
  <c r="P15" i="2" s="1"/>
  <c r="P16" i="2" s="1"/>
  <c r="P17" i="2" s="1"/>
  <c r="P18" i="2" s="1"/>
  <c r="P19" i="2" s="1"/>
  <c r="P20" i="2" s="1"/>
  <c r="P21" i="2" s="1"/>
  <c r="P22" i="2" s="1"/>
  <c r="P23" i="2" s="1"/>
  <c r="O4" i="2"/>
  <c r="O5" i="2" s="1"/>
  <c r="O6" i="2" s="1"/>
  <c r="O7" i="2" s="1"/>
  <c r="O8" i="2" s="1"/>
  <c r="O9" i="2" s="1"/>
  <c r="O10" i="2" s="1"/>
  <c r="O11" i="2" s="1"/>
  <c r="O12" i="2" s="1"/>
  <c r="O13" i="2" s="1"/>
  <c r="O14" i="2" s="1"/>
  <c r="O15" i="2" s="1"/>
  <c r="O16" i="2" s="1"/>
  <c r="O17" i="2" s="1"/>
  <c r="O18" i="2" s="1"/>
  <c r="O19" i="2" s="1"/>
  <c r="O20" i="2" s="1"/>
  <c r="O21" i="2" s="1"/>
  <c r="O22" i="2" s="1"/>
  <c r="O23" i="2" s="1"/>
  <c r="N4" i="2"/>
  <c r="N5" i="2" s="1"/>
  <c r="N6" i="2" s="1"/>
  <c r="N7" i="2" s="1"/>
  <c r="N8" i="2" s="1"/>
  <c r="N9" i="2" s="1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M4" i="2"/>
  <c r="M5" i="2" s="1"/>
  <c r="M6" i="2" s="1"/>
  <c r="M7" i="2" s="1"/>
  <c r="M8" i="2" s="1"/>
  <c r="M9" i="2" s="1"/>
  <c r="M10" i="2" s="1"/>
  <c r="M11" i="2" s="1"/>
  <c r="M12" i="2" s="1"/>
  <c r="M13" i="2" s="1"/>
  <c r="M14" i="2" s="1"/>
  <c r="M15" i="2" s="1"/>
  <c r="M16" i="2" s="1"/>
  <c r="M17" i="2" s="1"/>
  <c r="M18" i="2" s="1"/>
  <c r="M19" i="2" s="1"/>
  <c r="M20" i="2" s="1"/>
  <c r="M21" i="2" s="1"/>
  <c r="M22" i="2" s="1"/>
  <c r="M23" i="2" s="1"/>
  <c r="L4" i="2"/>
  <c r="L5" i="2" s="1"/>
  <c r="L6" i="2" s="1"/>
  <c r="L7" i="2" s="1"/>
  <c r="L8" i="2" s="1"/>
  <c r="L9" i="2" s="1"/>
  <c r="L10" i="2" s="1"/>
  <c r="L11" i="2" s="1"/>
  <c r="L12" i="2" s="1"/>
  <c r="L13" i="2" s="1"/>
  <c r="L14" i="2" s="1"/>
  <c r="L15" i="2" s="1"/>
  <c r="L16" i="2" s="1"/>
  <c r="L17" i="2" s="1"/>
  <c r="L18" i="2" s="1"/>
  <c r="L19" i="2" s="1"/>
  <c r="L20" i="2" s="1"/>
  <c r="L21" i="2" s="1"/>
  <c r="L22" i="2" s="1"/>
  <c r="L23" i="2" s="1"/>
  <c r="K4" i="2"/>
  <c r="K5" i="2" s="1"/>
  <c r="K6" i="2" s="1"/>
  <c r="K7" i="2" s="1"/>
  <c r="K8" i="2" s="1"/>
  <c r="K9" i="2" s="1"/>
  <c r="K10" i="2" s="1"/>
  <c r="K11" i="2" s="1"/>
  <c r="K12" i="2" s="1"/>
  <c r="K13" i="2" s="1"/>
  <c r="K14" i="2" s="1"/>
  <c r="K15" i="2" s="1"/>
  <c r="K16" i="2" s="1"/>
  <c r="K17" i="2" s="1"/>
  <c r="K18" i="2" s="1"/>
  <c r="K19" i="2" s="1"/>
  <c r="K20" i="2" s="1"/>
  <c r="K21" i="2" s="1"/>
  <c r="K22" i="2" s="1"/>
  <c r="K23" i="2" s="1"/>
  <c r="ALV3" i="2"/>
  <c r="ALU3" i="2"/>
  <c r="ALT3" i="2"/>
  <c r="ALS3" i="2"/>
  <c r="ALR3" i="2"/>
  <c r="ALQ3" i="2"/>
  <c r="ALP3" i="2"/>
  <c r="ALO3" i="2"/>
  <c r="ALN3" i="2"/>
  <c r="ALM3" i="2"/>
  <c r="ALL3" i="2"/>
  <c r="ALK3" i="2"/>
  <c r="ALJ3" i="2"/>
  <c r="ALI3" i="2"/>
  <c r="ALH3" i="2"/>
  <c r="ALG3" i="2"/>
  <c r="ALF3" i="2"/>
  <c r="ALE3" i="2"/>
  <c r="ALD3" i="2"/>
  <c r="ALC3" i="2"/>
  <c r="ALB3" i="2"/>
  <c r="ALA3" i="2"/>
  <c r="AKZ3" i="2"/>
  <c r="AKY3" i="2"/>
  <c r="AKX3" i="2"/>
  <c r="AKW3" i="2"/>
  <c r="AKV3" i="2"/>
  <c r="AKU3" i="2"/>
  <c r="AKT3" i="2"/>
  <c r="AKS3" i="2"/>
  <c r="AKR3" i="2"/>
  <c r="AKQ3" i="2"/>
  <c r="AKP3" i="2"/>
  <c r="AKO3" i="2"/>
  <c r="AKN3" i="2"/>
  <c r="AKM3" i="2"/>
  <c r="AKL3" i="2"/>
  <c r="AKK3" i="2"/>
  <c r="AKJ3" i="2"/>
  <c r="AKI3" i="2"/>
  <c r="AKH3" i="2"/>
  <c r="AKG3" i="2"/>
  <c r="AKF3" i="2"/>
  <c r="AKE3" i="2"/>
  <c r="AKD3" i="2"/>
  <c r="AKC3" i="2"/>
  <c r="AKB3" i="2"/>
  <c r="AKA3" i="2"/>
  <c r="AJZ3" i="2"/>
  <c r="AJY3" i="2"/>
  <c r="AJX3" i="2"/>
  <c r="AJW3" i="2"/>
  <c r="AJV3" i="2"/>
  <c r="AJU3" i="2"/>
  <c r="AJT3" i="2"/>
  <c r="AJS3" i="2"/>
  <c r="AJR3" i="2"/>
  <c r="AJQ3" i="2"/>
  <c r="AJP3" i="2"/>
  <c r="AJO3" i="2"/>
  <c r="AJN3" i="2"/>
  <c r="AJM3" i="2"/>
  <c r="AJL3" i="2"/>
  <c r="AJK3" i="2"/>
  <c r="AJJ3" i="2"/>
  <c r="AJI3" i="2"/>
  <c r="AJH3" i="2"/>
  <c r="AJG3" i="2"/>
  <c r="AJF3" i="2"/>
  <c r="AJE3" i="2"/>
  <c r="AJD3" i="2"/>
  <c r="AJC3" i="2"/>
  <c r="AJB3" i="2"/>
  <c r="AJA3" i="2"/>
  <c r="AIZ3" i="2"/>
  <c r="AIY3" i="2"/>
  <c r="AIX3" i="2"/>
  <c r="AIW3" i="2"/>
  <c r="AIV3" i="2"/>
  <c r="AIU3" i="2"/>
  <c r="AIT3" i="2"/>
  <c r="AIS3" i="2"/>
  <c r="AIR3" i="2"/>
  <c r="AIQ3" i="2"/>
  <c r="AIP3" i="2"/>
  <c r="AIO3" i="2"/>
  <c r="AIN3" i="2"/>
  <c r="AIM3" i="2"/>
  <c r="AIL3" i="2"/>
  <c r="AIK3" i="2"/>
  <c r="AIJ3" i="2"/>
  <c r="AII3" i="2"/>
  <c r="AIH3" i="2"/>
  <c r="AIG3" i="2"/>
  <c r="AIF3" i="2"/>
  <c r="AIE3" i="2"/>
  <c r="AID3" i="2"/>
  <c r="AIC3" i="2"/>
  <c r="AIB3" i="2"/>
  <c r="AIA3" i="2"/>
  <c r="AHZ3" i="2"/>
  <c r="AHY3" i="2"/>
  <c r="AHX3" i="2"/>
  <c r="AHW3" i="2"/>
  <c r="AHV3" i="2"/>
  <c r="AHU3" i="2"/>
  <c r="AHT3" i="2"/>
  <c r="AHS3" i="2"/>
  <c r="AHR3" i="2"/>
  <c r="AHQ3" i="2"/>
  <c r="AHP3" i="2"/>
  <c r="AHO3" i="2"/>
  <c r="AHN3" i="2"/>
  <c r="AHM3" i="2"/>
  <c r="AHL3" i="2"/>
  <c r="AHK3" i="2"/>
  <c r="AHJ3" i="2"/>
  <c r="AHI3" i="2"/>
  <c r="AHH3" i="2"/>
  <c r="AHG3" i="2"/>
  <c r="AHF3" i="2"/>
  <c r="AHE3" i="2"/>
  <c r="AHD3" i="2"/>
  <c r="AHC3" i="2"/>
  <c r="AHB3" i="2"/>
  <c r="AHA3" i="2"/>
  <c r="AGZ3" i="2"/>
  <c r="AGY3" i="2"/>
  <c r="AGX3" i="2"/>
  <c r="AGW3" i="2"/>
  <c r="AGV3" i="2"/>
  <c r="AGU3" i="2"/>
  <c r="AGT3" i="2"/>
  <c r="AGS3" i="2"/>
  <c r="AGR3" i="2"/>
  <c r="AGQ3" i="2"/>
  <c r="AGP3" i="2"/>
  <c r="AGO3" i="2"/>
  <c r="AGN3" i="2"/>
  <c r="AGM3" i="2"/>
  <c r="AGL3" i="2"/>
  <c r="AGK3" i="2"/>
  <c r="AGJ3" i="2"/>
  <c r="AGI3" i="2"/>
  <c r="AGH3" i="2"/>
  <c r="AGG3" i="2"/>
  <c r="AGF3" i="2"/>
  <c r="AGE3" i="2"/>
  <c r="AGD3" i="2"/>
  <c r="AGC3" i="2"/>
  <c r="AGB3" i="2"/>
  <c r="AGA3" i="2"/>
  <c r="AFZ3" i="2"/>
  <c r="AFY3" i="2"/>
  <c r="AFX3" i="2"/>
  <c r="AFW3" i="2"/>
  <c r="AFV3" i="2"/>
  <c r="AFU3" i="2"/>
  <c r="AFT3" i="2"/>
  <c r="AFS3" i="2"/>
  <c r="AFR3" i="2"/>
  <c r="AFQ3" i="2"/>
  <c r="AFP3" i="2"/>
  <c r="AFO3" i="2"/>
  <c r="AFN3" i="2"/>
  <c r="AFM3" i="2"/>
  <c r="AFL3" i="2"/>
  <c r="AFK3" i="2"/>
  <c r="AFJ3" i="2"/>
  <c r="AFI3" i="2"/>
  <c r="AFH3" i="2"/>
  <c r="AFG3" i="2"/>
  <c r="AFF3" i="2"/>
  <c r="AFE3" i="2"/>
  <c r="AFD3" i="2"/>
  <c r="AFC3" i="2"/>
  <c r="AFB3" i="2"/>
  <c r="AFA3" i="2"/>
  <c r="AEZ3" i="2"/>
  <c r="AEY3" i="2"/>
  <c r="AEX3" i="2"/>
  <c r="AEW3" i="2"/>
  <c r="AEV3" i="2"/>
  <c r="AEU3" i="2"/>
  <c r="AET3" i="2"/>
  <c r="AES3" i="2"/>
  <c r="AER3" i="2"/>
  <c r="AEQ3" i="2"/>
  <c r="AEP3" i="2"/>
  <c r="AEO3" i="2"/>
  <c r="AEN3" i="2"/>
  <c r="AEM3" i="2"/>
  <c r="AEL3" i="2"/>
  <c r="AEK3" i="2"/>
  <c r="AEJ3" i="2"/>
  <c r="AEI3" i="2"/>
  <c r="AEH3" i="2"/>
  <c r="AEG3" i="2"/>
  <c r="AEF3" i="2"/>
  <c r="AEE3" i="2"/>
  <c r="AED3" i="2"/>
  <c r="AEC3" i="2"/>
  <c r="AEB3" i="2"/>
  <c r="AEA3" i="2"/>
  <c r="ADZ3" i="2"/>
  <c r="ADY3" i="2"/>
  <c r="ADX3" i="2"/>
  <c r="ADW3" i="2"/>
  <c r="ADV3" i="2"/>
  <c r="ADU3" i="2"/>
  <c r="ADT3" i="2"/>
  <c r="ADS3" i="2"/>
  <c r="ADR3" i="2"/>
  <c r="ADQ3" i="2"/>
  <c r="ADP3" i="2"/>
  <c r="ADO3" i="2"/>
  <c r="ADN3" i="2"/>
  <c r="ADM3" i="2"/>
  <c r="ADL3" i="2"/>
  <c r="ADK3" i="2"/>
  <c r="ADJ3" i="2"/>
  <c r="ADI3" i="2"/>
  <c r="ADH3" i="2"/>
  <c r="ADG3" i="2"/>
  <c r="ADF3" i="2"/>
  <c r="ADE3" i="2"/>
  <c r="ADD3" i="2"/>
  <c r="ADC3" i="2"/>
  <c r="ADB3" i="2"/>
  <c r="ADA3" i="2"/>
  <c r="ACZ3" i="2"/>
  <c r="ACY3" i="2"/>
  <c r="ACX3" i="2"/>
  <c r="ACW3" i="2"/>
  <c r="ACV3" i="2"/>
  <c r="ACU3" i="2"/>
  <c r="ACT3" i="2"/>
  <c r="ACS3" i="2"/>
  <c r="ACR3" i="2"/>
  <c r="ACQ3" i="2"/>
  <c r="ACP3" i="2"/>
  <c r="ACO3" i="2"/>
  <c r="ACN3" i="2"/>
  <c r="ACM3" i="2"/>
  <c r="ACL3" i="2"/>
  <c r="ACK3" i="2"/>
  <c r="ACJ3" i="2"/>
  <c r="ACI3" i="2"/>
  <c r="ACH3" i="2"/>
  <c r="ACG3" i="2"/>
  <c r="ACF3" i="2"/>
  <c r="ACE3" i="2"/>
  <c r="ACD3" i="2"/>
  <c r="ACC3" i="2"/>
  <c r="ACB3" i="2"/>
  <c r="ACA3" i="2"/>
  <c r="ABZ3" i="2"/>
  <c r="ABY3" i="2"/>
  <c r="ABX3" i="2"/>
  <c r="ABW3" i="2"/>
  <c r="ABV3" i="2"/>
  <c r="ABU3" i="2"/>
  <c r="ABT3" i="2"/>
  <c r="ABS3" i="2"/>
  <c r="ABR3" i="2"/>
  <c r="ABQ3" i="2"/>
  <c r="ABP3" i="2"/>
  <c r="ABO3" i="2"/>
  <c r="ABN3" i="2"/>
  <c r="ABM3" i="2"/>
  <c r="ABL3" i="2"/>
  <c r="ABK3" i="2"/>
  <c r="ABJ3" i="2"/>
  <c r="ABI3" i="2"/>
  <c r="ABH3" i="2"/>
  <c r="ABG3" i="2"/>
  <c r="ABF3" i="2"/>
  <c r="ABE3" i="2"/>
  <c r="ABD3" i="2"/>
  <c r="ABC3" i="2"/>
  <c r="ABB3" i="2"/>
  <c r="ABA3" i="2"/>
  <c r="AAZ3" i="2"/>
  <c r="AAY3" i="2"/>
  <c r="AAX3" i="2"/>
  <c r="AAW3" i="2"/>
  <c r="AAV3" i="2"/>
  <c r="AAU3" i="2"/>
  <c r="AAT3" i="2"/>
  <c r="AAS3" i="2"/>
  <c r="AAR3" i="2"/>
  <c r="AAQ3" i="2"/>
  <c r="AAP3" i="2"/>
  <c r="AAO3" i="2"/>
  <c r="AAN3" i="2"/>
  <c r="AAM3" i="2"/>
  <c r="AAL3" i="2"/>
  <c r="AAK3" i="2"/>
  <c r="AAJ3" i="2"/>
  <c r="AAI3" i="2"/>
  <c r="AAH3" i="2"/>
  <c r="AAG3" i="2"/>
  <c r="AAF3" i="2"/>
  <c r="AAE3" i="2"/>
  <c r="AAD3" i="2"/>
  <c r="AAC3" i="2"/>
  <c r="AAB3" i="2"/>
  <c r="AAA3" i="2"/>
  <c r="ZZ3" i="2"/>
  <c r="ZY3" i="2"/>
  <c r="ZX3" i="2"/>
  <c r="ZW3" i="2"/>
  <c r="ZV3" i="2"/>
  <c r="ZU3" i="2"/>
  <c r="ZT3" i="2"/>
  <c r="ZS3" i="2"/>
  <c r="ZR3" i="2"/>
  <c r="ZQ3" i="2"/>
  <c r="ZP3" i="2"/>
  <c r="ZO3" i="2"/>
  <c r="ZN3" i="2"/>
  <c r="ZM3" i="2"/>
  <c r="ZL3" i="2"/>
  <c r="ZK3" i="2"/>
  <c r="ZJ3" i="2"/>
  <c r="ZI3" i="2"/>
  <c r="ZH3" i="2"/>
  <c r="ZG3" i="2"/>
  <c r="ZF3" i="2"/>
  <c r="ZE3" i="2"/>
  <c r="ZD3" i="2"/>
  <c r="ZC3" i="2"/>
  <c r="ZB3" i="2"/>
  <c r="ZA3" i="2"/>
  <c r="YZ3" i="2"/>
  <c r="YY3" i="2"/>
  <c r="YX3" i="2"/>
  <c r="YW3" i="2"/>
  <c r="YV3" i="2"/>
  <c r="YU3" i="2"/>
  <c r="YT3" i="2"/>
  <c r="YS3" i="2"/>
  <c r="YR3" i="2"/>
  <c r="YQ3" i="2"/>
  <c r="YP3" i="2"/>
  <c r="YO3" i="2"/>
  <c r="YN3" i="2"/>
  <c r="YM3" i="2"/>
  <c r="YL3" i="2"/>
  <c r="YK3" i="2"/>
  <c r="YJ3" i="2"/>
  <c r="YI3" i="2"/>
  <c r="YH3" i="2"/>
  <c r="YG3" i="2"/>
  <c r="YF3" i="2"/>
  <c r="YE3" i="2"/>
  <c r="YD3" i="2"/>
  <c r="YC3" i="2"/>
  <c r="YB3" i="2"/>
  <c r="YA3" i="2"/>
  <c r="XZ3" i="2"/>
  <c r="XY3" i="2"/>
  <c r="XX3" i="2"/>
  <c r="XW3" i="2"/>
  <c r="XV3" i="2"/>
  <c r="XU3" i="2"/>
  <c r="XT3" i="2"/>
  <c r="XS3" i="2"/>
  <c r="XR3" i="2"/>
  <c r="XQ3" i="2"/>
  <c r="XP3" i="2"/>
  <c r="XO3" i="2"/>
  <c r="XN3" i="2"/>
  <c r="XM3" i="2"/>
  <c r="XL3" i="2"/>
  <c r="XK3" i="2"/>
  <c r="XJ3" i="2"/>
  <c r="XI3" i="2"/>
  <c r="XH3" i="2"/>
  <c r="XG3" i="2"/>
  <c r="XF3" i="2"/>
  <c r="XE3" i="2"/>
  <c r="XD3" i="2"/>
  <c r="XC3" i="2"/>
  <c r="XB3" i="2"/>
  <c r="XA3" i="2"/>
  <c r="WZ3" i="2"/>
  <c r="WY3" i="2"/>
  <c r="WX3" i="2"/>
  <c r="WW3" i="2"/>
  <c r="WV3" i="2"/>
  <c r="WU3" i="2"/>
  <c r="WT3" i="2"/>
  <c r="WS3" i="2"/>
  <c r="WR3" i="2"/>
  <c r="WQ3" i="2"/>
  <c r="WP3" i="2"/>
  <c r="WO3" i="2"/>
  <c r="WN3" i="2"/>
  <c r="WM3" i="2"/>
  <c r="WL3" i="2"/>
  <c r="WK3" i="2"/>
  <c r="WJ3" i="2"/>
  <c r="WI3" i="2"/>
  <c r="WH3" i="2"/>
  <c r="WG3" i="2"/>
  <c r="WF3" i="2"/>
  <c r="WE3" i="2"/>
  <c r="WD3" i="2"/>
  <c r="WC3" i="2"/>
  <c r="WB3" i="2"/>
  <c r="WA3" i="2"/>
  <c r="VZ3" i="2"/>
  <c r="VY3" i="2"/>
  <c r="VX3" i="2"/>
  <c r="VW3" i="2"/>
  <c r="VV3" i="2"/>
  <c r="VU3" i="2"/>
  <c r="VT3" i="2"/>
  <c r="VS3" i="2"/>
  <c r="VR3" i="2"/>
  <c r="VQ3" i="2"/>
  <c r="VP3" i="2"/>
  <c r="VO3" i="2"/>
  <c r="VN3" i="2"/>
  <c r="VM3" i="2"/>
  <c r="VL3" i="2"/>
  <c r="VK3" i="2"/>
  <c r="VJ3" i="2"/>
  <c r="VI3" i="2"/>
  <c r="VH3" i="2"/>
  <c r="VG3" i="2"/>
  <c r="VF3" i="2"/>
  <c r="VE3" i="2"/>
  <c r="VD3" i="2"/>
  <c r="VC3" i="2"/>
  <c r="VB3" i="2"/>
  <c r="VA3" i="2"/>
  <c r="UZ3" i="2"/>
  <c r="UY3" i="2"/>
  <c r="UX3" i="2"/>
  <c r="UW3" i="2"/>
  <c r="UV3" i="2"/>
  <c r="UU3" i="2"/>
  <c r="UT3" i="2"/>
  <c r="US3" i="2"/>
  <c r="UR3" i="2"/>
  <c r="UQ3" i="2"/>
  <c r="UP3" i="2"/>
  <c r="UO3" i="2"/>
  <c r="UN3" i="2"/>
  <c r="UM3" i="2"/>
  <c r="UL3" i="2"/>
  <c r="UK3" i="2"/>
  <c r="UJ3" i="2"/>
  <c r="UI3" i="2"/>
  <c r="UH3" i="2"/>
  <c r="UG3" i="2"/>
  <c r="UF3" i="2"/>
  <c r="UE3" i="2"/>
  <c r="UD3" i="2"/>
  <c r="UC3" i="2"/>
  <c r="UB3" i="2"/>
  <c r="UA3" i="2"/>
  <c r="TZ3" i="2"/>
  <c r="TY3" i="2"/>
  <c r="TX3" i="2"/>
  <c r="TW3" i="2"/>
  <c r="TV3" i="2"/>
  <c r="TU3" i="2"/>
  <c r="TT3" i="2"/>
  <c r="TS3" i="2"/>
  <c r="TR3" i="2"/>
  <c r="TQ3" i="2"/>
  <c r="TP3" i="2"/>
  <c r="TO3" i="2"/>
  <c r="TN3" i="2"/>
  <c r="TM3" i="2"/>
  <c r="TL3" i="2"/>
  <c r="TK3" i="2"/>
  <c r="TJ3" i="2"/>
  <c r="TI3" i="2"/>
  <c r="TH3" i="2"/>
  <c r="TG3" i="2"/>
  <c r="TF3" i="2"/>
  <c r="TE3" i="2"/>
  <c r="TD3" i="2"/>
  <c r="TC3" i="2"/>
  <c r="TB3" i="2"/>
  <c r="TA3" i="2"/>
  <c r="SZ3" i="2"/>
  <c r="SY3" i="2"/>
  <c r="SX3" i="2"/>
  <c r="SW3" i="2"/>
  <c r="SV3" i="2"/>
  <c r="SU3" i="2"/>
  <c r="ST3" i="2"/>
  <c r="SS3" i="2"/>
  <c r="SR3" i="2"/>
  <c r="SQ3" i="2"/>
  <c r="SP3" i="2"/>
  <c r="SO3" i="2"/>
  <c r="SN3" i="2"/>
  <c r="SM3" i="2"/>
  <c r="SL3" i="2"/>
  <c r="SK3" i="2"/>
  <c r="SJ3" i="2"/>
  <c r="SI3" i="2"/>
  <c r="SH3" i="2"/>
  <c r="SG3" i="2"/>
  <c r="SF3" i="2"/>
  <c r="SE3" i="2"/>
  <c r="SD3" i="2"/>
  <c r="SC3" i="2"/>
  <c r="SB3" i="2"/>
  <c r="SA3" i="2"/>
  <c r="RZ3" i="2"/>
  <c r="RY3" i="2"/>
  <c r="RX3" i="2"/>
  <c r="RW3" i="2"/>
  <c r="RV3" i="2"/>
  <c r="RU3" i="2"/>
  <c r="RT3" i="2"/>
  <c r="RS3" i="2"/>
  <c r="RR3" i="2"/>
  <c r="RQ3" i="2"/>
  <c r="RP3" i="2"/>
  <c r="RO3" i="2"/>
  <c r="RN3" i="2"/>
  <c r="RM3" i="2"/>
  <c r="RL3" i="2"/>
  <c r="RK3" i="2"/>
  <c r="RJ3" i="2"/>
  <c r="RI3" i="2"/>
  <c r="RH3" i="2"/>
  <c r="RG3" i="2"/>
  <c r="RF3" i="2"/>
  <c r="RE3" i="2"/>
  <c r="RD3" i="2"/>
  <c r="RC3" i="2"/>
  <c r="RB3" i="2"/>
  <c r="RA3" i="2"/>
  <c r="QZ3" i="2"/>
  <c r="QY3" i="2"/>
  <c r="QX3" i="2"/>
  <c r="QW3" i="2"/>
  <c r="QV3" i="2"/>
  <c r="QU3" i="2"/>
  <c r="QT3" i="2"/>
  <c r="QS3" i="2"/>
  <c r="QR3" i="2"/>
  <c r="QQ3" i="2"/>
  <c r="QP3" i="2"/>
  <c r="QO3" i="2"/>
  <c r="QN3" i="2"/>
  <c r="QM3" i="2"/>
  <c r="QL3" i="2"/>
  <c r="QK3" i="2"/>
  <c r="QJ3" i="2"/>
  <c r="QI3" i="2"/>
  <c r="QH3" i="2"/>
  <c r="QG3" i="2"/>
  <c r="QF3" i="2"/>
  <c r="QE3" i="2"/>
  <c r="QD3" i="2"/>
  <c r="QC3" i="2"/>
  <c r="QB3" i="2"/>
  <c r="QA3" i="2"/>
  <c r="PZ3" i="2"/>
  <c r="PY3" i="2"/>
  <c r="PX3" i="2"/>
  <c r="PW3" i="2"/>
  <c r="PV3" i="2"/>
  <c r="PU3" i="2"/>
  <c r="PT3" i="2"/>
  <c r="PS3" i="2"/>
  <c r="PR3" i="2"/>
  <c r="PQ3" i="2"/>
  <c r="PP3" i="2"/>
  <c r="PO3" i="2"/>
  <c r="PN3" i="2"/>
  <c r="PM3" i="2"/>
  <c r="PL3" i="2"/>
  <c r="PK3" i="2"/>
  <c r="PJ3" i="2"/>
  <c r="PI3" i="2"/>
  <c r="PH3" i="2"/>
  <c r="PG3" i="2"/>
  <c r="PF3" i="2"/>
  <c r="PE3" i="2"/>
  <c r="PD3" i="2"/>
  <c r="PC3" i="2"/>
  <c r="PB3" i="2"/>
  <c r="PA3" i="2"/>
  <c r="OZ3" i="2"/>
  <c r="OY3" i="2"/>
  <c r="OX3" i="2"/>
  <c r="OW3" i="2"/>
  <c r="OV3" i="2"/>
  <c r="OU3" i="2"/>
  <c r="OT3" i="2"/>
  <c r="OS3" i="2"/>
  <c r="OR3" i="2"/>
  <c r="OQ3" i="2"/>
  <c r="OP3" i="2"/>
  <c r="OO3" i="2"/>
  <c r="ON3" i="2"/>
  <c r="OM3" i="2"/>
  <c r="OL3" i="2"/>
  <c r="OK3" i="2"/>
  <c r="OJ3" i="2"/>
  <c r="OI3" i="2"/>
  <c r="OH3" i="2"/>
  <c r="OG3" i="2"/>
  <c r="OF3" i="2"/>
  <c r="OE3" i="2"/>
  <c r="OD3" i="2"/>
  <c r="OC3" i="2"/>
  <c r="OB3" i="2"/>
  <c r="OA3" i="2"/>
  <c r="NZ3" i="2"/>
  <c r="NY3" i="2"/>
  <c r="NX3" i="2"/>
  <c r="NW3" i="2"/>
  <c r="NV3" i="2"/>
  <c r="NU3" i="2"/>
  <c r="NT3" i="2"/>
  <c r="NS3" i="2"/>
  <c r="NR3" i="2"/>
  <c r="NQ3" i="2"/>
  <c r="NP3" i="2"/>
  <c r="NO3" i="2"/>
  <c r="NN3" i="2"/>
  <c r="NM3" i="2"/>
  <c r="NL3" i="2"/>
  <c r="NK3" i="2"/>
  <c r="NJ3" i="2"/>
  <c r="NI3" i="2"/>
  <c r="NH3" i="2"/>
  <c r="NG3" i="2"/>
  <c r="NF3" i="2"/>
  <c r="NE3" i="2"/>
  <c r="ND3" i="2"/>
  <c r="NC3" i="2"/>
  <c r="NB3" i="2"/>
  <c r="NA3" i="2"/>
  <c r="MZ3" i="2"/>
  <c r="MY3" i="2"/>
  <c r="MX3" i="2"/>
  <c r="MW3" i="2"/>
  <c r="MV3" i="2"/>
  <c r="MU3" i="2"/>
  <c r="MT3" i="2"/>
  <c r="MS3" i="2"/>
  <c r="MR3" i="2"/>
  <c r="MQ3" i="2"/>
  <c r="MP3" i="2"/>
  <c r="MO3" i="2"/>
  <c r="MN3" i="2"/>
  <c r="MM3" i="2"/>
  <c r="ML3" i="2"/>
  <c r="MK3" i="2"/>
  <c r="MJ3" i="2"/>
  <c r="MI3" i="2"/>
  <c r="MH3" i="2"/>
  <c r="MG3" i="2"/>
  <c r="MF3" i="2"/>
  <c r="ME3" i="2"/>
  <c r="MD3" i="2"/>
  <c r="MC3" i="2"/>
  <c r="MB3" i="2"/>
  <c r="MA3" i="2"/>
  <c r="LZ3" i="2"/>
  <c r="LY3" i="2"/>
  <c r="LX3" i="2"/>
  <c r="LW3" i="2"/>
  <c r="LV3" i="2"/>
  <c r="LU3" i="2"/>
  <c r="LT3" i="2"/>
  <c r="LS3" i="2"/>
  <c r="LR3" i="2"/>
  <c r="LQ3" i="2"/>
  <c r="LP3" i="2"/>
  <c r="LO3" i="2"/>
  <c r="LN3" i="2"/>
  <c r="LM3" i="2"/>
  <c r="LL3" i="2"/>
  <c r="LK3" i="2"/>
  <c r="LJ3" i="2"/>
  <c r="LI3" i="2"/>
  <c r="LH3" i="2"/>
  <c r="LG3" i="2"/>
  <c r="LF3" i="2"/>
  <c r="LE3" i="2"/>
  <c r="LD3" i="2"/>
  <c r="LC3" i="2"/>
  <c r="LB3" i="2"/>
  <c r="LA3" i="2"/>
  <c r="KZ3" i="2"/>
  <c r="KY3" i="2"/>
  <c r="KX3" i="2"/>
  <c r="KW3" i="2"/>
  <c r="KV3" i="2"/>
  <c r="KU3" i="2"/>
  <c r="KT3" i="2"/>
  <c r="KS3" i="2"/>
  <c r="KR3" i="2"/>
  <c r="KQ3" i="2"/>
  <c r="KP3" i="2"/>
  <c r="KO3" i="2"/>
  <c r="KN3" i="2"/>
  <c r="KM3" i="2"/>
  <c r="KL3" i="2"/>
  <c r="KK3" i="2"/>
  <c r="KJ3" i="2"/>
  <c r="KI3" i="2"/>
  <c r="KH3" i="2"/>
  <c r="KG3" i="2"/>
  <c r="KF3" i="2"/>
  <c r="KE3" i="2"/>
  <c r="KD3" i="2"/>
  <c r="KC3" i="2"/>
  <c r="KB3" i="2"/>
  <c r="KA3" i="2"/>
  <c r="JZ3" i="2"/>
  <c r="JY3" i="2"/>
  <c r="JX3" i="2"/>
  <c r="JW3" i="2"/>
  <c r="JV3" i="2"/>
  <c r="JU3" i="2"/>
  <c r="JT3" i="2"/>
  <c r="JS3" i="2"/>
  <c r="JR3" i="2"/>
  <c r="JQ3" i="2"/>
  <c r="JP3" i="2"/>
  <c r="JO3" i="2"/>
  <c r="JN3" i="2"/>
  <c r="JM3" i="2"/>
  <c r="JL3" i="2"/>
  <c r="JK3" i="2"/>
  <c r="JJ3" i="2"/>
  <c r="JI3" i="2"/>
  <c r="JH3" i="2"/>
  <c r="JG3" i="2"/>
  <c r="JF3" i="2"/>
  <c r="JE3" i="2"/>
  <c r="JD3" i="2"/>
  <c r="JC3" i="2"/>
  <c r="JB3" i="2"/>
  <c r="JA3" i="2"/>
  <c r="IZ3" i="2"/>
  <c r="IY3" i="2"/>
  <c r="IX3" i="2"/>
  <c r="IW3" i="2"/>
  <c r="IV3" i="2"/>
  <c r="IU3" i="2"/>
  <c r="IT3" i="2"/>
  <c r="IS3" i="2"/>
  <c r="IR3" i="2"/>
  <c r="IQ3" i="2"/>
  <c r="IP3" i="2"/>
  <c r="IO3" i="2"/>
  <c r="IN3" i="2"/>
  <c r="IM3" i="2"/>
  <c r="IL3" i="2"/>
  <c r="IK3" i="2"/>
  <c r="IJ3" i="2"/>
  <c r="II3" i="2"/>
  <c r="IH3" i="2"/>
  <c r="IG3" i="2"/>
  <c r="IF3" i="2"/>
  <c r="IE3" i="2"/>
  <c r="ID3" i="2"/>
  <c r="IC3" i="2"/>
  <c r="IB3" i="2"/>
  <c r="IA3" i="2"/>
  <c r="HZ3" i="2"/>
  <c r="HY3" i="2"/>
  <c r="HX3" i="2"/>
  <c r="HW3" i="2"/>
  <c r="HV3" i="2"/>
  <c r="HU3" i="2"/>
  <c r="HT3" i="2"/>
  <c r="HS3" i="2"/>
  <c r="HR3" i="2"/>
  <c r="HQ3" i="2"/>
  <c r="HP3" i="2"/>
  <c r="HO3" i="2"/>
  <c r="HN3" i="2"/>
  <c r="HM3" i="2"/>
  <c r="HL3" i="2"/>
  <c r="HK3" i="2"/>
  <c r="HJ3" i="2"/>
  <c r="HI3" i="2"/>
  <c r="HH3" i="2"/>
  <c r="HG3" i="2"/>
  <c r="HF3" i="2"/>
  <c r="HE3" i="2"/>
  <c r="HD3" i="2"/>
  <c r="HC3" i="2"/>
  <c r="HB3" i="2"/>
  <c r="HA3" i="2"/>
  <c r="GZ3" i="2"/>
  <c r="GY3" i="2"/>
  <c r="GX3" i="2"/>
  <c r="GW3" i="2"/>
  <c r="GV3" i="2"/>
  <c r="GU3" i="2"/>
  <c r="GT3" i="2"/>
  <c r="GS3" i="2"/>
  <c r="GR3" i="2"/>
  <c r="GQ3" i="2"/>
  <c r="GP3" i="2"/>
  <c r="GO3" i="2"/>
  <c r="GN3" i="2"/>
  <c r="GM3" i="2"/>
  <c r="GL3" i="2"/>
  <c r="GK3" i="2"/>
  <c r="GJ3" i="2"/>
  <c r="GI3" i="2"/>
  <c r="GH3" i="2"/>
  <c r="GG3" i="2"/>
  <c r="GF3" i="2"/>
  <c r="GE3" i="2"/>
  <c r="GD3" i="2"/>
  <c r="GC3" i="2"/>
  <c r="GB3" i="2"/>
  <c r="GA3" i="2"/>
  <c r="FZ3" i="2"/>
  <c r="FY3" i="2"/>
  <c r="FX3" i="2"/>
  <c r="FW3" i="2"/>
  <c r="FV3" i="2"/>
  <c r="FU3" i="2"/>
  <c r="FT3" i="2"/>
  <c r="FS3" i="2"/>
  <c r="FR3" i="2"/>
  <c r="FQ3" i="2"/>
  <c r="FP3" i="2"/>
  <c r="FO3" i="2"/>
  <c r="FN3" i="2"/>
  <c r="FM3" i="2"/>
  <c r="FL3" i="2"/>
  <c r="FK3" i="2"/>
  <c r="FJ3" i="2"/>
  <c r="FI3" i="2"/>
  <c r="FH3" i="2"/>
  <c r="FG3" i="2"/>
  <c r="FF3" i="2"/>
  <c r="FE3" i="2"/>
  <c r="FD3" i="2"/>
  <c r="FC3" i="2"/>
  <c r="FB3" i="2"/>
  <c r="FA3" i="2"/>
  <c r="EZ3" i="2"/>
  <c r="EY3" i="2"/>
  <c r="EX3" i="2"/>
  <c r="EW3" i="2"/>
  <c r="EV3" i="2"/>
  <c r="EU3" i="2"/>
  <c r="ET3" i="2"/>
  <c r="ES3" i="2"/>
  <c r="ER3" i="2"/>
  <c r="EQ3" i="2"/>
  <c r="EP3" i="2"/>
  <c r="EO3" i="2"/>
  <c r="EN3" i="2"/>
  <c r="EM3" i="2"/>
  <c r="EL3" i="2"/>
  <c r="EK3" i="2"/>
  <c r="EJ3" i="2"/>
  <c r="EI3" i="2"/>
  <c r="EH3" i="2"/>
  <c r="EG3" i="2"/>
  <c r="EF3" i="2"/>
  <c r="EE3" i="2"/>
  <c r="ED3" i="2"/>
  <c r="EC3" i="2"/>
  <c r="EB3" i="2"/>
  <c r="EA3" i="2"/>
  <c r="DZ3" i="2"/>
  <c r="DY3" i="2"/>
  <c r="DX3" i="2"/>
  <c r="DW3" i="2"/>
  <c r="DV3" i="2"/>
  <c r="DU3" i="2"/>
  <c r="DT3" i="2"/>
  <c r="DS3" i="2"/>
  <c r="DR3" i="2"/>
  <c r="DQ3" i="2"/>
  <c r="DP3" i="2"/>
  <c r="DO3" i="2"/>
  <c r="DN3" i="2"/>
  <c r="DM3" i="2"/>
  <c r="DL3" i="2"/>
  <c r="DK3" i="2"/>
  <c r="DJ3" i="2"/>
  <c r="DI3" i="2"/>
  <c r="DH3" i="2"/>
  <c r="DG3" i="2"/>
  <c r="DF3" i="2"/>
  <c r="DE3" i="2"/>
  <c r="DD3" i="2"/>
  <c r="DC3" i="2"/>
  <c r="DB3" i="2"/>
  <c r="DA3" i="2"/>
  <c r="CZ3" i="2"/>
  <c r="CY3" i="2"/>
  <c r="CX3" i="2"/>
  <c r="CW3" i="2"/>
  <c r="CV3" i="2"/>
  <c r="CU3" i="2"/>
  <c r="CT3" i="2"/>
  <c r="CS3" i="2"/>
  <c r="CR3" i="2"/>
  <c r="CQ3" i="2"/>
  <c r="CP3" i="2"/>
  <c r="CO3" i="2"/>
  <c r="CN3" i="2"/>
  <c r="CM3" i="2"/>
  <c r="CL3" i="2"/>
  <c r="CK3" i="2"/>
  <c r="CJ3" i="2"/>
  <c r="CI3" i="2"/>
  <c r="CH3" i="2"/>
  <c r="CG3" i="2"/>
  <c r="CF3" i="2"/>
  <c r="CE3" i="2"/>
  <c r="CD3" i="2"/>
  <c r="CC3" i="2"/>
  <c r="CB3" i="2"/>
  <c r="CA3" i="2"/>
  <c r="BZ3" i="2"/>
  <c r="BY3" i="2"/>
  <c r="BX3" i="2"/>
  <c r="BW3" i="2"/>
  <c r="BV3" i="2"/>
  <c r="BU3" i="2"/>
  <c r="BT3" i="2"/>
  <c r="BS3" i="2"/>
  <c r="BR3" i="2"/>
  <c r="BQ3" i="2"/>
  <c r="BP3" i="2"/>
  <c r="BO3" i="2"/>
  <c r="BN3" i="2"/>
  <c r="BM3" i="2"/>
  <c r="BL3" i="2"/>
  <c r="BK3" i="2"/>
  <c r="BJ3" i="2"/>
  <c r="BI3" i="2"/>
  <c r="BH3" i="2"/>
  <c r="BG3" i="2"/>
  <c r="BF3" i="2"/>
  <c r="BE3" i="2"/>
  <c r="BD3" i="2"/>
  <c r="BC3" i="2"/>
  <c r="BB3" i="2"/>
  <c r="BA3" i="2"/>
  <c r="AZ3" i="2"/>
  <c r="AY3" i="2"/>
  <c r="AX3" i="2"/>
  <c r="AW3" i="2"/>
  <c r="AV3" i="2"/>
  <c r="AU3" i="2"/>
  <c r="AT3" i="2"/>
  <c r="AS3" i="2"/>
  <c r="AR3" i="2"/>
  <c r="AQ3" i="2"/>
  <c r="AP3" i="2"/>
  <c r="AO3" i="2"/>
  <c r="AN3" i="2"/>
  <c r="AM3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N2" i="2"/>
  <c r="O2" i="2" s="1"/>
  <c r="P2" i="2" s="1"/>
  <c r="Q2" i="2" s="1"/>
  <c r="R2" i="2" s="1"/>
  <c r="S2" i="2" s="1"/>
  <c r="T2" i="2" s="1"/>
  <c r="U2" i="2" s="1"/>
  <c r="V2" i="2" s="1"/>
  <c r="W2" i="2" s="1"/>
  <c r="X2" i="2" s="1"/>
  <c r="Y2" i="2" s="1"/>
  <c r="Z2" i="2" s="1"/>
  <c r="AA2" i="2" s="1"/>
  <c r="AB2" i="2" s="1"/>
  <c r="AC2" i="2" s="1"/>
  <c r="AD2" i="2" s="1"/>
  <c r="AE2" i="2" s="1"/>
  <c r="AF2" i="2" s="1"/>
  <c r="AG2" i="2" s="1"/>
  <c r="AH2" i="2" s="1"/>
  <c r="AI2" i="2" s="1"/>
  <c r="AJ2" i="2" s="1"/>
  <c r="AK2" i="2" s="1"/>
  <c r="AL2" i="2" s="1"/>
  <c r="AM2" i="2" s="1"/>
  <c r="AN2" i="2" s="1"/>
  <c r="AO2" i="2" s="1"/>
  <c r="AP2" i="2" s="1"/>
  <c r="AQ2" i="2" s="1"/>
  <c r="AR2" i="2" s="1"/>
  <c r="AS2" i="2" s="1"/>
  <c r="AT2" i="2" s="1"/>
  <c r="AU2" i="2" s="1"/>
  <c r="AV2" i="2" s="1"/>
  <c r="AW2" i="2" s="1"/>
  <c r="AX2" i="2" s="1"/>
  <c r="AY2" i="2" s="1"/>
  <c r="AZ2" i="2" s="1"/>
  <c r="BA2" i="2" s="1"/>
  <c r="BB2" i="2" s="1"/>
  <c r="BC2" i="2" s="1"/>
  <c r="BD2" i="2" s="1"/>
  <c r="BE2" i="2" s="1"/>
  <c r="BF2" i="2" s="1"/>
  <c r="BG2" i="2" s="1"/>
  <c r="BH2" i="2" s="1"/>
  <c r="BI2" i="2" s="1"/>
  <c r="BJ2" i="2" s="1"/>
  <c r="BK2" i="2" s="1"/>
  <c r="BL2" i="2" s="1"/>
  <c r="BM2" i="2" s="1"/>
  <c r="BN2" i="2" s="1"/>
  <c r="BO2" i="2" s="1"/>
  <c r="BP2" i="2" s="1"/>
  <c r="BQ2" i="2" s="1"/>
  <c r="BR2" i="2" s="1"/>
  <c r="BS2" i="2" s="1"/>
  <c r="BT2" i="2" s="1"/>
  <c r="BU2" i="2" s="1"/>
  <c r="BV2" i="2" s="1"/>
  <c r="BW2" i="2" s="1"/>
  <c r="BX2" i="2" s="1"/>
  <c r="BY2" i="2" s="1"/>
  <c r="BZ2" i="2" s="1"/>
  <c r="CA2" i="2" s="1"/>
  <c r="CB2" i="2" s="1"/>
  <c r="CC2" i="2" s="1"/>
  <c r="CD2" i="2" s="1"/>
  <c r="CE2" i="2" s="1"/>
  <c r="CF2" i="2" s="1"/>
  <c r="CG2" i="2" s="1"/>
  <c r="CH2" i="2" s="1"/>
  <c r="CI2" i="2" s="1"/>
  <c r="CJ2" i="2" s="1"/>
  <c r="CK2" i="2" s="1"/>
  <c r="CL2" i="2" s="1"/>
  <c r="CM2" i="2" s="1"/>
  <c r="CN2" i="2" s="1"/>
  <c r="CO2" i="2" s="1"/>
  <c r="CP2" i="2" s="1"/>
  <c r="CQ2" i="2" s="1"/>
  <c r="CR2" i="2" s="1"/>
  <c r="CS2" i="2" s="1"/>
  <c r="CT2" i="2" s="1"/>
  <c r="CU2" i="2" s="1"/>
  <c r="CV2" i="2" s="1"/>
  <c r="CW2" i="2" s="1"/>
  <c r="CX2" i="2" s="1"/>
  <c r="CY2" i="2" s="1"/>
  <c r="CZ2" i="2" s="1"/>
  <c r="DA2" i="2" s="1"/>
  <c r="DB2" i="2" s="1"/>
  <c r="DC2" i="2" s="1"/>
  <c r="DD2" i="2" s="1"/>
  <c r="DE2" i="2" s="1"/>
  <c r="DF2" i="2" s="1"/>
  <c r="DG2" i="2" s="1"/>
  <c r="DH2" i="2" s="1"/>
  <c r="DI2" i="2" s="1"/>
  <c r="DJ2" i="2" s="1"/>
  <c r="DK2" i="2" s="1"/>
  <c r="DL2" i="2" s="1"/>
  <c r="DM2" i="2" s="1"/>
  <c r="DN2" i="2" s="1"/>
  <c r="DO2" i="2" s="1"/>
  <c r="DP2" i="2" s="1"/>
  <c r="DQ2" i="2" s="1"/>
  <c r="DR2" i="2" s="1"/>
  <c r="DS2" i="2" s="1"/>
  <c r="DT2" i="2" s="1"/>
  <c r="DU2" i="2" s="1"/>
  <c r="DV2" i="2" s="1"/>
  <c r="DW2" i="2" s="1"/>
  <c r="DX2" i="2" s="1"/>
  <c r="DY2" i="2" s="1"/>
  <c r="DZ2" i="2" s="1"/>
  <c r="EA2" i="2" s="1"/>
  <c r="EB2" i="2" s="1"/>
  <c r="EC2" i="2" s="1"/>
  <c r="ED2" i="2" s="1"/>
  <c r="EE2" i="2" s="1"/>
  <c r="EF2" i="2" s="1"/>
  <c r="EG2" i="2" s="1"/>
  <c r="EH2" i="2" s="1"/>
  <c r="EI2" i="2" s="1"/>
  <c r="EJ2" i="2" s="1"/>
  <c r="EK2" i="2" s="1"/>
  <c r="EL2" i="2" s="1"/>
  <c r="EM2" i="2" s="1"/>
  <c r="EN2" i="2" s="1"/>
  <c r="EO2" i="2" s="1"/>
  <c r="EP2" i="2" s="1"/>
  <c r="EQ2" i="2" s="1"/>
  <c r="ER2" i="2" s="1"/>
  <c r="ES2" i="2" s="1"/>
  <c r="ET2" i="2" s="1"/>
  <c r="EU2" i="2" s="1"/>
  <c r="EV2" i="2" s="1"/>
  <c r="EW2" i="2" s="1"/>
  <c r="EX2" i="2" s="1"/>
  <c r="EY2" i="2" s="1"/>
  <c r="EZ2" i="2" s="1"/>
  <c r="FA2" i="2" s="1"/>
  <c r="FB2" i="2" s="1"/>
  <c r="FC2" i="2" s="1"/>
  <c r="FD2" i="2" s="1"/>
  <c r="FE2" i="2" s="1"/>
  <c r="FF2" i="2" s="1"/>
  <c r="FG2" i="2" s="1"/>
  <c r="FH2" i="2" s="1"/>
  <c r="FI2" i="2" s="1"/>
  <c r="FJ2" i="2" s="1"/>
  <c r="FK2" i="2" s="1"/>
  <c r="FL2" i="2" s="1"/>
  <c r="FM2" i="2" s="1"/>
  <c r="FN2" i="2" s="1"/>
  <c r="FO2" i="2" s="1"/>
  <c r="FP2" i="2" s="1"/>
  <c r="FQ2" i="2" s="1"/>
  <c r="FR2" i="2" s="1"/>
  <c r="FS2" i="2" s="1"/>
  <c r="FT2" i="2" s="1"/>
  <c r="FU2" i="2" s="1"/>
  <c r="FV2" i="2" s="1"/>
  <c r="FW2" i="2" s="1"/>
  <c r="FX2" i="2" s="1"/>
  <c r="FY2" i="2" s="1"/>
  <c r="FZ2" i="2" s="1"/>
  <c r="GA2" i="2" s="1"/>
  <c r="GB2" i="2" s="1"/>
  <c r="GC2" i="2" s="1"/>
  <c r="GD2" i="2" s="1"/>
  <c r="GE2" i="2" s="1"/>
  <c r="GF2" i="2" s="1"/>
  <c r="GG2" i="2" s="1"/>
  <c r="GH2" i="2" s="1"/>
  <c r="GI2" i="2" s="1"/>
  <c r="GJ2" i="2" s="1"/>
  <c r="GK2" i="2" s="1"/>
  <c r="GL2" i="2" s="1"/>
  <c r="GM2" i="2" s="1"/>
  <c r="GN2" i="2" s="1"/>
  <c r="GO2" i="2" s="1"/>
  <c r="GP2" i="2" s="1"/>
  <c r="GQ2" i="2" s="1"/>
  <c r="GR2" i="2" s="1"/>
  <c r="GS2" i="2" s="1"/>
  <c r="GT2" i="2" s="1"/>
  <c r="GU2" i="2" s="1"/>
  <c r="GV2" i="2" s="1"/>
  <c r="GW2" i="2" s="1"/>
  <c r="GX2" i="2" s="1"/>
  <c r="GY2" i="2" s="1"/>
  <c r="GZ2" i="2" s="1"/>
  <c r="HA2" i="2" s="1"/>
  <c r="HB2" i="2" s="1"/>
  <c r="HC2" i="2" s="1"/>
  <c r="HD2" i="2" s="1"/>
  <c r="HE2" i="2" s="1"/>
  <c r="HF2" i="2" s="1"/>
  <c r="HG2" i="2" s="1"/>
  <c r="HH2" i="2" s="1"/>
  <c r="HI2" i="2" s="1"/>
  <c r="HJ2" i="2" s="1"/>
  <c r="HK2" i="2" s="1"/>
  <c r="HL2" i="2" s="1"/>
  <c r="HM2" i="2" s="1"/>
  <c r="HN2" i="2" s="1"/>
  <c r="HO2" i="2" s="1"/>
  <c r="HP2" i="2" s="1"/>
  <c r="HQ2" i="2" s="1"/>
  <c r="HR2" i="2" s="1"/>
  <c r="HS2" i="2" s="1"/>
  <c r="HT2" i="2" s="1"/>
  <c r="HU2" i="2" s="1"/>
  <c r="HV2" i="2" s="1"/>
  <c r="HW2" i="2" s="1"/>
  <c r="HX2" i="2" s="1"/>
  <c r="HY2" i="2" s="1"/>
  <c r="HZ2" i="2" s="1"/>
  <c r="IA2" i="2" s="1"/>
  <c r="IB2" i="2" s="1"/>
  <c r="IC2" i="2" s="1"/>
  <c r="ID2" i="2" s="1"/>
  <c r="IE2" i="2" s="1"/>
  <c r="IF2" i="2" s="1"/>
  <c r="IG2" i="2" s="1"/>
  <c r="IH2" i="2" s="1"/>
  <c r="II2" i="2" s="1"/>
  <c r="IJ2" i="2" s="1"/>
  <c r="IK2" i="2" s="1"/>
  <c r="IL2" i="2" s="1"/>
  <c r="IM2" i="2" s="1"/>
  <c r="IN2" i="2" s="1"/>
  <c r="IO2" i="2" s="1"/>
  <c r="IP2" i="2" s="1"/>
  <c r="IQ2" i="2" s="1"/>
  <c r="IR2" i="2" s="1"/>
  <c r="IS2" i="2" s="1"/>
  <c r="IT2" i="2" s="1"/>
  <c r="IU2" i="2" s="1"/>
  <c r="IV2" i="2" s="1"/>
  <c r="IW2" i="2" s="1"/>
  <c r="IX2" i="2" s="1"/>
  <c r="IY2" i="2" s="1"/>
  <c r="IZ2" i="2" s="1"/>
  <c r="JA2" i="2" s="1"/>
  <c r="JB2" i="2" s="1"/>
  <c r="JC2" i="2" s="1"/>
  <c r="JD2" i="2" s="1"/>
  <c r="JE2" i="2" s="1"/>
  <c r="JF2" i="2" s="1"/>
  <c r="JG2" i="2" s="1"/>
  <c r="JH2" i="2" s="1"/>
  <c r="JI2" i="2" s="1"/>
  <c r="JJ2" i="2" s="1"/>
  <c r="JK2" i="2" s="1"/>
  <c r="JL2" i="2" s="1"/>
  <c r="JM2" i="2" s="1"/>
  <c r="JN2" i="2" s="1"/>
  <c r="JO2" i="2" s="1"/>
  <c r="JP2" i="2" s="1"/>
  <c r="JQ2" i="2" s="1"/>
  <c r="JR2" i="2" s="1"/>
  <c r="JS2" i="2" s="1"/>
  <c r="JT2" i="2" s="1"/>
  <c r="JU2" i="2" s="1"/>
  <c r="JV2" i="2" s="1"/>
  <c r="JW2" i="2" s="1"/>
  <c r="JX2" i="2" s="1"/>
  <c r="JY2" i="2" s="1"/>
  <c r="JZ2" i="2" s="1"/>
  <c r="KA2" i="2" s="1"/>
  <c r="KB2" i="2" s="1"/>
  <c r="KC2" i="2" s="1"/>
  <c r="KD2" i="2" s="1"/>
  <c r="KE2" i="2" s="1"/>
  <c r="KF2" i="2" s="1"/>
  <c r="KG2" i="2" s="1"/>
  <c r="KH2" i="2" s="1"/>
  <c r="KI2" i="2" s="1"/>
  <c r="KJ2" i="2" s="1"/>
  <c r="KK2" i="2" s="1"/>
  <c r="KL2" i="2" s="1"/>
  <c r="KM2" i="2" s="1"/>
  <c r="KN2" i="2" s="1"/>
  <c r="KO2" i="2" s="1"/>
  <c r="KP2" i="2" s="1"/>
  <c r="KQ2" i="2" s="1"/>
  <c r="KR2" i="2" s="1"/>
  <c r="KS2" i="2" s="1"/>
  <c r="KT2" i="2" s="1"/>
  <c r="KU2" i="2" s="1"/>
  <c r="KV2" i="2" s="1"/>
  <c r="KW2" i="2" s="1"/>
  <c r="KX2" i="2" s="1"/>
  <c r="KY2" i="2" s="1"/>
  <c r="KZ2" i="2" s="1"/>
  <c r="LA2" i="2" s="1"/>
  <c r="LB2" i="2" s="1"/>
  <c r="LC2" i="2" s="1"/>
  <c r="LD2" i="2" s="1"/>
  <c r="LE2" i="2" s="1"/>
  <c r="LF2" i="2" s="1"/>
  <c r="LG2" i="2" s="1"/>
  <c r="LH2" i="2" s="1"/>
  <c r="LI2" i="2" s="1"/>
  <c r="LJ2" i="2" s="1"/>
  <c r="LK2" i="2" s="1"/>
  <c r="LL2" i="2" s="1"/>
  <c r="LM2" i="2" s="1"/>
  <c r="LN2" i="2" s="1"/>
  <c r="LO2" i="2" s="1"/>
  <c r="LP2" i="2" s="1"/>
  <c r="LQ2" i="2" s="1"/>
  <c r="LR2" i="2" s="1"/>
  <c r="LS2" i="2" s="1"/>
  <c r="LT2" i="2" s="1"/>
  <c r="LU2" i="2" s="1"/>
  <c r="LV2" i="2" s="1"/>
  <c r="LW2" i="2" s="1"/>
  <c r="LX2" i="2" s="1"/>
  <c r="LY2" i="2" s="1"/>
  <c r="LZ2" i="2" s="1"/>
  <c r="MA2" i="2" s="1"/>
  <c r="MB2" i="2" s="1"/>
  <c r="MC2" i="2" s="1"/>
  <c r="MD2" i="2" s="1"/>
  <c r="ME2" i="2" s="1"/>
  <c r="MF2" i="2" s="1"/>
  <c r="MG2" i="2" s="1"/>
  <c r="MH2" i="2" s="1"/>
  <c r="MI2" i="2" s="1"/>
  <c r="MJ2" i="2" s="1"/>
  <c r="MK2" i="2" s="1"/>
  <c r="ML2" i="2" s="1"/>
  <c r="MM2" i="2" s="1"/>
  <c r="MN2" i="2" s="1"/>
  <c r="MO2" i="2" s="1"/>
  <c r="MP2" i="2" s="1"/>
  <c r="MQ2" i="2" s="1"/>
  <c r="MR2" i="2" s="1"/>
  <c r="MS2" i="2" s="1"/>
  <c r="MT2" i="2" s="1"/>
  <c r="MU2" i="2" s="1"/>
  <c r="MV2" i="2" s="1"/>
  <c r="MW2" i="2" s="1"/>
  <c r="MX2" i="2" s="1"/>
  <c r="MY2" i="2" s="1"/>
  <c r="MZ2" i="2" s="1"/>
  <c r="NA2" i="2" s="1"/>
  <c r="NB2" i="2" s="1"/>
  <c r="NC2" i="2" s="1"/>
  <c r="ND2" i="2" s="1"/>
  <c r="NE2" i="2" s="1"/>
  <c r="NF2" i="2" s="1"/>
  <c r="NG2" i="2" s="1"/>
  <c r="NH2" i="2" s="1"/>
  <c r="NI2" i="2" s="1"/>
  <c r="NJ2" i="2" s="1"/>
  <c r="NK2" i="2" s="1"/>
  <c r="NL2" i="2" s="1"/>
  <c r="NM2" i="2" s="1"/>
  <c r="NN2" i="2" s="1"/>
  <c r="NO2" i="2" s="1"/>
  <c r="NP2" i="2" s="1"/>
  <c r="NQ2" i="2" s="1"/>
  <c r="NR2" i="2" s="1"/>
  <c r="NS2" i="2" s="1"/>
  <c r="NT2" i="2" s="1"/>
  <c r="NU2" i="2" s="1"/>
  <c r="NV2" i="2" s="1"/>
  <c r="NW2" i="2" s="1"/>
  <c r="NX2" i="2" s="1"/>
  <c r="NY2" i="2" s="1"/>
  <c r="NZ2" i="2" s="1"/>
  <c r="OA2" i="2" s="1"/>
  <c r="OB2" i="2" s="1"/>
  <c r="OC2" i="2" s="1"/>
  <c r="OD2" i="2" s="1"/>
  <c r="OE2" i="2" s="1"/>
  <c r="OF2" i="2" s="1"/>
  <c r="OG2" i="2" s="1"/>
  <c r="OH2" i="2" s="1"/>
  <c r="OI2" i="2" s="1"/>
  <c r="OJ2" i="2" s="1"/>
  <c r="OK2" i="2" s="1"/>
  <c r="OL2" i="2" s="1"/>
  <c r="OM2" i="2" s="1"/>
  <c r="ON2" i="2" s="1"/>
  <c r="OO2" i="2" s="1"/>
  <c r="OP2" i="2" s="1"/>
  <c r="OQ2" i="2" s="1"/>
  <c r="OR2" i="2" s="1"/>
  <c r="OS2" i="2" s="1"/>
  <c r="OT2" i="2" s="1"/>
  <c r="OU2" i="2" s="1"/>
  <c r="OV2" i="2" s="1"/>
  <c r="OW2" i="2" s="1"/>
  <c r="OX2" i="2" s="1"/>
  <c r="OY2" i="2" s="1"/>
  <c r="OZ2" i="2" s="1"/>
  <c r="PA2" i="2" s="1"/>
  <c r="PB2" i="2" s="1"/>
  <c r="PC2" i="2" s="1"/>
  <c r="PD2" i="2" s="1"/>
  <c r="PE2" i="2" s="1"/>
  <c r="PF2" i="2" s="1"/>
  <c r="PG2" i="2" s="1"/>
  <c r="PH2" i="2" s="1"/>
  <c r="PI2" i="2" s="1"/>
  <c r="PJ2" i="2" s="1"/>
  <c r="PK2" i="2" s="1"/>
  <c r="PL2" i="2" s="1"/>
  <c r="PM2" i="2" s="1"/>
  <c r="PN2" i="2" s="1"/>
  <c r="PO2" i="2" s="1"/>
  <c r="PP2" i="2" s="1"/>
  <c r="PQ2" i="2" s="1"/>
  <c r="PR2" i="2" s="1"/>
  <c r="PS2" i="2" s="1"/>
  <c r="PT2" i="2" s="1"/>
  <c r="PU2" i="2" s="1"/>
  <c r="PV2" i="2" s="1"/>
  <c r="PW2" i="2" s="1"/>
  <c r="PX2" i="2" s="1"/>
  <c r="PY2" i="2" s="1"/>
  <c r="PZ2" i="2" s="1"/>
  <c r="QA2" i="2" s="1"/>
  <c r="QB2" i="2" s="1"/>
  <c r="QC2" i="2" s="1"/>
  <c r="QD2" i="2" s="1"/>
  <c r="QE2" i="2" s="1"/>
  <c r="QF2" i="2" s="1"/>
  <c r="QG2" i="2" s="1"/>
  <c r="QH2" i="2" s="1"/>
  <c r="QI2" i="2" s="1"/>
  <c r="QJ2" i="2" s="1"/>
  <c r="QK2" i="2" s="1"/>
  <c r="QL2" i="2" s="1"/>
  <c r="QM2" i="2" s="1"/>
  <c r="QN2" i="2" s="1"/>
  <c r="QO2" i="2" s="1"/>
  <c r="QP2" i="2" s="1"/>
  <c r="QQ2" i="2" s="1"/>
  <c r="QR2" i="2" s="1"/>
  <c r="QS2" i="2" s="1"/>
  <c r="QT2" i="2" s="1"/>
  <c r="QU2" i="2" s="1"/>
  <c r="QV2" i="2" s="1"/>
  <c r="QW2" i="2" s="1"/>
  <c r="QX2" i="2" s="1"/>
  <c r="QY2" i="2" s="1"/>
  <c r="QZ2" i="2" s="1"/>
  <c r="RA2" i="2" s="1"/>
  <c r="RB2" i="2" s="1"/>
  <c r="RC2" i="2" s="1"/>
  <c r="RD2" i="2" s="1"/>
  <c r="RE2" i="2" s="1"/>
  <c r="RF2" i="2" s="1"/>
  <c r="RG2" i="2" s="1"/>
  <c r="RH2" i="2" s="1"/>
  <c r="RI2" i="2" s="1"/>
  <c r="RJ2" i="2" s="1"/>
  <c r="RK2" i="2" s="1"/>
  <c r="RL2" i="2" s="1"/>
  <c r="RM2" i="2" s="1"/>
  <c r="RN2" i="2" s="1"/>
  <c r="RO2" i="2" s="1"/>
  <c r="RP2" i="2" s="1"/>
  <c r="RQ2" i="2" s="1"/>
  <c r="RR2" i="2" s="1"/>
  <c r="RS2" i="2" s="1"/>
  <c r="RT2" i="2" s="1"/>
  <c r="RU2" i="2" s="1"/>
  <c r="RV2" i="2" s="1"/>
  <c r="RW2" i="2" s="1"/>
  <c r="RX2" i="2" s="1"/>
  <c r="RY2" i="2" s="1"/>
  <c r="RZ2" i="2" s="1"/>
  <c r="SA2" i="2" s="1"/>
  <c r="SB2" i="2" s="1"/>
  <c r="SC2" i="2" s="1"/>
  <c r="SD2" i="2" s="1"/>
  <c r="SE2" i="2" s="1"/>
  <c r="SF2" i="2" s="1"/>
  <c r="SG2" i="2" s="1"/>
  <c r="SH2" i="2" s="1"/>
  <c r="SI2" i="2" s="1"/>
  <c r="SJ2" i="2" s="1"/>
  <c r="SK2" i="2" s="1"/>
  <c r="SL2" i="2" s="1"/>
  <c r="SM2" i="2" s="1"/>
  <c r="SN2" i="2" s="1"/>
  <c r="SO2" i="2" s="1"/>
  <c r="SP2" i="2" s="1"/>
  <c r="SQ2" i="2" s="1"/>
  <c r="SR2" i="2" s="1"/>
  <c r="SS2" i="2" s="1"/>
  <c r="ST2" i="2" s="1"/>
  <c r="SU2" i="2" s="1"/>
  <c r="SV2" i="2" s="1"/>
  <c r="SW2" i="2" s="1"/>
  <c r="SX2" i="2" s="1"/>
  <c r="SY2" i="2" s="1"/>
  <c r="SZ2" i="2" s="1"/>
  <c r="TA2" i="2" s="1"/>
  <c r="TB2" i="2" s="1"/>
  <c r="TC2" i="2" s="1"/>
  <c r="TD2" i="2" s="1"/>
  <c r="TE2" i="2" s="1"/>
  <c r="TF2" i="2" s="1"/>
  <c r="TG2" i="2" s="1"/>
  <c r="TH2" i="2" s="1"/>
  <c r="TI2" i="2" s="1"/>
  <c r="TJ2" i="2" s="1"/>
  <c r="TK2" i="2" s="1"/>
  <c r="TL2" i="2" s="1"/>
  <c r="TM2" i="2" s="1"/>
  <c r="TN2" i="2" s="1"/>
  <c r="TO2" i="2" s="1"/>
  <c r="TP2" i="2" s="1"/>
  <c r="TQ2" i="2" s="1"/>
  <c r="TR2" i="2" s="1"/>
  <c r="TS2" i="2" s="1"/>
  <c r="TT2" i="2" s="1"/>
  <c r="TU2" i="2" s="1"/>
  <c r="TV2" i="2" s="1"/>
  <c r="TW2" i="2" s="1"/>
  <c r="TX2" i="2" s="1"/>
  <c r="TY2" i="2" s="1"/>
  <c r="TZ2" i="2" s="1"/>
  <c r="UA2" i="2" s="1"/>
  <c r="UB2" i="2" s="1"/>
  <c r="UC2" i="2" s="1"/>
  <c r="UD2" i="2" s="1"/>
  <c r="UE2" i="2" s="1"/>
  <c r="UF2" i="2" s="1"/>
  <c r="UG2" i="2" s="1"/>
  <c r="UH2" i="2" s="1"/>
  <c r="UI2" i="2" s="1"/>
  <c r="UJ2" i="2" s="1"/>
  <c r="UK2" i="2" s="1"/>
  <c r="UL2" i="2" s="1"/>
  <c r="UM2" i="2" s="1"/>
  <c r="UN2" i="2" s="1"/>
  <c r="UO2" i="2" s="1"/>
  <c r="UP2" i="2" s="1"/>
  <c r="UQ2" i="2" s="1"/>
  <c r="UR2" i="2" s="1"/>
  <c r="US2" i="2" s="1"/>
  <c r="UT2" i="2" s="1"/>
  <c r="UU2" i="2" s="1"/>
  <c r="UV2" i="2" s="1"/>
  <c r="UW2" i="2" s="1"/>
  <c r="UX2" i="2" s="1"/>
  <c r="UY2" i="2" s="1"/>
  <c r="UZ2" i="2" s="1"/>
  <c r="VA2" i="2" s="1"/>
  <c r="VB2" i="2" s="1"/>
  <c r="VC2" i="2" s="1"/>
  <c r="VD2" i="2" s="1"/>
  <c r="VE2" i="2" s="1"/>
  <c r="VF2" i="2" s="1"/>
  <c r="VG2" i="2" s="1"/>
  <c r="VH2" i="2" s="1"/>
  <c r="VI2" i="2" s="1"/>
  <c r="VJ2" i="2" s="1"/>
  <c r="VK2" i="2" s="1"/>
  <c r="VL2" i="2" s="1"/>
  <c r="VM2" i="2" s="1"/>
  <c r="VN2" i="2" s="1"/>
  <c r="VO2" i="2" s="1"/>
  <c r="VP2" i="2" s="1"/>
  <c r="VQ2" i="2" s="1"/>
  <c r="VR2" i="2" s="1"/>
  <c r="VS2" i="2" s="1"/>
  <c r="VT2" i="2" s="1"/>
  <c r="VU2" i="2" s="1"/>
  <c r="VV2" i="2" s="1"/>
  <c r="VW2" i="2" s="1"/>
  <c r="VX2" i="2" s="1"/>
  <c r="VY2" i="2" s="1"/>
  <c r="VZ2" i="2" s="1"/>
  <c r="WA2" i="2" s="1"/>
  <c r="WB2" i="2" s="1"/>
  <c r="WC2" i="2" s="1"/>
  <c r="WD2" i="2" s="1"/>
  <c r="WE2" i="2" s="1"/>
  <c r="WF2" i="2" s="1"/>
  <c r="WG2" i="2" s="1"/>
  <c r="WH2" i="2" s="1"/>
  <c r="WI2" i="2" s="1"/>
  <c r="WJ2" i="2" s="1"/>
  <c r="WK2" i="2" s="1"/>
  <c r="WL2" i="2" s="1"/>
  <c r="WM2" i="2" s="1"/>
  <c r="WN2" i="2" s="1"/>
  <c r="WO2" i="2" s="1"/>
  <c r="WP2" i="2" s="1"/>
  <c r="WQ2" i="2" s="1"/>
  <c r="WR2" i="2" s="1"/>
  <c r="WS2" i="2" s="1"/>
  <c r="WT2" i="2" s="1"/>
  <c r="WU2" i="2" s="1"/>
  <c r="WV2" i="2" s="1"/>
  <c r="WW2" i="2" s="1"/>
  <c r="WX2" i="2" s="1"/>
  <c r="WY2" i="2" s="1"/>
  <c r="WZ2" i="2" s="1"/>
  <c r="XA2" i="2" s="1"/>
  <c r="XB2" i="2" s="1"/>
  <c r="XC2" i="2" s="1"/>
  <c r="XD2" i="2" s="1"/>
  <c r="XE2" i="2" s="1"/>
  <c r="XF2" i="2" s="1"/>
  <c r="XG2" i="2" s="1"/>
  <c r="XH2" i="2" s="1"/>
  <c r="XI2" i="2" s="1"/>
  <c r="XJ2" i="2" s="1"/>
  <c r="XK2" i="2" s="1"/>
  <c r="XL2" i="2" s="1"/>
  <c r="XM2" i="2" s="1"/>
  <c r="XN2" i="2" s="1"/>
  <c r="XO2" i="2" s="1"/>
  <c r="XP2" i="2" s="1"/>
  <c r="XQ2" i="2" s="1"/>
  <c r="XR2" i="2" s="1"/>
  <c r="XS2" i="2" s="1"/>
  <c r="XT2" i="2" s="1"/>
  <c r="XU2" i="2" s="1"/>
  <c r="XV2" i="2" s="1"/>
  <c r="XW2" i="2" s="1"/>
  <c r="XX2" i="2" s="1"/>
  <c r="XY2" i="2" s="1"/>
  <c r="XZ2" i="2" s="1"/>
  <c r="YA2" i="2" s="1"/>
  <c r="YB2" i="2" s="1"/>
  <c r="YC2" i="2" s="1"/>
  <c r="YD2" i="2" s="1"/>
  <c r="YE2" i="2" s="1"/>
  <c r="YF2" i="2" s="1"/>
  <c r="YG2" i="2" s="1"/>
  <c r="YH2" i="2" s="1"/>
  <c r="YI2" i="2" s="1"/>
  <c r="YJ2" i="2" s="1"/>
  <c r="YK2" i="2" s="1"/>
  <c r="YL2" i="2" s="1"/>
  <c r="YM2" i="2" s="1"/>
  <c r="YN2" i="2" s="1"/>
  <c r="YO2" i="2" s="1"/>
  <c r="YP2" i="2" s="1"/>
  <c r="YQ2" i="2" s="1"/>
  <c r="YR2" i="2" s="1"/>
  <c r="YS2" i="2" s="1"/>
  <c r="YT2" i="2" s="1"/>
  <c r="YU2" i="2" s="1"/>
  <c r="YV2" i="2" s="1"/>
  <c r="YW2" i="2" s="1"/>
  <c r="YX2" i="2" s="1"/>
  <c r="YY2" i="2" s="1"/>
  <c r="YZ2" i="2" s="1"/>
  <c r="ZA2" i="2" s="1"/>
  <c r="ZB2" i="2" s="1"/>
  <c r="ZC2" i="2" s="1"/>
  <c r="ZD2" i="2" s="1"/>
  <c r="ZE2" i="2" s="1"/>
  <c r="ZF2" i="2" s="1"/>
  <c r="ZG2" i="2" s="1"/>
  <c r="ZH2" i="2" s="1"/>
  <c r="ZI2" i="2" s="1"/>
  <c r="ZJ2" i="2" s="1"/>
  <c r="ZK2" i="2" s="1"/>
  <c r="ZL2" i="2" s="1"/>
  <c r="ZM2" i="2" s="1"/>
  <c r="ZN2" i="2" s="1"/>
  <c r="ZO2" i="2" s="1"/>
  <c r="ZP2" i="2" s="1"/>
  <c r="ZQ2" i="2" s="1"/>
  <c r="ZR2" i="2" s="1"/>
  <c r="ZS2" i="2" s="1"/>
  <c r="ZT2" i="2" s="1"/>
  <c r="ZU2" i="2" s="1"/>
  <c r="ZV2" i="2" s="1"/>
  <c r="ZW2" i="2" s="1"/>
  <c r="ZX2" i="2" s="1"/>
  <c r="ZY2" i="2" s="1"/>
  <c r="ZZ2" i="2" s="1"/>
  <c r="AAA2" i="2" s="1"/>
  <c r="AAB2" i="2" s="1"/>
  <c r="AAC2" i="2" s="1"/>
  <c r="AAD2" i="2" s="1"/>
  <c r="AAE2" i="2" s="1"/>
  <c r="AAF2" i="2" s="1"/>
  <c r="AAG2" i="2" s="1"/>
  <c r="AAH2" i="2" s="1"/>
  <c r="AAI2" i="2" s="1"/>
  <c r="AAJ2" i="2" s="1"/>
  <c r="AAK2" i="2" s="1"/>
  <c r="AAL2" i="2" s="1"/>
  <c r="AAM2" i="2" s="1"/>
  <c r="AAN2" i="2" s="1"/>
  <c r="AAO2" i="2" s="1"/>
  <c r="AAP2" i="2" s="1"/>
  <c r="AAQ2" i="2" s="1"/>
  <c r="AAR2" i="2" s="1"/>
  <c r="AAS2" i="2" s="1"/>
  <c r="AAT2" i="2" s="1"/>
  <c r="AAU2" i="2" s="1"/>
  <c r="AAV2" i="2" s="1"/>
  <c r="AAW2" i="2" s="1"/>
  <c r="AAX2" i="2" s="1"/>
  <c r="AAY2" i="2" s="1"/>
  <c r="AAZ2" i="2" s="1"/>
  <c r="ABA2" i="2" s="1"/>
  <c r="ABB2" i="2" s="1"/>
  <c r="ABC2" i="2" s="1"/>
  <c r="ABD2" i="2" s="1"/>
  <c r="ABE2" i="2" s="1"/>
  <c r="ABF2" i="2" s="1"/>
  <c r="ABG2" i="2" s="1"/>
  <c r="ABH2" i="2" s="1"/>
  <c r="ABI2" i="2" s="1"/>
  <c r="ABJ2" i="2" s="1"/>
  <c r="ABK2" i="2" s="1"/>
  <c r="ABL2" i="2" s="1"/>
  <c r="ABM2" i="2" s="1"/>
  <c r="ABN2" i="2" s="1"/>
  <c r="ABO2" i="2" s="1"/>
  <c r="ABP2" i="2" s="1"/>
  <c r="ABQ2" i="2" s="1"/>
  <c r="ABR2" i="2" s="1"/>
  <c r="ABS2" i="2" s="1"/>
  <c r="ABT2" i="2" s="1"/>
  <c r="ABU2" i="2" s="1"/>
  <c r="ABV2" i="2" s="1"/>
  <c r="ABW2" i="2" s="1"/>
  <c r="ABX2" i="2" s="1"/>
  <c r="ABY2" i="2" s="1"/>
  <c r="ABZ2" i="2" s="1"/>
  <c r="ACA2" i="2" s="1"/>
  <c r="ACB2" i="2" s="1"/>
  <c r="ACC2" i="2" s="1"/>
  <c r="ACD2" i="2" s="1"/>
  <c r="ACE2" i="2" s="1"/>
  <c r="ACF2" i="2" s="1"/>
  <c r="ACG2" i="2" s="1"/>
  <c r="ACH2" i="2" s="1"/>
  <c r="ACI2" i="2" s="1"/>
  <c r="ACJ2" i="2" s="1"/>
  <c r="ACK2" i="2" s="1"/>
  <c r="ACL2" i="2" s="1"/>
  <c r="ACM2" i="2" s="1"/>
  <c r="ACN2" i="2" s="1"/>
  <c r="ACO2" i="2" s="1"/>
  <c r="ACP2" i="2" s="1"/>
  <c r="ACQ2" i="2" s="1"/>
  <c r="ACR2" i="2" s="1"/>
  <c r="ACS2" i="2" s="1"/>
  <c r="ACT2" i="2" s="1"/>
  <c r="ACU2" i="2" s="1"/>
  <c r="ACV2" i="2" s="1"/>
  <c r="ACW2" i="2" s="1"/>
  <c r="ACX2" i="2" s="1"/>
  <c r="ACY2" i="2" s="1"/>
  <c r="ACZ2" i="2" s="1"/>
  <c r="ADA2" i="2" s="1"/>
  <c r="ADB2" i="2" s="1"/>
  <c r="ADC2" i="2" s="1"/>
  <c r="ADD2" i="2" s="1"/>
  <c r="ADE2" i="2" s="1"/>
  <c r="ADF2" i="2" s="1"/>
  <c r="ADG2" i="2" s="1"/>
  <c r="ADH2" i="2" s="1"/>
  <c r="ADI2" i="2" s="1"/>
  <c r="ADJ2" i="2" s="1"/>
  <c r="ADK2" i="2" s="1"/>
  <c r="ADL2" i="2" s="1"/>
  <c r="ADM2" i="2" s="1"/>
  <c r="ADN2" i="2" s="1"/>
  <c r="ADO2" i="2" s="1"/>
  <c r="ADP2" i="2" s="1"/>
  <c r="ADQ2" i="2" s="1"/>
  <c r="ADR2" i="2" s="1"/>
  <c r="ADS2" i="2" s="1"/>
  <c r="ADT2" i="2" s="1"/>
  <c r="ADU2" i="2" s="1"/>
  <c r="ADV2" i="2" s="1"/>
  <c r="ADW2" i="2" s="1"/>
  <c r="ADX2" i="2" s="1"/>
  <c r="ADY2" i="2" s="1"/>
  <c r="ADZ2" i="2" s="1"/>
  <c r="AEA2" i="2" s="1"/>
  <c r="AEB2" i="2" s="1"/>
  <c r="AEC2" i="2" s="1"/>
  <c r="AED2" i="2" s="1"/>
  <c r="AEE2" i="2" s="1"/>
  <c r="AEF2" i="2" s="1"/>
  <c r="AEG2" i="2" s="1"/>
  <c r="AEH2" i="2" s="1"/>
  <c r="AEI2" i="2" s="1"/>
  <c r="AEJ2" i="2" s="1"/>
  <c r="AEK2" i="2" s="1"/>
  <c r="AEL2" i="2" s="1"/>
  <c r="AEM2" i="2" s="1"/>
  <c r="AEN2" i="2" s="1"/>
  <c r="AEO2" i="2" s="1"/>
  <c r="AEP2" i="2" s="1"/>
  <c r="AEQ2" i="2" s="1"/>
  <c r="AER2" i="2" s="1"/>
  <c r="AES2" i="2" s="1"/>
  <c r="AET2" i="2" s="1"/>
  <c r="AEU2" i="2" s="1"/>
  <c r="AEV2" i="2" s="1"/>
  <c r="AEW2" i="2" s="1"/>
  <c r="AEX2" i="2" s="1"/>
  <c r="AEY2" i="2" s="1"/>
  <c r="AEZ2" i="2" s="1"/>
  <c r="AFA2" i="2" s="1"/>
  <c r="AFB2" i="2" s="1"/>
  <c r="AFC2" i="2" s="1"/>
  <c r="AFD2" i="2" s="1"/>
  <c r="AFE2" i="2" s="1"/>
  <c r="AFF2" i="2" s="1"/>
  <c r="AFG2" i="2" s="1"/>
  <c r="AFH2" i="2" s="1"/>
  <c r="AFI2" i="2" s="1"/>
  <c r="AFJ2" i="2" s="1"/>
  <c r="AFK2" i="2" s="1"/>
  <c r="AFL2" i="2" s="1"/>
  <c r="AFM2" i="2" s="1"/>
  <c r="AFN2" i="2" s="1"/>
  <c r="AFO2" i="2" s="1"/>
  <c r="AFP2" i="2" s="1"/>
  <c r="AFQ2" i="2" s="1"/>
  <c r="AFR2" i="2" s="1"/>
  <c r="AFS2" i="2" s="1"/>
  <c r="AFT2" i="2" s="1"/>
  <c r="AFU2" i="2" s="1"/>
  <c r="AFV2" i="2" s="1"/>
  <c r="AFW2" i="2" s="1"/>
  <c r="AFX2" i="2" s="1"/>
  <c r="AFY2" i="2" s="1"/>
  <c r="AFZ2" i="2" s="1"/>
  <c r="AGA2" i="2" s="1"/>
  <c r="AGB2" i="2" s="1"/>
  <c r="AGC2" i="2" s="1"/>
  <c r="AGD2" i="2" s="1"/>
  <c r="AGE2" i="2" s="1"/>
  <c r="AGF2" i="2" s="1"/>
  <c r="AGG2" i="2" s="1"/>
  <c r="AGH2" i="2" s="1"/>
  <c r="AGI2" i="2" s="1"/>
  <c r="AGJ2" i="2" s="1"/>
  <c r="AGK2" i="2" s="1"/>
  <c r="AGL2" i="2" s="1"/>
  <c r="AGM2" i="2" s="1"/>
  <c r="AGN2" i="2" s="1"/>
  <c r="AGO2" i="2" s="1"/>
  <c r="AGP2" i="2" s="1"/>
  <c r="AGQ2" i="2" s="1"/>
  <c r="AGR2" i="2" s="1"/>
  <c r="AGS2" i="2" s="1"/>
  <c r="AGT2" i="2" s="1"/>
  <c r="AGU2" i="2" s="1"/>
  <c r="AGV2" i="2" s="1"/>
  <c r="AGW2" i="2" s="1"/>
  <c r="AGX2" i="2" s="1"/>
  <c r="AGY2" i="2" s="1"/>
  <c r="AGZ2" i="2" s="1"/>
  <c r="AHA2" i="2" s="1"/>
  <c r="AHB2" i="2" s="1"/>
  <c r="AHC2" i="2" s="1"/>
  <c r="AHD2" i="2" s="1"/>
  <c r="AHE2" i="2" s="1"/>
  <c r="AHF2" i="2" s="1"/>
  <c r="AHG2" i="2" s="1"/>
  <c r="AHH2" i="2" s="1"/>
  <c r="AHI2" i="2" s="1"/>
  <c r="AHJ2" i="2" s="1"/>
  <c r="AHK2" i="2" s="1"/>
  <c r="AHL2" i="2" s="1"/>
  <c r="AHM2" i="2" s="1"/>
  <c r="AHN2" i="2" s="1"/>
  <c r="AHO2" i="2" s="1"/>
  <c r="AHP2" i="2" s="1"/>
  <c r="AHQ2" i="2" s="1"/>
  <c r="AHR2" i="2" s="1"/>
  <c r="AHS2" i="2" s="1"/>
  <c r="AHT2" i="2" s="1"/>
  <c r="AHU2" i="2" s="1"/>
  <c r="AHV2" i="2" s="1"/>
  <c r="AHW2" i="2" s="1"/>
  <c r="AHX2" i="2" s="1"/>
  <c r="AHY2" i="2" s="1"/>
  <c r="AHZ2" i="2" s="1"/>
  <c r="AIA2" i="2" s="1"/>
  <c r="AIB2" i="2" s="1"/>
  <c r="AIC2" i="2" s="1"/>
  <c r="AID2" i="2" s="1"/>
  <c r="AIE2" i="2" s="1"/>
  <c r="AIF2" i="2" s="1"/>
  <c r="AIG2" i="2" s="1"/>
  <c r="AIH2" i="2" s="1"/>
  <c r="AII2" i="2" s="1"/>
  <c r="AIJ2" i="2" s="1"/>
  <c r="AIK2" i="2" s="1"/>
  <c r="AIL2" i="2" s="1"/>
  <c r="AIM2" i="2" s="1"/>
  <c r="AIN2" i="2" s="1"/>
  <c r="AIO2" i="2" s="1"/>
  <c r="AIP2" i="2" s="1"/>
  <c r="AIQ2" i="2" s="1"/>
  <c r="AIR2" i="2" s="1"/>
  <c r="AIS2" i="2" s="1"/>
  <c r="AIT2" i="2" s="1"/>
  <c r="AIU2" i="2" s="1"/>
  <c r="AIV2" i="2" s="1"/>
  <c r="AIW2" i="2" s="1"/>
  <c r="AIX2" i="2" s="1"/>
  <c r="AIY2" i="2" s="1"/>
  <c r="AIZ2" i="2" s="1"/>
  <c r="AJA2" i="2" s="1"/>
  <c r="AJB2" i="2" s="1"/>
  <c r="AJC2" i="2" s="1"/>
  <c r="AJD2" i="2" s="1"/>
  <c r="AJE2" i="2" s="1"/>
  <c r="AJF2" i="2" s="1"/>
  <c r="AJG2" i="2" s="1"/>
  <c r="AJH2" i="2" s="1"/>
  <c r="AJI2" i="2" s="1"/>
  <c r="AJJ2" i="2" s="1"/>
  <c r="AJK2" i="2" s="1"/>
  <c r="AJL2" i="2" s="1"/>
  <c r="AJM2" i="2" s="1"/>
  <c r="AJN2" i="2" s="1"/>
  <c r="AJO2" i="2" s="1"/>
  <c r="AJP2" i="2" s="1"/>
  <c r="AJQ2" i="2" s="1"/>
  <c r="AJR2" i="2" s="1"/>
  <c r="AJS2" i="2" s="1"/>
  <c r="AJT2" i="2" s="1"/>
  <c r="AJU2" i="2" s="1"/>
  <c r="AJV2" i="2" s="1"/>
  <c r="AJW2" i="2" s="1"/>
  <c r="AJX2" i="2" s="1"/>
  <c r="AJY2" i="2" s="1"/>
  <c r="AJZ2" i="2" s="1"/>
  <c r="AKA2" i="2" s="1"/>
  <c r="AKB2" i="2" s="1"/>
  <c r="AKC2" i="2" s="1"/>
  <c r="AKD2" i="2" s="1"/>
  <c r="AKE2" i="2" s="1"/>
  <c r="AKF2" i="2" s="1"/>
  <c r="AKG2" i="2" s="1"/>
  <c r="AKH2" i="2" s="1"/>
  <c r="AKI2" i="2" s="1"/>
  <c r="AKJ2" i="2" s="1"/>
  <c r="AKK2" i="2" s="1"/>
  <c r="AKL2" i="2" s="1"/>
  <c r="AKM2" i="2" s="1"/>
  <c r="AKN2" i="2" s="1"/>
  <c r="AKO2" i="2" s="1"/>
  <c r="AKP2" i="2" s="1"/>
  <c r="AKQ2" i="2" s="1"/>
  <c r="AKR2" i="2" s="1"/>
  <c r="AKS2" i="2" s="1"/>
  <c r="AKT2" i="2" s="1"/>
  <c r="AKU2" i="2" s="1"/>
  <c r="AKV2" i="2" s="1"/>
  <c r="AKW2" i="2" s="1"/>
  <c r="AKX2" i="2" s="1"/>
  <c r="AKY2" i="2" s="1"/>
  <c r="AKZ2" i="2" s="1"/>
  <c r="ALA2" i="2" s="1"/>
  <c r="ALB2" i="2" s="1"/>
  <c r="ALC2" i="2" s="1"/>
  <c r="ALD2" i="2" s="1"/>
  <c r="ALE2" i="2" s="1"/>
  <c r="ALF2" i="2" s="1"/>
  <c r="ALG2" i="2" s="1"/>
  <c r="ALH2" i="2" s="1"/>
  <c r="ALI2" i="2" s="1"/>
  <c r="ALJ2" i="2" s="1"/>
  <c r="ALK2" i="2" s="1"/>
  <c r="ALL2" i="2" s="1"/>
  <c r="ALM2" i="2" s="1"/>
  <c r="ALN2" i="2" s="1"/>
  <c r="ALO2" i="2" s="1"/>
  <c r="ALP2" i="2" s="1"/>
  <c r="ALQ2" i="2" s="1"/>
  <c r="ALR2" i="2" s="1"/>
  <c r="ALS2" i="2" s="1"/>
  <c r="ALT2" i="2" s="1"/>
  <c r="ALU2" i="2" s="1"/>
  <c r="ALV2" i="2" s="1"/>
  <c r="M2" i="2"/>
  <c r="L2" i="2"/>
  <c r="J23" i="2"/>
  <c r="J6" i="2"/>
  <c r="J7" i="2" s="1"/>
  <c r="J8" i="2" s="1"/>
  <c r="J9" i="2" s="1"/>
  <c r="J10" i="2" s="1"/>
  <c r="J11" i="2" s="1"/>
  <c r="J12" i="2" s="1"/>
  <c r="J13" i="2" s="1"/>
  <c r="J14" i="2" s="1"/>
  <c r="J15" i="2" s="1"/>
  <c r="J16" i="2" s="1"/>
  <c r="J17" i="2" s="1"/>
  <c r="J18" i="2" s="1"/>
  <c r="J19" i="2" s="1"/>
  <c r="J20" i="2" s="1"/>
  <c r="J21" i="2" s="1"/>
  <c r="J22" i="2" s="1"/>
  <c r="J5" i="2"/>
  <c r="J4" i="2"/>
  <c r="H14" i="2"/>
  <c r="F14" i="2"/>
  <c r="H11" i="2"/>
  <c r="F11" i="2"/>
  <c r="G7" i="2"/>
  <c r="F7" i="2"/>
  <c r="E7" i="2"/>
  <c r="F3" i="2"/>
  <c r="H2" i="2"/>
  <c r="G2" i="2"/>
  <c r="E2" i="2"/>
  <c r="C2510" i="2"/>
  <c r="C2509" i="2"/>
  <c r="C2508" i="2"/>
  <c r="C2507" i="2"/>
  <c r="C2506" i="2"/>
  <c r="C2505" i="2"/>
  <c r="C2504" i="2"/>
  <c r="C2503" i="2"/>
  <c r="C2502" i="2"/>
  <c r="C2501" i="2"/>
  <c r="C2500" i="2"/>
  <c r="C2499" i="2"/>
  <c r="C2498" i="2"/>
  <c r="C2497" i="2"/>
  <c r="C2496" i="2"/>
  <c r="C2495" i="2"/>
  <c r="C2494" i="2"/>
  <c r="C2493" i="2"/>
  <c r="C2492" i="2"/>
  <c r="C2491" i="2"/>
  <c r="C2490" i="2"/>
  <c r="C2489" i="2"/>
  <c r="C2488" i="2"/>
  <c r="C2487" i="2"/>
  <c r="C2486" i="2"/>
  <c r="C2485" i="2"/>
  <c r="C2484" i="2"/>
  <c r="C2483" i="2"/>
  <c r="C2482" i="2"/>
  <c r="C2481" i="2"/>
  <c r="C2480" i="2"/>
  <c r="C2479" i="2"/>
  <c r="C2478" i="2"/>
  <c r="C2477" i="2"/>
  <c r="C2476" i="2"/>
  <c r="C2475" i="2"/>
  <c r="C2474" i="2"/>
  <c r="C2473" i="2"/>
  <c r="C2472" i="2"/>
  <c r="C2471" i="2"/>
  <c r="C2470" i="2"/>
  <c r="C2469" i="2"/>
  <c r="C2468" i="2"/>
  <c r="C2467" i="2"/>
  <c r="C2466" i="2"/>
  <c r="C2465" i="2"/>
  <c r="C2464" i="2"/>
  <c r="C2463" i="2"/>
  <c r="C2462" i="2"/>
  <c r="C2461" i="2"/>
  <c r="C2460" i="2"/>
  <c r="C2459" i="2"/>
  <c r="C2458" i="2"/>
  <c r="C2457" i="2"/>
  <c r="C2456" i="2"/>
  <c r="C2455" i="2"/>
  <c r="C2454" i="2"/>
  <c r="C2453" i="2"/>
  <c r="C2452" i="2"/>
  <c r="C2451" i="2"/>
  <c r="C2450" i="2"/>
  <c r="C2449" i="2"/>
  <c r="C2448" i="2"/>
  <c r="C2447" i="2"/>
  <c r="C2446" i="2"/>
  <c r="C2445" i="2"/>
  <c r="C2444" i="2"/>
  <c r="C2443" i="2"/>
  <c r="C2442" i="2"/>
  <c r="C2441" i="2"/>
  <c r="C2440" i="2"/>
  <c r="C2439" i="2"/>
  <c r="C2438" i="2"/>
  <c r="C2437" i="2"/>
  <c r="C2436" i="2"/>
  <c r="C2435" i="2"/>
  <c r="C2434" i="2"/>
  <c r="C2433" i="2"/>
  <c r="C2432" i="2"/>
  <c r="C2431" i="2"/>
  <c r="C2430" i="2"/>
  <c r="C2429" i="2"/>
  <c r="C2428" i="2"/>
  <c r="C2427" i="2"/>
  <c r="C2426" i="2"/>
  <c r="C2425" i="2"/>
  <c r="C2424" i="2"/>
  <c r="C2423" i="2"/>
  <c r="C2422" i="2"/>
  <c r="C2421" i="2"/>
  <c r="C2420" i="2"/>
  <c r="C2419" i="2"/>
  <c r="C2418" i="2"/>
  <c r="C2417" i="2"/>
  <c r="C2416" i="2"/>
  <c r="C2415" i="2"/>
  <c r="C2414" i="2"/>
  <c r="C2413" i="2"/>
  <c r="C2412" i="2"/>
  <c r="C2411" i="2"/>
  <c r="C2410" i="2"/>
  <c r="C2409" i="2"/>
  <c r="C2408" i="2"/>
  <c r="C2407" i="2"/>
  <c r="C2406" i="2"/>
  <c r="C2405" i="2"/>
  <c r="C2404" i="2"/>
  <c r="C2403" i="2"/>
  <c r="C2402" i="2"/>
  <c r="C2401" i="2"/>
  <c r="C2400" i="2"/>
  <c r="C2399" i="2"/>
  <c r="C2398" i="2"/>
  <c r="C2397" i="2"/>
  <c r="C2396" i="2"/>
  <c r="C2395" i="2"/>
  <c r="C2394" i="2"/>
  <c r="C2393" i="2"/>
  <c r="C2392" i="2"/>
  <c r="C2391" i="2"/>
  <c r="C2390" i="2"/>
  <c r="C2389" i="2"/>
  <c r="C2388" i="2"/>
  <c r="C2387" i="2"/>
  <c r="C2386" i="2"/>
  <c r="C2385" i="2"/>
  <c r="C2384" i="2"/>
  <c r="C2383" i="2"/>
  <c r="C2382" i="2"/>
  <c r="C2381" i="2"/>
  <c r="C2380" i="2"/>
  <c r="C2379" i="2"/>
  <c r="C2378" i="2"/>
  <c r="C2377" i="2"/>
  <c r="C2376" i="2"/>
  <c r="C2375" i="2"/>
  <c r="C2374" i="2"/>
  <c r="C2373" i="2"/>
  <c r="C2372" i="2"/>
  <c r="C2371" i="2"/>
  <c r="C2370" i="2"/>
  <c r="C2369" i="2"/>
  <c r="C2368" i="2"/>
  <c r="C2367" i="2"/>
  <c r="C2366" i="2"/>
  <c r="C2365" i="2"/>
  <c r="C2364" i="2"/>
  <c r="C2363" i="2"/>
  <c r="C2362" i="2"/>
  <c r="C2361" i="2"/>
  <c r="C2360" i="2"/>
  <c r="C2359" i="2"/>
  <c r="C2358" i="2"/>
  <c r="C2357" i="2"/>
  <c r="C2356" i="2"/>
  <c r="C2355" i="2"/>
  <c r="C2354" i="2"/>
  <c r="C2353" i="2"/>
  <c r="C2352" i="2"/>
  <c r="C2351" i="2"/>
  <c r="C2350" i="2"/>
  <c r="C2349" i="2"/>
  <c r="C2348" i="2"/>
  <c r="C2347" i="2"/>
  <c r="C2346" i="2"/>
  <c r="C2345" i="2"/>
  <c r="C2344" i="2"/>
  <c r="C2343" i="2"/>
  <c r="C2342" i="2"/>
  <c r="C2341" i="2"/>
  <c r="C2340" i="2"/>
  <c r="C2339" i="2"/>
  <c r="C2338" i="2"/>
  <c r="C2337" i="2"/>
  <c r="C2336" i="2"/>
  <c r="C2335" i="2"/>
  <c r="C2334" i="2"/>
  <c r="C2333" i="2"/>
  <c r="C2332" i="2"/>
  <c r="C2331" i="2"/>
  <c r="C2330" i="2"/>
  <c r="C2329" i="2"/>
  <c r="C2328" i="2"/>
  <c r="C2327" i="2"/>
  <c r="C2326" i="2"/>
  <c r="C2325" i="2"/>
  <c r="C2324" i="2"/>
  <c r="C2323" i="2"/>
  <c r="C2322" i="2"/>
  <c r="C2321" i="2"/>
  <c r="C2320" i="2"/>
  <c r="C2319" i="2"/>
  <c r="C2318" i="2"/>
  <c r="C2317" i="2"/>
  <c r="C2316" i="2"/>
  <c r="C2315" i="2"/>
  <c r="C2314" i="2"/>
  <c r="C2313" i="2"/>
  <c r="C2312" i="2"/>
  <c r="C2311" i="2"/>
  <c r="C2310" i="2"/>
  <c r="C2309" i="2"/>
  <c r="C2308" i="2"/>
  <c r="C2307" i="2"/>
  <c r="C2306" i="2"/>
  <c r="C2305" i="2"/>
  <c r="C2304" i="2"/>
  <c r="C2303" i="2"/>
  <c r="C2302" i="2"/>
  <c r="C2301" i="2"/>
  <c r="C2300" i="2"/>
  <c r="C2299" i="2"/>
  <c r="C2298" i="2"/>
  <c r="C2297" i="2"/>
  <c r="C2296" i="2"/>
  <c r="C2295" i="2"/>
  <c r="C2294" i="2"/>
  <c r="C2293" i="2"/>
  <c r="C2292" i="2"/>
  <c r="C2291" i="2"/>
  <c r="C2290" i="2"/>
  <c r="C2289" i="2"/>
  <c r="C2288" i="2"/>
  <c r="C2287" i="2"/>
  <c r="C2286" i="2"/>
  <c r="C2285" i="2"/>
  <c r="C2284" i="2"/>
  <c r="C2283" i="2"/>
  <c r="C2282" i="2"/>
  <c r="C2281" i="2"/>
  <c r="C2280" i="2"/>
  <c r="C2279" i="2"/>
  <c r="C2278" i="2"/>
  <c r="C2277" i="2"/>
  <c r="C2276" i="2"/>
  <c r="C2275" i="2"/>
  <c r="C2274" i="2"/>
  <c r="C2273" i="2"/>
  <c r="C2272" i="2"/>
  <c r="C2271" i="2"/>
  <c r="C2270" i="2"/>
  <c r="C2269" i="2"/>
  <c r="C2268" i="2"/>
  <c r="C2267" i="2"/>
  <c r="C2266" i="2"/>
  <c r="C2265" i="2"/>
  <c r="C2264" i="2"/>
  <c r="C2263" i="2"/>
  <c r="C2262" i="2"/>
  <c r="C2261" i="2"/>
  <c r="C2260" i="2"/>
  <c r="C2259" i="2"/>
  <c r="C2258" i="2"/>
  <c r="C2257" i="2"/>
  <c r="C2256" i="2"/>
  <c r="C2255" i="2"/>
  <c r="C2254" i="2"/>
  <c r="C2253" i="2"/>
  <c r="C2252" i="2"/>
  <c r="C2251" i="2"/>
  <c r="C2250" i="2"/>
  <c r="C2249" i="2"/>
  <c r="C2248" i="2"/>
  <c r="C2247" i="2"/>
  <c r="C2246" i="2"/>
  <c r="C2245" i="2"/>
  <c r="C2244" i="2"/>
  <c r="C2243" i="2"/>
  <c r="C2242" i="2"/>
  <c r="C2241" i="2"/>
  <c r="C2240" i="2"/>
  <c r="C2239" i="2"/>
  <c r="C2238" i="2"/>
  <c r="C2237" i="2"/>
  <c r="C2236" i="2"/>
  <c r="C2235" i="2"/>
  <c r="C2234" i="2"/>
  <c r="C2233" i="2"/>
  <c r="C2232" i="2"/>
  <c r="C2231" i="2"/>
  <c r="C2230" i="2"/>
  <c r="C2229" i="2"/>
  <c r="C2228" i="2"/>
  <c r="C2227" i="2"/>
  <c r="C2226" i="2"/>
  <c r="C2225" i="2"/>
  <c r="C2224" i="2"/>
  <c r="C2223" i="2"/>
  <c r="C2222" i="2"/>
  <c r="C2221" i="2"/>
  <c r="C2220" i="2"/>
  <c r="C2219" i="2"/>
  <c r="C2218" i="2"/>
  <c r="C2217" i="2"/>
  <c r="C2216" i="2"/>
  <c r="C2215" i="2"/>
  <c r="C2214" i="2"/>
  <c r="C2213" i="2"/>
  <c r="C2212" i="2"/>
  <c r="C2211" i="2"/>
  <c r="C2210" i="2"/>
  <c r="C2209" i="2"/>
  <c r="C2208" i="2"/>
  <c r="C2207" i="2"/>
  <c r="C2206" i="2"/>
  <c r="C2205" i="2"/>
  <c r="C2204" i="2"/>
  <c r="C2203" i="2"/>
  <c r="C2202" i="2"/>
  <c r="C2201" i="2"/>
  <c r="C2200" i="2"/>
  <c r="C2199" i="2"/>
  <c r="C2198" i="2"/>
  <c r="C2197" i="2"/>
  <c r="C2196" i="2"/>
  <c r="C2195" i="2"/>
  <c r="C2194" i="2"/>
  <c r="C2193" i="2"/>
  <c r="C2192" i="2"/>
  <c r="C2191" i="2"/>
  <c r="C2190" i="2"/>
  <c r="C2189" i="2"/>
  <c r="C2188" i="2"/>
  <c r="C2187" i="2"/>
  <c r="C2186" i="2"/>
  <c r="C2185" i="2"/>
  <c r="C2184" i="2"/>
  <c r="C2183" i="2"/>
  <c r="C2182" i="2"/>
  <c r="C2181" i="2"/>
  <c r="C2180" i="2"/>
  <c r="C2179" i="2"/>
  <c r="C2178" i="2"/>
  <c r="C2177" i="2"/>
  <c r="C2176" i="2"/>
  <c r="C2175" i="2"/>
  <c r="C2174" i="2"/>
  <c r="C2173" i="2"/>
  <c r="C2172" i="2"/>
  <c r="C2171" i="2"/>
  <c r="C2170" i="2"/>
  <c r="C2169" i="2"/>
  <c r="C2168" i="2"/>
  <c r="C2167" i="2"/>
  <c r="C2166" i="2"/>
  <c r="C2165" i="2"/>
  <c r="C2164" i="2"/>
  <c r="C2163" i="2"/>
  <c r="C2162" i="2"/>
  <c r="C2161" i="2"/>
  <c r="C2160" i="2"/>
  <c r="C2159" i="2"/>
  <c r="C2158" i="2"/>
  <c r="C2157" i="2"/>
  <c r="C2156" i="2"/>
  <c r="C2155" i="2"/>
  <c r="C2154" i="2"/>
  <c r="C2153" i="2"/>
  <c r="C2152" i="2"/>
  <c r="C2151" i="2"/>
  <c r="C2150" i="2"/>
  <c r="C2149" i="2"/>
  <c r="C2148" i="2"/>
  <c r="C2147" i="2"/>
  <c r="C2146" i="2"/>
  <c r="C2145" i="2"/>
  <c r="C2144" i="2"/>
  <c r="C2143" i="2"/>
  <c r="C2142" i="2"/>
  <c r="C2141" i="2"/>
  <c r="C2140" i="2"/>
  <c r="C2139" i="2"/>
  <c r="C2138" i="2"/>
  <c r="C2137" i="2"/>
  <c r="C2136" i="2"/>
  <c r="C2135" i="2"/>
  <c r="C2134" i="2"/>
  <c r="C2133" i="2"/>
  <c r="C2132" i="2"/>
  <c r="C2131" i="2"/>
  <c r="C2130" i="2"/>
  <c r="C2129" i="2"/>
  <c r="C2128" i="2"/>
  <c r="C2127" i="2"/>
  <c r="C2126" i="2"/>
  <c r="C2125" i="2"/>
  <c r="C2124" i="2"/>
  <c r="C2123" i="2"/>
  <c r="C2122" i="2"/>
  <c r="C2121" i="2"/>
  <c r="C2120" i="2"/>
  <c r="C2119" i="2"/>
  <c r="C2118" i="2"/>
  <c r="C2117" i="2"/>
  <c r="C2116" i="2"/>
  <c r="C2115" i="2"/>
  <c r="C2114" i="2"/>
  <c r="C2113" i="2"/>
  <c r="C2112" i="2"/>
  <c r="C2111" i="2"/>
  <c r="C2110" i="2"/>
  <c r="C2109" i="2"/>
  <c r="C2108" i="2"/>
  <c r="C2107" i="2"/>
  <c r="C2106" i="2"/>
  <c r="C2105" i="2"/>
  <c r="C2104" i="2"/>
  <c r="C2103" i="2"/>
  <c r="C2102" i="2"/>
  <c r="C2101" i="2"/>
  <c r="C2100" i="2"/>
  <c r="C2099" i="2"/>
  <c r="C2098" i="2"/>
  <c r="C2097" i="2"/>
  <c r="C2096" i="2"/>
  <c r="C2095" i="2"/>
  <c r="C2094" i="2"/>
  <c r="C2093" i="2"/>
  <c r="C2092" i="2"/>
  <c r="C2091" i="2"/>
  <c r="C2090" i="2"/>
  <c r="C2089" i="2"/>
  <c r="C2088" i="2"/>
  <c r="C2087" i="2"/>
  <c r="C2086" i="2"/>
  <c r="C2085" i="2"/>
  <c r="C2084" i="2"/>
  <c r="C2083" i="2"/>
  <c r="C2082" i="2"/>
  <c r="C2081" i="2"/>
  <c r="C2080" i="2"/>
  <c r="C2079" i="2"/>
  <c r="C2078" i="2"/>
  <c r="C2077" i="2"/>
  <c r="C2076" i="2"/>
  <c r="C2075" i="2"/>
  <c r="C2074" i="2"/>
  <c r="C2073" i="2"/>
  <c r="C2072" i="2"/>
  <c r="C2071" i="2"/>
  <c r="C2070" i="2"/>
  <c r="C2069" i="2"/>
  <c r="C2068" i="2"/>
  <c r="C2067" i="2"/>
  <c r="C2066" i="2"/>
  <c r="C2065" i="2"/>
  <c r="C2064" i="2"/>
  <c r="C2063" i="2"/>
  <c r="C2062" i="2"/>
  <c r="C2061" i="2"/>
  <c r="C2060" i="2"/>
  <c r="C2059" i="2"/>
  <c r="C2058" i="2"/>
  <c r="C2057" i="2"/>
  <c r="C2056" i="2"/>
  <c r="C2055" i="2"/>
  <c r="C2054" i="2"/>
  <c r="C2053" i="2"/>
  <c r="C2052" i="2"/>
  <c r="C2051" i="2"/>
  <c r="C2050" i="2"/>
  <c r="C2049" i="2"/>
  <c r="C2048" i="2"/>
  <c r="C2047" i="2"/>
  <c r="C2046" i="2"/>
  <c r="C2045" i="2"/>
  <c r="C2044" i="2"/>
  <c r="C2043" i="2"/>
  <c r="C2042" i="2"/>
  <c r="C2041" i="2"/>
  <c r="C2040" i="2"/>
  <c r="C2039" i="2"/>
  <c r="C2038" i="2"/>
  <c r="C2037" i="2"/>
  <c r="C2036" i="2"/>
  <c r="C2035" i="2"/>
  <c r="C2034" i="2"/>
  <c r="C2033" i="2"/>
  <c r="C2032" i="2"/>
  <c r="C2031" i="2"/>
  <c r="C2030" i="2"/>
  <c r="C2029" i="2"/>
  <c r="C2028" i="2"/>
  <c r="C2027" i="2"/>
  <c r="C2026" i="2"/>
  <c r="C2025" i="2"/>
  <c r="C2024" i="2"/>
  <c r="C2023" i="2"/>
  <c r="C2022" i="2"/>
  <c r="C2021" i="2"/>
  <c r="C2020" i="2"/>
  <c r="C2019" i="2"/>
  <c r="C2018" i="2"/>
  <c r="C2017" i="2"/>
  <c r="C2016" i="2"/>
  <c r="C2015" i="2"/>
  <c r="C2014" i="2"/>
  <c r="C2013" i="2"/>
  <c r="C2012" i="2"/>
  <c r="C2011" i="2"/>
  <c r="C2010" i="2"/>
  <c r="C2009" i="2"/>
  <c r="C2008" i="2"/>
  <c r="C2007" i="2"/>
  <c r="C2006" i="2"/>
  <c r="C2005" i="2"/>
  <c r="C2004" i="2"/>
  <c r="C2003" i="2"/>
  <c r="C2002" i="2"/>
  <c r="C2001" i="2"/>
  <c r="C2000" i="2"/>
  <c r="C1999" i="2"/>
  <c r="C1998" i="2"/>
  <c r="C1997" i="2"/>
  <c r="C1996" i="2"/>
  <c r="C1995" i="2"/>
  <c r="C1994" i="2"/>
  <c r="C1993" i="2"/>
  <c r="C1992" i="2"/>
  <c r="C1991" i="2"/>
  <c r="C1990" i="2"/>
  <c r="C1989" i="2"/>
  <c r="C1988" i="2"/>
  <c r="C1987" i="2"/>
  <c r="C1986" i="2"/>
  <c r="C1985" i="2"/>
  <c r="C1984" i="2"/>
  <c r="C1983" i="2"/>
  <c r="C1982" i="2"/>
  <c r="C1981" i="2"/>
  <c r="C1980" i="2"/>
  <c r="C1979" i="2"/>
  <c r="C1978" i="2"/>
  <c r="C1977" i="2"/>
  <c r="C1976" i="2"/>
  <c r="C1975" i="2"/>
  <c r="C1974" i="2"/>
  <c r="C1973" i="2"/>
  <c r="C1972" i="2"/>
  <c r="C1971" i="2"/>
  <c r="C1970" i="2"/>
  <c r="C1969" i="2"/>
  <c r="C1968" i="2"/>
  <c r="C1967" i="2"/>
  <c r="C1966" i="2"/>
  <c r="C1965" i="2"/>
  <c r="C1964" i="2"/>
  <c r="C1963" i="2"/>
  <c r="C1962" i="2"/>
  <c r="C1961" i="2"/>
  <c r="C1960" i="2"/>
  <c r="C1959" i="2"/>
  <c r="C1958" i="2"/>
  <c r="C1957" i="2"/>
  <c r="C1956" i="2"/>
  <c r="C1955" i="2"/>
  <c r="C1954" i="2"/>
  <c r="C1953" i="2"/>
  <c r="C1952" i="2"/>
  <c r="C1951" i="2"/>
  <c r="C1950" i="2"/>
  <c r="C1949" i="2"/>
  <c r="C1948" i="2"/>
  <c r="C1947" i="2"/>
  <c r="C1946" i="2"/>
  <c r="C1945" i="2"/>
  <c r="C1944" i="2"/>
  <c r="C1943" i="2"/>
  <c r="C1942" i="2"/>
  <c r="C1941" i="2"/>
  <c r="C1940" i="2"/>
  <c r="C1939" i="2"/>
  <c r="C1938" i="2"/>
  <c r="C1937" i="2"/>
  <c r="C1936" i="2"/>
  <c r="C1935" i="2"/>
  <c r="C1934" i="2"/>
  <c r="C1933" i="2"/>
  <c r="C1932" i="2"/>
  <c r="C1931" i="2"/>
  <c r="C1930" i="2"/>
  <c r="C1929" i="2"/>
  <c r="C1928" i="2"/>
  <c r="C1927" i="2"/>
  <c r="C1926" i="2"/>
  <c r="C1925" i="2"/>
  <c r="C1924" i="2"/>
  <c r="C1923" i="2"/>
  <c r="C1922" i="2"/>
  <c r="C1921" i="2"/>
  <c r="C1920" i="2"/>
  <c r="C1919" i="2"/>
  <c r="C1918" i="2"/>
  <c r="C1917" i="2"/>
  <c r="C1916" i="2"/>
  <c r="C1915" i="2"/>
  <c r="C1914" i="2"/>
  <c r="C1913" i="2"/>
  <c r="C1912" i="2"/>
  <c r="C1911" i="2"/>
  <c r="C1910" i="2"/>
  <c r="C1909" i="2"/>
  <c r="C1908" i="2"/>
  <c r="C1907" i="2"/>
  <c r="C1906" i="2"/>
  <c r="C1905" i="2"/>
  <c r="C1904" i="2"/>
  <c r="C1903" i="2"/>
  <c r="C1902" i="2"/>
  <c r="C1901" i="2"/>
  <c r="C1900" i="2"/>
  <c r="C1899" i="2"/>
  <c r="C1898" i="2"/>
  <c r="C1897" i="2"/>
  <c r="C1896" i="2"/>
  <c r="C1895" i="2"/>
  <c r="C1894" i="2"/>
  <c r="C1893" i="2"/>
  <c r="C1892" i="2"/>
  <c r="C1891" i="2"/>
  <c r="C1890" i="2"/>
  <c r="C1889" i="2"/>
  <c r="C1888" i="2"/>
  <c r="C1887" i="2"/>
  <c r="C1886" i="2"/>
  <c r="C1885" i="2"/>
  <c r="C1884" i="2"/>
  <c r="C1883" i="2"/>
  <c r="C1882" i="2"/>
  <c r="C1881" i="2"/>
  <c r="C1880" i="2"/>
  <c r="C1879" i="2"/>
  <c r="C1878" i="2"/>
  <c r="C1877" i="2"/>
  <c r="C1876" i="2"/>
  <c r="C1875" i="2"/>
  <c r="C1874" i="2"/>
  <c r="C1873" i="2"/>
  <c r="C1872" i="2"/>
  <c r="C1871" i="2"/>
  <c r="C1870" i="2"/>
  <c r="C1869" i="2"/>
  <c r="C1868" i="2"/>
  <c r="C1867" i="2"/>
  <c r="C1866" i="2"/>
  <c r="C1865" i="2"/>
  <c r="C1864" i="2"/>
  <c r="C1863" i="2"/>
  <c r="C1862" i="2"/>
  <c r="C1861" i="2"/>
  <c r="C1860" i="2"/>
  <c r="C1859" i="2"/>
  <c r="C1858" i="2"/>
  <c r="C1857" i="2"/>
  <c r="C1856" i="2"/>
  <c r="C1855" i="2"/>
  <c r="C1854" i="2"/>
  <c r="C1853" i="2"/>
  <c r="C1852" i="2"/>
  <c r="C1851" i="2"/>
  <c r="C1850" i="2"/>
  <c r="C1849" i="2"/>
  <c r="C1848" i="2"/>
  <c r="C1847" i="2"/>
  <c r="C1846" i="2"/>
  <c r="C1845" i="2"/>
  <c r="C1844" i="2"/>
  <c r="C1843" i="2"/>
  <c r="C1842" i="2"/>
  <c r="C1841" i="2"/>
  <c r="C1840" i="2"/>
  <c r="C1839" i="2"/>
  <c r="C1838" i="2"/>
  <c r="C1837" i="2"/>
  <c r="C1836" i="2"/>
  <c r="C1835" i="2"/>
  <c r="C1834" i="2"/>
  <c r="C1833" i="2"/>
  <c r="C1832" i="2"/>
  <c r="C1831" i="2"/>
  <c r="C1830" i="2"/>
  <c r="C1829" i="2"/>
  <c r="C1828" i="2"/>
  <c r="C1827" i="2"/>
  <c r="C1826" i="2"/>
  <c r="C1825" i="2"/>
  <c r="C1824" i="2"/>
  <c r="C1823" i="2"/>
  <c r="C1822" i="2"/>
  <c r="C1821" i="2"/>
  <c r="C1820" i="2"/>
  <c r="C1819" i="2"/>
  <c r="C1818" i="2"/>
  <c r="C1817" i="2"/>
  <c r="C1816" i="2"/>
  <c r="C1815" i="2"/>
  <c r="C1814" i="2"/>
  <c r="C1813" i="2"/>
  <c r="C1812" i="2"/>
  <c r="C1811" i="2"/>
  <c r="C1810" i="2"/>
  <c r="C1809" i="2"/>
  <c r="C1808" i="2"/>
  <c r="C1807" i="2"/>
  <c r="C1806" i="2"/>
  <c r="C1805" i="2"/>
  <c r="C1804" i="2"/>
  <c r="C1803" i="2"/>
  <c r="C1802" i="2"/>
  <c r="C1801" i="2"/>
  <c r="C1800" i="2"/>
  <c r="C1799" i="2"/>
  <c r="C1798" i="2"/>
  <c r="C1797" i="2"/>
  <c r="C1796" i="2"/>
  <c r="C1795" i="2"/>
  <c r="C1794" i="2"/>
  <c r="C1793" i="2"/>
  <c r="C1792" i="2"/>
  <c r="C1791" i="2"/>
  <c r="C1790" i="2"/>
  <c r="C1789" i="2"/>
  <c r="C1788" i="2"/>
  <c r="C1787" i="2"/>
  <c r="C1786" i="2"/>
  <c r="C1785" i="2"/>
  <c r="C1784" i="2"/>
  <c r="C1783" i="2"/>
  <c r="C1782" i="2"/>
  <c r="C1781" i="2"/>
  <c r="C1780" i="2"/>
  <c r="C1779" i="2"/>
  <c r="C1778" i="2"/>
  <c r="C1777" i="2"/>
  <c r="C1776" i="2"/>
  <c r="C1775" i="2"/>
  <c r="C1774" i="2"/>
  <c r="C1773" i="2"/>
  <c r="C1772" i="2"/>
  <c r="C1771" i="2"/>
  <c r="C1770" i="2"/>
  <c r="C1769" i="2"/>
  <c r="C1768" i="2"/>
  <c r="C1767" i="2"/>
  <c r="C1766" i="2"/>
  <c r="C1765" i="2"/>
  <c r="C1764" i="2"/>
  <c r="C1763" i="2"/>
  <c r="C1762" i="2"/>
  <c r="C1761" i="2"/>
  <c r="C1760" i="2"/>
  <c r="C1759" i="2"/>
  <c r="C1758" i="2"/>
  <c r="C1757" i="2"/>
  <c r="C1756" i="2"/>
  <c r="C1755" i="2"/>
  <c r="C1754" i="2"/>
  <c r="C1753" i="2"/>
  <c r="C1752" i="2"/>
  <c r="C1751" i="2"/>
  <c r="C1750" i="2"/>
  <c r="C1749" i="2"/>
  <c r="C1748" i="2"/>
  <c r="C1747" i="2"/>
  <c r="C1746" i="2"/>
  <c r="C1745" i="2"/>
  <c r="C1744" i="2"/>
  <c r="C1743" i="2"/>
  <c r="C1742" i="2"/>
  <c r="C1741" i="2"/>
  <c r="C1740" i="2"/>
  <c r="C1739" i="2"/>
  <c r="C1738" i="2"/>
  <c r="C1737" i="2"/>
  <c r="C1736" i="2"/>
  <c r="C1735" i="2"/>
  <c r="C1734" i="2"/>
  <c r="C1733" i="2"/>
  <c r="C1732" i="2"/>
  <c r="C1731" i="2"/>
  <c r="C1730" i="2"/>
  <c r="C1729" i="2"/>
  <c r="C1728" i="2"/>
  <c r="C1727" i="2"/>
  <c r="C1726" i="2"/>
  <c r="C1725" i="2"/>
  <c r="C1724" i="2"/>
  <c r="C1723" i="2"/>
  <c r="C1722" i="2"/>
  <c r="C1721" i="2"/>
  <c r="C1720" i="2"/>
  <c r="C1719" i="2"/>
  <c r="C1718" i="2"/>
  <c r="C1717" i="2"/>
  <c r="C1716" i="2"/>
  <c r="C1715" i="2"/>
  <c r="C1714" i="2"/>
  <c r="C1713" i="2"/>
  <c r="C1712" i="2"/>
  <c r="C1711" i="2"/>
  <c r="C1710" i="2"/>
  <c r="C1709" i="2"/>
  <c r="C1708" i="2"/>
  <c r="C1707" i="2"/>
  <c r="C1706" i="2"/>
  <c r="C1705" i="2"/>
  <c r="C1704" i="2"/>
  <c r="C1703" i="2"/>
  <c r="C1702" i="2"/>
  <c r="C1701" i="2"/>
  <c r="C1700" i="2"/>
  <c r="C1699" i="2"/>
  <c r="C1698" i="2"/>
  <c r="C1697" i="2"/>
  <c r="C1696" i="2"/>
  <c r="C1695" i="2"/>
  <c r="C1694" i="2"/>
  <c r="C1693" i="2"/>
  <c r="C1692" i="2"/>
  <c r="C1691" i="2"/>
  <c r="C1690" i="2"/>
  <c r="C1689" i="2"/>
  <c r="C1688" i="2"/>
  <c r="C1687" i="2"/>
  <c r="C1686" i="2"/>
  <c r="C1685" i="2"/>
  <c r="C1684" i="2"/>
  <c r="C1683" i="2"/>
  <c r="C1682" i="2"/>
  <c r="C1681" i="2"/>
  <c r="C1680" i="2"/>
  <c r="C1679" i="2"/>
  <c r="C1678" i="2"/>
  <c r="C1677" i="2"/>
  <c r="C1676" i="2"/>
  <c r="C1675" i="2"/>
  <c r="C1674" i="2"/>
  <c r="C1673" i="2"/>
  <c r="C1672" i="2"/>
  <c r="C1671" i="2"/>
  <c r="C1670" i="2"/>
  <c r="C1669" i="2"/>
  <c r="C1668" i="2"/>
  <c r="C1667" i="2"/>
  <c r="C1666" i="2"/>
  <c r="C1665" i="2"/>
  <c r="C1664" i="2"/>
  <c r="C1663" i="2"/>
  <c r="C1662" i="2"/>
  <c r="C1661" i="2"/>
  <c r="C1660" i="2"/>
  <c r="C1659" i="2"/>
  <c r="C1658" i="2"/>
  <c r="C1657" i="2"/>
  <c r="C1656" i="2"/>
  <c r="C1655" i="2"/>
  <c r="C1654" i="2"/>
  <c r="C1653" i="2"/>
  <c r="C1652" i="2"/>
  <c r="C1651" i="2"/>
  <c r="C1650" i="2"/>
  <c r="C1649" i="2"/>
  <c r="C1648" i="2"/>
  <c r="C1647" i="2"/>
  <c r="C1646" i="2"/>
  <c r="C1645" i="2"/>
  <c r="C1644" i="2"/>
  <c r="C1643" i="2"/>
  <c r="C1642" i="2"/>
  <c r="C1641" i="2"/>
  <c r="C1640" i="2"/>
  <c r="C1639" i="2"/>
  <c r="C1638" i="2"/>
  <c r="C1637" i="2"/>
  <c r="C1636" i="2"/>
  <c r="C1635" i="2"/>
  <c r="C1634" i="2"/>
  <c r="C1633" i="2"/>
  <c r="C1632" i="2"/>
  <c r="C1631" i="2"/>
  <c r="C1630" i="2"/>
  <c r="C1629" i="2"/>
  <c r="C1628" i="2"/>
  <c r="C1627" i="2"/>
  <c r="C1626" i="2"/>
  <c r="C1625" i="2"/>
  <c r="C1624" i="2"/>
  <c r="C1623" i="2"/>
  <c r="C1622" i="2"/>
  <c r="C1621" i="2"/>
  <c r="C1620" i="2"/>
  <c r="C1619" i="2"/>
  <c r="C1618" i="2"/>
  <c r="C1617" i="2"/>
  <c r="C1616" i="2"/>
  <c r="C1615" i="2"/>
  <c r="C1614" i="2"/>
  <c r="C1613" i="2"/>
  <c r="C1612" i="2"/>
  <c r="C1611" i="2"/>
  <c r="C1610" i="2"/>
  <c r="C1609" i="2"/>
  <c r="C1608" i="2"/>
  <c r="C1607" i="2"/>
  <c r="C1606" i="2"/>
  <c r="C1605" i="2"/>
  <c r="C1604" i="2"/>
  <c r="C1603" i="2"/>
  <c r="C1602" i="2"/>
  <c r="C1601" i="2"/>
  <c r="C1600" i="2"/>
  <c r="C1599" i="2"/>
  <c r="C1598" i="2"/>
  <c r="C1597" i="2"/>
  <c r="C1596" i="2"/>
  <c r="C1595" i="2"/>
  <c r="C1594" i="2"/>
  <c r="C1593" i="2"/>
  <c r="C1592" i="2"/>
  <c r="C1591" i="2"/>
  <c r="C1590" i="2"/>
  <c r="C1589" i="2"/>
  <c r="C1588" i="2"/>
  <c r="C1587" i="2"/>
  <c r="C1586" i="2"/>
  <c r="C1585" i="2"/>
  <c r="C1584" i="2"/>
  <c r="C1583" i="2"/>
  <c r="C1582" i="2"/>
  <c r="C1581" i="2"/>
  <c r="C1580" i="2"/>
  <c r="C1579" i="2"/>
  <c r="C1578" i="2"/>
  <c r="C1577" i="2"/>
  <c r="C1576" i="2"/>
  <c r="C1575" i="2"/>
  <c r="C1574" i="2"/>
  <c r="C1573" i="2"/>
  <c r="C1572" i="2"/>
  <c r="C1571" i="2"/>
  <c r="C1570" i="2"/>
  <c r="C1569" i="2"/>
  <c r="C1568" i="2"/>
  <c r="C1567" i="2"/>
  <c r="C1566" i="2"/>
  <c r="C1565" i="2"/>
  <c r="C1564" i="2"/>
  <c r="C1563" i="2"/>
  <c r="C1562" i="2"/>
  <c r="C1561" i="2"/>
  <c r="C1560" i="2"/>
  <c r="C1559" i="2"/>
  <c r="C1558" i="2"/>
  <c r="C1557" i="2"/>
  <c r="C1556" i="2"/>
  <c r="C1555" i="2"/>
  <c r="C1554" i="2"/>
  <c r="C1553" i="2"/>
  <c r="C1552" i="2"/>
  <c r="C1551" i="2"/>
  <c r="C1550" i="2"/>
  <c r="C1549" i="2"/>
  <c r="C1548" i="2"/>
  <c r="C1547" i="2"/>
  <c r="C1546" i="2"/>
  <c r="C1545" i="2"/>
  <c r="C1544" i="2"/>
  <c r="C1543" i="2"/>
  <c r="C1542" i="2"/>
  <c r="C1541" i="2"/>
  <c r="C1540" i="2"/>
  <c r="C1539" i="2"/>
  <c r="C1538" i="2"/>
  <c r="C1537" i="2"/>
  <c r="C1536" i="2"/>
  <c r="C1535" i="2"/>
  <c r="C1534" i="2"/>
  <c r="C1533" i="2"/>
  <c r="C1532" i="2"/>
  <c r="C1531" i="2"/>
  <c r="C1530" i="2"/>
  <c r="C1529" i="2"/>
  <c r="C1528" i="2"/>
  <c r="C1527" i="2"/>
  <c r="C1526" i="2"/>
  <c r="C1525" i="2"/>
  <c r="C1524" i="2"/>
  <c r="C1523" i="2"/>
  <c r="C1522" i="2"/>
  <c r="C1521" i="2"/>
  <c r="C1520" i="2"/>
  <c r="C1519" i="2"/>
  <c r="C1518" i="2"/>
  <c r="C1517" i="2"/>
  <c r="C1516" i="2"/>
  <c r="C1515" i="2"/>
  <c r="C1514" i="2"/>
  <c r="C1513" i="2"/>
  <c r="C1512" i="2"/>
  <c r="C1511" i="2"/>
  <c r="C1510" i="2"/>
  <c r="C1509" i="2"/>
  <c r="C1508" i="2"/>
  <c r="C1507" i="2"/>
  <c r="C1506" i="2"/>
  <c r="C1505" i="2"/>
  <c r="C1504" i="2"/>
  <c r="C1503" i="2"/>
  <c r="C1502" i="2"/>
  <c r="C1501" i="2"/>
  <c r="C1500" i="2"/>
  <c r="C1499" i="2"/>
  <c r="C1498" i="2"/>
  <c r="C1497" i="2"/>
  <c r="C1496" i="2"/>
  <c r="C1495" i="2"/>
  <c r="C1494" i="2"/>
  <c r="C1493" i="2"/>
  <c r="C1492" i="2"/>
  <c r="C1491" i="2"/>
  <c r="C1490" i="2"/>
  <c r="C1489" i="2"/>
  <c r="C1488" i="2"/>
  <c r="C1487" i="2"/>
  <c r="C1486" i="2"/>
  <c r="C1485" i="2"/>
  <c r="C1484" i="2"/>
  <c r="C1483" i="2"/>
  <c r="C1482" i="2"/>
  <c r="C1481" i="2"/>
  <c r="C1480" i="2"/>
  <c r="C1479" i="2"/>
  <c r="C1478" i="2"/>
  <c r="C1477" i="2"/>
  <c r="C1476" i="2"/>
  <c r="C1475" i="2"/>
  <c r="C1474" i="2"/>
  <c r="C1473" i="2"/>
  <c r="C1472" i="2"/>
  <c r="C1471" i="2"/>
  <c r="C1470" i="2"/>
  <c r="C1469" i="2"/>
  <c r="C1468" i="2"/>
  <c r="C1467" i="2"/>
  <c r="C1466" i="2"/>
  <c r="C1465" i="2"/>
  <c r="C1464" i="2"/>
  <c r="C1463" i="2"/>
  <c r="C1462" i="2"/>
  <c r="C1461" i="2"/>
  <c r="C1460" i="2"/>
  <c r="C1459" i="2"/>
  <c r="C1458" i="2"/>
  <c r="C1457" i="2"/>
  <c r="C1456" i="2"/>
  <c r="C1455" i="2"/>
  <c r="C1454" i="2"/>
  <c r="C1453" i="2"/>
  <c r="C1452" i="2"/>
  <c r="C1451" i="2"/>
  <c r="C1450" i="2"/>
  <c r="C1449" i="2"/>
  <c r="C1448" i="2"/>
  <c r="C1447" i="2"/>
  <c r="C1446" i="2"/>
  <c r="C1445" i="2"/>
  <c r="C1444" i="2"/>
  <c r="C1443" i="2"/>
  <c r="C1442" i="2"/>
  <c r="C1441" i="2"/>
  <c r="C1440" i="2"/>
  <c r="C1439" i="2"/>
  <c r="C1438" i="2"/>
  <c r="C1437" i="2"/>
  <c r="C1436" i="2"/>
  <c r="C1435" i="2"/>
  <c r="C1434" i="2"/>
  <c r="C1433" i="2"/>
  <c r="C1432" i="2"/>
  <c r="C1431" i="2"/>
  <c r="C1430" i="2"/>
  <c r="C1429" i="2"/>
  <c r="C1428" i="2"/>
  <c r="C1427" i="2"/>
  <c r="C1426" i="2"/>
  <c r="C1425" i="2"/>
  <c r="C1424" i="2"/>
  <c r="C1423" i="2"/>
  <c r="C1422" i="2"/>
  <c r="C1421" i="2"/>
  <c r="C1420" i="2"/>
  <c r="C1419" i="2"/>
  <c r="C1418" i="2"/>
  <c r="C1417" i="2"/>
  <c r="C1416" i="2"/>
  <c r="C1415" i="2"/>
  <c r="C1414" i="2"/>
  <c r="C1413" i="2"/>
  <c r="C1412" i="2"/>
  <c r="C1411" i="2"/>
  <c r="C1410" i="2"/>
  <c r="C1409" i="2"/>
  <c r="C1408" i="2"/>
  <c r="C1407" i="2"/>
  <c r="C1406" i="2"/>
  <c r="C1405" i="2"/>
  <c r="C1404" i="2"/>
  <c r="C1403" i="2"/>
  <c r="C1402" i="2"/>
  <c r="C1401" i="2"/>
  <c r="C1400" i="2"/>
  <c r="C1399" i="2"/>
  <c r="C1398" i="2"/>
  <c r="C1397" i="2"/>
  <c r="C1396" i="2"/>
  <c r="C1395" i="2"/>
  <c r="C1394" i="2"/>
  <c r="C1393" i="2"/>
  <c r="C1392" i="2"/>
  <c r="C1391" i="2"/>
  <c r="C1390" i="2"/>
  <c r="C1389" i="2"/>
  <c r="C1388" i="2"/>
  <c r="C1387" i="2"/>
  <c r="C1386" i="2"/>
  <c r="C1385" i="2"/>
  <c r="C1384" i="2"/>
  <c r="C1383" i="2"/>
  <c r="C1382" i="2"/>
  <c r="C1381" i="2"/>
  <c r="C1380" i="2"/>
  <c r="C1379" i="2"/>
  <c r="C1378" i="2"/>
  <c r="C1377" i="2"/>
  <c r="C1376" i="2"/>
  <c r="C1375" i="2"/>
  <c r="C1374" i="2"/>
  <c r="C1373" i="2"/>
  <c r="C1372" i="2"/>
  <c r="C1371" i="2"/>
  <c r="C1370" i="2"/>
  <c r="C1369" i="2"/>
  <c r="C1368" i="2"/>
  <c r="C1367" i="2"/>
  <c r="C1366" i="2"/>
  <c r="C1365" i="2"/>
  <c r="C1364" i="2"/>
  <c r="C1363" i="2"/>
  <c r="C1362" i="2"/>
  <c r="C1361" i="2"/>
  <c r="C1360" i="2"/>
  <c r="C1359" i="2"/>
  <c r="C1358" i="2"/>
  <c r="C1357" i="2"/>
  <c r="C1356" i="2"/>
  <c r="C1355" i="2"/>
  <c r="C1354" i="2"/>
  <c r="C1353" i="2"/>
  <c r="C1352" i="2"/>
  <c r="C1351" i="2"/>
  <c r="C1350" i="2"/>
  <c r="C1349" i="2"/>
  <c r="C1348" i="2"/>
  <c r="C1347" i="2"/>
  <c r="C1346" i="2"/>
  <c r="C1345" i="2"/>
  <c r="C1344" i="2"/>
  <c r="C1343" i="2"/>
  <c r="C1342" i="2"/>
  <c r="C1341" i="2"/>
  <c r="C1340" i="2"/>
  <c r="C1339" i="2"/>
  <c r="C1338" i="2"/>
  <c r="C1337" i="2"/>
  <c r="C1336" i="2"/>
  <c r="C1335" i="2"/>
  <c r="C1334" i="2"/>
  <c r="C1333" i="2"/>
  <c r="C1332" i="2"/>
  <c r="C1331" i="2"/>
  <c r="C1330" i="2"/>
  <c r="C1329" i="2"/>
  <c r="C1328" i="2"/>
  <c r="C1327" i="2"/>
  <c r="C1326" i="2"/>
  <c r="C1325" i="2"/>
  <c r="C1324" i="2"/>
  <c r="C1323" i="2"/>
  <c r="C1322" i="2"/>
  <c r="C1321" i="2"/>
  <c r="C1320" i="2"/>
  <c r="C1319" i="2"/>
  <c r="C1318" i="2"/>
  <c r="C1317" i="2"/>
  <c r="C1316" i="2"/>
  <c r="C1315" i="2"/>
  <c r="C1314" i="2"/>
  <c r="C1313" i="2"/>
  <c r="C1312" i="2"/>
  <c r="C1311" i="2"/>
  <c r="C1310" i="2"/>
  <c r="C1309" i="2"/>
  <c r="C1308" i="2"/>
  <c r="C1307" i="2"/>
  <c r="C1306" i="2"/>
  <c r="C1305" i="2"/>
  <c r="C1304" i="2"/>
  <c r="C1303" i="2"/>
  <c r="C1302" i="2"/>
  <c r="C1301" i="2"/>
  <c r="C1300" i="2"/>
  <c r="C1299" i="2"/>
  <c r="C1298" i="2"/>
  <c r="C1297" i="2"/>
  <c r="C1296" i="2"/>
  <c r="C1295" i="2"/>
  <c r="C1294" i="2"/>
  <c r="C1293" i="2"/>
  <c r="C1292" i="2"/>
  <c r="C1291" i="2"/>
  <c r="C1290" i="2"/>
  <c r="C1289" i="2"/>
  <c r="C1288" i="2"/>
  <c r="C1287" i="2"/>
  <c r="C1286" i="2"/>
  <c r="C1285" i="2"/>
  <c r="C1284" i="2"/>
  <c r="C1283" i="2"/>
  <c r="C1282" i="2"/>
  <c r="C1281" i="2"/>
  <c r="C1280" i="2"/>
  <c r="C1279" i="2"/>
  <c r="C1278" i="2"/>
  <c r="C1277" i="2"/>
  <c r="C1276" i="2"/>
  <c r="C1275" i="2"/>
  <c r="C1274" i="2"/>
  <c r="C1273" i="2"/>
  <c r="C1272" i="2"/>
  <c r="C1271" i="2"/>
  <c r="C1270" i="2"/>
  <c r="C1269" i="2"/>
  <c r="C1268" i="2"/>
  <c r="C1267" i="2"/>
  <c r="C1266" i="2"/>
  <c r="C1265" i="2"/>
  <c r="C1264" i="2"/>
  <c r="C1263" i="2"/>
  <c r="C1262" i="2"/>
  <c r="C1261" i="2"/>
  <c r="C1260" i="2"/>
  <c r="C1259" i="2"/>
  <c r="C1258" i="2"/>
  <c r="C1257" i="2"/>
  <c r="C1256" i="2"/>
  <c r="C1255" i="2"/>
  <c r="C1254" i="2"/>
  <c r="C1253" i="2"/>
  <c r="C1252" i="2"/>
  <c r="C1251" i="2"/>
  <c r="C1250" i="2"/>
  <c r="C1249" i="2"/>
  <c r="C1248" i="2"/>
  <c r="C1247" i="2"/>
  <c r="C1246" i="2"/>
  <c r="C1245" i="2"/>
  <c r="C1244" i="2"/>
  <c r="C1243" i="2"/>
  <c r="C1242" i="2"/>
  <c r="C1241" i="2"/>
  <c r="C1240" i="2"/>
  <c r="C1239" i="2"/>
  <c r="C1238" i="2"/>
  <c r="C1237" i="2"/>
  <c r="C1236" i="2"/>
  <c r="C1235" i="2"/>
  <c r="C1234" i="2"/>
  <c r="C1233" i="2"/>
  <c r="C1232" i="2"/>
  <c r="C1231" i="2"/>
  <c r="C1230" i="2"/>
  <c r="C1229" i="2"/>
  <c r="C1228" i="2"/>
  <c r="C1227" i="2"/>
  <c r="C1226" i="2"/>
  <c r="C1225" i="2"/>
  <c r="C1224" i="2"/>
  <c r="C1223" i="2"/>
  <c r="C1222" i="2"/>
  <c r="C1221" i="2"/>
  <c r="C1220" i="2"/>
  <c r="C1219" i="2"/>
  <c r="C1218" i="2"/>
  <c r="C1217" i="2"/>
  <c r="C1216" i="2"/>
  <c r="C1215" i="2"/>
  <c r="C1214" i="2"/>
  <c r="C1213" i="2"/>
  <c r="C1212" i="2"/>
  <c r="C1211" i="2"/>
  <c r="C1210" i="2"/>
  <c r="C1209" i="2"/>
  <c r="C1208" i="2"/>
  <c r="C1207" i="2"/>
  <c r="C1206" i="2"/>
  <c r="C1205" i="2"/>
  <c r="C1204" i="2"/>
  <c r="C1203" i="2"/>
  <c r="C1202" i="2"/>
  <c r="C1201" i="2"/>
  <c r="C1200" i="2"/>
  <c r="C1199" i="2"/>
  <c r="C1198" i="2"/>
  <c r="C1197" i="2"/>
  <c r="C1196" i="2"/>
  <c r="C1195" i="2"/>
  <c r="C1194" i="2"/>
  <c r="C1193" i="2"/>
  <c r="C1192" i="2"/>
  <c r="C1191" i="2"/>
  <c r="C1190" i="2"/>
  <c r="C1189" i="2"/>
  <c r="C1188" i="2"/>
  <c r="C1187" i="2"/>
  <c r="C1186" i="2"/>
  <c r="C1185" i="2"/>
  <c r="C1184" i="2"/>
  <c r="C1183" i="2"/>
  <c r="C1182" i="2"/>
  <c r="C1181" i="2"/>
  <c r="C1180" i="2"/>
  <c r="C1179" i="2"/>
  <c r="C1178" i="2"/>
  <c r="C1177" i="2"/>
  <c r="C1176" i="2"/>
  <c r="C1175" i="2"/>
  <c r="C1174" i="2"/>
  <c r="C1173" i="2"/>
  <c r="C1172" i="2"/>
  <c r="C1171" i="2"/>
  <c r="C1170" i="2"/>
  <c r="C1169" i="2"/>
  <c r="C1168" i="2"/>
  <c r="C1167" i="2"/>
  <c r="C1166" i="2"/>
  <c r="C1165" i="2"/>
  <c r="C1164" i="2"/>
  <c r="C1163" i="2"/>
  <c r="C1162" i="2"/>
  <c r="C1161" i="2"/>
  <c r="C1160" i="2"/>
  <c r="C1159" i="2"/>
  <c r="C1158" i="2"/>
  <c r="C1157" i="2"/>
  <c r="C1156" i="2"/>
  <c r="C1155" i="2"/>
  <c r="C1154" i="2"/>
  <c r="C1153" i="2"/>
  <c r="C1152" i="2"/>
  <c r="C1151" i="2"/>
  <c r="C1150" i="2"/>
  <c r="C1149" i="2"/>
  <c r="C1148" i="2"/>
  <c r="C1147" i="2"/>
  <c r="C1146" i="2"/>
  <c r="C1145" i="2"/>
  <c r="C1144" i="2"/>
  <c r="C1143" i="2"/>
  <c r="C1142" i="2"/>
  <c r="C1141" i="2"/>
  <c r="C1140" i="2"/>
  <c r="C1139" i="2"/>
  <c r="C1138" i="2"/>
  <c r="C1137" i="2"/>
  <c r="C1136" i="2"/>
  <c r="C1135" i="2"/>
  <c r="C1134" i="2"/>
  <c r="C1133" i="2"/>
  <c r="C1132" i="2"/>
  <c r="C1131" i="2"/>
  <c r="C1130" i="2"/>
  <c r="C1129" i="2"/>
  <c r="C1128" i="2"/>
  <c r="C1127" i="2"/>
  <c r="C1126" i="2"/>
  <c r="C1125" i="2"/>
  <c r="C1124" i="2"/>
  <c r="C1123" i="2"/>
  <c r="C1122" i="2"/>
  <c r="C1121" i="2"/>
  <c r="C1120" i="2"/>
  <c r="C1119" i="2"/>
  <c r="C1118" i="2"/>
  <c r="C1117" i="2"/>
  <c r="C1116" i="2"/>
  <c r="C1115" i="2"/>
  <c r="C1114" i="2"/>
  <c r="C1113" i="2"/>
  <c r="C1112" i="2"/>
  <c r="C1111" i="2"/>
  <c r="C1110" i="2"/>
  <c r="C1109" i="2"/>
  <c r="C1108" i="2"/>
  <c r="C1107" i="2"/>
  <c r="C1106" i="2"/>
  <c r="C1105" i="2"/>
  <c r="C1104" i="2"/>
  <c r="C1103" i="2"/>
  <c r="C1102" i="2"/>
  <c r="C1101" i="2"/>
  <c r="C1100" i="2"/>
  <c r="C1099" i="2"/>
  <c r="C1098" i="2"/>
  <c r="C1097" i="2"/>
  <c r="C1096" i="2"/>
  <c r="C1095" i="2"/>
  <c r="C1094" i="2"/>
  <c r="C1093" i="2"/>
  <c r="C1092" i="2"/>
  <c r="C1091" i="2"/>
  <c r="C1090" i="2"/>
  <c r="C1089" i="2"/>
  <c r="C1088" i="2"/>
  <c r="C1087" i="2"/>
  <c r="C1086" i="2"/>
  <c r="C1085" i="2"/>
  <c r="C1084" i="2"/>
  <c r="C1083" i="2"/>
  <c r="C1082" i="2"/>
  <c r="C1081" i="2"/>
  <c r="C1080" i="2"/>
  <c r="C1079" i="2"/>
  <c r="C1078" i="2"/>
  <c r="C1077" i="2"/>
  <c r="C1076" i="2"/>
  <c r="C1075" i="2"/>
  <c r="C1074" i="2"/>
  <c r="C1073" i="2"/>
  <c r="C1072" i="2"/>
  <c r="C1071" i="2"/>
  <c r="C1070" i="2"/>
  <c r="C1069" i="2"/>
  <c r="C1068" i="2"/>
  <c r="C1067" i="2"/>
  <c r="C1066" i="2"/>
  <c r="C1065" i="2"/>
  <c r="C1064" i="2"/>
  <c r="C1063" i="2"/>
  <c r="C1062" i="2"/>
  <c r="C1061" i="2"/>
  <c r="C1060" i="2"/>
  <c r="C1059" i="2"/>
  <c r="C1058" i="2"/>
  <c r="C1057" i="2"/>
  <c r="C1056" i="2"/>
  <c r="C1055" i="2"/>
  <c r="C1054" i="2"/>
  <c r="C1053" i="2"/>
  <c r="C1052" i="2"/>
  <c r="C1051" i="2"/>
  <c r="C1050" i="2"/>
  <c r="C1049" i="2"/>
  <c r="C1048" i="2"/>
  <c r="C1047" i="2"/>
  <c r="C1046" i="2"/>
  <c r="C1045" i="2"/>
  <c r="C1044" i="2"/>
  <c r="C1043" i="2"/>
  <c r="C1042" i="2"/>
  <c r="C1041" i="2"/>
  <c r="C1040" i="2"/>
  <c r="C1039" i="2"/>
  <c r="C1038" i="2"/>
  <c r="C1037" i="2"/>
  <c r="C1036" i="2"/>
  <c r="C1035" i="2"/>
  <c r="C1034" i="2"/>
  <c r="C1033" i="2"/>
  <c r="C1032" i="2"/>
  <c r="C1031" i="2"/>
  <c r="C1030" i="2"/>
  <c r="C1029" i="2"/>
  <c r="C1028" i="2"/>
  <c r="C1027" i="2"/>
  <c r="C1026" i="2"/>
  <c r="C1025" i="2"/>
  <c r="C1024" i="2"/>
  <c r="C1023" i="2"/>
  <c r="C1022" i="2"/>
  <c r="C1021" i="2"/>
  <c r="C1020" i="2"/>
  <c r="C1019" i="2"/>
  <c r="C1018" i="2"/>
  <c r="C1017" i="2"/>
  <c r="C1016" i="2"/>
  <c r="C1015" i="2"/>
  <c r="C1014" i="2"/>
  <c r="C1013" i="2"/>
  <c r="C1012" i="2"/>
  <c r="C1011" i="2"/>
  <c r="C1010" i="2"/>
  <c r="C1009" i="2"/>
  <c r="C1008" i="2"/>
  <c r="C1007" i="2"/>
  <c r="C1006" i="2"/>
  <c r="C1005" i="2"/>
  <c r="C1004" i="2"/>
  <c r="C1003" i="2"/>
  <c r="C1002" i="2"/>
  <c r="C1001" i="2"/>
  <c r="C1000" i="2"/>
  <c r="C999" i="2"/>
  <c r="C998" i="2"/>
  <c r="C997" i="2"/>
  <c r="C996" i="2"/>
  <c r="C995" i="2"/>
  <c r="C994" i="2"/>
  <c r="C993" i="2"/>
  <c r="C992" i="2"/>
  <c r="C991" i="2"/>
  <c r="C990" i="2"/>
  <c r="C989" i="2"/>
  <c r="C988" i="2"/>
  <c r="C987" i="2"/>
  <c r="C986" i="2"/>
  <c r="C985" i="2"/>
  <c r="C984" i="2"/>
  <c r="C983" i="2"/>
  <c r="C982" i="2"/>
  <c r="C981" i="2"/>
  <c r="C980" i="2"/>
  <c r="C979" i="2"/>
  <c r="C978" i="2"/>
  <c r="C977" i="2"/>
  <c r="C976" i="2"/>
  <c r="C975" i="2"/>
  <c r="C974" i="2"/>
  <c r="C973" i="2"/>
  <c r="C972" i="2"/>
  <c r="C971" i="2"/>
  <c r="C970" i="2"/>
  <c r="C969" i="2"/>
  <c r="C968" i="2"/>
  <c r="C967" i="2"/>
  <c r="C966" i="2"/>
  <c r="C965" i="2"/>
  <c r="C964" i="2"/>
  <c r="C963" i="2"/>
  <c r="C962" i="2"/>
  <c r="C961" i="2"/>
  <c r="C960" i="2"/>
  <c r="C959" i="2"/>
  <c r="C958" i="2"/>
  <c r="C957" i="2"/>
  <c r="C956" i="2"/>
  <c r="C955" i="2"/>
  <c r="C954" i="2"/>
  <c r="C953" i="2"/>
  <c r="C952" i="2"/>
  <c r="C951" i="2"/>
  <c r="C950" i="2"/>
  <c r="C949" i="2"/>
  <c r="C948" i="2"/>
  <c r="C947" i="2"/>
  <c r="C946" i="2"/>
  <c r="C945" i="2"/>
  <c r="C944" i="2"/>
  <c r="C943" i="2"/>
  <c r="C942" i="2"/>
  <c r="C941" i="2"/>
  <c r="C940" i="2"/>
  <c r="C939" i="2"/>
  <c r="C938" i="2"/>
  <c r="C937" i="2"/>
  <c r="C936" i="2"/>
  <c r="C935" i="2"/>
  <c r="C934" i="2"/>
  <c r="C933" i="2"/>
  <c r="C932" i="2"/>
  <c r="C931" i="2"/>
  <c r="C930" i="2"/>
  <c r="C929" i="2"/>
  <c r="C928" i="2"/>
  <c r="C927" i="2"/>
  <c r="C926" i="2"/>
  <c r="C925" i="2"/>
  <c r="C924" i="2"/>
  <c r="C923" i="2"/>
  <c r="C922" i="2"/>
  <c r="C921" i="2"/>
  <c r="C920" i="2"/>
  <c r="C919" i="2"/>
  <c r="C918" i="2"/>
  <c r="C917" i="2"/>
  <c r="C916" i="2"/>
  <c r="C915" i="2"/>
  <c r="C914" i="2"/>
  <c r="C913" i="2"/>
  <c r="C912" i="2"/>
  <c r="C911" i="2"/>
  <c r="C910" i="2"/>
  <c r="C909" i="2"/>
  <c r="C908" i="2"/>
  <c r="C907" i="2"/>
  <c r="C906" i="2"/>
  <c r="C905" i="2"/>
  <c r="C904" i="2"/>
  <c r="C903" i="2"/>
  <c r="C902" i="2"/>
  <c r="C901" i="2"/>
  <c r="C900" i="2"/>
  <c r="C899" i="2"/>
  <c r="C898" i="2"/>
  <c r="C897" i="2"/>
  <c r="C896" i="2"/>
  <c r="C895" i="2"/>
  <c r="C894" i="2"/>
  <c r="C893" i="2"/>
  <c r="C892" i="2"/>
  <c r="C891" i="2"/>
  <c r="C890" i="2"/>
  <c r="C889" i="2"/>
  <c r="C888" i="2"/>
  <c r="C887" i="2"/>
  <c r="C886" i="2"/>
  <c r="C885" i="2"/>
  <c r="C884" i="2"/>
  <c r="C883" i="2"/>
  <c r="C882" i="2"/>
  <c r="C881" i="2"/>
  <c r="C880" i="2"/>
  <c r="C879" i="2"/>
  <c r="C878" i="2"/>
  <c r="C877" i="2"/>
  <c r="C876" i="2"/>
  <c r="C875" i="2"/>
  <c r="C874" i="2"/>
  <c r="C873" i="2"/>
  <c r="C872" i="2"/>
  <c r="C871" i="2"/>
  <c r="C870" i="2"/>
  <c r="C869" i="2"/>
  <c r="C868" i="2"/>
  <c r="C867" i="2"/>
  <c r="C866" i="2"/>
  <c r="C865" i="2"/>
  <c r="C864" i="2"/>
  <c r="C863" i="2"/>
  <c r="C862" i="2"/>
  <c r="C861" i="2"/>
  <c r="C860" i="2"/>
  <c r="C859" i="2"/>
  <c r="C858" i="2"/>
  <c r="C857" i="2"/>
  <c r="C856" i="2"/>
  <c r="C855" i="2"/>
  <c r="C854" i="2"/>
  <c r="C853" i="2"/>
  <c r="C852" i="2"/>
  <c r="C851" i="2"/>
  <c r="C850" i="2"/>
  <c r="C849" i="2"/>
  <c r="C848" i="2"/>
  <c r="C847" i="2"/>
  <c r="C846" i="2"/>
  <c r="C845" i="2"/>
  <c r="C844" i="2"/>
  <c r="C843" i="2"/>
  <c r="C842" i="2"/>
  <c r="C841" i="2"/>
  <c r="C840" i="2"/>
  <c r="C839" i="2"/>
  <c r="C838" i="2"/>
  <c r="C837" i="2"/>
  <c r="C836" i="2"/>
  <c r="C835" i="2"/>
  <c r="C834" i="2"/>
  <c r="C833" i="2"/>
  <c r="C832" i="2"/>
  <c r="C831" i="2"/>
  <c r="C830" i="2"/>
  <c r="C829" i="2"/>
  <c r="C828" i="2"/>
  <c r="C827" i="2"/>
  <c r="C826" i="2"/>
  <c r="C825" i="2"/>
  <c r="C824" i="2"/>
  <c r="C823" i="2"/>
  <c r="C822" i="2"/>
  <c r="C821" i="2"/>
  <c r="C820" i="2"/>
  <c r="C819" i="2"/>
  <c r="C818" i="2"/>
  <c r="C817" i="2"/>
  <c r="C816" i="2"/>
  <c r="C815" i="2"/>
  <c r="C814" i="2"/>
  <c r="C813" i="2"/>
  <c r="C812" i="2"/>
  <c r="C811" i="2"/>
  <c r="C810" i="2"/>
  <c r="C809" i="2"/>
  <c r="C808" i="2"/>
  <c r="C807" i="2"/>
  <c r="C806" i="2"/>
  <c r="C805" i="2"/>
  <c r="C804" i="2"/>
  <c r="C803" i="2"/>
  <c r="C802" i="2"/>
  <c r="C801" i="2"/>
  <c r="C800" i="2"/>
  <c r="C799" i="2"/>
  <c r="C798" i="2"/>
  <c r="C797" i="2"/>
  <c r="C796" i="2"/>
  <c r="C795" i="2"/>
  <c r="C794" i="2"/>
  <c r="C793" i="2"/>
  <c r="C792" i="2"/>
  <c r="C791" i="2"/>
  <c r="C790" i="2"/>
  <c r="C789" i="2"/>
  <c r="C788" i="2"/>
  <c r="C787" i="2"/>
  <c r="C786" i="2"/>
  <c r="C785" i="2"/>
  <c r="C784" i="2"/>
  <c r="C783" i="2"/>
  <c r="C782" i="2"/>
  <c r="C781" i="2"/>
  <c r="C780" i="2"/>
  <c r="C779" i="2"/>
  <c r="C778" i="2"/>
  <c r="C777" i="2"/>
  <c r="C776" i="2"/>
  <c r="C775" i="2"/>
  <c r="C774" i="2"/>
  <c r="C773" i="2"/>
  <c r="C772" i="2"/>
  <c r="C771" i="2"/>
  <c r="C770" i="2"/>
  <c r="C769" i="2"/>
  <c r="C768" i="2"/>
  <c r="C767" i="2"/>
  <c r="C766" i="2"/>
  <c r="C765" i="2"/>
  <c r="C764" i="2"/>
  <c r="C763" i="2"/>
  <c r="C762" i="2"/>
  <c r="C761" i="2"/>
  <c r="C760" i="2"/>
  <c r="C759" i="2"/>
  <c r="C758" i="2"/>
  <c r="C757" i="2"/>
  <c r="C756" i="2"/>
  <c r="C755" i="2"/>
  <c r="C754" i="2"/>
  <c r="C753" i="2"/>
  <c r="C752" i="2"/>
  <c r="C751" i="2"/>
  <c r="C750" i="2"/>
  <c r="C749" i="2"/>
  <c r="C748" i="2"/>
  <c r="C747" i="2"/>
  <c r="C746" i="2"/>
  <c r="C745" i="2"/>
  <c r="C744" i="2"/>
  <c r="C743" i="2"/>
  <c r="C742" i="2"/>
  <c r="C741" i="2"/>
  <c r="C740" i="2"/>
  <c r="C739" i="2"/>
  <c r="C738" i="2"/>
  <c r="C737" i="2"/>
  <c r="C736" i="2"/>
  <c r="C735" i="2"/>
  <c r="C734" i="2"/>
  <c r="C733" i="2"/>
  <c r="C732" i="2"/>
  <c r="C731" i="2"/>
  <c r="C730" i="2"/>
  <c r="C729" i="2"/>
  <c r="C728" i="2"/>
  <c r="C727" i="2"/>
  <c r="C726" i="2"/>
  <c r="C725" i="2"/>
  <c r="C724" i="2"/>
  <c r="C723" i="2"/>
  <c r="C722" i="2"/>
  <c r="C721" i="2"/>
  <c r="C720" i="2"/>
  <c r="C719" i="2"/>
  <c r="C718" i="2"/>
  <c r="C717" i="2"/>
  <c r="C716" i="2"/>
  <c r="C715" i="2"/>
  <c r="C714" i="2"/>
  <c r="C713" i="2"/>
  <c r="C712" i="2"/>
  <c r="C711" i="2"/>
  <c r="C710" i="2"/>
  <c r="C709" i="2"/>
  <c r="C708" i="2"/>
  <c r="C707" i="2"/>
  <c r="C706" i="2"/>
  <c r="C705" i="2"/>
  <c r="C704" i="2"/>
  <c r="C703" i="2"/>
  <c r="C702" i="2"/>
  <c r="C701" i="2"/>
  <c r="C700" i="2"/>
  <c r="C699" i="2"/>
  <c r="C698" i="2"/>
  <c r="C697" i="2"/>
  <c r="C696" i="2"/>
  <c r="C695" i="2"/>
  <c r="C694" i="2"/>
  <c r="C693" i="2"/>
  <c r="C692" i="2"/>
  <c r="C691" i="2"/>
  <c r="C690" i="2"/>
  <c r="C689" i="2"/>
  <c r="C688" i="2"/>
  <c r="C687" i="2"/>
  <c r="C686" i="2"/>
  <c r="C685" i="2"/>
  <c r="C684" i="2"/>
  <c r="C683" i="2"/>
  <c r="C682" i="2"/>
  <c r="C681" i="2"/>
  <c r="C680" i="2"/>
  <c r="C679" i="2"/>
  <c r="C678" i="2"/>
  <c r="C677" i="2"/>
  <c r="C676" i="2"/>
  <c r="C675" i="2"/>
  <c r="C674" i="2"/>
  <c r="C673" i="2"/>
  <c r="C672" i="2"/>
  <c r="C671" i="2"/>
  <c r="C670" i="2"/>
  <c r="C669" i="2"/>
  <c r="C668" i="2"/>
  <c r="C667" i="2"/>
  <c r="C666" i="2"/>
  <c r="C665" i="2"/>
  <c r="C664" i="2"/>
  <c r="C663" i="2"/>
  <c r="C662" i="2"/>
  <c r="C661" i="2"/>
  <c r="C660" i="2"/>
  <c r="C659" i="2"/>
  <c r="C658" i="2"/>
  <c r="C657" i="2"/>
  <c r="C656" i="2"/>
  <c r="C655" i="2"/>
  <c r="C654" i="2"/>
  <c r="C653" i="2"/>
  <c r="C652" i="2"/>
  <c r="C651" i="2"/>
  <c r="C650" i="2"/>
  <c r="C649" i="2"/>
  <c r="C648" i="2"/>
  <c r="C647" i="2"/>
  <c r="C646" i="2"/>
  <c r="C645" i="2"/>
  <c r="C644" i="2"/>
  <c r="C643" i="2"/>
  <c r="C642" i="2"/>
  <c r="C641" i="2"/>
  <c r="C640" i="2"/>
  <c r="C639" i="2"/>
  <c r="C638" i="2"/>
  <c r="C637" i="2"/>
  <c r="C636" i="2"/>
  <c r="C635" i="2"/>
  <c r="C634" i="2"/>
  <c r="C633" i="2"/>
  <c r="C632" i="2"/>
  <c r="C631" i="2"/>
  <c r="C630" i="2"/>
  <c r="C629" i="2"/>
  <c r="C628" i="2"/>
  <c r="C627" i="2"/>
  <c r="C626" i="2"/>
  <c r="C625" i="2"/>
  <c r="C624" i="2"/>
  <c r="C623" i="2"/>
  <c r="C622" i="2"/>
  <c r="C621" i="2"/>
  <c r="C620" i="2"/>
  <c r="C619" i="2"/>
  <c r="C618" i="2"/>
  <c r="C617" i="2"/>
  <c r="C616" i="2"/>
  <c r="C615" i="2"/>
  <c r="C614" i="2"/>
  <c r="C613" i="2"/>
  <c r="C612" i="2"/>
  <c r="C611" i="2"/>
  <c r="C610" i="2"/>
  <c r="C609" i="2"/>
  <c r="C608" i="2"/>
  <c r="C607" i="2"/>
  <c r="C606" i="2"/>
  <c r="C605" i="2"/>
  <c r="C604" i="2"/>
  <c r="C603" i="2"/>
  <c r="C602" i="2"/>
  <c r="C601" i="2"/>
  <c r="C600" i="2"/>
  <c r="C599" i="2"/>
  <c r="C598" i="2"/>
  <c r="C597" i="2"/>
  <c r="C596" i="2"/>
  <c r="C595" i="2"/>
  <c r="C594" i="2"/>
  <c r="C593" i="2"/>
  <c r="C592" i="2"/>
  <c r="C591" i="2"/>
  <c r="C590" i="2"/>
  <c r="C589" i="2"/>
  <c r="C588" i="2"/>
  <c r="C587" i="2"/>
  <c r="C586" i="2"/>
  <c r="C585" i="2"/>
  <c r="C584" i="2"/>
  <c r="C583" i="2"/>
  <c r="C582" i="2"/>
  <c r="C581" i="2"/>
  <c r="C580" i="2"/>
  <c r="C579" i="2"/>
  <c r="C578" i="2"/>
  <c r="C577" i="2"/>
  <c r="C576" i="2"/>
  <c r="C575" i="2"/>
  <c r="C574" i="2"/>
  <c r="C573" i="2"/>
  <c r="C572" i="2"/>
  <c r="C571" i="2"/>
  <c r="C570" i="2"/>
  <c r="C569" i="2"/>
  <c r="C568" i="2"/>
  <c r="C567" i="2"/>
  <c r="C566" i="2"/>
  <c r="C565" i="2"/>
  <c r="C564" i="2"/>
  <c r="C563" i="2"/>
  <c r="C562" i="2"/>
  <c r="C561" i="2"/>
  <c r="C560" i="2"/>
  <c r="C559" i="2"/>
  <c r="C558" i="2"/>
  <c r="C557" i="2"/>
  <c r="C556" i="2"/>
  <c r="C555" i="2"/>
  <c r="C554" i="2"/>
  <c r="C553" i="2"/>
  <c r="C552" i="2"/>
  <c r="C551" i="2"/>
  <c r="C550" i="2"/>
  <c r="C549" i="2"/>
  <c r="C548" i="2"/>
  <c r="C547" i="2"/>
  <c r="C546" i="2"/>
  <c r="C545" i="2"/>
  <c r="C544" i="2"/>
  <c r="C543" i="2"/>
  <c r="C542" i="2"/>
  <c r="C541" i="2"/>
  <c r="C540" i="2"/>
  <c r="C539" i="2"/>
  <c r="C538" i="2"/>
  <c r="C537" i="2"/>
  <c r="C536" i="2"/>
  <c r="C535" i="2"/>
  <c r="C534" i="2"/>
  <c r="C533" i="2"/>
  <c r="C532" i="2"/>
  <c r="C531" i="2"/>
  <c r="C530" i="2"/>
  <c r="C529" i="2"/>
  <c r="C528" i="2"/>
  <c r="C527" i="2"/>
  <c r="C526" i="2"/>
  <c r="C525" i="2"/>
  <c r="C524" i="2"/>
  <c r="C523" i="2"/>
  <c r="C522" i="2"/>
  <c r="C521" i="2"/>
  <c r="C520" i="2"/>
  <c r="C519" i="2"/>
  <c r="C518" i="2"/>
  <c r="C517" i="2"/>
  <c r="C516" i="2"/>
  <c r="C515" i="2"/>
  <c r="C514" i="2"/>
  <c r="C513" i="2"/>
  <c r="C512" i="2"/>
  <c r="C511" i="2"/>
  <c r="C510" i="2"/>
  <c r="C509" i="2"/>
  <c r="C508" i="2"/>
  <c r="C507" i="2"/>
  <c r="C506" i="2"/>
  <c r="C505" i="2"/>
  <c r="C504" i="2"/>
  <c r="C503" i="2"/>
  <c r="C502" i="2"/>
  <c r="C501" i="2"/>
  <c r="C500" i="2"/>
  <c r="C499" i="2"/>
  <c r="C498" i="2"/>
  <c r="C497" i="2"/>
  <c r="C496" i="2"/>
  <c r="C495" i="2"/>
  <c r="C494" i="2"/>
  <c r="C493" i="2"/>
  <c r="C492" i="2"/>
  <c r="C491" i="2"/>
  <c r="C490" i="2"/>
  <c r="C489" i="2"/>
  <c r="C488" i="2"/>
  <c r="C487" i="2"/>
  <c r="C486" i="2"/>
  <c r="C485" i="2"/>
  <c r="C484" i="2"/>
  <c r="C483" i="2"/>
  <c r="C482" i="2"/>
  <c r="C481" i="2"/>
  <c r="C480" i="2"/>
  <c r="C479" i="2"/>
  <c r="C478" i="2"/>
  <c r="C477" i="2"/>
  <c r="C476" i="2"/>
  <c r="C475" i="2"/>
  <c r="C474" i="2"/>
  <c r="C473" i="2"/>
  <c r="C472" i="2"/>
  <c r="C471" i="2"/>
  <c r="C470" i="2"/>
  <c r="C469" i="2"/>
  <c r="C468" i="2"/>
  <c r="C467" i="2"/>
  <c r="C466" i="2"/>
  <c r="C465" i="2"/>
  <c r="C464" i="2"/>
  <c r="C463" i="2"/>
  <c r="C462" i="2"/>
  <c r="C461" i="2"/>
  <c r="C460" i="2"/>
  <c r="C459" i="2"/>
  <c r="C458" i="2"/>
  <c r="C457" i="2"/>
  <c r="C456" i="2"/>
  <c r="C455" i="2"/>
  <c r="C454" i="2"/>
  <c r="C453" i="2"/>
  <c r="C452" i="2"/>
  <c r="C451" i="2"/>
  <c r="C450" i="2"/>
  <c r="C449" i="2"/>
  <c r="C448" i="2"/>
  <c r="C447" i="2"/>
  <c r="C446" i="2"/>
  <c r="C445" i="2"/>
  <c r="C444" i="2"/>
  <c r="C443" i="2"/>
  <c r="C442" i="2"/>
  <c r="C441" i="2"/>
  <c r="C440" i="2"/>
  <c r="C439" i="2"/>
  <c r="C438" i="2"/>
  <c r="C437" i="2"/>
  <c r="C436" i="2"/>
  <c r="C435" i="2"/>
  <c r="C434" i="2"/>
  <c r="C433" i="2"/>
  <c r="C432" i="2"/>
  <c r="C431" i="2"/>
  <c r="C430" i="2"/>
  <c r="C429" i="2"/>
  <c r="C428" i="2"/>
  <c r="C427" i="2"/>
  <c r="C426" i="2"/>
  <c r="C425" i="2"/>
  <c r="C424" i="2"/>
  <c r="C423" i="2"/>
  <c r="C422" i="2"/>
  <c r="C421" i="2"/>
  <c r="C420" i="2"/>
  <c r="C419" i="2"/>
  <c r="C418" i="2"/>
  <c r="C417" i="2"/>
  <c r="C416" i="2"/>
  <c r="C415" i="2"/>
  <c r="C414" i="2"/>
  <c r="C413" i="2"/>
  <c r="C412" i="2"/>
  <c r="C411" i="2"/>
  <c r="C410" i="2"/>
  <c r="C409" i="2"/>
  <c r="C408" i="2"/>
  <c r="C407" i="2"/>
  <c r="C406" i="2"/>
  <c r="C405" i="2"/>
  <c r="C404" i="2"/>
  <c r="C403" i="2"/>
  <c r="C402" i="2"/>
  <c r="C401" i="2"/>
  <c r="C400" i="2"/>
  <c r="C399" i="2"/>
  <c r="C398" i="2"/>
  <c r="C397" i="2"/>
  <c r="C396" i="2"/>
  <c r="C395" i="2"/>
  <c r="C394" i="2"/>
  <c r="C393" i="2"/>
  <c r="C392" i="2"/>
  <c r="C391" i="2"/>
  <c r="C390" i="2"/>
  <c r="C389" i="2"/>
  <c r="C388" i="2"/>
  <c r="C387" i="2"/>
  <c r="C386" i="2"/>
  <c r="C385" i="2"/>
  <c r="C384" i="2"/>
  <c r="C383" i="2"/>
  <c r="C382" i="2"/>
  <c r="C381" i="2"/>
  <c r="C380" i="2"/>
  <c r="C379" i="2"/>
  <c r="C378" i="2"/>
  <c r="C377" i="2"/>
  <c r="C376" i="2"/>
  <c r="C375" i="2"/>
  <c r="C374" i="2"/>
  <c r="C373" i="2"/>
  <c r="C372" i="2"/>
  <c r="C371" i="2"/>
  <c r="C370" i="2"/>
  <c r="C369" i="2"/>
  <c r="C368" i="2"/>
  <c r="C367" i="2"/>
  <c r="C366" i="2"/>
  <c r="C365" i="2"/>
  <c r="C364" i="2"/>
  <c r="C363" i="2"/>
  <c r="C362" i="2"/>
  <c r="C361" i="2"/>
  <c r="C360" i="2"/>
  <c r="C359" i="2"/>
  <c r="C358" i="2"/>
  <c r="C357" i="2"/>
  <c r="C356" i="2"/>
  <c r="C355" i="2"/>
  <c r="C354" i="2"/>
  <c r="C353" i="2"/>
  <c r="C352" i="2"/>
  <c r="C351" i="2"/>
  <c r="C350" i="2"/>
  <c r="C349" i="2"/>
  <c r="C348" i="2"/>
  <c r="C347" i="2"/>
  <c r="C346" i="2"/>
  <c r="C345" i="2"/>
  <c r="C344" i="2"/>
  <c r="C343" i="2"/>
  <c r="C342" i="2"/>
  <c r="C341" i="2"/>
  <c r="C340" i="2"/>
  <c r="C339" i="2"/>
  <c r="C338" i="2"/>
  <c r="C337" i="2"/>
  <c r="C336" i="2"/>
  <c r="C335" i="2"/>
  <c r="C334" i="2"/>
  <c r="C333" i="2"/>
  <c r="C332" i="2"/>
  <c r="C331" i="2"/>
  <c r="C330" i="2"/>
  <c r="C329" i="2"/>
  <c r="C328" i="2"/>
  <c r="C327" i="2"/>
  <c r="C326" i="2"/>
  <c r="C325" i="2"/>
  <c r="C324" i="2"/>
  <c r="C323" i="2"/>
  <c r="C322" i="2"/>
  <c r="C321" i="2"/>
  <c r="C320" i="2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94" i="2"/>
  <c r="C293" i="2"/>
  <c r="C292" i="2"/>
  <c r="C291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U103" i="1"/>
  <c r="U102" i="1"/>
  <c r="U101" i="1"/>
  <c r="U100" i="1"/>
  <c r="U99" i="1"/>
  <c r="U98" i="1"/>
  <c r="U97" i="1"/>
  <c r="U96" i="1"/>
  <c r="U95" i="1"/>
  <c r="U94" i="1"/>
  <c r="U93" i="1"/>
  <c r="U92" i="1"/>
  <c r="U91" i="1"/>
  <c r="U90" i="1"/>
  <c r="U89" i="1"/>
  <c r="U88" i="1"/>
  <c r="U87" i="1"/>
  <c r="U86" i="1"/>
  <c r="U85" i="1"/>
  <c r="U84" i="1"/>
  <c r="U83" i="1"/>
  <c r="U82" i="1"/>
  <c r="U81" i="1"/>
  <c r="U80" i="1"/>
  <c r="U79" i="1"/>
  <c r="U78" i="1"/>
  <c r="U77" i="1"/>
  <c r="U76" i="1"/>
  <c r="U75" i="1"/>
  <c r="U74" i="1"/>
  <c r="U73" i="1"/>
  <c r="U72" i="1"/>
  <c r="U71" i="1"/>
  <c r="U70" i="1"/>
  <c r="U69" i="1"/>
  <c r="U68" i="1"/>
  <c r="U67" i="1"/>
  <c r="U66" i="1"/>
  <c r="U65" i="1"/>
  <c r="U64" i="1"/>
  <c r="U63" i="1"/>
  <c r="U62" i="1"/>
  <c r="U61" i="1"/>
  <c r="U60" i="1"/>
  <c r="U59" i="1"/>
  <c r="U58" i="1"/>
  <c r="U57" i="1"/>
  <c r="U56" i="1"/>
  <c r="U55" i="1"/>
  <c r="U54" i="1"/>
  <c r="U53" i="1"/>
  <c r="U52" i="1"/>
  <c r="U51" i="1"/>
  <c r="U50" i="1"/>
  <c r="U49" i="1"/>
  <c r="U48" i="1"/>
  <c r="U47" i="1"/>
  <c r="U46" i="1"/>
  <c r="U45" i="1"/>
  <c r="U44" i="1"/>
  <c r="U43" i="1"/>
  <c r="U42" i="1"/>
  <c r="U41" i="1"/>
  <c r="U40" i="1"/>
  <c r="U39" i="1"/>
  <c r="U38" i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U15" i="1"/>
  <c r="U14" i="1"/>
  <c r="U13" i="1"/>
  <c r="U12" i="1"/>
  <c r="U11" i="1"/>
  <c r="U10" i="1"/>
  <c r="U9" i="1"/>
  <c r="U8" i="1"/>
  <c r="U7" i="1"/>
  <c r="U6" i="1"/>
  <c r="U5" i="1"/>
  <c r="U4" i="1"/>
  <c r="U3" i="1"/>
  <c r="T3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S3" i="1"/>
  <c r="R3" i="1"/>
  <c r="Q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P5" i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4" i="1"/>
  <c r="R6" i="1"/>
  <c r="R5" i="1"/>
  <c r="Q5" i="1"/>
  <c r="Q6" i="1" s="1"/>
  <c r="Q7" i="1" s="1"/>
  <c r="Q8" i="1" s="1"/>
  <c r="Q9" i="1" s="1"/>
  <c r="Q10" i="1" s="1"/>
  <c r="Q11" i="1" s="1"/>
  <c r="Q12" i="1" s="1"/>
  <c r="Q13" i="1" s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R4" i="1"/>
  <c r="O3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N3" i="1"/>
  <c r="J64" i="1"/>
  <c r="L64" i="1"/>
  <c r="M3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L3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K63" i="1"/>
  <c r="J63" i="1"/>
  <c r="K62" i="1"/>
  <c r="J62" i="1"/>
  <c r="K61" i="1"/>
  <c r="J61" i="1"/>
  <c r="K60" i="1"/>
  <c r="J60" i="1"/>
  <c r="K59" i="1"/>
  <c r="J59" i="1"/>
  <c r="K58" i="1"/>
  <c r="J58" i="1"/>
  <c r="K57" i="1"/>
  <c r="J57" i="1"/>
  <c r="K56" i="1"/>
  <c r="J56" i="1"/>
  <c r="K55" i="1"/>
  <c r="J55" i="1"/>
  <c r="K54" i="1"/>
  <c r="J54" i="1"/>
  <c r="K53" i="1"/>
  <c r="J53" i="1"/>
  <c r="K52" i="1"/>
  <c r="J52" i="1"/>
  <c r="K51" i="1"/>
  <c r="J51" i="1"/>
  <c r="K50" i="1"/>
  <c r="J50" i="1"/>
  <c r="K49" i="1"/>
  <c r="J49" i="1"/>
  <c r="K48" i="1"/>
  <c r="J48" i="1"/>
  <c r="K47" i="1"/>
  <c r="J47" i="1"/>
  <c r="K46" i="1"/>
  <c r="J46" i="1"/>
  <c r="K45" i="1"/>
  <c r="J45" i="1"/>
  <c r="K44" i="1"/>
  <c r="J44" i="1"/>
  <c r="K43" i="1"/>
  <c r="J43" i="1"/>
  <c r="K42" i="1"/>
  <c r="J42" i="1"/>
  <c r="K41" i="1"/>
  <c r="J41" i="1"/>
  <c r="K40" i="1"/>
  <c r="J40" i="1"/>
  <c r="K39" i="1"/>
  <c r="J39" i="1"/>
  <c r="K38" i="1"/>
  <c r="J38" i="1"/>
  <c r="K37" i="1"/>
  <c r="J37" i="1"/>
  <c r="K36" i="1"/>
  <c r="J36" i="1"/>
  <c r="K35" i="1"/>
  <c r="J35" i="1"/>
  <c r="K34" i="1"/>
  <c r="J34" i="1"/>
  <c r="K33" i="1"/>
  <c r="J33" i="1"/>
  <c r="K32" i="1"/>
  <c r="J32" i="1"/>
  <c r="K31" i="1"/>
  <c r="J31" i="1"/>
  <c r="K30" i="1"/>
  <c r="J30" i="1"/>
  <c r="K29" i="1"/>
  <c r="J29" i="1"/>
  <c r="K28" i="1"/>
  <c r="J28" i="1"/>
  <c r="K27" i="1"/>
  <c r="J27" i="1"/>
  <c r="K26" i="1"/>
  <c r="J26" i="1"/>
  <c r="K25" i="1"/>
  <c r="J25" i="1"/>
  <c r="K24" i="1"/>
  <c r="J24" i="1"/>
  <c r="K23" i="1"/>
  <c r="J23" i="1"/>
  <c r="K22" i="1"/>
  <c r="J22" i="1"/>
  <c r="K21" i="1"/>
  <c r="J21" i="1"/>
  <c r="K20" i="1"/>
  <c r="J20" i="1"/>
  <c r="K19" i="1"/>
  <c r="J19" i="1"/>
  <c r="K18" i="1"/>
  <c r="J18" i="1"/>
  <c r="K17" i="1"/>
  <c r="J17" i="1"/>
  <c r="K16" i="1"/>
  <c r="J16" i="1"/>
  <c r="K15" i="1"/>
  <c r="J15" i="1"/>
  <c r="K14" i="1"/>
  <c r="J14" i="1"/>
  <c r="K13" i="1"/>
  <c r="J13" i="1"/>
  <c r="K12" i="1"/>
  <c r="J12" i="1"/>
  <c r="K11" i="1"/>
  <c r="J11" i="1"/>
  <c r="K10" i="1"/>
  <c r="J10" i="1"/>
  <c r="K9" i="1"/>
  <c r="J9" i="1"/>
  <c r="K8" i="1"/>
  <c r="J8" i="1"/>
  <c r="K7" i="1"/>
  <c r="J7" i="1"/>
  <c r="K6" i="1"/>
  <c r="J6" i="1"/>
  <c r="K5" i="1"/>
  <c r="J5" i="1"/>
  <c r="K4" i="1"/>
  <c r="J4" i="1"/>
  <c r="K3" i="1"/>
  <c r="J3" i="1"/>
  <c r="I63" i="1"/>
  <c r="H63" i="1"/>
  <c r="I62" i="1"/>
  <c r="H62" i="1"/>
  <c r="I61" i="1"/>
  <c r="H61" i="1"/>
  <c r="I60" i="1"/>
  <c r="H60" i="1"/>
  <c r="I59" i="1"/>
  <c r="H59" i="1"/>
  <c r="I58" i="1"/>
  <c r="H58" i="1"/>
  <c r="I57" i="1"/>
  <c r="H57" i="1"/>
  <c r="I56" i="1"/>
  <c r="H56" i="1"/>
  <c r="I55" i="1"/>
  <c r="H55" i="1"/>
  <c r="I54" i="1"/>
  <c r="H54" i="1"/>
  <c r="I53" i="1"/>
  <c r="H53" i="1"/>
  <c r="I52" i="1"/>
  <c r="H52" i="1"/>
  <c r="I51" i="1"/>
  <c r="H51" i="1"/>
  <c r="I50" i="1"/>
  <c r="H50" i="1"/>
  <c r="I49" i="1"/>
  <c r="H49" i="1"/>
  <c r="I48" i="1"/>
  <c r="H48" i="1"/>
  <c r="I47" i="1"/>
  <c r="H47" i="1"/>
  <c r="I46" i="1"/>
  <c r="H46" i="1"/>
  <c r="I45" i="1"/>
  <c r="H45" i="1"/>
  <c r="I44" i="1"/>
  <c r="H44" i="1"/>
  <c r="I43" i="1"/>
  <c r="H43" i="1"/>
  <c r="I42" i="1"/>
  <c r="H42" i="1"/>
  <c r="I41" i="1"/>
  <c r="H41" i="1"/>
  <c r="I40" i="1"/>
  <c r="H40" i="1"/>
  <c r="I39" i="1"/>
  <c r="H39" i="1"/>
  <c r="I38" i="1"/>
  <c r="H38" i="1"/>
  <c r="I37" i="1"/>
  <c r="H37" i="1"/>
  <c r="I36" i="1"/>
  <c r="H36" i="1"/>
  <c r="I35" i="1"/>
  <c r="H35" i="1"/>
  <c r="I34" i="1"/>
  <c r="H34" i="1"/>
  <c r="I33" i="1"/>
  <c r="H33" i="1"/>
  <c r="I32" i="1"/>
  <c r="H32" i="1"/>
  <c r="I31" i="1"/>
  <c r="H31" i="1"/>
  <c r="I30" i="1"/>
  <c r="H30" i="1"/>
  <c r="I29" i="1"/>
  <c r="H29" i="1"/>
  <c r="I28" i="1"/>
  <c r="H28" i="1"/>
  <c r="I27" i="1"/>
  <c r="H27" i="1"/>
  <c r="I26" i="1"/>
  <c r="H26" i="1"/>
  <c r="I25" i="1"/>
  <c r="H25" i="1"/>
  <c r="I24" i="1"/>
  <c r="H24" i="1"/>
  <c r="I23" i="1"/>
  <c r="H23" i="1"/>
  <c r="I22" i="1"/>
  <c r="H22" i="1"/>
  <c r="I21" i="1"/>
  <c r="H21" i="1"/>
  <c r="I20" i="1"/>
  <c r="H20" i="1"/>
  <c r="I19" i="1"/>
  <c r="H19" i="1"/>
  <c r="I18" i="1"/>
  <c r="H18" i="1"/>
  <c r="I17" i="1"/>
  <c r="H17" i="1"/>
  <c r="I16" i="1"/>
  <c r="H16" i="1"/>
  <c r="I15" i="1"/>
  <c r="H15" i="1"/>
  <c r="I14" i="1"/>
  <c r="H14" i="1"/>
  <c r="I13" i="1"/>
  <c r="H13" i="1"/>
  <c r="I12" i="1"/>
  <c r="H12" i="1"/>
  <c r="I11" i="1"/>
  <c r="H11" i="1"/>
  <c r="I10" i="1"/>
  <c r="H10" i="1"/>
  <c r="I9" i="1"/>
  <c r="H9" i="1"/>
  <c r="I8" i="1"/>
  <c r="H8" i="1"/>
  <c r="I7" i="1"/>
  <c r="H7" i="1"/>
  <c r="I6" i="1"/>
  <c r="H6" i="1"/>
  <c r="I5" i="1"/>
  <c r="H5" i="1"/>
  <c r="I4" i="1"/>
  <c r="H4" i="1"/>
  <c r="I3" i="1"/>
  <c r="H3" i="1"/>
  <c r="G3" i="1"/>
  <c r="F3" i="1"/>
  <c r="M64" i="1"/>
  <c r="G63" i="1"/>
  <c r="F63" i="1"/>
  <c r="G62" i="1"/>
  <c r="F62" i="1"/>
  <c r="G61" i="1"/>
  <c r="F61" i="1"/>
  <c r="G60" i="1"/>
  <c r="F60" i="1"/>
  <c r="G59" i="1"/>
  <c r="F59" i="1"/>
  <c r="G58" i="1"/>
  <c r="F58" i="1"/>
  <c r="G57" i="1"/>
  <c r="F57" i="1"/>
  <c r="G56" i="1"/>
  <c r="F56" i="1"/>
  <c r="G55" i="1"/>
  <c r="F55" i="1"/>
  <c r="G54" i="1"/>
  <c r="F54" i="1"/>
  <c r="G53" i="1"/>
  <c r="F53" i="1"/>
  <c r="G52" i="1"/>
  <c r="F52" i="1"/>
  <c r="G51" i="1"/>
  <c r="F51" i="1"/>
  <c r="G50" i="1"/>
  <c r="F50" i="1"/>
  <c r="G49" i="1"/>
  <c r="F49" i="1"/>
  <c r="G48" i="1"/>
  <c r="F48" i="1"/>
  <c r="G47" i="1"/>
  <c r="F47" i="1"/>
  <c r="G46" i="1"/>
  <c r="F46" i="1"/>
  <c r="G45" i="1"/>
  <c r="F45" i="1"/>
  <c r="G44" i="1"/>
  <c r="F44" i="1"/>
  <c r="G43" i="1"/>
  <c r="F43" i="1"/>
  <c r="G42" i="1"/>
  <c r="F42" i="1"/>
  <c r="G41" i="1"/>
  <c r="F41" i="1"/>
  <c r="G40" i="1"/>
  <c r="F40" i="1"/>
  <c r="G39" i="1"/>
  <c r="F39" i="1"/>
  <c r="G38" i="1"/>
  <c r="F38" i="1"/>
  <c r="G37" i="1"/>
  <c r="F37" i="1"/>
  <c r="G36" i="1"/>
  <c r="F36" i="1"/>
  <c r="G35" i="1"/>
  <c r="F35" i="1"/>
  <c r="G34" i="1"/>
  <c r="F34" i="1"/>
  <c r="G33" i="1"/>
  <c r="F33" i="1"/>
  <c r="G32" i="1"/>
  <c r="F32" i="1"/>
  <c r="G31" i="1"/>
  <c r="F31" i="1"/>
  <c r="G30" i="1"/>
  <c r="F30" i="1"/>
  <c r="G29" i="1"/>
  <c r="F29" i="1"/>
  <c r="G28" i="1"/>
  <c r="F28" i="1"/>
  <c r="G27" i="1"/>
  <c r="F27" i="1"/>
  <c r="G26" i="1"/>
  <c r="F26" i="1"/>
  <c r="G25" i="1"/>
  <c r="F25" i="1"/>
  <c r="G24" i="1"/>
  <c r="F24" i="1"/>
  <c r="G23" i="1"/>
  <c r="F23" i="1"/>
  <c r="G22" i="1"/>
  <c r="F22" i="1"/>
  <c r="G21" i="1"/>
  <c r="F21" i="1"/>
  <c r="G20" i="1"/>
  <c r="F20" i="1"/>
  <c r="G19" i="1"/>
  <c r="F19" i="1"/>
  <c r="G18" i="1"/>
  <c r="F18" i="1"/>
  <c r="G17" i="1"/>
  <c r="F17" i="1"/>
  <c r="G16" i="1"/>
  <c r="F16" i="1"/>
  <c r="G15" i="1"/>
  <c r="F15" i="1"/>
  <c r="G14" i="1"/>
  <c r="F14" i="1"/>
  <c r="G13" i="1"/>
  <c r="F13" i="1"/>
  <c r="G12" i="1"/>
  <c r="F12" i="1"/>
  <c r="G11" i="1"/>
  <c r="F11" i="1"/>
  <c r="G10" i="1"/>
  <c r="F10" i="1"/>
  <c r="G9" i="1"/>
  <c r="F9" i="1"/>
  <c r="G8" i="1"/>
  <c r="F8" i="1"/>
  <c r="G7" i="1"/>
  <c r="F7" i="1"/>
  <c r="G6" i="1"/>
  <c r="F6" i="1"/>
  <c r="G5" i="1"/>
  <c r="F5" i="1"/>
  <c r="G4" i="1"/>
  <c r="F4" i="1"/>
  <c r="E63" i="1"/>
  <c r="D63" i="1"/>
  <c r="E62" i="1"/>
  <c r="D62" i="1"/>
  <c r="E61" i="1"/>
  <c r="D61" i="1"/>
  <c r="E60" i="1"/>
  <c r="D60" i="1"/>
  <c r="E59" i="1"/>
  <c r="D59" i="1"/>
  <c r="E58" i="1"/>
  <c r="D58" i="1"/>
  <c r="E57" i="1"/>
  <c r="D57" i="1"/>
  <c r="E56" i="1"/>
  <c r="D56" i="1"/>
  <c r="E55" i="1"/>
  <c r="D55" i="1"/>
  <c r="E54" i="1"/>
  <c r="D54" i="1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E44" i="1"/>
  <c r="D44" i="1"/>
  <c r="E43" i="1"/>
  <c r="D43" i="1"/>
  <c r="E42" i="1"/>
  <c r="D42" i="1"/>
  <c r="E41" i="1"/>
  <c r="D41" i="1"/>
  <c r="E40" i="1"/>
  <c r="D40" i="1"/>
  <c r="E39" i="1"/>
  <c r="D39" i="1"/>
  <c r="E38" i="1"/>
  <c r="D38" i="1"/>
  <c r="E37" i="1"/>
  <c r="D37" i="1"/>
  <c r="E36" i="1"/>
  <c r="D36" i="1"/>
  <c r="E35" i="1"/>
  <c r="D35" i="1"/>
  <c r="E34" i="1"/>
  <c r="D34" i="1"/>
  <c r="E33" i="1"/>
  <c r="D33" i="1"/>
  <c r="E32" i="1"/>
  <c r="D32" i="1"/>
  <c r="E31" i="1"/>
  <c r="D31" i="1"/>
  <c r="E30" i="1"/>
  <c r="D30" i="1"/>
  <c r="E29" i="1"/>
  <c r="D29" i="1"/>
  <c r="E28" i="1"/>
  <c r="D28" i="1"/>
  <c r="E27" i="1"/>
  <c r="D27" i="1"/>
  <c r="E26" i="1"/>
  <c r="D26" i="1"/>
  <c r="E25" i="1"/>
  <c r="D25" i="1"/>
  <c r="E24" i="1"/>
  <c r="D24" i="1"/>
  <c r="E23" i="1"/>
  <c r="D23" i="1"/>
  <c r="E22" i="1"/>
  <c r="D22" i="1"/>
  <c r="E21" i="1"/>
  <c r="D21" i="1"/>
  <c r="E20" i="1"/>
  <c r="D20" i="1"/>
  <c r="E19" i="1"/>
  <c r="D19" i="1"/>
  <c r="E18" i="1"/>
  <c r="D18" i="1"/>
  <c r="E17" i="1"/>
  <c r="D17" i="1"/>
  <c r="E16" i="1"/>
  <c r="D16" i="1"/>
  <c r="E15" i="1"/>
  <c r="D15" i="1"/>
  <c r="E14" i="1"/>
  <c r="D14" i="1"/>
  <c r="E13" i="1"/>
  <c r="D13" i="1"/>
  <c r="E12" i="1"/>
  <c r="D12" i="1"/>
  <c r="E11" i="1"/>
  <c r="D11" i="1"/>
  <c r="E10" i="1"/>
  <c r="D10" i="1"/>
  <c r="E9" i="1"/>
  <c r="D9" i="1"/>
  <c r="E8" i="1"/>
  <c r="D8" i="1"/>
  <c r="E7" i="1"/>
  <c r="D7" i="1"/>
  <c r="E6" i="1"/>
  <c r="D6" i="1"/>
  <c r="E5" i="1"/>
  <c r="D5" i="1"/>
  <c r="E4" i="1"/>
  <c r="D4" i="1"/>
  <c r="E3" i="1"/>
  <c r="D3" i="1"/>
  <c r="F36" i="2" l="1"/>
  <c r="F26" i="2"/>
  <c r="F28" i="2" s="1"/>
  <c r="F32" i="2" s="1"/>
  <c r="F22" i="2"/>
  <c r="G22" i="2"/>
  <c r="R10" i="1"/>
  <c r="R14" i="1"/>
  <c r="R18" i="1"/>
  <c r="R22" i="1"/>
  <c r="R26" i="1"/>
  <c r="R30" i="1"/>
  <c r="R7" i="1"/>
  <c r="R11" i="1"/>
  <c r="R15" i="1"/>
  <c r="R19" i="1"/>
  <c r="R23" i="1"/>
  <c r="R27" i="1"/>
  <c r="R31" i="1"/>
  <c r="Q35" i="1"/>
  <c r="R34" i="1"/>
  <c r="R8" i="1"/>
  <c r="R12" i="1"/>
  <c r="R16" i="1"/>
  <c r="R20" i="1"/>
  <c r="R24" i="1"/>
  <c r="R28" i="1"/>
  <c r="R32" i="1"/>
  <c r="R9" i="1"/>
  <c r="R13" i="1"/>
  <c r="R17" i="1"/>
  <c r="R21" i="1"/>
  <c r="R25" i="1"/>
  <c r="R29" i="1"/>
  <c r="R33" i="1"/>
  <c r="Q36" i="1" l="1"/>
  <c r="R35" i="1"/>
  <c r="Q37" i="1" l="1"/>
  <c r="R36" i="1"/>
  <c r="Q38" i="1" l="1"/>
  <c r="R37" i="1"/>
  <c r="Q39" i="1" l="1"/>
  <c r="R38" i="1"/>
  <c r="Q40" i="1" l="1"/>
  <c r="R39" i="1"/>
  <c r="Q41" i="1" l="1"/>
  <c r="R40" i="1"/>
  <c r="Q42" i="1" l="1"/>
  <c r="R41" i="1"/>
  <c r="Q43" i="1" l="1"/>
  <c r="R42" i="1"/>
  <c r="Q44" i="1" l="1"/>
  <c r="R43" i="1"/>
  <c r="Q45" i="1" l="1"/>
  <c r="R44" i="1"/>
  <c r="Q46" i="1" l="1"/>
  <c r="R45" i="1"/>
  <c r="Q47" i="1" l="1"/>
  <c r="R46" i="1"/>
  <c r="Q48" i="1" l="1"/>
  <c r="R47" i="1"/>
  <c r="Q49" i="1" l="1"/>
  <c r="R48" i="1"/>
  <c r="Q50" i="1" l="1"/>
  <c r="R49" i="1"/>
  <c r="Q51" i="1" l="1"/>
  <c r="R50" i="1"/>
  <c r="Q52" i="1" l="1"/>
  <c r="R51" i="1"/>
  <c r="Q53" i="1" l="1"/>
  <c r="R52" i="1"/>
  <c r="Q54" i="1" l="1"/>
  <c r="R53" i="1"/>
  <c r="Q55" i="1" l="1"/>
  <c r="R54" i="1"/>
  <c r="Q56" i="1" l="1"/>
  <c r="R55" i="1"/>
  <c r="Q57" i="1" l="1"/>
  <c r="R56" i="1"/>
  <c r="Q58" i="1" l="1"/>
  <c r="R57" i="1"/>
  <c r="Q59" i="1" l="1"/>
  <c r="R58" i="1"/>
  <c r="Q60" i="1" l="1"/>
  <c r="R59" i="1"/>
  <c r="Q61" i="1" l="1"/>
  <c r="R60" i="1"/>
  <c r="Q62" i="1" l="1"/>
  <c r="R61" i="1"/>
  <c r="Q63" i="1" l="1"/>
  <c r="R62" i="1"/>
  <c r="Q64" i="1" l="1"/>
  <c r="R63" i="1"/>
  <c r="Q65" i="1" l="1"/>
  <c r="R64" i="1"/>
  <c r="Q66" i="1" l="1"/>
  <c r="R65" i="1"/>
  <c r="Q67" i="1" l="1"/>
  <c r="R66" i="1"/>
  <c r="Q68" i="1" l="1"/>
  <c r="R67" i="1"/>
  <c r="Q69" i="1" l="1"/>
  <c r="R68" i="1"/>
  <c r="Q70" i="1" l="1"/>
  <c r="R69" i="1"/>
  <c r="Q71" i="1" l="1"/>
  <c r="R70" i="1"/>
  <c r="Q72" i="1" l="1"/>
  <c r="R71" i="1"/>
  <c r="Q73" i="1" l="1"/>
  <c r="R72" i="1"/>
  <c r="Q74" i="1" l="1"/>
  <c r="R73" i="1"/>
  <c r="Q75" i="1" l="1"/>
  <c r="R74" i="1"/>
  <c r="Q76" i="1" l="1"/>
  <c r="R75" i="1"/>
  <c r="Q77" i="1" l="1"/>
  <c r="R76" i="1"/>
  <c r="Q78" i="1" l="1"/>
  <c r="R77" i="1"/>
  <c r="Q79" i="1" l="1"/>
  <c r="R78" i="1"/>
  <c r="Q80" i="1" l="1"/>
  <c r="R79" i="1"/>
  <c r="Q81" i="1" l="1"/>
  <c r="R80" i="1"/>
  <c r="Q82" i="1" l="1"/>
  <c r="R81" i="1"/>
  <c r="Q83" i="1" l="1"/>
  <c r="R82" i="1"/>
  <c r="Q84" i="1" l="1"/>
  <c r="R83" i="1"/>
  <c r="Q85" i="1" l="1"/>
  <c r="R84" i="1"/>
  <c r="Q86" i="1" l="1"/>
  <c r="R85" i="1"/>
  <c r="Q87" i="1" l="1"/>
  <c r="R86" i="1"/>
  <c r="Q88" i="1" l="1"/>
  <c r="R87" i="1"/>
  <c r="Q89" i="1" l="1"/>
  <c r="R88" i="1"/>
  <c r="Q90" i="1" l="1"/>
  <c r="R89" i="1"/>
  <c r="Q91" i="1" l="1"/>
  <c r="R90" i="1"/>
  <c r="Q92" i="1" l="1"/>
  <c r="R91" i="1"/>
  <c r="Q93" i="1" l="1"/>
  <c r="R92" i="1"/>
  <c r="Q94" i="1" l="1"/>
  <c r="R93" i="1"/>
  <c r="Q95" i="1" l="1"/>
  <c r="R94" i="1"/>
  <c r="Q96" i="1" l="1"/>
  <c r="R95" i="1"/>
  <c r="Q97" i="1" l="1"/>
  <c r="R96" i="1"/>
  <c r="Q98" i="1" l="1"/>
  <c r="R97" i="1"/>
  <c r="Q99" i="1" l="1"/>
  <c r="R98" i="1"/>
  <c r="Q100" i="1" l="1"/>
  <c r="R99" i="1"/>
  <c r="Q101" i="1" l="1"/>
  <c r="R100" i="1"/>
  <c r="Q102" i="1" l="1"/>
  <c r="R101" i="1"/>
  <c r="Q103" i="1" l="1"/>
  <c r="R102" i="1"/>
  <c r="R103" i="1" l="1"/>
</calcChain>
</file>

<file path=xl/sharedStrings.xml><?xml version="1.0" encoding="utf-8"?>
<sst xmlns="http://schemas.openxmlformats.org/spreadsheetml/2006/main" count="96" uniqueCount="87">
  <si>
    <t>Date</t>
  </si>
  <si>
    <t>SBIN</t>
  </si>
  <si>
    <t>Nifty</t>
  </si>
  <si>
    <t>ICICI</t>
  </si>
  <si>
    <t>Daily Returns of SBIN</t>
  </si>
  <si>
    <t>Daily Returns of ICICI</t>
  </si>
  <si>
    <t>=LN(B3/B2)</t>
  </si>
  <si>
    <t>=LN(C3/C2)</t>
  </si>
  <si>
    <t>Mean of returns of SBIN</t>
  </si>
  <si>
    <t>Mean of returns of ICICI</t>
  </si>
  <si>
    <t>Std .dev</t>
  </si>
  <si>
    <t>=AVERAGE($D$3:$D$63)</t>
  </si>
  <si>
    <t>=AVERAGE($E$3:$E$63)</t>
  </si>
  <si>
    <t>(Xi-Xbar) SBIN</t>
  </si>
  <si>
    <t>(Xi-Xbar) ICICI</t>
  </si>
  <si>
    <t>=D3-F3</t>
  </si>
  <si>
    <t>=E3-G3</t>
  </si>
  <si>
    <t>(Xi-Xbar)^2 SBIN</t>
  </si>
  <si>
    <t>(Xi-Xbar)^2 ICICI</t>
  </si>
  <si>
    <t>=H3^2</t>
  </si>
  <si>
    <t>=I3^2</t>
  </si>
  <si>
    <t>Std dev of SBIN</t>
  </si>
  <si>
    <t>Std dev of ICICI</t>
  </si>
  <si>
    <t>=SQRT(SUM($J$3:$J$63)/(COUNT($J$3:$J$63)-1))</t>
  </si>
  <si>
    <t>=SQRT(SUM($K$3:$K$63)/(COUNT($K$3:$K$63)-1))</t>
  </si>
  <si>
    <t>Product of (xi-Xavg)*(Yi-Yavg)</t>
  </si>
  <si>
    <t>=H3*I3</t>
  </si>
  <si>
    <t>Covariance</t>
  </si>
  <si>
    <t>=SUM($N$3:$N$63)/(COUNT($N$3:$N$63)-1)</t>
  </si>
  <si>
    <t>wt. of SBIN</t>
  </si>
  <si>
    <t>Wt. of ICICI</t>
  </si>
  <si>
    <t>PORTFOLIOS</t>
  </si>
  <si>
    <t>S.No.</t>
  </si>
  <si>
    <t>Return of Portfolio</t>
  </si>
  <si>
    <t>Std dev. = sqrt((wtof sbin*std dev of sbin)^2 +  (wtof ICICI*std dev of ICICI)^2 + 2 *wt SBIN*wt ICICI*covariance)</t>
  </si>
  <si>
    <t>Std of Portolio Returns</t>
  </si>
  <si>
    <t>=Q3*$F$3+R3*$G$3</t>
  </si>
  <si>
    <t>=SQRT((Q3*$L$3)^2+(R3*$M$3)^2+2*Q3*R3*$O$3)</t>
  </si>
  <si>
    <t>Returns</t>
  </si>
  <si>
    <t>Daily Returns</t>
  </si>
  <si>
    <t>Avg Daily Returns</t>
  </si>
  <si>
    <t>Std dev of daily returns</t>
  </si>
  <si>
    <t>Avg of Daily Returns</t>
  </si>
  <si>
    <t>Std Dev</t>
  </si>
  <si>
    <t>Variance</t>
  </si>
  <si>
    <t>Today's Price</t>
  </si>
  <si>
    <t>Estimate the price for the 20th day from Today!!</t>
  </si>
  <si>
    <t>Drift for 20 days</t>
  </si>
  <si>
    <t>=(E2-(H2/2))*20</t>
  </si>
  <si>
    <t>Drift for 20 days is the actual avg returns for 20 days</t>
  </si>
  <si>
    <t>Variance for 20 days</t>
  </si>
  <si>
    <t>Std dev for 20 days</t>
  </si>
  <si>
    <r>
      <t>ln(S</t>
    </r>
    <r>
      <rPr>
        <vertAlign val="sub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/S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</si>
  <si>
    <t>=</t>
  </si>
  <si>
    <r>
      <t>Normal[(μ-σ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/2)*T,σ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T)</t>
    </r>
  </si>
  <si>
    <t>will lie between -2 std dev and + 2 std dev</t>
  </si>
  <si>
    <t>and</t>
  </si>
  <si>
    <r>
      <t>S</t>
    </r>
    <r>
      <rPr>
        <vertAlign val="subscript"/>
        <sz val="11"/>
        <color theme="1"/>
        <rFont val="Calibri"/>
        <family val="2"/>
        <scheme val="minor"/>
      </rPr>
      <t xml:space="preserve">T </t>
    </r>
    <r>
      <rPr>
        <sz val="11"/>
        <color theme="1"/>
        <rFont val="Calibri"/>
        <family val="2"/>
        <scheme val="minor"/>
      </rPr>
      <t>will lie between</t>
    </r>
  </si>
  <si>
    <t>Po*exp(F11)</t>
  </si>
  <si>
    <t>Po*exp(H11)</t>
  </si>
  <si>
    <t>Price will lie between these two prices in the next 20 days!!</t>
  </si>
  <si>
    <t>SIMULATIONS</t>
  </si>
  <si>
    <t>Days</t>
  </si>
  <si>
    <t>Price</t>
  </si>
  <si>
    <t>P1=Po*(1+r)</t>
  </si>
  <si>
    <t>Range of Stock Price at 20th day from Simulations</t>
  </si>
  <si>
    <t>Percentile</t>
  </si>
  <si>
    <t>Price Range at the 20th Day</t>
  </si>
  <si>
    <t>Minimum Stock Price in these 20 days</t>
  </si>
  <si>
    <t>with 95% confidence</t>
  </si>
  <si>
    <t>Todays Price</t>
  </si>
  <si>
    <t>VAR is telling me that there is a 95% chance that the price of Nifty will be above 13552.9</t>
  </si>
  <si>
    <t>Events</t>
  </si>
  <si>
    <t>CASE 1</t>
  </si>
  <si>
    <t>CASE 2</t>
  </si>
  <si>
    <t>=SUMIF($K$4:$ALV$23,"&lt;"&amp;F26)/(COUNTIF($K$4:$ALV$23,"&lt;"&amp;F26))</t>
  </si>
  <si>
    <t>Case 2 is more dangerous because of lower expected shortfall, even though the VAR is same</t>
  </si>
  <si>
    <t>Average Expected Shortfall Price</t>
  </si>
  <si>
    <t>Money you can lose because of Exp Shortfall</t>
  </si>
  <si>
    <t>Maximum Stock Price in these 20 days</t>
  </si>
  <si>
    <t>SMA 20 days</t>
  </si>
  <si>
    <t>Std Dev for 20 days</t>
  </si>
  <si>
    <t>2 std dev up</t>
  </si>
  <si>
    <t>2 std dev down</t>
  </si>
  <si>
    <t xml:space="preserve">Nifty </t>
  </si>
  <si>
    <t>Upper Band</t>
  </si>
  <si>
    <t>Lower Band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</si>
</sst>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6" formatCode="0.000000"/>
    <numFmt numFmtId="171" formatCode="0E+00"/>
    <numFmt numFmtId="172" formatCode="0.000%"/>
    <numFmt numFmtId="174" formatCode="0.0000"/>
    <numFmt numFmtId="176" formatCode="0.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41">
    <xf numFmtId="0" fontId="0" fillId="0" borderId="0" xfId="0"/>
    <xf numFmtId="14" fontId="0" fillId="0" borderId="0" xfId="0" applyNumberFormat="1"/>
    <xf numFmtId="0" fontId="0" fillId="0" borderId="0" xfId="0"/>
    <xf numFmtId="0" fontId="16" fillId="0" borderId="0" xfId="0" applyFont="1"/>
    <xf numFmtId="0" fontId="0" fillId="33" borderId="0" xfId="0" quotePrefix="1" applyFill="1"/>
    <xf numFmtId="166" fontId="16" fillId="0" borderId="0" xfId="0" applyNumberFormat="1" applyFont="1"/>
    <xf numFmtId="171" fontId="0" fillId="0" borderId="0" xfId="0" applyNumberFormat="1"/>
    <xf numFmtId="0" fontId="0" fillId="33" borderId="0" xfId="0" applyFill="1" applyAlignment="1">
      <alignment horizontal="center"/>
    </xf>
    <xf numFmtId="0" fontId="0" fillId="35" borderId="0" xfId="0" applyFill="1"/>
    <xf numFmtId="10" fontId="0" fillId="0" borderId="0" xfId="42" applyNumberFormat="1" applyFont="1"/>
    <xf numFmtId="10" fontId="16" fillId="38" borderId="0" xfId="42" applyNumberFormat="1" applyFont="1" applyFill="1"/>
    <xf numFmtId="14" fontId="16" fillId="0" borderId="0" xfId="0" applyNumberFormat="1" applyFont="1"/>
    <xf numFmtId="0" fontId="16" fillId="37" borderId="0" xfId="0" applyFont="1" applyFill="1"/>
    <xf numFmtId="174" fontId="0" fillId="33" borderId="0" xfId="0" applyNumberFormat="1" applyFill="1"/>
    <xf numFmtId="176" fontId="16" fillId="35" borderId="0" xfId="0" applyNumberFormat="1" applyFont="1" applyFill="1"/>
    <xf numFmtId="0" fontId="0" fillId="35" borderId="0" xfId="0" applyFont="1" applyFill="1"/>
    <xf numFmtId="0" fontId="0" fillId="0" borderId="0" xfId="0"/>
    <xf numFmtId="0" fontId="0" fillId="33" borderId="0" xfId="0" applyFill="1"/>
    <xf numFmtId="0" fontId="16" fillId="0" borderId="0" xfId="0" applyFont="1"/>
    <xf numFmtId="0" fontId="0" fillId="0" borderId="0" xfId="0" quotePrefix="1"/>
    <xf numFmtId="172" fontId="0" fillId="0" borderId="0" xfId="42" applyNumberFormat="1" applyFont="1"/>
    <xf numFmtId="0" fontId="0" fillId="0" borderId="0" xfId="0" applyFont="1"/>
    <xf numFmtId="9" fontId="0" fillId="0" borderId="0" xfId="0" applyNumberFormat="1"/>
    <xf numFmtId="0" fontId="16" fillId="39" borderId="0" xfId="0" applyFont="1" applyFill="1"/>
    <xf numFmtId="10" fontId="0" fillId="0" borderId="0" xfId="0" applyNumberFormat="1"/>
    <xf numFmtId="176" fontId="0" fillId="35" borderId="0" xfId="0" applyNumberFormat="1" applyFill="1"/>
    <xf numFmtId="0" fontId="0" fillId="35" borderId="0" xfId="0" applyFill="1"/>
    <xf numFmtId="0" fontId="0" fillId="0" borderId="0" xfId="0"/>
    <xf numFmtId="0" fontId="0" fillId="35" borderId="0" xfId="0" applyFill="1"/>
    <xf numFmtId="0" fontId="0" fillId="0" borderId="0" xfId="0"/>
    <xf numFmtId="0" fontId="16" fillId="0" borderId="0" xfId="0" applyFont="1"/>
    <xf numFmtId="0" fontId="0" fillId="37" borderId="0" xfId="0" applyFill="1"/>
    <xf numFmtId="0" fontId="16" fillId="35" borderId="0" xfId="0" applyFont="1" applyFill="1"/>
    <xf numFmtId="0" fontId="16" fillId="34" borderId="0" xfId="0" applyFont="1" applyFill="1"/>
    <xf numFmtId="0" fontId="16" fillId="0" borderId="0" xfId="0" applyFont="1"/>
    <xf numFmtId="0" fontId="16" fillId="36" borderId="0" xfId="0" applyFont="1" applyFill="1"/>
    <xf numFmtId="0" fontId="0" fillId="0" borderId="0" xfId="0"/>
    <xf numFmtId="0" fontId="16" fillId="0" borderId="0" xfId="0" applyFont="1"/>
    <xf numFmtId="0" fontId="0" fillId="0" borderId="0" xfId="0" quotePrefix="1"/>
    <xf numFmtId="14" fontId="0" fillId="0" borderId="0" xfId="0" applyNumberFormat="1"/>
    <xf numFmtId="0" fontId="0" fillId="35" borderId="0" xfId="0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4.xml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Returns v/s Std Dev.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Data_SBIN_ICICI!$T$3:$T$103</c:f>
              <c:numCache>
                <c:formatCode>0.00%</c:formatCode>
                <c:ptCount val="101"/>
                <c:pt idx="0">
                  <c:v>2.1317198767456684E-2</c:v>
                </c:pt>
                <c:pt idx="1">
                  <c:v>2.1270157795251494E-2</c:v>
                </c:pt>
                <c:pt idx="2">
                  <c:v>2.1224520185668321E-2</c:v>
                </c:pt>
                <c:pt idx="3">
                  <c:v>2.1180295010270484E-2</c:v>
                </c:pt>
                <c:pt idx="4">
                  <c:v>2.1137491134608159E-2</c:v>
                </c:pt>
                <c:pt idx="5">
                  <c:v>2.1096117210105059E-2</c:v>
                </c:pt>
                <c:pt idx="6">
                  <c:v>2.1056181666024971E-2</c:v>
                </c:pt>
                <c:pt idx="7">
                  <c:v>2.1017692701533724E-2</c:v>
                </c:pt>
                <c:pt idx="8">
                  <c:v>2.0980658277872623E-2</c:v>
                </c:pt>
                <c:pt idx="9">
                  <c:v>2.0945086110659192E-2</c:v>
                </c:pt>
                <c:pt idx="10">
                  <c:v>2.0910983662331503E-2</c:v>
                </c:pt>
                <c:pt idx="11">
                  <c:v>2.0878358134751977E-2</c:v>
                </c:pt>
                <c:pt idx="12">
                  <c:v>2.0847216461986864E-2</c:v>
                </c:pt>
                <c:pt idx="13">
                  <c:v>2.0817565303277198E-2</c:v>
                </c:pt>
                <c:pt idx="14">
                  <c:v>2.0789411036217169E-2</c:v>
                </c:pt>
                <c:pt idx="15">
                  <c:v>2.0762759750155291E-2</c:v>
                </c:pt>
                <c:pt idx="16">
                  <c:v>2.0737617239833792E-2</c:v>
                </c:pt>
                <c:pt idx="17">
                  <c:v>2.0713988999281081E-2</c:v>
                </c:pt>
                <c:pt idx="18">
                  <c:v>2.0691880215971827E-2</c:v>
                </c:pt>
                <c:pt idx="19">
                  <c:v>2.067129576526875E-2</c:v>
                </c:pt>
                <c:pt idx="20">
                  <c:v>2.0652240205159635E-2</c:v>
                </c:pt>
                <c:pt idx="21">
                  <c:v>2.0634717771302546E-2</c:v>
                </c:pt>
                <c:pt idx="22">
                  <c:v>2.0618732372391591E-2</c:v>
                </c:pt>
                <c:pt idx="23">
                  <c:v>2.0604287585854836E-2</c:v>
                </c:pt>
                <c:pt idx="24">
                  <c:v>2.0591386653895288E-2</c:v>
                </c:pt>
                <c:pt idx="25">
                  <c:v>2.0580032479885092E-2</c:v>
                </c:pt>
                <c:pt idx="26">
                  <c:v>2.05702276251221E-2</c:v>
                </c:pt>
                <c:pt idx="27">
                  <c:v>2.0561974305957346E-2</c:v>
                </c:pt>
                <c:pt idx="28">
                  <c:v>2.0555274391300806E-2</c:v>
                </c:pt>
                <c:pt idx="29">
                  <c:v>2.0550129400511961E-2</c:v>
                </c:pt>
                <c:pt idx="30">
                  <c:v>2.0546540501680772E-2</c:v>
                </c:pt>
                <c:pt idx="31">
                  <c:v>2.0544508510303511E-2</c:v>
                </c:pt>
                <c:pt idx="32">
                  <c:v>2.0544033888357006E-2</c:v>
                </c:pt>
                <c:pt idx="33">
                  <c:v>2.0545116743773729E-2</c:v>
                </c:pt>
                <c:pt idx="34">
                  <c:v>2.0547756830319092E-2</c:v>
                </c:pt>
                <c:pt idx="35">
                  <c:v>2.0551953547871333E-2</c:v>
                </c:pt>
                <c:pt idx="36">
                  <c:v>2.0557705943103185E-2</c:v>
                </c:pt>
                <c:pt idx="37">
                  <c:v>2.0565012710563584E-2</c:v>
                </c:pt>
                <c:pt idx="38">
                  <c:v>2.0573872194156507E-2</c:v>
                </c:pt>
                <c:pt idx="39">
                  <c:v>2.0584282389013067E-2</c:v>
                </c:pt>
                <c:pt idx="40">
                  <c:v>2.0596240943751936E-2</c:v>
                </c:pt>
                <c:pt idx="41">
                  <c:v>2.0609745163122143E-2</c:v>
                </c:pt>
                <c:pt idx="42">
                  <c:v>2.0624792011021399E-2</c:v>
                </c:pt>
                <c:pt idx="43">
                  <c:v>2.064137811388209E-2</c:v>
                </c:pt>
                <c:pt idx="44">
                  <c:v>2.0659499764416171E-2</c:v>
                </c:pt>
                <c:pt idx="45">
                  <c:v>2.0679152925709408E-2</c:v>
                </c:pt>
                <c:pt idx="46">
                  <c:v>2.0700333235654511E-2</c:v>
                </c:pt>
                <c:pt idx="47">
                  <c:v>2.0723036011711996E-2</c:v>
                </c:pt>
                <c:pt idx="48">
                  <c:v>2.0747256255986835E-2</c:v>
                </c:pt>
                <c:pt idx="49">
                  <c:v>2.0772988660608276E-2</c:v>
                </c:pt>
                <c:pt idx="50">
                  <c:v>2.0800227613399759E-2</c:v>
                </c:pt>
                <c:pt idx="51">
                  <c:v>2.082896720382503E-2</c:v>
                </c:pt>
                <c:pt idx="52">
                  <c:v>2.0859201229196246E-2</c:v>
                </c:pt>
                <c:pt idx="53">
                  <c:v>2.0890923201129449E-2</c:v>
                </c:pt>
                <c:pt idx="54">
                  <c:v>2.0924126352232193E-2</c:v>
                </c:pt>
                <c:pt idx="55">
                  <c:v>2.09588036430081E-2</c:v>
                </c:pt>
                <c:pt idx="56">
                  <c:v>2.0994947768962526E-2</c:v>
                </c:pt>
                <c:pt idx="57">
                  <c:v>2.1032551167893588E-2</c:v>
                </c:pt>
                <c:pt idx="58">
                  <c:v>2.1071606027352596E-2</c:v>
                </c:pt>
                <c:pt idx="59">
                  <c:v>2.1112104292257683E-2</c:v>
                </c:pt>
                <c:pt idx="60">
                  <c:v>2.1154037672644701E-2</c:v>
                </c:pt>
                <c:pt idx="61">
                  <c:v>2.1197397651539208E-2</c:v>
                </c:pt>
                <c:pt idx="62">
                  <c:v>2.1242175492933661E-2</c:v>
                </c:pt>
                <c:pt idx="63">
                  <c:v>2.1288362249853927E-2</c:v>
                </c:pt>
                <c:pt idx="64">
                  <c:v>2.1335948772499495E-2</c:v>
                </c:pt>
                <c:pt idx="65">
                  <c:v>2.1384925716442002E-2</c:v>
                </c:pt>
                <c:pt idx="66">
                  <c:v>2.1435283550866904E-2</c:v>
                </c:pt>
                <c:pt idx="67">
                  <c:v>2.1487012566843506E-2</c:v>
                </c:pt>
                <c:pt idx="68">
                  <c:v>2.1540102885608949E-2</c:v>
                </c:pt>
                <c:pt idx="69">
                  <c:v>2.1594544466852033E-2</c:v>
                </c:pt>
                <c:pt idx="70">
                  <c:v>2.165032711698333E-2</c:v>
                </c:pt>
                <c:pt idx="71">
                  <c:v>2.1707440497378321E-2</c:v>
                </c:pt>
                <c:pt idx="72">
                  <c:v>2.1765874132581024E-2</c:v>
                </c:pt>
                <c:pt idx="73">
                  <c:v>2.1825617418455814E-2</c:v>
                </c:pt>
                <c:pt idx="74">
                  <c:v>2.1886659630275855E-2</c:v>
                </c:pt>
                <c:pt idx="75">
                  <c:v>2.1948989930737007E-2</c:v>
                </c:pt>
                <c:pt idx="76">
                  <c:v>2.2012597377886713E-2</c:v>
                </c:pt>
                <c:pt idx="77">
                  <c:v>2.2077470932957845E-2</c:v>
                </c:pt>
                <c:pt idx="78">
                  <c:v>2.2143599468098102E-2</c:v>
                </c:pt>
                <c:pt idx="79">
                  <c:v>2.2210971773986236E-2</c:v>
                </c:pt>
                <c:pt idx="80">
                  <c:v>2.227957656732675E-2</c:v>
                </c:pt>
                <c:pt idx="81">
                  <c:v>2.2349402498215466E-2</c:v>
                </c:pt>
                <c:pt idx="82">
                  <c:v>2.2420438157368976E-2</c:v>
                </c:pt>
                <c:pt idx="83">
                  <c:v>2.2492672083211387E-2</c:v>
                </c:pt>
                <c:pt idx="84">
                  <c:v>2.2566092768812458E-2</c:v>
                </c:pt>
                <c:pt idx="85">
                  <c:v>2.2640688668671843E-2</c:v>
                </c:pt>
                <c:pt idx="86">
                  <c:v>2.2716448205344603E-2</c:v>
                </c:pt>
                <c:pt idx="87">
                  <c:v>2.2793359775903708E-2</c:v>
                </c:pt>
                <c:pt idx="88">
                  <c:v>2.2871411758235854E-2</c:v>
                </c:pt>
                <c:pt idx="89">
                  <c:v>2.2950592517167308E-2</c:v>
                </c:pt>
                <c:pt idx="90">
                  <c:v>2.3030890410417174E-2</c:v>
                </c:pt>
                <c:pt idx="91">
                  <c:v>2.3112293794375714E-2</c:v>
                </c:pt>
                <c:pt idx="92">
                  <c:v>2.3194791029706074E-2</c:v>
                </c:pt>
                <c:pt idx="93">
                  <c:v>2.3278370486767994E-2</c:v>
                </c:pt>
                <c:pt idx="94">
                  <c:v>2.3363020550862684E-2</c:v>
                </c:pt>
                <c:pt idx="95">
                  <c:v>2.3448729627298267E-2</c:v>
                </c:pt>
                <c:pt idx="96">
                  <c:v>2.3535486146275836E-2</c:v>
                </c:pt>
                <c:pt idx="97">
                  <c:v>2.3623278567596228E-2</c:v>
                </c:pt>
                <c:pt idx="98">
                  <c:v>2.3712095385188189E-2</c:v>
                </c:pt>
                <c:pt idx="99">
                  <c:v>2.380192513145896E-2</c:v>
                </c:pt>
                <c:pt idx="100">
                  <c:v>2.3892756381468334E-2</c:v>
                </c:pt>
              </c:numCache>
            </c:numRef>
          </c:xVal>
          <c:yVal>
            <c:numRef>
              <c:f>Data_SBIN_ICICI!$U$3:$U$103</c:f>
              <c:numCache>
                <c:formatCode>0.00%</c:formatCode>
                <c:ptCount val="101"/>
                <c:pt idx="0">
                  <c:v>4.5490666451837797E-3</c:v>
                </c:pt>
                <c:pt idx="1">
                  <c:v>4.5636149416777858E-3</c:v>
                </c:pt>
                <c:pt idx="2">
                  <c:v>4.578163238171791E-3</c:v>
                </c:pt>
                <c:pt idx="3">
                  <c:v>4.5927115346657971E-3</c:v>
                </c:pt>
                <c:pt idx="4">
                  <c:v>4.6072598311598031E-3</c:v>
                </c:pt>
                <c:pt idx="5">
                  <c:v>4.6218081276538083E-3</c:v>
                </c:pt>
                <c:pt idx="6">
                  <c:v>4.6363564241478136E-3</c:v>
                </c:pt>
                <c:pt idx="7">
                  <c:v>4.6509047206418196E-3</c:v>
                </c:pt>
                <c:pt idx="8">
                  <c:v>4.6654530171358257E-3</c:v>
                </c:pt>
                <c:pt idx="9">
                  <c:v>4.6800013136298318E-3</c:v>
                </c:pt>
                <c:pt idx="10">
                  <c:v>4.694549610123837E-3</c:v>
                </c:pt>
                <c:pt idx="11">
                  <c:v>4.7090979066178431E-3</c:v>
                </c:pt>
                <c:pt idx="12">
                  <c:v>4.7236462031118483E-3</c:v>
                </c:pt>
                <c:pt idx="13">
                  <c:v>4.7381944996058535E-3</c:v>
                </c:pt>
                <c:pt idx="14">
                  <c:v>4.7527427960998595E-3</c:v>
                </c:pt>
                <c:pt idx="15">
                  <c:v>4.7672910925938648E-3</c:v>
                </c:pt>
                <c:pt idx="16">
                  <c:v>4.7818393890878708E-3</c:v>
                </c:pt>
                <c:pt idx="17">
                  <c:v>4.7963876855818769E-3</c:v>
                </c:pt>
                <c:pt idx="18">
                  <c:v>4.810935982075883E-3</c:v>
                </c:pt>
                <c:pt idx="19">
                  <c:v>4.8254842785698882E-3</c:v>
                </c:pt>
                <c:pt idx="20">
                  <c:v>4.8400325750638934E-3</c:v>
                </c:pt>
                <c:pt idx="21">
                  <c:v>4.8545808715578995E-3</c:v>
                </c:pt>
                <c:pt idx="22">
                  <c:v>4.8691291680519055E-3</c:v>
                </c:pt>
                <c:pt idx="23">
                  <c:v>4.8836774645459116E-3</c:v>
                </c:pt>
                <c:pt idx="24">
                  <c:v>4.8982257610399168E-3</c:v>
                </c:pt>
                <c:pt idx="25">
                  <c:v>4.9127740575339238E-3</c:v>
                </c:pt>
                <c:pt idx="26">
                  <c:v>4.9273223540279281E-3</c:v>
                </c:pt>
                <c:pt idx="27">
                  <c:v>4.9418706505219342E-3</c:v>
                </c:pt>
                <c:pt idx="28">
                  <c:v>4.9564189470159403E-3</c:v>
                </c:pt>
                <c:pt idx="29">
                  <c:v>4.9709672435099463E-3</c:v>
                </c:pt>
                <c:pt idx="30">
                  <c:v>4.9855155400039524E-3</c:v>
                </c:pt>
                <c:pt idx="31">
                  <c:v>5.0000638364979567E-3</c:v>
                </c:pt>
                <c:pt idx="32">
                  <c:v>5.0146121329919628E-3</c:v>
                </c:pt>
                <c:pt idx="33">
                  <c:v>5.0291604294859689E-3</c:v>
                </c:pt>
                <c:pt idx="34">
                  <c:v>5.043708725979975E-3</c:v>
                </c:pt>
                <c:pt idx="35">
                  <c:v>5.058257022473981E-3</c:v>
                </c:pt>
                <c:pt idx="36">
                  <c:v>5.0728053189679854E-3</c:v>
                </c:pt>
                <c:pt idx="37">
                  <c:v>5.0873536154619915E-3</c:v>
                </c:pt>
                <c:pt idx="38">
                  <c:v>5.1019019119559975E-3</c:v>
                </c:pt>
                <c:pt idx="39">
                  <c:v>5.1164502084500036E-3</c:v>
                </c:pt>
                <c:pt idx="40">
                  <c:v>5.1309985049440097E-3</c:v>
                </c:pt>
                <c:pt idx="41">
                  <c:v>5.145546801438014E-3</c:v>
                </c:pt>
                <c:pt idx="42">
                  <c:v>5.1600950979320201E-3</c:v>
                </c:pt>
                <c:pt idx="43">
                  <c:v>5.1746433944260262E-3</c:v>
                </c:pt>
                <c:pt idx="44">
                  <c:v>5.1891916909200322E-3</c:v>
                </c:pt>
                <c:pt idx="45">
                  <c:v>5.2037399874140383E-3</c:v>
                </c:pt>
                <c:pt idx="46">
                  <c:v>5.2182882839080427E-3</c:v>
                </c:pt>
                <c:pt idx="47">
                  <c:v>5.2328365804020487E-3</c:v>
                </c:pt>
                <c:pt idx="48">
                  <c:v>5.2473848768960548E-3</c:v>
                </c:pt>
                <c:pt idx="49">
                  <c:v>5.2619331733900609E-3</c:v>
                </c:pt>
                <c:pt idx="50">
                  <c:v>5.2764814698840661E-3</c:v>
                </c:pt>
                <c:pt idx="51">
                  <c:v>5.2910297663780713E-3</c:v>
                </c:pt>
                <c:pt idx="52">
                  <c:v>5.3055780628720774E-3</c:v>
                </c:pt>
                <c:pt idx="53">
                  <c:v>5.3201263593660834E-3</c:v>
                </c:pt>
                <c:pt idx="54">
                  <c:v>5.3346746558600895E-3</c:v>
                </c:pt>
                <c:pt idx="55">
                  <c:v>5.3492229523540947E-3</c:v>
                </c:pt>
                <c:pt idx="56">
                  <c:v>5.3637712488480999E-3</c:v>
                </c:pt>
                <c:pt idx="57">
                  <c:v>5.378319545342106E-3</c:v>
                </c:pt>
                <c:pt idx="58">
                  <c:v>5.3928678418361121E-3</c:v>
                </c:pt>
                <c:pt idx="59">
                  <c:v>5.4074161383301182E-3</c:v>
                </c:pt>
                <c:pt idx="60">
                  <c:v>5.4219644348241234E-3</c:v>
                </c:pt>
                <c:pt idx="61">
                  <c:v>5.4365127313181294E-3</c:v>
                </c:pt>
                <c:pt idx="62">
                  <c:v>5.4510610278121346E-3</c:v>
                </c:pt>
                <c:pt idx="63">
                  <c:v>5.4656093243061407E-3</c:v>
                </c:pt>
                <c:pt idx="64">
                  <c:v>5.4801576208001468E-3</c:v>
                </c:pt>
                <c:pt idx="65">
                  <c:v>5.494705917294152E-3</c:v>
                </c:pt>
                <c:pt idx="66">
                  <c:v>5.5092542137881581E-3</c:v>
                </c:pt>
                <c:pt idx="67">
                  <c:v>5.5238025102821633E-3</c:v>
                </c:pt>
                <c:pt idx="68">
                  <c:v>5.5383508067761694E-3</c:v>
                </c:pt>
                <c:pt idx="69">
                  <c:v>5.5528991032701754E-3</c:v>
                </c:pt>
                <c:pt idx="70">
                  <c:v>5.5674473997641815E-3</c:v>
                </c:pt>
                <c:pt idx="71">
                  <c:v>5.5819956962581858E-3</c:v>
                </c:pt>
                <c:pt idx="72">
                  <c:v>5.5965439927521919E-3</c:v>
                </c:pt>
                <c:pt idx="73">
                  <c:v>5.611092289246198E-3</c:v>
                </c:pt>
                <c:pt idx="74">
                  <c:v>5.6256405857402032E-3</c:v>
                </c:pt>
                <c:pt idx="75">
                  <c:v>5.6401888822342093E-3</c:v>
                </c:pt>
                <c:pt idx="76">
                  <c:v>5.6547371787282153E-3</c:v>
                </c:pt>
                <c:pt idx="77">
                  <c:v>5.6692854752222206E-3</c:v>
                </c:pt>
                <c:pt idx="78">
                  <c:v>5.6838337717162266E-3</c:v>
                </c:pt>
                <c:pt idx="79">
                  <c:v>5.6983820682102327E-3</c:v>
                </c:pt>
                <c:pt idx="80">
                  <c:v>5.7129303647042388E-3</c:v>
                </c:pt>
                <c:pt idx="81">
                  <c:v>5.7274786611982431E-3</c:v>
                </c:pt>
                <c:pt idx="82">
                  <c:v>5.7420269576922492E-3</c:v>
                </c:pt>
                <c:pt idx="83">
                  <c:v>5.7565752541862553E-3</c:v>
                </c:pt>
                <c:pt idx="84">
                  <c:v>5.7711235506802605E-3</c:v>
                </c:pt>
                <c:pt idx="85">
                  <c:v>5.7856718471742665E-3</c:v>
                </c:pt>
                <c:pt idx="86">
                  <c:v>5.8002201436682726E-3</c:v>
                </c:pt>
                <c:pt idx="87">
                  <c:v>5.8147684401622778E-3</c:v>
                </c:pt>
                <c:pt idx="88">
                  <c:v>5.8293167366562839E-3</c:v>
                </c:pt>
                <c:pt idx="89">
                  <c:v>5.84386503315029E-3</c:v>
                </c:pt>
                <c:pt idx="90">
                  <c:v>5.858413329644296E-3</c:v>
                </c:pt>
                <c:pt idx="91">
                  <c:v>5.8729616261383004E-3</c:v>
                </c:pt>
                <c:pt idx="92">
                  <c:v>5.8875099226323065E-3</c:v>
                </c:pt>
                <c:pt idx="93">
                  <c:v>5.9020582191263125E-3</c:v>
                </c:pt>
                <c:pt idx="94">
                  <c:v>5.9166065156203177E-3</c:v>
                </c:pt>
                <c:pt idx="95">
                  <c:v>5.9311548121143238E-3</c:v>
                </c:pt>
                <c:pt idx="96">
                  <c:v>5.9457031086083299E-3</c:v>
                </c:pt>
                <c:pt idx="97">
                  <c:v>5.960251405102336E-3</c:v>
                </c:pt>
                <c:pt idx="98">
                  <c:v>5.9747997015963412E-3</c:v>
                </c:pt>
                <c:pt idx="99">
                  <c:v>5.9893479980903472E-3</c:v>
                </c:pt>
                <c:pt idx="100">
                  <c:v>6.0038962945843559E-3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665024"/>
        <c:axId val="141666560"/>
      </c:scatterChart>
      <c:valAx>
        <c:axId val="141665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Std</a:t>
                </a:r>
                <a:r>
                  <a:rPr lang="en-US" baseline="0"/>
                  <a:t> dev of Portfolio Returns</a:t>
                </a:r>
                <a:endParaRPr lang="en-US"/>
              </a:p>
            </c:rich>
          </c:tx>
          <c:layout/>
          <c:overlay val="0"/>
        </c:title>
        <c:numFmt formatCode="0.00%" sourceLinked="1"/>
        <c:majorTickMark val="none"/>
        <c:minorTickMark val="none"/>
        <c:tickLblPos val="nextTo"/>
        <c:crossAx val="141666560"/>
        <c:crosses val="autoZero"/>
        <c:crossBetween val="midCat"/>
      </c:valAx>
      <c:valAx>
        <c:axId val="1416665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Returns</a:t>
                </a:r>
              </a:p>
            </c:rich>
          </c:tx>
          <c:layout/>
          <c:overlay val="0"/>
        </c:title>
        <c:numFmt formatCode="0.00%" sourceLinked="1"/>
        <c:majorTickMark val="none"/>
        <c:minorTickMark val="none"/>
        <c:tickLblPos val="nextTo"/>
        <c:crossAx val="1416650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16520486418107E-2"/>
          <c:y val="2.2505762430945399E-2"/>
          <c:w val="0.79968010119922184"/>
          <c:h val="0.91034374111653493"/>
        </c:manualLayout>
      </c:layout>
      <c:lineChart>
        <c:grouping val="standard"/>
        <c:varyColors val="0"/>
        <c:ser>
          <c:idx val="0"/>
          <c:order val="0"/>
          <c:tx>
            <c:strRef>
              <c:f>'Bollinger Bands'!$I$20</c:f>
              <c:strCache>
                <c:ptCount val="1"/>
                <c:pt idx="0">
                  <c:v>Nifty </c:v>
                </c:pt>
              </c:strCache>
            </c:strRef>
          </c:tx>
          <c:marker>
            <c:symbol val="none"/>
          </c:marker>
          <c:val>
            <c:numRef>
              <c:f>'Bollinger Bands'!$I$21:$I$2508</c:f>
              <c:numCache>
                <c:formatCode>General</c:formatCode>
                <c:ptCount val="2488"/>
                <c:pt idx="0">
                  <c:v>5934.75</c:v>
                </c:pt>
                <c:pt idx="1">
                  <c:v>5865.75</c:v>
                </c:pt>
                <c:pt idx="2">
                  <c:v>5799.75</c:v>
                </c:pt>
                <c:pt idx="3">
                  <c:v>5751.9501950000003</c:v>
                </c:pt>
                <c:pt idx="4">
                  <c:v>5830</c:v>
                </c:pt>
                <c:pt idx="5">
                  <c:v>5862.7001950000003</c:v>
                </c:pt>
                <c:pt idx="6">
                  <c:v>5960.8999020000001</c:v>
                </c:pt>
                <c:pt idx="7">
                  <c:v>6011.7001950000003</c:v>
                </c:pt>
                <c:pt idx="8">
                  <c:v>5992.7998049999997</c:v>
                </c:pt>
                <c:pt idx="9">
                  <c:v>5992.25</c:v>
                </c:pt>
                <c:pt idx="10">
                  <c:v>5976.5498049999997</c:v>
                </c:pt>
                <c:pt idx="11">
                  <c:v>5903.7001950000003</c:v>
                </c:pt>
                <c:pt idx="12">
                  <c:v>5766.5</c:v>
                </c:pt>
                <c:pt idx="13">
                  <c:v>5857.3500979999999</c:v>
                </c:pt>
                <c:pt idx="14">
                  <c:v>5907.6499020000001</c:v>
                </c:pt>
                <c:pt idx="15">
                  <c:v>5944.1000979999999</c:v>
                </c:pt>
                <c:pt idx="16">
                  <c:v>5892.2998049999997</c:v>
                </c:pt>
                <c:pt idx="17">
                  <c:v>5948.75</c:v>
                </c:pt>
                <c:pt idx="18">
                  <c:v>5947.0498049999997</c:v>
                </c:pt>
                <c:pt idx="19">
                  <c:v>6000.6499020000001</c:v>
                </c:pt>
                <c:pt idx="20">
                  <c:v>5984.3999020000001</c:v>
                </c:pt>
                <c:pt idx="21">
                  <c:v>5980</c:v>
                </c:pt>
                <c:pt idx="22">
                  <c:v>6011.6000979999999</c:v>
                </c:pt>
                <c:pt idx="23">
                  <c:v>5998.1000979999999</c:v>
                </c:pt>
                <c:pt idx="24">
                  <c:v>5996</c:v>
                </c:pt>
                <c:pt idx="25">
                  <c:v>6060.3500979999999</c:v>
                </c:pt>
                <c:pt idx="26">
                  <c:v>6101.8500979999999</c:v>
                </c:pt>
                <c:pt idx="27">
                  <c:v>6134.5</c:v>
                </c:pt>
                <c:pt idx="28">
                  <c:v>6157.6000979999999</c:v>
                </c:pt>
                <c:pt idx="29">
                  <c:v>6146.3500979999999</c:v>
                </c:pt>
                <c:pt idx="30">
                  <c:v>6079.7998049999997</c:v>
                </c:pt>
                <c:pt idx="31">
                  <c:v>6048.25</c:v>
                </c:pt>
                <c:pt idx="32">
                  <c:v>5904.6000979999999</c:v>
                </c:pt>
                <c:pt idx="33">
                  <c:v>5762.8500979999999</c:v>
                </c:pt>
                <c:pt idx="34">
                  <c:v>5754.1000979999999</c:v>
                </c:pt>
                <c:pt idx="35">
                  <c:v>5863.25</c:v>
                </c:pt>
                <c:pt idx="36">
                  <c:v>5751.8999020000001</c:v>
                </c:pt>
                <c:pt idx="37">
                  <c:v>5654.5498049999997</c:v>
                </c:pt>
                <c:pt idx="38">
                  <c:v>5654.75</c:v>
                </c:pt>
                <c:pt idx="39">
                  <c:v>5724.0498049999997</c:v>
                </c:pt>
                <c:pt idx="40">
                  <c:v>5691.0498049999997</c:v>
                </c:pt>
                <c:pt idx="41">
                  <c:v>5711.6000979999999</c:v>
                </c:pt>
                <c:pt idx="42">
                  <c:v>5696.5</c:v>
                </c:pt>
                <c:pt idx="43">
                  <c:v>5743.25</c:v>
                </c:pt>
                <c:pt idx="44">
                  <c:v>5687.3999020000001</c:v>
                </c:pt>
                <c:pt idx="45">
                  <c:v>5604.2998049999997</c:v>
                </c:pt>
                <c:pt idx="46">
                  <c:v>5512.1499020000001</c:v>
                </c:pt>
                <c:pt idx="47">
                  <c:v>5505.8999020000001</c:v>
                </c:pt>
                <c:pt idx="48">
                  <c:v>5417.2001950000003</c:v>
                </c:pt>
                <c:pt idx="49">
                  <c:v>5432</c:v>
                </c:pt>
                <c:pt idx="50">
                  <c:v>5526.75</c:v>
                </c:pt>
                <c:pt idx="51">
                  <c:v>5395.75</c:v>
                </c:pt>
                <c:pt idx="52">
                  <c:v>5396</c:v>
                </c:pt>
                <c:pt idx="53">
                  <c:v>5312.5498049999997</c:v>
                </c:pt>
                <c:pt idx="54">
                  <c:v>5253.5498049999997</c:v>
                </c:pt>
                <c:pt idx="55">
                  <c:v>5225.7998049999997</c:v>
                </c:pt>
                <c:pt idx="56">
                  <c:v>5310</c:v>
                </c:pt>
                <c:pt idx="57">
                  <c:v>5456</c:v>
                </c:pt>
                <c:pt idx="58">
                  <c:v>5481</c:v>
                </c:pt>
                <c:pt idx="59">
                  <c:v>5481.7001950000003</c:v>
                </c:pt>
                <c:pt idx="60">
                  <c:v>5546.4501950000003</c:v>
                </c:pt>
                <c:pt idx="61">
                  <c:v>5458.9501950000003</c:v>
                </c:pt>
                <c:pt idx="62">
                  <c:v>5518.6000979999999</c:v>
                </c:pt>
                <c:pt idx="63">
                  <c:v>5469.2001950000003</c:v>
                </c:pt>
                <c:pt idx="64">
                  <c:v>5437.3500979999999</c:v>
                </c:pt>
                <c:pt idx="65">
                  <c:v>5262.7001950000003</c:v>
                </c:pt>
                <c:pt idx="66">
                  <c:v>5303.5498049999997</c:v>
                </c:pt>
                <c:pt idx="67">
                  <c:v>5333.25</c:v>
                </c:pt>
                <c:pt idx="68">
                  <c:v>5522.2998049999997</c:v>
                </c:pt>
                <c:pt idx="69">
                  <c:v>5536.2001950000003</c:v>
                </c:pt>
                <c:pt idx="70">
                  <c:v>5538.75</c:v>
                </c:pt>
                <c:pt idx="71">
                  <c:v>5463.1499020000001</c:v>
                </c:pt>
                <c:pt idx="72">
                  <c:v>5520.7998049999997</c:v>
                </c:pt>
                <c:pt idx="73">
                  <c:v>5531</c:v>
                </c:pt>
                <c:pt idx="74">
                  <c:v>5494.3999020000001</c:v>
                </c:pt>
                <c:pt idx="75">
                  <c:v>5445.4501950000003</c:v>
                </c:pt>
                <c:pt idx="76">
                  <c:v>5531.5</c:v>
                </c:pt>
                <c:pt idx="77">
                  <c:v>5449.6499020000001</c:v>
                </c:pt>
                <c:pt idx="78">
                  <c:v>5511.1499020000001</c:v>
                </c:pt>
                <c:pt idx="79">
                  <c:v>5446.6499020000001</c:v>
                </c:pt>
                <c:pt idx="80">
                  <c:v>5373.7001950000003</c:v>
                </c:pt>
                <c:pt idx="81">
                  <c:v>5364.75</c:v>
                </c:pt>
                <c:pt idx="82">
                  <c:v>5413.8500979999999</c:v>
                </c:pt>
                <c:pt idx="83">
                  <c:v>5480.25</c:v>
                </c:pt>
                <c:pt idx="84">
                  <c:v>5522.3999020000001</c:v>
                </c:pt>
                <c:pt idx="85">
                  <c:v>5654.25</c:v>
                </c:pt>
                <c:pt idx="86">
                  <c:v>5687.25</c:v>
                </c:pt>
                <c:pt idx="87">
                  <c:v>5736.3500979999999</c:v>
                </c:pt>
                <c:pt idx="88">
                  <c:v>5787.6499020000001</c:v>
                </c:pt>
                <c:pt idx="89">
                  <c:v>5833.75</c:v>
                </c:pt>
                <c:pt idx="90">
                  <c:v>5826.0498049999997</c:v>
                </c:pt>
                <c:pt idx="91">
                  <c:v>5908.4501950000003</c:v>
                </c:pt>
                <c:pt idx="92">
                  <c:v>5910.0498049999997</c:v>
                </c:pt>
                <c:pt idx="93">
                  <c:v>5891.75</c:v>
                </c:pt>
                <c:pt idx="94">
                  <c:v>5885.7001950000003</c:v>
                </c:pt>
                <c:pt idx="95">
                  <c:v>5842</c:v>
                </c:pt>
                <c:pt idx="96">
                  <c:v>5785.7001950000003</c:v>
                </c:pt>
                <c:pt idx="97">
                  <c:v>5911.5</c:v>
                </c:pt>
                <c:pt idx="98">
                  <c:v>5824.5498049999997</c:v>
                </c:pt>
                <c:pt idx="99">
                  <c:v>5729.1000979999999</c:v>
                </c:pt>
                <c:pt idx="100">
                  <c:v>5740.75</c:v>
                </c:pt>
                <c:pt idx="101">
                  <c:v>5851.6499020000001</c:v>
                </c:pt>
                <c:pt idx="102">
                  <c:v>5884.7001950000003</c:v>
                </c:pt>
                <c:pt idx="103">
                  <c:v>5874.5</c:v>
                </c:pt>
                <c:pt idx="104">
                  <c:v>5868.3999020000001</c:v>
                </c:pt>
                <c:pt idx="105">
                  <c:v>5833.8999020000001</c:v>
                </c:pt>
                <c:pt idx="106">
                  <c:v>5785.4501950000003</c:v>
                </c:pt>
                <c:pt idx="107">
                  <c:v>5749.5</c:v>
                </c:pt>
                <c:pt idx="108">
                  <c:v>5701.2998049999997</c:v>
                </c:pt>
                <c:pt idx="109">
                  <c:v>5565.25</c:v>
                </c:pt>
                <c:pt idx="110">
                  <c:v>5537.1499020000001</c:v>
                </c:pt>
                <c:pt idx="111">
                  <c:v>5459.8500979999999</c:v>
                </c:pt>
                <c:pt idx="112">
                  <c:v>5551.4501950000003</c:v>
                </c:pt>
                <c:pt idx="113">
                  <c:v>5551.1000979999999</c:v>
                </c:pt>
                <c:pt idx="114">
                  <c:v>5541.25</c:v>
                </c:pt>
                <c:pt idx="115">
                  <c:v>5565.0498049999997</c:v>
                </c:pt>
                <c:pt idx="116">
                  <c:v>5486.1499020000001</c:v>
                </c:pt>
                <c:pt idx="117">
                  <c:v>5544.75</c:v>
                </c:pt>
                <c:pt idx="118">
                  <c:v>5499</c:v>
                </c:pt>
                <c:pt idx="119">
                  <c:v>5438.9501950000003</c:v>
                </c:pt>
                <c:pt idx="120">
                  <c:v>5420.6000979999999</c:v>
                </c:pt>
                <c:pt idx="121">
                  <c:v>5428.1000979999999</c:v>
                </c:pt>
                <c:pt idx="122">
                  <c:v>5486.3500979999999</c:v>
                </c:pt>
                <c:pt idx="123">
                  <c:v>5386.5498049999997</c:v>
                </c:pt>
                <c:pt idx="124">
                  <c:v>5394.8500979999999</c:v>
                </c:pt>
                <c:pt idx="125">
                  <c:v>5348.9501950000003</c:v>
                </c:pt>
                <c:pt idx="126">
                  <c:v>5412.3500979999999</c:v>
                </c:pt>
                <c:pt idx="127">
                  <c:v>5476.1000979999999</c:v>
                </c:pt>
                <c:pt idx="128">
                  <c:v>5473.1000979999999</c:v>
                </c:pt>
                <c:pt idx="129">
                  <c:v>5592</c:v>
                </c:pt>
                <c:pt idx="130">
                  <c:v>5550.3500979999999</c:v>
                </c:pt>
                <c:pt idx="131">
                  <c:v>5516.75</c:v>
                </c:pt>
                <c:pt idx="132">
                  <c:v>5532.0498049999997</c:v>
                </c:pt>
                <c:pt idx="133">
                  <c:v>5556.1499020000001</c:v>
                </c:pt>
                <c:pt idx="134">
                  <c:v>5526.8500979999999</c:v>
                </c:pt>
                <c:pt idx="135">
                  <c:v>5521.0498049999997</c:v>
                </c:pt>
                <c:pt idx="136">
                  <c:v>5485.7998049999997</c:v>
                </c:pt>
                <c:pt idx="137">
                  <c:v>5482.7998049999997</c:v>
                </c:pt>
                <c:pt idx="138">
                  <c:v>5500.5</c:v>
                </c:pt>
                <c:pt idx="139">
                  <c:v>5447.5</c:v>
                </c:pt>
                <c:pt idx="140">
                  <c:v>5396.75</c:v>
                </c:pt>
                <c:pt idx="141">
                  <c:v>5366.3999020000001</c:v>
                </c:pt>
                <c:pt idx="142">
                  <c:v>5257.8999020000001</c:v>
                </c:pt>
                <c:pt idx="143">
                  <c:v>5275.8500979999999</c:v>
                </c:pt>
                <c:pt idx="144">
                  <c:v>5278.2998049999997</c:v>
                </c:pt>
                <c:pt idx="145">
                  <c:v>5320</c:v>
                </c:pt>
                <c:pt idx="146">
                  <c:v>5471.25</c:v>
                </c:pt>
                <c:pt idx="147">
                  <c:v>5526.6000979999999</c:v>
                </c:pt>
                <c:pt idx="148">
                  <c:v>5545.2998049999997</c:v>
                </c:pt>
                <c:pt idx="149">
                  <c:v>5600.4501950000003</c:v>
                </c:pt>
                <c:pt idx="150">
                  <c:v>5647.3999020000001</c:v>
                </c:pt>
                <c:pt idx="151">
                  <c:v>5627.2001950000003</c:v>
                </c:pt>
                <c:pt idx="152">
                  <c:v>5650.5</c:v>
                </c:pt>
                <c:pt idx="153">
                  <c:v>5632.1000979999999</c:v>
                </c:pt>
                <c:pt idx="154">
                  <c:v>5625.4501950000003</c:v>
                </c:pt>
                <c:pt idx="155">
                  <c:v>5728.9501950000003</c:v>
                </c:pt>
                <c:pt idx="156">
                  <c:v>5660.6499020000001</c:v>
                </c:pt>
                <c:pt idx="157">
                  <c:v>5616.1000979999999</c:v>
                </c:pt>
                <c:pt idx="158">
                  <c:v>5526.1499020000001</c:v>
                </c:pt>
                <c:pt idx="159">
                  <c:v>5585.4501950000003</c:v>
                </c:pt>
                <c:pt idx="160">
                  <c:v>5512.2998049999997</c:v>
                </c:pt>
                <c:pt idx="161">
                  <c:v>5581.1000979999999</c:v>
                </c:pt>
                <c:pt idx="162">
                  <c:v>5567.0498049999997</c:v>
                </c:pt>
                <c:pt idx="163">
                  <c:v>5613.5498049999997</c:v>
                </c:pt>
                <c:pt idx="164">
                  <c:v>5567.0498049999997</c:v>
                </c:pt>
                <c:pt idx="165">
                  <c:v>5541.6000979999999</c:v>
                </c:pt>
                <c:pt idx="166">
                  <c:v>5633.9501950000003</c:v>
                </c:pt>
                <c:pt idx="167">
                  <c:v>5680.2998049999997</c:v>
                </c:pt>
                <c:pt idx="168">
                  <c:v>5574.8500979999999</c:v>
                </c:pt>
                <c:pt idx="169">
                  <c:v>5546.7998049999997</c:v>
                </c:pt>
                <c:pt idx="170">
                  <c:v>5487.75</c:v>
                </c:pt>
                <c:pt idx="171">
                  <c:v>5482</c:v>
                </c:pt>
                <c:pt idx="172">
                  <c:v>5516.7998049999997</c:v>
                </c:pt>
                <c:pt idx="173">
                  <c:v>5456.5498049999997</c:v>
                </c:pt>
                <c:pt idx="174">
                  <c:v>5404.7998049999997</c:v>
                </c:pt>
                <c:pt idx="175">
                  <c:v>5331.7998049999997</c:v>
                </c:pt>
                <c:pt idx="176">
                  <c:v>5211.25</c:v>
                </c:pt>
                <c:pt idx="177">
                  <c:v>5118.5</c:v>
                </c:pt>
                <c:pt idx="178">
                  <c:v>5072.8500979999999</c:v>
                </c:pt>
                <c:pt idx="179">
                  <c:v>5161</c:v>
                </c:pt>
                <c:pt idx="180">
                  <c:v>5138.2998049999997</c:v>
                </c:pt>
                <c:pt idx="181">
                  <c:v>5072.9501950000003</c:v>
                </c:pt>
                <c:pt idx="182">
                  <c:v>5035.7998049999997</c:v>
                </c:pt>
                <c:pt idx="183">
                  <c:v>5056.6000979999999</c:v>
                </c:pt>
                <c:pt idx="184">
                  <c:v>4944.1499020000001</c:v>
                </c:pt>
                <c:pt idx="185">
                  <c:v>4845.6499020000001</c:v>
                </c:pt>
                <c:pt idx="186">
                  <c:v>4898.7998049999997</c:v>
                </c:pt>
                <c:pt idx="187">
                  <c:v>4948.8999020000001</c:v>
                </c:pt>
                <c:pt idx="188">
                  <c:v>4888.8999020000001</c:v>
                </c:pt>
                <c:pt idx="189">
                  <c:v>4839.6000979999999</c:v>
                </c:pt>
                <c:pt idx="190">
                  <c:v>4747.7998049999997</c:v>
                </c:pt>
                <c:pt idx="191">
                  <c:v>4919.6000979999999</c:v>
                </c:pt>
                <c:pt idx="192">
                  <c:v>5001</c:v>
                </c:pt>
                <c:pt idx="193">
                  <c:v>5040</c:v>
                </c:pt>
                <c:pt idx="194">
                  <c:v>5017.2001950000003</c:v>
                </c:pt>
                <c:pt idx="195">
                  <c:v>5064.2998049999997</c:v>
                </c:pt>
                <c:pt idx="196">
                  <c:v>5124.6499020000001</c:v>
                </c:pt>
                <c:pt idx="197">
                  <c:v>5153.25</c:v>
                </c:pt>
                <c:pt idx="198">
                  <c:v>5059.4501950000003</c:v>
                </c:pt>
                <c:pt idx="199">
                  <c:v>4946.7998049999997</c:v>
                </c:pt>
                <c:pt idx="200">
                  <c:v>4940.9501950000003</c:v>
                </c:pt>
                <c:pt idx="201">
                  <c:v>5012.5498049999997</c:v>
                </c:pt>
                <c:pt idx="202">
                  <c:v>5075.7001950000003</c:v>
                </c:pt>
                <c:pt idx="203">
                  <c:v>5084.25</c:v>
                </c:pt>
                <c:pt idx="204">
                  <c:v>5031.9501950000003</c:v>
                </c:pt>
                <c:pt idx="205">
                  <c:v>5140.2001950000003</c:v>
                </c:pt>
                <c:pt idx="206">
                  <c:v>5133.25</c:v>
                </c:pt>
                <c:pt idx="207">
                  <c:v>4923.6499020000001</c:v>
                </c:pt>
                <c:pt idx="208">
                  <c:v>4867.75</c:v>
                </c:pt>
                <c:pt idx="209">
                  <c:v>4835.3999020000001</c:v>
                </c:pt>
                <c:pt idx="210">
                  <c:v>4971.25</c:v>
                </c:pt>
                <c:pt idx="211">
                  <c:v>4945.8999020000001</c:v>
                </c:pt>
                <c:pt idx="212">
                  <c:v>5015.4501950000003</c:v>
                </c:pt>
                <c:pt idx="213">
                  <c:v>4943.25</c:v>
                </c:pt>
                <c:pt idx="214">
                  <c:v>4849.5</c:v>
                </c:pt>
                <c:pt idx="215">
                  <c:v>4772.1499020000001</c:v>
                </c:pt>
                <c:pt idx="216">
                  <c:v>4751.2998049999997</c:v>
                </c:pt>
                <c:pt idx="217">
                  <c:v>4888.0498049999997</c:v>
                </c:pt>
                <c:pt idx="218">
                  <c:v>4979.6000979999999</c:v>
                </c:pt>
                <c:pt idx="219">
                  <c:v>4974.3500979999999</c:v>
                </c:pt>
                <c:pt idx="220">
                  <c:v>5099.3999020000001</c:v>
                </c:pt>
                <c:pt idx="221">
                  <c:v>5077.8500979999999</c:v>
                </c:pt>
                <c:pt idx="222">
                  <c:v>5132.2998049999997</c:v>
                </c:pt>
                <c:pt idx="223">
                  <c:v>5118.25</c:v>
                </c:pt>
                <c:pt idx="224">
                  <c:v>5037.5</c:v>
                </c:pt>
                <c:pt idx="225">
                  <c:v>5139.1499020000001</c:v>
                </c:pt>
                <c:pt idx="226">
                  <c:v>5091.8999020000001</c:v>
                </c:pt>
                <c:pt idx="227">
                  <c:v>5049.9501950000003</c:v>
                </c:pt>
                <c:pt idx="228">
                  <c:v>5098.3500979999999</c:v>
                </c:pt>
                <c:pt idx="229">
                  <c:v>5191.6000979999999</c:v>
                </c:pt>
                <c:pt idx="230">
                  <c:v>5360.7001950000003</c:v>
                </c:pt>
                <c:pt idx="231">
                  <c:v>5326.6000979999999</c:v>
                </c:pt>
                <c:pt idx="232">
                  <c:v>5257.9501950000003</c:v>
                </c:pt>
                <c:pt idx="233">
                  <c:v>5258.4501950000003</c:v>
                </c:pt>
                <c:pt idx="234">
                  <c:v>5265.75</c:v>
                </c:pt>
                <c:pt idx="235">
                  <c:v>5284.2001950000003</c:v>
                </c:pt>
                <c:pt idx="236">
                  <c:v>5289.3500979999999</c:v>
                </c:pt>
                <c:pt idx="237">
                  <c:v>5221.0498049999997</c:v>
                </c:pt>
                <c:pt idx="238">
                  <c:v>5168.8500979999999</c:v>
                </c:pt>
                <c:pt idx="239">
                  <c:v>5148.3500979999999</c:v>
                </c:pt>
                <c:pt idx="240">
                  <c:v>5068.5</c:v>
                </c:pt>
                <c:pt idx="241">
                  <c:v>5030.4501950000003</c:v>
                </c:pt>
                <c:pt idx="242">
                  <c:v>4934.75</c:v>
                </c:pt>
                <c:pt idx="243">
                  <c:v>4905.7998049999997</c:v>
                </c:pt>
                <c:pt idx="244">
                  <c:v>4778.3500979999999</c:v>
                </c:pt>
                <c:pt idx="245">
                  <c:v>4812.3500979999999</c:v>
                </c:pt>
                <c:pt idx="246">
                  <c:v>4706.4501950000003</c:v>
                </c:pt>
                <c:pt idx="247">
                  <c:v>4710.0498049999997</c:v>
                </c:pt>
                <c:pt idx="248">
                  <c:v>4851.2998049999997</c:v>
                </c:pt>
                <c:pt idx="249">
                  <c:v>4805.1000979999999</c:v>
                </c:pt>
                <c:pt idx="250">
                  <c:v>4832.0498049999997</c:v>
                </c:pt>
                <c:pt idx="251">
                  <c:v>4936.8500979999999</c:v>
                </c:pt>
                <c:pt idx="252">
                  <c:v>5050.1499020000001</c:v>
                </c:pt>
                <c:pt idx="253">
                  <c:v>5039.1499020000001</c:v>
                </c:pt>
                <c:pt idx="254">
                  <c:v>5062.6000979999999</c:v>
                </c:pt>
                <c:pt idx="255">
                  <c:v>4943.6499020000001</c:v>
                </c:pt>
                <c:pt idx="256">
                  <c:v>4866.7001950000003</c:v>
                </c:pt>
                <c:pt idx="257">
                  <c:v>4764.6000979999999</c:v>
                </c:pt>
                <c:pt idx="258">
                  <c:v>4800.6000979999999</c:v>
                </c:pt>
                <c:pt idx="259">
                  <c:v>4763.25</c:v>
                </c:pt>
                <c:pt idx="260">
                  <c:v>4746.3500979999999</c:v>
                </c:pt>
                <c:pt idx="261">
                  <c:v>4651.6000979999999</c:v>
                </c:pt>
                <c:pt idx="262">
                  <c:v>4613.1000979999999</c:v>
                </c:pt>
                <c:pt idx="263">
                  <c:v>4544.2001950000003</c:v>
                </c:pt>
                <c:pt idx="264">
                  <c:v>4693.1499020000001</c:v>
                </c:pt>
                <c:pt idx="265">
                  <c:v>4733.8500979999999</c:v>
                </c:pt>
                <c:pt idx="266">
                  <c:v>4714</c:v>
                </c:pt>
                <c:pt idx="267">
                  <c:v>4750.5</c:v>
                </c:pt>
                <c:pt idx="268">
                  <c:v>4705.7998049999997</c:v>
                </c:pt>
                <c:pt idx="269">
                  <c:v>4646.25</c:v>
                </c:pt>
                <c:pt idx="270">
                  <c:v>4624.2998049999997</c:v>
                </c:pt>
                <c:pt idx="271">
                  <c:v>4765.2998049999997</c:v>
                </c:pt>
                <c:pt idx="272">
                  <c:v>4749.6499020000001</c:v>
                </c:pt>
                <c:pt idx="273">
                  <c:v>4749.9501950000003</c:v>
                </c:pt>
                <c:pt idx="274">
                  <c:v>4754.1000979999999</c:v>
                </c:pt>
                <c:pt idx="275">
                  <c:v>4742.7998049999997</c:v>
                </c:pt>
                <c:pt idx="276">
                  <c:v>4849.5498049999997</c:v>
                </c:pt>
                <c:pt idx="277">
                  <c:v>4860.9501950000003</c:v>
                </c:pt>
                <c:pt idx="278">
                  <c:v>4831.25</c:v>
                </c:pt>
                <c:pt idx="279">
                  <c:v>4866</c:v>
                </c:pt>
                <c:pt idx="280">
                  <c:v>4873.8999020000001</c:v>
                </c:pt>
                <c:pt idx="281">
                  <c:v>4967.2998049999997</c:v>
                </c:pt>
                <c:pt idx="282">
                  <c:v>4955.7998049999997</c:v>
                </c:pt>
                <c:pt idx="283">
                  <c:v>5018.3999020000001</c:v>
                </c:pt>
                <c:pt idx="284">
                  <c:v>5048.6000979999999</c:v>
                </c:pt>
                <c:pt idx="285">
                  <c:v>5046.25</c:v>
                </c:pt>
                <c:pt idx="286">
                  <c:v>5127.3500979999999</c:v>
                </c:pt>
                <c:pt idx="287">
                  <c:v>5158.2998049999997</c:v>
                </c:pt>
                <c:pt idx="288">
                  <c:v>5204.7001950000003</c:v>
                </c:pt>
                <c:pt idx="289">
                  <c:v>5087.2998049999997</c:v>
                </c:pt>
                <c:pt idx="290">
                  <c:v>5199.25</c:v>
                </c:pt>
                <c:pt idx="291">
                  <c:v>5235.7001950000003</c:v>
                </c:pt>
                <c:pt idx="292">
                  <c:v>5269.8999020000001</c:v>
                </c:pt>
                <c:pt idx="293">
                  <c:v>5325.8500979999999</c:v>
                </c:pt>
                <c:pt idx="294">
                  <c:v>5361.6499020000001</c:v>
                </c:pt>
                <c:pt idx="295">
                  <c:v>5335.1499020000001</c:v>
                </c:pt>
                <c:pt idx="296">
                  <c:v>5368.1499020000001</c:v>
                </c:pt>
                <c:pt idx="297">
                  <c:v>5412.3500979999999</c:v>
                </c:pt>
                <c:pt idx="298">
                  <c:v>5381.6000979999999</c:v>
                </c:pt>
                <c:pt idx="299">
                  <c:v>5390.2001950000003</c:v>
                </c:pt>
                <c:pt idx="300">
                  <c:v>5416.0498049999997</c:v>
                </c:pt>
                <c:pt idx="301">
                  <c:v>5531.9501950000003</c:v>
                </c:pt>
                <c:pt idx="302">
                  <c:v>5521.9501950000003</c:v>
                </c:pt>
                <c:pt idx="303">
                  <c:v>5564.2998049999997</c:v>
                </c:pt>
                <c:pt idx="304">
                  <c:v>5607.1499020000001</c:v>
                </c:pt>
                <c:pt idx="305">
                  <c:v>5505.3500979999999</c:v>
                </c:pt>
                <c:pt idx="306">
                  <c:v>5483.2998049999997</c:v>
                </c:pt>
                <c:pt idx="307">
                  <c:v>5429.2998049999997</c:v>
                </c:pt>
                <c:pt idx="308">
                  <c:v>5281.2001950000003</c:v>
                </c:pt>
                <c:pt idx="309">
                  <c:v>5375.5</c:v>
                </c:pt>
                <c:pt idx="310">
                  <c:v>5385.2001950000003</c:v>
                </c:pt>
                <c:pt idx="311">
                  <c:v>5339.75</c:v>
                </c:pt>
                <c:pt idx="312">
                  <c:v>5359.3500979999999</c:v>
                </c:pt>
                <c:pt idx="313">
                  <c:v>5280.3500979999999</c:v>
                </c:pt>
                <c:pt idx="314">
                  <c:v>5222.3999020000001</c:v>
                </c:pt>
                <c:pt idx="315">
                  <c:v>5220.4501950000003</c:v>
                </c:pt>
                <c:pt idx="316">
                  <c:v>5333.5498049999997</c:v>
                </c:pt>
                <c:pt idx="317">
                  <c:v>5359.5498049999997</c:v>
                </c:pt>
                <c:pt idx="318">
                  <c:v>5429.5</c:v>
                </c:pt>
                <c:pt idx="319">
                  <c:v>5463.8999020000001</c:v>
                </c:pt>
                <c:pt idx="320">
                  <c:v>5380.5</c:v>
                </c:pt>
                <c:pt idx="321">
                  <c:v>5317.8999020000001</c:v>
                </c:pt>
                <c:pt idx="322">
                  <c:v>5257.0498049999997</c:v>
                </c:pt>
                <c:pt idx="323">
                  <c:v>5274.8500979999999</c:v>
                </c:pt>
                <c:pt idx="324">
                  <c:v>5364.9501950000003</c:v>
                </c:pt>
                <c:pt idx="325">
                  <c:v>5228.4501950000003</c:v>
                </c:pt>
                <c:pt idx="326">
                  <c:v>5278.2001950000003</c:v>
                </c:pt>
                <c:pt idx="327">
                  <c:v>5184.25</c:v>
                </c:pt>
                <c:pt idx="328">
                  <c:v>5243.1499020000001</c:v>
                </c:pt>
                <c:pt idx="329">
                  <c:v>5194.75</c:v>
                </c:pt>
                <c:pt idx="330">
                  <c:v>5178.8500979999999</c:v>
                </c:pt>
                <c:pt idx="331">
                  <c:v>5295.5498049999997</c:v>
                </c:pt>
                <c:pt idx="332">
                  <c:v>5317.8999020000001</c:v>
                </c:pt>
                <c:pt idx="333">
                  <c:v>5358.5</c:v>
                </c:pt>
                <c:pt idx="334">
                  <c:v>5322.8999020000001</c:v>
                </c:pt>
                <c:pt idx="335">
                  <c:v>5234.3999020000001</c:v>
                </c:pt>
                <c:pt idx="336">
                  <c:v>5243.6000979999999</c:v>
                </c:pt>
                <c:pt idx="337">
                  <c:v>5226.8500979999999</c:v>
                </c:pt>
                <c:pt idx="338">
                  <c:v>5276.8500979999999</c:v>
                </c:pt>
                <c:pt idx="339">
                  <c:v>5207.4501950000003</c:v>
                </c:pt>
                <c:pt idx="340">
                  <c:v>5226.2001950000003</c:v>
                </c:pt>
                <c:pt idx="341">
                  <c:v>5289.7001950000003</c:v>
                </c:pt>
                <c:pt idx="342">
                  <c:v>5300</c:v>
                </c:pt>
                <c:pt idx="343">
                  <c:v>5332.3999020000001</c:v>
                </c:pt>
                <c:pt idx="344">
                  <c:v>5290.8500979999999</c:v>
                </c:pt>
                <c:pt idx="345">
                  <c:v>5200.6000979999999</c:v>
                </c:pt>
                <c:pt idx="346">
                  <c:v>5222.6499020000001</c:v>
                </c:pt>
                <c:pt idx="347">
                  <c:v>5202</c:v>
                </c:pt>
                <c:pt idx="348">
                  <c:v>5189</c:v>
                </c:pt>
                <c:pt idx="349">
                  <c:v>5190.6000979999999</c:v>
                </c:pt>
                <c:pt idx="350">
                  <c:v>5248.1499020000001</c:v>
                </c:pt>
                <c:pt idx="351">
                  <c:v>5239.1499020000001</c:v>
                </c:pt>
                <c:pt idx="352">
                  <c:v>5188.3999020000001</c:v>
                </c:pt>
                <c:pt idx="353">
                  <c:v>5086.8500979999999</c:v>
                </c:pt>
                <c:pt idx="354">
                  <c:v>5114.1499020000001</c:v>
                </c:pt>
                <c:pt idx="355">
                  <c:v>4999.9501950000003</c:v>
                </c:pt>
                <c:pt idx="356">
                  <c:v>4974.7998049999997</c:v>
                </c:pt>
                <c:pt idx="357">
                  <c:v>4965.7001950000003</c:v>
                </c:pt>
                <c:pt idx="358">
                  <c:v>4928.8999020000001</c:v>
                </c:pt>
                <c:pt idx="359">
                  <c:v>4907.7998049999997</c:v>
                </c:pt>
                <c:pt idx="360">
                  <c:v>4942.7998049999997</c:v>
                </c:pt>
                <c:pt idx="361">
                  <c:v>4858.25</c:v>
                </c:pt>
                <c:pt idx="362">
                  <c:v>4870.2001950000003</c:v>
                </c:pt>
                <c:pt idx="363">
                  <c:v>4891.4501950000003</c:v>
                </c:pt>
                <c:pt idx="364">
                  <c:v>4860.5</c:v>
                </c:pt>
                <c:pt idx="365">
                  <c:v>4835.6499020000001</c:v>
                </c:pt>
                <c:pt idx="366">
                  <c:v>4921.3999020000001</c:v>
                </c:pt>
                <c:pt idx="367">
                  <c:v>4920.3999020000001</c:v>
                </c:pt>
                <c:pt idx="368">
                  <c:v>4985.6499020000001</c:v>
                </c:pt>
                <c:pt idx="369">
                  <c:v>4990.1000979999999</c:v>
                </c:pt>
                <c:pt idx="370">
                  <c:v>4950.75</c:v>
                </c:pt>
                <c:pt idx="371">
                  <c:v>4924.25</c:v>
                </c:pt>
                <c:pt idx="372">
                  <c:v>4841.6000979999999</c:v>
                </c:pt>
                <c:pt idx="373">
                  <c:v>4848.1499020000001</c:v>
                </c:pt>
                <c:pt idx="374">
                  <c:v>4863.2998049999997</c:v>
                </c:pt>
                <c:pt idx="375">
                  <c:v>4997.1000979999999</c:v>
                </c:pt>
                <c:pt idx="376">
                  <c:v>5049.6499020000001</c:v>
                </c:pt>
                <c:pt idx="377">
                  <c:v>5068.3500979999999</c:v>
                </c:pt>
                <c:pt idx="378">
                  <c:v>5054.1000979999999</c:v>
                </c:pt>
                <c:pt idx="379">
                  <c:v>5115.8999020000001</c:v>
                </c:pt>
                <c:pt idx="380">
                  <c:v>5121.4501950000003</c:v>
                </c:pt>
                <c:pt idx="381">
                  <c:v>5054.75</c:v>
                </c:pt>
                <c:pt idx="382">
                  <c:v>5139.0498049999997</c:v>
                </c:pt>
                <c:pt idx="383">
                  <c:v>5064.25</c:v>
                </c:pt>
                <c:pt idx="384">
                  <c:v>5103.8500979999999</c:v>
                </c:pt>
                <c:pt idx="385">
                  <c:v>5120.5498049999997</c:v>
                </c:pt>
                <c:pt idx="386">
                  <c:v>5165</c:v>
                </c:pt>
                <c:pt idx="387">
                  <c:v>5146.0498049999997</c:v>
                </c:pt>
                <c:pt idx="388">
                  <c:v>5114.6499020000001</c:v>
                </c:pt>
                <c:pt idx="389">
                  <c:v>5120.7998049999997</c:v>
                </c:pt>
                <c:pt idx="390">
                  <c:v>5141.8999020000001</c:v>
                </c:pt>
                <c:pt idx="391">
                  <c:v>5149.1499020000001</c:v>
                </c:pt>
                <c:pt idx="392">
                  <c:v>5278.8999020000001</c:v>
                </c:pt>
                <c:pt idx="393">
                  <c:v>5278.6000979999999</c:v>
                </c:pt>
                <c:pt idx="394">
                  <c:v>5287.9501950000003</c:v>
                </c:pt>
                <c:pt idx="395">
                  <c:v>5302.5498049999997</c:v>
                </c:pt>
                <c:pt idx="396">
                  <c:v>5327.2998049999997</c:v>
                </c:pt>
                <c:pt idx="397">
                  <c:v>5316.9501950000003</c:v>
                </c:pt>
                <c:pt idx="398">
                  <c:v>5275.1499020000001</c:v>
                </c:pt>
                <c:pt idx="399">
                  <c:v>5345.3500979999999</c:v>
                </c:pt>
                <c:pt idx="400">
                  <c:v>5306.2998049999997</c:v>
                </c:pt>
                <c:pt idx="401">
                  <c:v>5235.25</c:v>
                </c:pt>
                <c:pt idx="402">
                  <c:v>5227.25</c:v>
                </c:pt>
                <c:pt idx="403">
                  <c:v>5197.25</c:v>
                </c:pt>
                <c:pt idx="404">
                  <c:v>5192.8500979999999</c:v>
                </c:pt>
                <c:pt idx="405">
                  <c:v>5216.2998049999997</c:v>
                </c:pt>
                <c:pt idx="406">
                  <c:v>5242.7001950000003</c:v>
                </c:pt>
                <c:pt idx="407">
                  <c:v>5205.1000979999999</c:v>
                </c:pt>
                <c:pt idx="408">
                  <c:v>5117.9501950000003</c:v>
                </c:pt>
                <c:pt idx="409">
                  <c:v>5128.2001950000003</c:v>
                </c:pt>
                <c:pt idx="410">
                  <c:v>5109.6000979999999</c:v>
                </c:pt>
                <c:pt idx="411">
                  <c:v>5043</c:v>
                </c:pt>
                <c:pt idx="412">
                  <c:v>5099.8500979999999</c:v>
                </c:pt>
                <c:pt idx="413">
                  <c:v>5199.7998049999997</c:v>
                </c:pt>
                <c:pt idx="414">
                  <c:v>5229</c:v>
                </c:pt>
                <c:pt idx="415">
                  <c:v>5240.5</c:v>
                </c:pt>
                <c:pt idx="416">
                  <c:v>5227.75</c:v>
                </c:pt>
                <c:pt idx="417">
                  <c:v>5215.7001950000003</c:v>
                </c:pt>
                <c:pt idx="418">
                  <c:v>5282.5498049999997</c:v>
                </c:pt>
                <c:pt idx="419">
                  <c:v>5336.7001950000003</c:v>
                </c:pt>
                <c:pt idx="420">
                  <c:v>5338</c:v>
                </c:pt>
                <c:pt idx="421">
                  <c:v>5322.9501950000003</c:v>
                </c:pt>
                <c:pt idx="422">
                  <c:v>5320.3999020000001</c:v>
                </c:pt>
                <c:pt idx="423">
                  <c:v>5347.8999020000001</c:v>
                </c:pt>
                <c:pt idx="424">
                  <c:v>5380.3500979999999</c:v>
                </c:pt>
                <c:pt idx="425">
                  <c:v>5362.9501950000003</c:v>
                </c:pt>
                <c:pt idx="426">
                  <c:v>5366.2998049999997</c:v>
                </c:pt>
                <c:pt idx="427">
                  <c:v>5421</c:v>
                </c:pt>
                <c:pt idx="428">
                  <c:v>5412.8500979999999</c:v>
                </c:pt>
                <c:pt idx="429">
                  <c:v>5415.3500979999999</c:v>
                </c:pt>
                <c:pt idx="430">
                  <c:v>5386.7001950000003</c:v>
                </c:pt>
                <c:pt idx="431">
                  <c:v>5350.25</c:v>
                </c:pt>
                <c:pt idx="432">
                  <c:v>5287.7998049999997</c:v>
                </c:pt>
                <c:pt idx="433">
                  <c:v>5315.0498049999997</c:v>
                </c:pt>
                <c:pt idx="434">
                  <c:v>5258.5</c:v>
                </c:pt>
                <c:pt idx="435">
                  <c:v>5253.75</c:v>
                </c:pt>
                <c:pt idx="436">
                  <c:v>5274</c:v>
                </c:pt>
                <c:pt idx="437">
                  <c:v>5225.7001950000003</c:v>
                </c:pt>
                <c:pt idx="438">
                  <c:v>5238.3999020000001</c:v>
                </c:pt>
                <c:pt idx="439">
                  <c:v>5342.1000979999999</c:v>
                </c:pt>
                <c:pt idx="440">
                  <c:v>5363.4501950000003</c:v>
                </c:pt>
                <c:pt idx="441">
                  <c:v>5390</c:v>
                </c:pt>
                <c:pt idx="442">
                  <c:v>5431</c:v>
                </c:pt>
                <c:pt idx="443">
                  <c:v>5435.3500979999999</c:v>
                </c:pt>
                <c:pt idx="444">
                  <c:v>5577.6499020000001</c:v>
                </c:pt>
                <c:pt idx="445">
                  <c:v>5610</c:v>
                </c:pt>
                <c:pt idx="446">
                  <c:v>5600.0498049999997</c:v>
                </c:pt>
                <c:pt idx="447">
                  <c:v>5554.25</c:v>
                </c:pt>
                <c:pt idx="448">
                  <c:v>5691.1499020000001</c:v>
                </c:pt>
                <c:pt idx="449">
                  <c:v>5669.6000979999999</c:v>
                </c:pt>
                <c:pt idx="450">
                  <c:v>5673.8999020000001</c:v>
                </c:pt>
                <c:pt idx="451">
                  <c:v>5663.4501950000003</c:v>
                </c:pt>
                <c:pt idx="452">
                  <c:v>5649.5</c:v>
                </c:pt>
                <c:pt idx="453">
                  <c:v>5703.2998049999997</c:v>
                </c:pt>
                <c:pt idx="454">
                  <c:v>5718.7998049999997</c:v>
                </c:pt>
                <c:pt idx="455">
                  <c:v>5731.25</c:v>
                </c:pt>
                <c:pt idx="456">
                  <c:v>5787.6000979999999</c:v>
                </c:pt>
                <c:pt idx="457">
                  <c:v>5746.9501950000003</c:v>
                </c:pt>
                <c:pt idx="458">
                  <c:v>5676</c:v>
                </c:pt>
                <c:pt idx="459">
                  <c:v>5704.6000979999999</c:v>
                </c:pt>
                <c:pt idx="460">
                  <c:v>5652.1499020000001</c:v>
                </c:pt>
                <c:pt idx="461">
                  <c:v>5708.0498049999997</c:v>
                </c:pt>
                <c:pt idx="462">
                  <c:v>5676.0498049999997</c:v>
                </c:pt>
                <c:pt idx="463">
                  <c:v>5687.25</c:v>
                </c:pt>
                <c:pt idx="464">
                  <c:v>5648</c:v>
                </c:pt>
                <c:pt idx="465">
                  <c:v>5660.25</c:v>
                </c:pt>
                <c:pt idx="466">
                  <c:v>5718.7001950000003</c:v>
                </c:pt>
                <c:pt idx="467">
                  <c:v>5684.25</c:v>
                </c:pt>
                <c:pt idx="468">
                  <c:v>5717.1499020000001</c:v>
                </c:pt>
                <c:pt idx="469">
                  <c:v>5691.3999020000001</c:v>
                </c:pt>
                <c:pt idx="470">
                  <c:v>5705.2998049999997</c:v>
                </c:pt>
                <c:pt idx="471">
                  <c:v>5665.6000979999999</c:v>
                </c:pt>
                <c:pt idx="472">
                  <c:v>5597.8999020000001</c:v>
                </c:pt>
                <c:pt idx="473">
                  <c:v>5619.7001950000003</c:v>
                </c:pt>
                <c:pt idx="474">
                  <c:v>5645.0498049999997</c:v>
                </c:pt>
                <c:pt idx="475">
                  <c:v>5697.7001950000003</c:v>
                </c:pt>
                <c:pt idx="476">
                  <c:v>5704.2001950000003</c:v>
                </c:pt>
                <c:pt idx="477">
                  <c:v>5724.3999020000001</c:v>
                </c:pt>
                <c:pt idx="478">
                  <c:v>5760.1000979999999</c:v>
                </c:pt>
                <c:pt idx="479">
                  <c:v>5738.75</c:v>
                </c:pt>
                <c:pt idx="480">
                  <c:v>5686.25</c:v>
                </c:pt>
                <c:pt idx="481">
                  <c:v>5683.7001950000003</c:v>
                </c:pt>
                <c:pt idx="482">
                  <c:v>5631</c:v>
                </c:pt>
                <c:pt idx="483">
                  <c:v>5574.0498049999997</c:v>
                </c:pt>
                <c:pt idx="484">
                  <c:v>5571.3999020000001</c:v>
                </c:pt>
                <c:pt idx="485">
                  <c:v>5571.5498049999997</c:v>
                </c:pt>
                <c:pt idx="486">
                  <c:v>5614.7998049999997</c:v>
                </c:pt>
                <c:pt idx="487">
                  <c:v>5627.75</c:v>
                </c:pt>
                <c:pt idx="488">
                  <c:v>5626.6000979999999</c:v>
                </c:pt>
                <c:pt idx="489">
                  <c:v>5635.8999020000001</c:v>
                </c:pt>
                <c:pt idx="490">
                  <c:v>5727.4501950000003</c:v>
                </c:pt>
                <c:pt idx="491">
                  <c:v>5825</c:v>
                </c:pt>
                <c:pt idx="492">
                  <c:v>5879.8500979999999</c:v>
                </c:pt>
                <c:pt idx="493">
                  <c:v>5870.9501950000003</c:v>
                </c:pt>
                <c:pt idx="494">
                  <c:v>5889.25</c:v>
                </c:pt>
                <c:pt idx="495">
                  <c:v>5900.5</c:v>
                </c:pt>
                <c:pt idx="496">
                  <c:v>5930.8999020000001</c:v>
                </c:pt>
                <c:pt idx="497">
                  <c:v>5907.3999020000001</c:v>
                </c:pt>
                <c:pt idx="498">
                  <c:v>5908.8999020000001</c:v>
                </c:pt>
                <c:pt idx="499">
                  <c:v>5898.7998049999997</c:v>
                </c:pt>
                <c:pt idx="500">
                  <c:v>5888</c:v>
                </c:pt>
                <c:pt idx="501">
                  <c:v>5851.5</c:v>
                </c:pt>
                <c:pt idx="502">
                  <c:v>5879.6000979999999</c:v>
                </c:pt>
                <c:pt idx="503">
                  <c:v>5857.8999020000001</c:v>
                </c:pt>
                <c:pt idx="504">
                  <c:v>5896.7998049999997</c:v>
                </c:pt>
                <c:pt idx="505">
                  <c:v>5929.6000979999999</c:v>
                </c:pt>
                <c:pt idx="506">
                  <c:v>5916.3999020000001</c:v>
                </c:pt>
                <c:pt idx="507">
                  <c:v>5847.7001950000003</c:v>
                </c:pt>
                <c:pt idx="508">
                  <c:v>5855.75</c:v>
                </c:pt>
                <c:pt idx="509">
                  <c:v>5905.6000979999999</c:v>
                </c:pt>
                <c:pt idx="510">
                  <c:v>5870.1000979999999</c:v>
                </c:pt>
                <c:pt idx="511">
                  <c:v>5908.3500979999999</c:v>
                </c:pt>
                <c:pt idx="512">
                  <c:v>5905.1000979999999</c:v>
                </c:pt>
                <c:pt idx="513">
                  <c:v>5993.25</c:v>
                </c:pt>
                <c:pt idx="514">
                  <c:v>6009.5</c:v>
                </c:pt>
                <c:pt idx="515">
                  <c:v>6016.1499020000001</c:v>
                </c:pt>
                <c:pt idx="516">
                  <c:v>5988.3999020000001</c:v>
                </c:pt>
                <c:pt idx="517">
                  <c:v>6001.7001950000003</c:v>
                </c:pt>
                <c:pt idx="518">
                  <c:v>5971.5</c:v>
                </c:pt>
                <c:pt idx="519">
                  <c:v>5968.6499020000001</c:v>
                </c:pt>
                <c:pt idx="520">
                  <c:v>5951.2998049999997</c:v>
                </c:pt>
                <c:pt idx="521">
                  <c:v>6024.0498049999997</c:v>
                </c:pt>
                <c:pt idx="522">
                  <c:v>6056.6000979999999</c:v>
                </c:pt>
                <c:pt idx="523">
                  <c:v>6001.8500979999999</c:v>
                </c:pt>
                <c:pt idx="524">
                  <c:v>6039.2001950000003</c:v>
                </c:pt>
                <c:pt idx="525">
                  <c:v>6064.3999020000001</c:v>
                </c:pt>
                <c:pt idx="526">
                  <c:v>6082.2998049999997</c:v>
                </c:pt>
                <c:pt idx="527">
                  <c:v>6048.5</c:v>
                </c:pt>
                <c:pt idx="528">
                  <c:v>6054.2998049999997</c:v>
                </c:pt>
                <c:pt idx="529">
                  <c:v>6019.3500979999999</c:v>
                </c:pt>
                <c:pt idx="530">
                  <c:v>6074.6499020000001</c:v>
                </c:pt>
                <c:pt idx="531">
                  <c:v>6074.7998049999997</c:v>
                </c:pt>
                <c:pt idx="532">
                  <c:v>6049.8999020000001</c:v>
                </c:pt>
                <c:pt idx="533">
                  <c:v>6055.75</c:v>
                </c:pt>
                <c:pt idx="534">
                  <c:v>6034.75</c:v>
                </c:pt>
                <c:pt idx="535">
                  <c:v>5998.8999020000001</c:v>
                </c:pt>
                <c:pt idx="536">
                  <c:v>5987.25</c:v>
                </c:pt>
                <c:pt idx="537">
                  <c:v>5956.8999020000001</c:v>
                </c:pt>
                <c:pt idx="538">
                  <c:v>5959.2001950000003</c:v>
                </c:pt>
                <c:pt idx="539">
                  <c:v>5938.7998049999997</c:v>
                </c:pt>
                <c:pt idx="540">
                  <c:v>5903.5</c:v>
                </c:pt>
                <c:pt idx="541">
                  <c:v>5897.8500979999999</c:v>
                </c:pt>
                <c:pt idx="542">
                  <c:v>5922.5</c:v>
                </c:pt>
                <c:pt idx="543">
                  <c:v>5932.9501950000003</c:v>
                </c:pt>
                <c:pt idx="544">
                  <c:v>5896.9501950000003</c:v>
                </c:pt>
                <c:pt idx="545">
                  <c:v>5887.3999020000001</c:v>
                </c:pt>
                <c:pt idx="546">
                  <c:v>5898.2001950000003</c:v>
                </c:pt>
                <c:pt idx="547">
                  <c:v>5939.7001950000003</c:v>
                </c:pt>
                <c:pt idx="548">
                  <c:v>5943.0498049999997</c:v>
                </c:pt>
                <c:pt idx="549">
                  <c:v>5852.25</c:v>
                </c:pt>
                <c:pt idx="550">
                  <c:v>5850.2998049999997</c:v>
                </c:pt>
                <c:pt idx="551">
                  <c:v>5854.75</c:v>
                </c:pt>
                <c:pt idx="552">
                  <c:v>5761.3500979999999</c:v>
                </c:pt>
                <c:pt idx="553">
                  <c:v>5796.8999020000001</c:v>
                </c:pt>
                <c:pt idx="554">
                  <c:v>5693.0498049999997</c:v>
                </c:pt>
                <c:pt idx="555">
                  <c:v>5719.7001950000003</c:v>
                </c:pt>
                <c:pt idx="556">
                  <c:v>5698.5</c:v>
                </c:pt>
                <c:pt idx="557">
                  <c:v>5784.25</c:v>
                </c:pt>
                <c:pt idx="558">
                  <c:v>5818.6000979999999</c:v>
                </c:pt>
                <c:pt idx="559">
                  <c:v>5863.2998049999997</c:v>
                </c:pt>
                <c:pt idx="560">
                  <c:v>5945.7001950000003</c:v>
                </c:pt>
                <c:pt idx="561">
                  <c:v>5942.3500979999999</c:v>
                </c:pt>
                <c:pt idx="562">
                  <c:v>5914.1000979999999</c:v>
                </c:pt>
                <c:pt idx="563">
                  <c:v>5851.2001950000003</c:v>
                </c:pt>
                <c:pt idx="564">
                  <c:v>5908.9501950000003</c:v>
                </c:pt>
                <c:pt idx="565">
                  <c:v>5872.6000979999999</c:v>
                </c:pt>
                <c:pt idx="566">
                  <c:v>5835.25</c:v>
                </c:pt>
                <c:pt idx="567">
                  <c:v>5745.9501950000003</c:v>
                </c:pt>
                <c:pt idx="568">
                  <c:v>5694.3999020000001</c:v>
                </c:pt>
                <c:pt idx="569">
                  <c:v>5658.75</c:v>
                </c:pt>
                <c:pt idx="570">
                  <c:v>5651.3500979999999</c:v>
                </c:pt>
                <c:pt idx="571">
                  <c:v>5633.8500979999999</c:v>
                </c:pt>
                <c:pt idx="572">
                  <c:v>5641.6000979999999</c:v>
                </c:pt>
                <c:pt idx="573">
                  <c:v>5682.5498049999997</c:v>
                </c:pt>
                <c:pt idx="574">
                  <c:v>5704.3999020000001</c:v>
                </c:pt>
                <c:pt idx="575">
                  <c:v>5748.1000979999999</c:v>
                </c:pt>
                <c:pt idx="576">
                  <c:v>5672.8999020000001</c:v>
                </c:pt>
                <c:pt idx="577">
                  <c:v>5574.75</c:v>
                </c:pt>
                <c:pt idx="578">
                  <c:v>5553.25</c:v>
                </c:pt>
                <c:pt idx="579">
                  <c:v>5542.9501950000003</c:v>
                </c:pt>
                <c:pt idx="580">
                  <c:v>5495.1000979999999</c:v>
                </c:pt>
                <c:pt idx="581">
                  <c:v>5558.7001950000003</c:v>
                </c:pt>
                <c:pt idx="582">
                  <c:v>5594</c:v>
                </c:pt>
                <c:pt idx="583">
                  <c:v>5528.5498049999997</c:v>
                </c:pt>
                <c:pt idx="584">
                  <c:v>5568.3999020000001</c:v>
                </c:pt>
                <c:pt idx="585">
                  <c:v>5688.9501950000003</c:v>
                </c:pt>
                <c:pt idx="586">
                  <c:v>5688.7001950000003</c:v>
                </c:pt>
                <c:pt idx="587">
                  <c:v>5783.1000979999999</c:v>
                </c:pt>
                <c:pt idx="588">
                  <c:v>5834.3999020000001</c:v>
                </c:pt>
                <c:pt idx="589">
                  <c:v>5836.8999020000001</c:v>
                </c:pt>
                <c:pt idx="590">
                  <c:v>5916.2998049999997</c:v>
                </c:pt>
                <c:pt idx="591">
                  <c:v>5871.4501950000003</c:v>
                </c:pt>
                <c:pt idx="592">
                  <c:v>5904.1000979999999</c:v>
                </c:pt>
                <c:pt idx="593">
                  <c:v>5930.2001950000003</c:v>
                </c:pt>
                <c:pt idx="594">
                  <c:v>5999.3500979999999</c:v>
                </c:pt>
                <c:pt idx="595">
                  <c:v>5944</c:v>
                </c:pt>
                <c:pt idx="596">
                  <c:v>5971.0498049999997</c:v>
                </c:pt>
                <c:pt idx="597">
                  <c:v>6043.5498049999997</c:v>
                </c:pt>
                <c:pt idx="598">
                  <c:v>6069.2998049999997</c:v>
                </c:pt>
                <c:pt idx="599">
                  <c:v>6050.1499020000001</c:v>
                </c:pt>
                <c:pt idx="600">
                  <c:v>6094.75</c:v>
                </c:pt>
                <c:pt idx="601">
                  <c:v>5980.4501950000003</c:v>
                </c:pt>
                <c:pt idx="602">
                  <c:v>5995.3999020000001</c:v>
                </c:pt>
                <c:pt idx="603">
                  <c:v>6146.75</c:v>
                </c:pt>
                <c:pt idx="604">
                  <c:v>6169.8999020000001</c:v>
                </c:pt>
                <c:pt idx="605">
                  <c:v>6187.2998049999997</c:v>
                </c:pt>
                <c:pt idx="606">
                  <c:v>6156.8999020000001</c:v>
                </c:pt>
                <c:pt idx="607">
                  <c:v>6114.1000979999999</c:v>
                </c:pt>
                <c:pt idx="608">
                  <c:v>6094.5</c:v>
                </c:pt>
                <c:pt idx="609">
                  <c:v>5967.0498049999997</c:v>
                </c:pt>
                <c:pt idx="610">
                  <c:v>5983.5498049999997</c:v>
                </c:pt>
                <c:pt idx="611">
                  <c:v>6083.1499020000001</c:v>
                </c:pt>
                <c:pt idx="612">
                  <c:v>6111.25</c:v>
                </c:pt>
                <c:pt idx="613">
                  <c:v>6104.2998049999997</c:v>
                </c:pt>
                <c:pt idx="614">
                  <c:v>6124.0498049999997</c:v>
                </c:pt>
                <c:pt idx="615">
                  <c:v>5985.9501950000003</c:v>
                </c:pt>
                <c:pt idx="616">
                  <c:v>5939.2998049999997</c:v>
                </c:pt>
                <c:pt idx="617">
                  <c:v>5919.4501950000003</c:v>
                </c:pt>
                <c:pt idx="618">
                  <c:v>5923.8500979999999</c:v>
                </c:pt>
                <c:pt idx="619">
                  <c:v>5921.3999020000001</c:v>
                </c:pt>
                <c:pt idx="620">
                  <c:v>5881</c:v>
                </c:pt>
                <c:pt idx="621">
                  <c:v>5878</c:v>
                </c:pt>
                <c:pt idx="622">
                  <c:v>5788.7998049999997</c:v>
                </c:pt>
                <c:pt idx="623">
                  <c:v>5760.2001950000003</c:v>
                </c:pt>
                <c:pt idx="624">
                  <c:v>5699.1000979999999</c:v>
                </c:pt>
                <c:pt idx="625">
                  <c:v>5808.3999020000001</c:v>
                </c:pt>
                <c:pt idx="626">
                  <c:v>5850.0498049999997</c:v>
                </c:pt>
                <c:pt idx="627">
                  <c:v>5813.6000979999999</c:v>
                </c:pt>
                <c:pt idx="628">
                  <c:v>5822.25</c:v>
                </c:pt>
                <c:pt idx="629">
                  <c:v>5655.8999020000001</c:v>
                </c:pt>
                <c:pt idx="630">
                  <c:v>5667.6499020000001</c:v>
                </c:pt>
                <c:pt idx="631">
                  <c:v>5590.25</c:v>
                </c:pt>
                <c:pt idx="632">
                  <c:v>5609.1000979999999</c:v>
                </c:pt>
                <c:pt idx="633">
                  <c:v>5588.7001950000003</c:v>
                </c:pt>
                <c:pt idx="634">
                  <c:v>5682.3500979999999</c:v>
                </c:pt>
                <c:pt idx="635">
                  <c:v>5842.2001950000003</c:v>
                </c:pt>
                <c:pt idx="636">
                  <c:v>5898.8500979999999</c:v>
                </c:pt>
                <c:pt idx="637">
                  <c:v>5857.5498049999997</c:v>
                </c:pt>
                <c:pt idx="638">
                  <c:v>5770.8999020000001</c:v>
                </c:pt>
                <c:pt idx="639">
                  <c:v>5836.9501950000003</c:v>
                </c:pt>
                <c:pt idx="640">
                  <c:v>5867.8999020000001</c:v>
                </c:pt>
                <c:pt idx="641">
                  <c:v>5811.5498049999997</c:v>
                </c:pt>
                <c:pt idx="642">
                  <c:v>5859</c:v>
                </c:pt>
                <c:pt idx="643">
                  <c:v>5816.7001950000003</c:v>
                </c:pt>
                <c:pt idx="644">
                  <c:v>5935.1000979999999</c:v>
                </c:pt>
                <c:pt idx="645">
                  <c:v>6009</c:v>
                </c:pt>
                <c:pt idx="646">
                  <c:v>6030.7998049999997</c:v>
                </c:pt>
                <c:pt idx="647">
                  <c:v>5955.25</c:v>
                </c:pt>
                <c:pt idx="648">
                  <c:v>5973.2998049999997</c:v>
                </c:pt>
                <c:pt idx="649">
                  <c:v>6038.0498049999997</c:v>
                </c:pt>
                <c:pt idx="650">
                  <c:v>6029.2001950000003</c:v>
                </c:pt>
                <c:pt idx="651">
                  <c:v>6031.7998049999997</c:v>
                </c:pt>
                <c:pt idx="652">
                  <c:v>6077.7998049999997</c:v>
                </c:pt>
                <c:pt idx="653">
                  <c:v>5990.5</c:v>
                </c:pt>
                <c:pt idx="654">
                  <c:v>5907.5</c:v>
                </c:pt>
                <c:pt idx="655">
                  <c:v>5886.2001950000003</c:v>
                </c:pt>
                <c:pt idx="656">
                  <c:v>5831.6499020000001</c:v>
                </c:pt>
                <c:pt idx="657">
                  <c:v>5755.0498049999997</c:v>
                </c:pt>
                <c:pt idx="658">
                  <c:v>5742</c:v>
                </c:pt>
                <c:pt idx="659">
                  <c:v>5727.8500979999999</c:v>
                </c:pt>
                <c:pt idx="660">
                  <c:v>5677.8999020000001</c:v>
                </c:pt>
                <c:pt idx="661">
                  <c:v>5685.3999020000001</c:v>
                </c:pt>
                <c:pt idx="662">
                  <c:v>5542.25</c:v>
                </c:pt>
                <c:pt idx="663">
                  <c:v>5519.1000979999999</c:v>
                </c:pt>
                <c:pt idx="664">
                  <c:v>5565.6499020000001</c:v>
                </c:pt>
                <c:pt idx="665">
                  <c:v>5612.3999020000001</c:v>
                </c:pt>
                <c:pt idx="666">
                  <c:v>5699.2998049999997</c:v>
                </c:pt>
                <c:pt idx="667">
                  <c:v>5742.2998049999997</c:v>
                </c:pt>
                <c:pt idx="668">
                  <c:v>5507.8500979999999</c:v>
                </c:pt>
                <c:pt idx="669">
                  <c:v>5414.75</c:v>
                </c:pt>
                <c:pt idx="670">
                  <c:v>5401.4501950000003</c:v>
                </c:pt>
                <c:pt idx="671">
                  <c:v>5302.5498049999997</c:v>
                </c:pt>
                <c:pt idx="672">
                  <c:v>5408.4501950000003</c:v>
                </c:pt>
                <c:pt idx="673">
                  <c:v>5471.75</c:v>
                </c:pt>
                <c:pt idx="674">
                  <c:v>5476.5</c:v>
                </c:pt>
                <c:pt idx="675">
                  <c:v>5287.4501950000003</c:v>
                </c:pt>
                <c:pt idx="676">
                  <c:v>5285</c:v>
                </c:pt>
                <c:pt idx="677">
                  <c:v>5409.0498049999997</c:v>
                </c:pt>
                <c:pt idx="678">
                  <c:v>5471.7998049999997</c:v>
                </c:pt>
                <c:pt idx="679">
                  <c:v>5550.75</c:v>
                </c:pt>
                <c:pt idx="680">
                  <c:v>5341.4501950000003</c:v>
                </c:pt>
                <c:pt idx="681">
                  <c:v>5448.1000979999999</c:v>
                </c:pt>
                <c:pt idx="682">
                  <c:v>5592.9501950000003</c:v>
                </c:pt>
                <c:pt idx="683">
                  <c:v>5680.3999020000001</c:v>
                </c:pt>
                <c:pt idx="684">
                  <c:v>5896.75</c:v>
                </c:pt>
                <c:pt idx="685">
                  <c:v>5913.1499020000001</c:v>
                </c:pt>
                <c:pt idx="686">
                  <c:v>5850.7001950000003</c:v>
                </c:pt>
                <c:pt idx="687">
                  <c:v>5850.6000979999999</c:v>
                </c:pt>
                <c:pt idx="688">
                  <c:v>5840.5498049999997</c:v>
                </c:pt>
                <c:pt idx="689">
                  <c:v>5850.2001950000003</c:v>
                </c:pt>
                <c:pt idx="690">
                  <c:v>5899.4501950000003</c:v>
                </c:pt>
                <c:pt idx="691">
                  <c:v>6115.5498049999997</c:v>
                </c:pt>
                <c:pt idx="692">
                  <c:v>6012.1000979999999</c:v>
                </c:pt>
                <c:pt idx="693">
                  <c:v>5889.75</c:v>
                </c:pt>
                <c:pt idx="694">
                  <c:v>5892.4501950000003</c:v>
                </c:pt>
                <c:pt idx="695">
                  <c:v>5873.8500979999999</c:v>
                </c:pt>
                <c:pt idx="696">
                  <c:v>5882.25</c:v>
                </c:pt>
                <c:pt idx="697">
                  <c:v>5833.2001950000003</c:v>
                </c:pt>
                <c:pt idx="698">
                  <c:v>5735.2998049999997</c:v>
                </c:pt>
                <c:pt idx="699">
                  <c:v>5780.0498049999997</c:v>
                </c:pt>
                <c:pt idx="700">
                  <c:v>5909.7001950000003</c:v>
                </c:pt>
                <c:pt idx="701">
                  <c:v>5907.2998049999997</c:v>
                </c:pt>
                <c:pt idx="702">
                  <c:v>5906.1499020000001</c:v>
                </c:pt>
                <c:pt idx="703">
                  <c:v>5928.3999020000001</c:v>
                </c:pt>
                <c:pt idx="704">
                  <c:v>6007.4501950000003</c:v>
                </c:pt>
                <c:pt idx="705">
                  <c:v>6020.9501950000003</c:v>
                </c:pt>
                <c:pt idx="706">
                  <c:v>6096.2001950000003</c:v>
                </c:pt>
                <c:pt idx="707">
                  <c:v>6112.7001950000003</c:v>
                </c:pt>
                <c:pt idx="708">
                  <c:v>6089.0498049999997</c:v>
                </c:pt>
                <c:pt idx="709">
                  <c:v>6045.8500979999999</c:v>
                </c:pt>
                <c:pt idx="710">
                  <c:v>6189.3500979999999</c:v>
                </c:pt>
                <c:pt idx="711">
                  <c:v>6204.9501950000003</c:v>
                </c:pt>
                <c:pt idx="712">
                  <c:v>6202.7998049999997</c:v>
                </c:pt>
                <c:pt idx="713">
                  <c:v>6178.3500979999999</c:v>
                </c:pt>
                <c:pt idx="714">
                  <c:v>6164.3500979999999</c:v>
                </c:pt>
                <c:pt idx="715">
                  <c:v>6144.8999020000001</c:v>
                </c:pt>
                <c:pt idx="716">
                  <c:v>6101.1000979999999</c:v>
                </c:pt>
                <c:pt idx="717">
                  <c:v>6220.8999020000001</c:v>
                </c:pt>
                <c:pt idx="718">
                  <c:v>6251.7001950000003</c:v>
                </c:pt>
                <c:pt idx="719">
                  <c:v>6299.1499020000001</c:v>
                </c:pt>
                <c:pt idx="720">
                  <c:v>6307.2001950000003</c:v>
                </c:pt>
                <c:pt idx="721">
                  <c:v>6253.1499020000001</c:v>
                </c:pt>
                <c:pt idx="722">
                  <c:v>6215.1499020000001</c:v>
                </c:pt>
                <c:pt idx="723">
                  <c:v>6187.25</c:v>
                </c:pt>
                <c:pt idx="724">
                  <c:v>6140.75</c:v>
                </c:pt>
                <c:pt idx="725">
                  <c:v>6078.7998049999997</c:v>
                </c:pt>
                <c:pt idx="726">
                  <c:v>6018.0498049999997</c:v>
                </c:pt>
                <c:pt idx="727">
                  <c:v>5989.6000979999999</c:v>
                </c:pt>
                <c:pt idx="728">
                  <c:v>6056.1499020000001</c:v>
                </c:pt>
                <c:pt idx="729">
                  <c:v>6189</c:v>
                </c:pt>
                <c:pt idx="730">
                  <c:v>6203.3500979999999</c:v>
                </c:pt>
                <c:pt idx="731">
                  <c:v>6122.8999020000001</c:v>
                </c:pt>
                <c:pt idx="732">
                  <c:v>5999.0498049999997</c:v>
                </c:pt>
                <c:pt idx="733">
                  <c:v>5995.4501950000003</c:v>
                </c:pt>
                <c:pt idx="734">
                  <c:v>6115.3500979999999</c:v>
                </c:pt>
                <c:pt idx="735">
                  <c:v>6059.1000979999999</c:v>
                </c:pt>
                <c:pt idx="736">
                  <c:v>6057.1000979999999</c:v>
                </c:pt>
                <c:pt idx="737">
                  <c:v>6091.8500979999999</c:v>
                </c:pt>
                <c:pt idx="738">
                  <c:v>6176.1000979999999</c:v>
                </c:pt>
                <c:pt idx="739">
                  <c:v>6217.8500979999999</c:v>
                </c:pt>
                <c:pt idx="740">
                  <c:v>6201.8500979999999</c:v>
                </c:pt>
                <c:pt idx="741">
                  <c:v>6160.9501950000003</c:v>
                </c:pt>
                <c:pt idx="742">
                  <c:v>6241.1000979999999</c:v>
                </c:pt>
                <c:pt idx="743">
                  <c:v>6259.8999020000001</c:v>
                </c:pt>
                <c:pt idx="744">
                  <c:v>6363.8999020000001</c:v>
                </c:pt>
                <c:pt idx="745">
                  <c:v>6332.8500979999999</c:v>
                </c:pt>
                <c:pt idx="746">
                  <c:v>6307.8999020000001</c:v>
                </c:pt>
                <c:pt idx="747">
                  <c:v>6237.0498049999997</c:v>
                </c:pt>
                <c:pt idx="748">
                  <c:v>6168.3999020000001</c:v>
                </c:pt>
                <c:pt idx="749">
                  <c:v>6154.7001950000003</c:v>
                </c:pt>
                <c:pt idx="750">
                  <c:v>6139.0498049999997</c:v>
                </c:pt>
                <c:pt idx="751">
                  <c:v>6217.1499020000001</c:v>
                </c:pt>
                <c:pt idx="752">
                  <c:v>6166.6499020000001</c:v>
                </c:pt>
                <c:pt idx="753">
                  <c:v>6274.25</c:v>
                </c:pt>
                <c:pt idx="754">
                  <c:v>6284.5</c:v>
                </c:pt>
                <c:pt idx="755">
                  <c:v>6268.3999020000001</c:v>
                </c:pt>
                <c:pt idx="756">
                  <c:v>6278.8999020000001</c:v>
                </c:pt>
                <c:pt idx="757">
                  <c:v>6313.7998049999997</c:v>
                </c:pt>
                <c:pt idx="758">
                  <c:v>6291.1000979999999</c:v>
                </c:pt>
                <c:pt idx="759">
                  <c:v>6304</c:v>
                </c:pt>
                <c:pt idx="760">
                  <c:v>6221.1499020000001</c:v>
                </c:pt>
                <c:pt idx="761">
                  <c:v>6211.1499020000001</c:v>
                </c:pt>
                <c:pt idx="762">
                  <c:v>6191.4501950000003</c:v>
                </c:pt>
                <c:pt idx="763">
                  <c:v>6162.25</c:v>
                </c:pt>
                <c:pt idx="764">
                  <c:v>6174.6000979999999</c:v>
                </c:pt>
                <c:pt idx="765">
                  <c:v>6168.3500979999999</c:v>
                </c:pt>
                <c:pt idx="766">
                  <c:v>6171.4501950000003</c:v>
                </c:pt>
                <c:pt idx="767">
                  <c:v>6272.75</c:v>
                </c:pt>
                <c:pt idx="768">
                  <c:v>6241.8500979999999</c:v>
                </c:pt>
                <c:pt idx="769">
                  <c:v>6320.8999020000001</c:v>
                </c:pt>
                <c:pt idx="770">
                  <c:v>6318.8999020000001</c:v>
                </c:pt>
                <c:pt idx="771">
                  <c:v>6261.6499020000001</c:v>
                </c:pt>
                <c:pt idx="772">
                  <c:v>6303.9501950000003</c:v>
                </c:pt>
                <c:pt idx="773">
                  <c:v>6313.7998049999997</c:v>
                </c:pt>
                <c:pt idx="774">
                  <c:v>6338.9501950000003</c:v>
                </c:pt>
                <c:pt idx="775">
                  <c:v>6345.6499020000001</c:v>
                </c:pt>
                <c:pt idx="776">
                  <c:v>6266.75</c:v>
                </c:pt>
                <c:pt idx="777">
                  <c:v>6135.8500979999999</c:v>
                </c:pt>
                <c:pt idx="778">
                  <c:v>6126.25</c:v>
                </c:pt>
                <c:pt idx="779">
                  <c:v>6120.25</c:v>
                </c:pt>
                <c:pt idx="780">
                  <c:v>6073.7001950000003</c:v>
                </c:pt>
                <c:pt idx="781">
                  <c:v>6089.5</c:v>
                </c:pt>
                <c:pt idx="782">
                  <c:v>6001.7998049999997</c:v>
                </c:pt>
                <c:pt idx="783">
                  <c:v>6000.8999020000001</c:v>
                </c:pt>
                <c:pt idx="784">
                  <c:v>6022.3999020000001</c:v>
                </c:pt>
                <c:pt idx="785">
                  <c:v>6036.2998049999997</c:v>
                </c:pt>
                <c:pt idx="786">
                  <c:v>6063.2001950000003</c:v>
                </c:pt>
                <c:pt idx="787">
                  <c:v>6053.4501950000003</c:v>
                </c:pt>
                <c:pt idx="788">
                  <c:v>6062.7001950000003</c:v>
                </c:pt>
                <c:pt idx="789">
                  <c:v>6084</c:v>
                </c:pt>
                <c:pt idx="790">
                  <c:v>6001.1000979999999</c:v>
                </c:pt>
                <c:pt idx="791">
                  <c:v>6048.3500979999999</c:v>
                </c:pt>
                <c:pt idx="792">
                  <c:v>6073.2998049999997</c:v>
                </c:pt>
                <c:pt idx="793">
                  <c:v>6127.1000979999999</c:v>
                </c:pt>
                <c:pt idx="794">
                  <c:v>6152.75</c:v>
                </c:pt>
                <c:pt idx="795">
                  <c:v>6091.4501950000003</c:v>
                </c:pt>
                <c:pt idx="796">
                  <c:v>6155.4501950000003</c:v>
                </c:pt>
                <c:pt idx="797">
                  <c:v>6186.1000979999999</c:v>
                </c:pt>
                <c:pt idx="798">
                  <c:v>6200.0498049999997</c:v>
                </c:pt>
                <c:pt idx="799">
                  <c:v>6238.7998049999997</c:v>
                </c:pt>
                <c:pt idx="800">
                  <c:v>6276.9501950000003</c:v>
                </c:pt>
                <c:pt idx="801">
                  <c:v>6221.4501950000003</c:v>
                </c:pt>
                <c:pt idx="802">
                  <c:v>6297.9501950000003</c:v>
                </c:pt>
                <c:pt idx="803">
                  <c:v>6328.6499020000001</c:v>
                </c:pt>
                <c:pt idx="804">
                  <c:v>6401.1499020000001</c:v>
                </c:pt>
                <c:pt idx="805">
                  <c:v>6526.6499020000001</c:v>
                </c:pt>
                <c:pt idx="806">
                  <c:v>6537.25</c:v>
                </c:pt>
                <c:pt idx="807">
                  <c:v>6511.8999020000001</c:v>
                </c:pt>
                <c:pt idx="808">
                  <c:v>6516.8999020000001</c:v>
                </c:pt>
                <c:pt idx="809">
                  <c:v>6493.1000979999999</c:v>
                </c:pt>
                <c:pt idx="810">
                  <c:v>6504.2001950000003</c:v>
                </c:pt>
                <c:pt idx="811">
                  <c:v>6516.6499020000001</c:v>
                </c:pt>
                <c:pt idx="812">
                  <c:v>6524.0498049999997</c:v>
                </c:pt>
                <c:pt idx="813">
                  <c:v>6483.1000979999999</c:v>
                </c:pt>
                <c:pt idx="814">
                  <c:v>6493.2001950000003</c:v>
                </c:pt>
                <c:pt idx="815">
                  <c:v>6583.5</c:v>
                </c:pt>
                <c:pt idx="816">
                  <c:v>6589.75</c:v>
                </c:pt>
                <c:pt idx="817">
                  <c:v>6601.3999020000001</c:v>
                </c:pt>
                <c:pt idx="818">
                  <c:v>6641.75</c:v>
                </c:pt>
                <c:pt idx="819">
                  <c:v>6695.8999020000001</c:v>
                </c:pt>
                <c:pt idx="820">
                  <c:v>6704.2001950000003</c:v>
                </c:pt>
                <c:pt idx="821">
                  <c:v>6721.0498049999997</c:v>
                </c:pt>
                <c:pt idx="822">
                  <c:v>6752.5498049999997</c:v>
                </c:pt>
                <c:pt idx="823">
                  <c:v>6736.1000979999999</c:v>
                </c:pt>
                <c:pt idx="824">
                  <c:v>6694.3500979999999</c:v>
                </c:pt>
                <c:pt idx="825">
                  <c:v>6695.0498049999997</c:v>
                </c:pt>
                <c:pt idx="826">
                  <c:v>6796.2001950000003</c:v>
                </c:pt>
                <c:pt idx="827">
                  <c:v>6796.3999020000001</c:v>
                </c:pt>
                <c:pt idx="828">
                  <c:v>6776.2998049999997</c:v>
                </c:pt>
                <c:pt idx="829">
                  <c:v>6733.1000979999999</c:v>
                </c:pt>
                <c:pt idx="830">
                  <c:v>6675.2998049999997</c:v>
                </c:pt>
                <c:pt idx="831">
                  <c:v>6779.3999020000001</c:v>
                </c:pt>
                <c:pt idx="832">
                  <c:v>6817.6499020000001</c:v>
                </c:pt>
                <c:pt idx="833">
                  <c:v>6815.3500979999999</c:v>
                </c:pt>
                <c:pt idx="834">
                  <c:v>6840.7998049999997</c:v>
                </c:pt>
                <c:pt idx="835">
                  <c:v>6782.75</c:v>
                </c:pt>
                <c:pt idx="836">
                  <c:v>6761.25</c:v>
                </c:pt>
                <c:pt idx="837">
                  <c:v>6715.25</c:v>
                </c:pt>
                <c:pt idx="838">
                  <c:v>6696.3999020000001</c:v>
                </c:pt>
                <c:pt idx="839">
                  <c:v>6694.7998049999997</c:v>
                </c:pt>
                <c:pt idx="840">
                  <c:v>6699.3500979999999</c:v>
                </c:pt>
                <c:pt idx="841">
                  <c:v>6715.2998049999997</c:v>
                </c:pt>
                <c:pt idx="842">
                  <c:v>6652.5498049999997</c:v>
                </c:pt>
                <c:pt idx="843">
                  <c:v>6659.8500979999999</c:v>
                </c:pt>
                <c:pt idx="844">
                  <c:v>6858.7998049999997</c:v>
                </c:pt>
                <c:pt idx="845">
                  <c:v>7014.25</c:v>
                </c:pt>
                <c:pt idx="846">
                  <c:v>7108.75</c:v>
                </c:pt>
                <c:pt idx="847">
                  <c:v>7108.75</c:v>
                </c:pt>
                <c:pt idx="848">
                  <c:v>7123.1499020000001</c:v>
                </c:pt>
                <c:pt idx="849">
                  <c:v>7203</c:v>
                </c:pt>
                <c:pt idx="850">
                  <c:v>7263.5498049999997</c:v>
                </c:pt>
                <c:pt idx="851">
                  <c:v>7275.5</c:v>
                </c:pt>
                <c:pt idx="852">
                  <c:v>7252.8999020000001</c:v>
                </c:pt>
                <c:pt idx="853">
                  <c:v>7276.3999020000001</c:v>
                </c:pt>
                <c:pt idx="854">
                  <c:v>7367.1000979999999</c:v>
                </c:pt>
                <c:pt idx="855">
                  <c:v>7359.0498049999997</c:v>
                </c:pt>
                <c:pt idx="856">
                  <c:v>7318</c:v>
                </c:pt>
                <c:pt idx="857">
                  <c:v>7329.6499020000001</c:v>
                </c:pt>
                <c:pt idx="858">
                  <c:v>7235.6499020000001</c:v>
                </c:pt>
                <c:pt idx="859">
                  <c:v>7229.9501950000003</c:v>
                </c:pt>
                <c:pt idx="860">
                  <c:v>7362.5</c:v>
                </c:pt>
                <c:pt idx="861">
                  <c:v>7415.8500979999999</c:v>
                </c:pt>
                <c:pt idx="862">
                  <c:v>7402.25</c:v>
                </c:pt>
                <c:pt idx="863">
                  <c:v>7474.1000979999999</c:v>
                </c:pt>
                <c:pt idx="864">
                  <c:v>7583.3999020000001</c:v>
                </c:pt>
                <c:pt idx="865">
                  <c:v>7654.6000979999999</c:v>
                </c:pt>
                <c:pt idx="866">
                  <c:v>7656.3999020000001</c:v>
                </c:pt>
                <c:pt idx="867">
                  <c:v>7626.8500979999999</c:v>
                </c:pt>
                <c:pt idx="868">
                  <c:v>7649.8999020000001</c:v>
                </c:pt>
                <c:pt idx="869">
                  <c:v>7542.1000979999999</c:v>
                </c:pt>
                <c:pt idx="870">
                  <c:v>7533.5498049999997</c:v>
                </c:pt>
                <c:pt idx="871">
                  <c:v>7631.7001950000003</c:v>
                </c:pt>
                <c:pt idx="872">
                  <c:v>7558.2001950000003</c:v>
                </c:pt>
                <c:pt idx="873">
                  <c:v>7540.7001950000003</c:v>
                </c:pt>
                <c:pt idx="874">
                  <c:v>7511.4501950000003</c:v>
                </c:pt>
                <c:pt idx="875">
                  <c:v>7493.3500979999999</c:v>
                </c:pt>
                <c:pt idx="876">
                  <c:v>7580.2001950000003</c:v>
                </c:pt>
                <c:pt idx="877">
                  <c:v>7569.25</c:v>
                </c:pt>
                <c:pt idx="878">
                  <c:v>7493.2001950000003</c:v>
                </c:pt>
                <c:pt idx="879">
                  <c:v>7508.7998049999997</c:v>
                </c:pt>
                <c:pt idx="880">
                  <c:v>7611.3500979999999</c:v>
                </c:pt>
                <c:pt idx="881">
                  <c:v>7634.7001950000003</c:v>
                </c:pt>
                <c:pt idx="882">
                  <c:v>7725.1499020000001</c:v>
                </c:pt>
                <c:pt idx="883">
                  <c:v>7714.7998049999997</c:v>
                </c:pt>
                <c:pt idx="884">
                  <c:v>7751.6000979999999</c:v>
                </c:pt>
                <c:pt idx="885">
                  <c:v>7787.1499020000001</c:v>
                </c:pt>
                <c:pt idx="886">
                  <c:v>7623.2001950000003</c:v>
                </c:pt>
                <c:pt idx="887">
                  <c:v>7585</c:v>
                </c:pt>
                <c:pt idx="888">
                  <c:v>7567.75</c:v>
                </c:pt>
                <c:pt idx="889">
                  <c:v>7459.6000979999999</c:v>
                </c:pt>
                <c:pt idx="890">
                  <c:v>7454.1499020000001</c:v>
                </c:pt>
                <c:pt idx="891">
                  <c:v>7526.6499020000001</c:v>
                </c:pt>
                <c:pt idx="892">
                  <c:v>7624.3999020000001</c:v>
                </c:pt>
                <c:pt idx="893">
                  <c:v>7640.4501950000003</c:v>
                </c:pt>
                <c:pt idx="894">
                  <c:v>7663.8999020000001</c:v>
                </c:pt>
                <c:pt idx="895">
                  <c:v>7684.2001950000003</c:v>
                </c:pt>
                <c:pt idx="896">
                  <c:v>7767.8500979999999</c:v>
                </c:pt>
                <c:pt idx="897">
                  <c:v>7795.75</c:v>
                </c:pt>
                <c:pt idx="898">
                  <c:v>7830.6000979999999</c:v>
                </c:pt>
                <c:pt idx="899">
                  <c:v>7790.4501950000003</c:v>
                </c:pt>
                <c:pt idx="900">
                  <c:v>7748.7001950000003</c:v>
                </c:pt>
                <c:pt idx="901">
                  <c:v>7791.3999020000001</c:v>
                </c:pt>
                <c:pt idx="902">
                  <c:v>7721.2998049999997</c:v>
                </c:pt>
                <c:pt idx="903">
                  <c:v>7602.6000979999999</c:v>
                </c:pt>
                <c:pt idx="904">
                  <c:v>7683.6499020000001</c:v>
                </c:pt>
                <c:pt idx="905">
                  <c:v>7746.5498049999997</c:v>
                </c:pt>
                <c:pt idx="906">
                  <c:v>7672.0498049999997</c:v>
                </c:pt>
                <c:pt idx="907">
                  <c:v>7649.25</c:v>
                </c:pt>
                <c:pt idx="908">
                  <c:v>7568.5498049999997</c:v>
                </c:pt>
                <c:pt idx="909">
                  <c:v>7625.9501950000003</c:v>
                </c:pt>
                <c:pt idx="910">
                  <c:v>7727.0498049999997</c:v>
                </c:pt>
                <c:pt idx="911">
                  <c:v>7739.5498049999997</c:v>
                </c:pt>
                <c:pt idx="912">
                  <c:v>7791.7001950000003</c:v>
                </c:pt>
                <c:pt idx="913">
                  <c:v>7874.25</c:v>
                </c:pt>
                <c:pt idx="914">
                  <c:v>7897.5</c:v>
                </c:pt>
                <c:pt idx="915">
                  <c:v>7875.2998049999997</c:v>
                </c:pt>
                <c:pt idx="916">
                  <c:v>7891.1000979999999</c:v>
                </c:pt>
                <c:pt idx="917">
                  <c:v>7913.2001950000003</c:v>
                </c:pt>
                <c:pt idx="918">
                  <c:v>7906.2998049999997</c:v>
                </c:pt>
                <c:pt idx="919">
                  <c:v>7904.75</c:v>
                </c:pt>
                <c:pt idx="920">
                  <c:v>7936.0498049999997</c:v>
                </c:pt>
                <c:pt idx="921">
                  <c:v>7954.3500979999999</c:v>
                </c:pt>
                <c:pt idx="922">
                  <c:v>8027.7001950000003</c:v>
                </c:pt>
                <c:pt idx="923">
                  <c:v>8083.0498049999997</c:v>
                </c:pt>
                <c:pt idx="924">
                  <c:v>8114.6000979999999</c:v>
                </c:pt>
                <c:pt idx="925">
                  <c:v>8095.9501950000003</c:v>
                </c:pt>
                <c:pt idx="926">
                  <c:v>8086.8500979999999</c:v>
                </c:pt>
                <c:pt idx="927">
                  <c:v>8173.8999020000001</c:v>
                </c:pt>
                <c:pt idx="928">
                  <c:v>8152.9501950000003</c:v>
                </c:pt>
                <c:pt idx="929">
                  <c:v>8094.1000979999999</c:v>
                </c:pt>
                <c:pt idx="930">
                  <c:v>8085.7001950000003</c:v>
                </c:pt>
                <c:pt idx="931">
                  <c:v>8105.5</c:v>
                </c:pt>
                <c:pt idx="932">
                  <c:v>8042</c:v>
                </c:pt>
                <c:pt idx="933">
                  <c:v>7932.8999020000001</c:v>
                </c:pt>
                <c:pt idx="934">
                  <c:v>7975.5</c:v>
                </c:pt>
                <c:pt idx="935">
                  <c:v>8114.75</c:v>
                </c:pt>
                <c:pt idx="936">
                  <c:v>8121.4501950000003</c:v>
                </c:pt>
                <c:pt idx="937">
                  <c:v>8146.2998049999997</c:v>
                </c:pt>
                <c:pt idx="938">
                  <c:v>8017.5498049999997</c:v>
                </c:pt>
                <c:pt idx="939">
                  <c:v>8002.3999020000001</c:v>
                </c:pt>
                <c:pt idx="940">
                  <c:v>7911.8500979999999</c:v>
                </c:pt>
                <c:pt idx="941">
                  <c:v>7968.8500979999999</c:v>
                </c:pt>
                <c:pt idx="942">
                  <c:v>7958.8999020000001</c:v>
                </c:pt>
                <c:pt idx="943">
                  <c:v>7964.7998049999997</c:v>
                </c:pt>
                <c:pt idx="944">
                  <c:v>7945.5498049999997</c:v>
                </c:pt>
                <c:pt idx="945">
                  <c:v>7852.3999020000001</c:v>
                </c:pt>
                <c:pt idx="946">
                  <c:v>7842.7001950000003</c:v>
                </c:pt>
                <c:pt idx="947">
                  <c:v>7960.5498049999997</c:v>
                </c:pt>
                <c:pt idx="948">
                  <c:v>7859.9501950000003</c:v>
                </c:pt>
                <c:pt idx="949">
                  <c:v>7884.25</c:v>
                </c:pt>
                <c:pt idx="950">
                  <c:v>7864</c:v>
                </c:pt>
                <c:pt idx="951">
                  <c:v>7748.2001950000003</c:v>
                </c:pt>
                <c:pt idx="952">
                  <c:v>7779.7001950000003</c:v>
                </c:pt>
                <c:pt idx="953">
                  <c:v>7879.3999020000001</c:v>
                </c:pt>
                <c:pt idx="954">
                  <c:v>7927.75</c:v>
                </c:pt>
                <c:pt idx="955">
                  <c:v>7995.8999020000001</c:v>
                </c:pt>
                <c:pt idx="956">
                  <c:v>7991.7001950000003</c:v>
                </c:pt>
                <c:pt idx="957">
                  <c:v>8027.6000979999999</c:v>
                </c:pt>
                <c:pt idx="958">
                  <c:v>8090.4501950000003</c:v>
                </c:pt>
                <c:pt idx="959">
                  <c:v>8169.2001950000003</c:v>
                </c:pt>
                <c:pt idx="960">
                  <c:v>8322.2001949999994</c:v>
                </c:pt>
                <c:pt idx="961">
                  <c:v>8324.1503909999992</c:v>
                </c:pt>
                <c:pt idx="962">
                  <c:v>8338.2998050000006</c:v>
                </c:pt>
                <c:pt idx="963">
                  <c:v>8337</c:v>
                </c:pt>
                <c:pt idx="964">
                  <c:v>8344.25</c:v>
                </c:pt>
                <c:pt idx="965">
                  <c:v>8362.6503909999992</c:v>
                </c:pt>
                <c:pt idx="966">
                  <c:v>8383.2998050000006</c:v>
                </c:pt>
                <c:pt idx="967">
                  <c:v>8357.8496090000008</c:v>
                </c:pt>
                <c:pt idx="968">
                  <c:v>8389.9003909999992</c:v>
                </c:pt>
                <c:pt idx="969">
                  <c:v>8430.75</c:v>
                </c:pt>
                <c:pt idx="970">
                  <c:v>8425.9003909999992</c:v>
                </c:pt>
                <c:pt idx="971">
                  <c:v>8382.2998050000006</c:v>
                </c:pt>
                <c:pt idx="972">
                  <c:v>8401.9003909999992</c:v>
                </c:pt>
                <c:pt idx="973">
                  <c:v>8477.3496090000008</c:v>
                </c:pt>
                <c:pt idx="974">
                  <c:v>8530.1503909999992</c:v>
                </c:pt>
                <c:pt idx="975">
                  <c:v>8463.0996090000008</c:v>
                </c:pt>
                <c:pt idx="976">
                  <c:v>8475.75</c:v>
                </c:pt>
                <c:pt idx="977">
                  <c:v>8494.2001949999994</c:v>
                </c:pt>
                <c:pt idx="978">
                  <c:v>8588.25</c:v>
                </c:pt>
                <c:pt idx="979">
                  <c:v>8555.9003909999992</c:v>
                </c:pt>
                <c:pt idx="980">
                  <c:v>8524.7001949999994</c:v>
                </c:pt>
                <c:pt idx="981">
                  <c:v>8537.6503909999992</c:v>
                </c:pt>
                <c:pt idx="982">
                  <c:v>8564.4003909999992</c:v>
                </c:pt>
                <c:pt idx="983">
                  <c:v>8538.2998050000006</c:v>
                </c:pt>
                <c:pt idx="984">
                  <c:v>8438.25</c:v>
                </c:pt>
                <c:pt idx="985">
                  <c:v>8340.7001949999994</c:v>
                </c:pt>
                <c:pt idx="986">
                  <c:v>8355.6503909999992</c:v>
                </c:pt>
                <c:pt idx="987">
                  <c:v>8292.9003909999992</c:v>
                </c:pt>
                <c:pt idx="988">
                  <c:v>8224.0996090000008</c:v>
                </c:pt>
                <c:pt idx="989">
                  <c:v>8219.5996090000008</c:v>
                </c:pt>
                <c:pt idx="990">
                  <c:v>8067.6000979999999</c:v>
                </c:pt>
                <c:pt idx="991">
                  <c:v>8029.7998049999997</c:v>
                </c:pt>
                <c:pt idx="992">
                  <c:v>8159.2998049999997</c:v>
                </c:pt>
                <c:pt idx="993">
                  <c:v>8225.2001949999994</c:v>
                </c:pt>
                <c:pt idx="994">
                  <c:v>8324</c:v>
                </c:pt>
                <c:pt idx="995">
                  <c:v>8267</c:v>
                </c:pt>
                <c:pt idx="996">
                  <c:v>8174.1000979999999</c:v>
                </c:pt>
                <c:pt idx="997">
                  <c:v>8200.7001949999994</c:v>
                </c:pt>
                <c:pt idx="998">
                  <c:v>8246.2998050000006</c:v>
                </c:pt>
                <c:pt idx="999">
                  <c:v>8248.25</c:v>
                </c:pt>
                <c:pt idx="1000">
                  <c:v>8282.7001949999994</c:v>
                </c:pt>
                <c:pt idx="1001">
                  <c:v>8395.4501949999994</c:v>
                </c:pt>
                <c:pt idx="1002">
                  <c:v>8378.4003909999992</c:v>
                </c:pt>
                <c:pt idx="1003">
                  <c:v>8127.3500979999999</c:v>
                </c:pt>
                <c:pt idx="1004">
                  <c:v>8102.1000979999999</c:v>
                </c:pt>
                <c:pt idx="1005">
                  <c:v>8234.5996090000008</c:v>
                </c:pt>
                <c:pt idx="1006">
                  <c:v>8284.5</c:v>
                </c:pt>
                <c:pt idx="1007">
                  <c:v>8323</c:v>
                </c:pt>
                <c:pt idx="1008">
                  <c:v>8299.4003909999992</c:v>
                </c:pt>
                <c:pt idx="1009">
                  <c:v>8277.5498050000006</c:v>
                </c:pt>
                <c:pt idx="1010">
                  <c:v>8494.1503909999992</c:v>
                </c:pt>
                <c:pt idx="1011">
                  <c:v>8513.7998050000006</c:v>
                </c:pt>
                <c:pt idx="1012">
                  <c:v>8550.7001949999994</c:v>
                </c:pt>
                <c:pt idx="1013">
                  <c:v>8695.5996090000008</c:v>
                </c:pt>
                <c:pt idx="1014">
                  <c:v>8729.5</c:v>
                </c:pt>
                <c:pt idx="1015">
                  <c:v>8761.4003909999992</c:v>
                </c:pt>
                <c:pt idx="1016">
                  <c:v>8835.5996090000008</c:v>
                </c:pt>
                <c:pt idx="1017">
                  <c:v>8910.5</c:v>
                </c:pt>
                <c:pt idx="1018">
                  <c:v>8914.2998050000006</c:v>
                </c:pt>
                <c:pt idx="1019">
                  <c:v>8952.3496090000008</c:v>
                </c:pt>
                <c:pt idx="1020">
                  <c:v>8808.9003909999992</c:v>
                </c:pt>
                <c:pt idx="1021">
                  <c:v>8797.4003909999992</c:v>
                </c:pt>
                <c:pt idx="1022">
                  <c:v>8756.5498050000006</c:v>
                </c:pt>
                <c:pt idx="1023">
                  <c:v>8723.7001949999994</c:v>
                </c:pt>
                <c:pt idx="1024">
                  <c:v>8711.7001949999994</c:v>
                </c:pt>
                <c:pt idx="1025">
                  <c:v>8661.0498050000006</c:v>
                </c:pt>
                <c:pt idx="1026">
                  <c:v>8526.3496090000008</c:v>
                </c:pt>
                <c:pt idx="1027">
                  <c:v>8565.5498050000006</c:v>
                </c:pt>
                <c:pt idx="1028">
                  <c:v>8627.4003909999992</c:v>
                </c:pt>
                <c:pt idx="1029">
                  <c:v>8711.5498050000006</c:v>
                </c:pt>
                <c:pt idx="1030">
                  <c:v>8805.5</c:v>
                </c:pt>
                <c:pt idx="1031">
                  <c:v>8809.3496090000008</c:v>
                </c:pt>
                <c:pt idx="1032">
                  <c:v>8869.0996090000008</c:v>
                </c:pt>
                <c:pt idx="1033">
                  <c:v>8895.2998050000006</c:v>
                </c:pt>
                <c:pt idx="1034">
                  <c:v>8833.5996090000008</c:v>
                </c:pt>
                <c:pt idx="1035">
                  <c:v>8754.9501949999994</c:v>
                </c:pt>
                <c:pt idx="1036">
                  <c:v>8762.0996090000008</c:v>
                </c:pt>
                <c:pt idx="1037">
                  <c:v>8767.25</c:v>
                </c:pt>
                <c:pt idx="1038">
                  <c:v>8683.8496090000008</c:v>
                </c:pt>
                <c:pt idx="1039">
                  <c:v>8844.5996090000008</c:v>
                </c:pt>
                <c:pt idx="1040">
                  <c:v>8956.75</c:v>
                </c:pt>
                <c:pt idx="1041">
                  <c:v>8996.25</c:v>
                </c:pt>
                <c:pt idx="1042">
                  <c:v>8922.6503909999992</c:v>
                </c:pt>
                <c:pt idx="1043">
                  <c:v>8937.75</c:v>
                </c:pt>
                <c:pt idx="1044">
                  <c:v>8756.75</c:v>
                </c:pt>
                <c:pt idx="1045">
                  <c:v>8712.0498050000006</c:v>
                </c:pt>
                <c:pt idx="1046">
                  <c:v>8699.9501949999994</c:v>
                </c:pt>
                <c:pt idx="1047">
                  <c:v>8776</c:v>
                </c:pt>
                <c:pt idx="1048">
                  <c:v>8647.75</c:v>
                </c:pt>
                <c:pt idx="1049">
                  <c:v>8633.1503909999992</c:v>
                </c:pt>
                <c:pt idx="1050">
                  <c:v>8723.2998050000006</c:v>
                </c:pt>
                <c:pt idx="1051">
                  <c:v>8685.9003909999992</c:v>
                </c:pt>
                <c:pt idx="1052">
                  <c:v>8634.6503909999992</c:v>
                </c:pt>
                <c:pt idx="1053">
                  <c:v>8570.9003909999992</c:v>
                </c:pt>
                <c:pt idx="1054">
                  <c:v>8550.9003909999992</c:v>
                </c:pt>
                <c:pt idx="1055">
                  <c:v>8542.9501949999994</c:v>
                </c:pt>
                <c:pt idx="1056">
                  <c:v>8530.7998050000006</c:v>
                </c:pt>
                <c:pt idx="1057">
                  <c:v>8342.1503909999992</c:v>
                </c:pt>
                <c:pt idx="1058">
                  <c:v>8341.4003909999992</c:v>
                </c:pt>
                <c:pt idx="1059">
                  <c:v>8492.2998050000006</c:v>
                </c:pt>
                <c:pt idx="1060">
                  <c:v>8491</c:v>
                </c:pt>
                <c:pt idx="1061">
                  <c:v>8586.25</c:v>
                </c:pt>
                <c:pt idx="1062">
                  <c:v>8659.9003909999992</c:v>
                </c:pt>
                <c:pt idx="1063">
                  <c:v>8660.2998050000006</c:v>
                </c:pt>
                <c:pt idx="1064">
                  <c:v>8714.4003909999992</c:v>
                </c:pt>
                <c:pt idx="1065">
                  <c:v>8778.2998050000006</c:v>
                </c:pt>
                <c:pt idx="1066">
                  <c:v>8780.3496090000008</c:v>
                </c:pt>
                <c:pt idx="1067">
                  <c:v>8834</c:v>
                </c:pt>
                <c:pt idx="1068">
                  <c:v>8706.7001949999994</c:v>
                </c:pt>
                <c:pt idx="1069">
                  <c:v>8606</c:v>
                </c:pt>
                <c:pt idx="1070">
                  <c:v>8448.0996090000008</c:v>
                </c:pt>
                <c:pt idx="1071">
                  <c:v>8377.75</c:v>
                </c:pt>
                <c:pt idx="1072">
                  <c:v>8429.7001949999994</c:v>
                </c:pt>
                <c:pt idx="1073">
                  <c:v>8398.2998050000006</c:v>
                </c:pt>
                <c:pt idx="1074">
                  <c:v>8305.25</c:v>
                </c:pt>
                <c:pt idx="1075">
                  <c:v>8213.7998050000006</c:v>
                </c:pt>
                <c:pt idx="1076">
                  <c:v>8285.5996090000008</c:v>
                </c:pt>
                <c:pt idx="1077">
                  <c:v>8239.75</c:v>
                </c:pt>
                <c:pt idx="1078">
                  <c:v>8181.5</c:v>
                </c:pt>
                <c:pt idx="1079">
                  <c:v>8331.9501949999994</c:v>
                </c:pt>
                <c:pt idx="1080">
                  <c:v>8324.7998050000006</c:v>
                </c:pt>
                <c:pt idx="1081">
                  <c:v>8097</c:v>
                </c:pt>
                <c:pt idx="1082">
                  <c:v>8057.2998049999997</c:v>
                </c:pt>
                <c:pt idx="1083">
                  <c:v>8191.5</c:v>
                </c:pt>
                <c:pt idx="1084">
                  <c:v>8325.25</c:v>
                </c:pt>
                <c:pt idx="1085">
                  <c:v>8126.9501950000003</c:v>
                </c:pt>
                <c:pt idx="1086">
                  <c:v>8235.4501949999994</c:v>
                </c:pt>
                <c:pt idx="1087">
                  <c:v>8224.2001949999994</c:v>
                </c:pt>
                <c:pt idx="1088">
                  <c:v>8262.3496090000008</c:v>
                </c:pt>
                <c:pt idx="1089">
                  <c:v>8373.6503909999992</c:v>
                </c:pt>
                <c:pt idx="1090">
                  <c:v>8365.6503909999992</c:v>
                </c:pt>
                <c:pt idx="1091">
                  <c:v>8423.25</c:v>
                </c:pt>
                <c:pt idx="1092">
                  <c:v>8421</c:v>
                </c:pt>
                <c:pt idx="1093">
                  <c:v>8458.9501949999994</c:v>
                </c:pt>
                <c:pt idx="1094">
                  <c:v>8370.25</c:v>
                </c:pt>
                <c:pt idx="1095">
                  <c:v>8339.3496090000008</c:v>
                </c:pt>
                <c:pt idx="1096">
                  <c:v>8334.5996090000008</c:v>
                </c:pt>
                <c:pt idx="1097">
                  <c:v>8319</c:v>
                </c:pt>
                <c:pt idx="1098">
                  <c:v>8433.6503909999992</c:v>
                </c:pt>
                <c:pt idx="1099">
                  <c:v>8433.4003909999992</c:v>
                </c:pt>
                <c:pt idx="1100">
                  <c:v>8236.4501949999994</c:v>
                </c:pt>
                <c:pt idx="1101">
                  <c:v>8135.1000979999999</c:v>
                </c:pt>
                <c:pt idx="1102">
                  <c:v>8130.6499020000001</c:v>
                </c:pt>
                <c:pt idx="1103">
                  <c:v>8114.7001950000003</c:v>
                </c:pt>
                <c:pt idx="1104">
                  <c:v>8044.1499020000001</c:v>
                </c:pt>
                <c:pt idx="1105">
                  <c:v>8022.3999020000001</c:v>
                </c:pt>
                <c:pt idx="1106">
                  <c:v>8124.4501950000003</c:v>
                </c:pt>
                <c:pt idx="1107">
                  <c:v>7965.3500979999999</c:v>
                </c:pt>
                <c:pt idx="1108">
                  <c:v>7982.8999020000001</c:v>
                </c:pt>
                <c:pt idx="1109">
                  <c:v>8013.8999020000001</c:v>
                </c:pt>
                <c:pt idx="1110">
                  <c:v>8047.2998049999997</c:v>
                </c:pt>
                <c:pt idx="1111">
                  <c:v>8091.5498049999997</c:v>
                </c:pt>
                <c:pt idx="1112">
                  <c:v>8174.6000979999999</c:v>
                </c:pt>
                <c:pt idx="1113">
                  <c:v>8224.9501949999994</c:v>
                </c:pt>
                <c:pt idx="1114">
                  <c:v>8353.0996090000008</c:v>
                </c:pt>
                <c:pt idx="1115">
                  <c:v>8381.5498050000006</c:v>
                </c:pt>
                <c:pt idx="1116">
                  <c:v>8360.8496090000008</c:v>
                </c:pt>
                <c:pt idx="1117">
                  <c:v>8398</c:v>
                </c:pt>
                <c:pt idx="1118">
                  <c:v>8381.0996090000008</c:v>
                </c:pt>
                <c:pt idx="1119">
                  <c:v>8318.4003909999992</c:v>
                </c:pt>
                <c:pt idx="1120">
                  <c:v>8368.5</c:v>
                </c:pt>
                <c:pt idx="1121">
                  <c:v>8453.0498050000006</c:v>
                </c:pt>
                <c:pt idx="1122">
                  <c:v>8444.9003909999992</c:v>
                </c:pt>
                <c:pt idx="1123">
                  <c:v>8484.9003909999992</c:v>
                </c:pt>
                <c:pt idx="1124">
                  <c:v>8522.1503909999992</c:v>
                </c:pt>
                <c:pt idx="1125">
                  <c:v>8510.7998050000006</c:v>
                </c:pt>
                <c:pt idx="1126">
                  <c:v>8363.0498050000006</c:v>
                </c:pt>
                <c:pt idx="1127">
                  <c:v>8328.5498050000006</c:v>
                </c:pt>
                <c:pt idx="1128">
                  <c:v>8360.5498050000006</c:v>
                </c:pt>
                <c:pt idx="1129">
                  <c:v>8459.6503909999992</c:v>
                </c:pt>
                <c:pt idx="1130">
                  <c:v>8454.0996090000008</c:v>
                </c:pt>
                <c:pt idx="1131">
                  <c:v>8523.7998050000006</c:v>
                </c:pt>
                <c:pt idx="1132">
                  <c:v>8608.0498050000006</c:v>
                </c:pt>
                <c:pt idx="1133">
                  <c:v>8609.8496090000008</c:v>
                </c:pt>
                <c:pt idx="1134">
                  <c:v>8603.4501949999994</c:v>
                </c:pt>
                <c:pt idx="1135">
                  <c:v>8529.4501949999994</c:v>
                </c:pt>
                <c:pt idx="1136">
                  <c:v>8633.5</c:v>
                </c:pt>
                <c:pt idx="1137">
                  <c:v>8589.7998050000006</c:v>
                </c:pt>
                <c:pt idx="1138">
                  <c:v>8521.5498050000006</c:v>
                </c:pt>
                <c:pt idx="1139">
                  <c:v>8361</c:v>
                </c:pt>
                <c:pt idx="1140">
                  <c:v>8337</c:v>
                </c:pt>
                <c:pt idx="1141">
                  <c:v>8375.0498050000006</c:v>
                </c:pt>
                <c:pt idx="1142">
                  <c:v>8421.7998050000006</c:v>
                </c:pt>
                <c:pt idx="1143">
                  <c:v>8532.8496090000008</c:v>
                </c:pt>
                <c:pt idx="1144">
                  <c:v>8543.0498050000006</c:v>
                </c:pt>
                <c:pt idx="1145">
                  <c:v>8516.9003909999992</c:v>
                </c:pt>
                <c:pt idx="1146">
                  <c:v>8567.9501949999994</c:v>
                </c:pt>
                <c:pt idx="1147">
                  <c:v>8588.6503909999992</c:v>
                </c:pt>
                <c:pt idx="1148">
                  <c:v>8564.5996090000008</c:v>
                </c:pt>
                <c:pt idx="1149">
                  <c:v>8525.5996090000008</c:v>
                </c:pt>
                <c:pt idx="1150">
                  <c:v>8462.3496090000008</c:v>
                </c:pt>
                <c:pt idx="1151">
                  <c:v>8349.4501949999994</c:v>
                </c:pt>
                <c:pt idx="1152">
                  <c:v>8355.8496090000008</c:v>
                </c:pt>
                <c:pt idx="1153">
                  <c:v>8518.5498050000006</c:v>
                </c:pt>
                <c:pt idx="1154">
                  <c:v>8477.2998050000006</c:v>
                </c:pt>
                <c:pt idx="1155">
                  <c:v>8466.5498050000006</c:v>
                </c:pt>
                <c:pt idx="1156">
                  <c:v>8495.1503909999992</c:v>
                </c:pt>
                <c:pt idx="1157">
                  <c:v>8372.75</c:v>
                </c:pt>
                <c:pt idx="1158">
                  <c:v>8299.9501949999994</c:v>
                </c:pt>
                <c:pt idx="1159">
                  <c:v>7809</c:v>
                </c:pt>
                <c:pt idx="1160">
                  <c:v>7880.7001950000003</c:v>
                </c:pt>
                <c:pt idx="1161">
                  <c:v>7791.8500979999999</c:v>
                </c:pt>
                <c:pt idx="1162">
                  <c:v>7948.9501950000003</c:v>
                </c:pt>
                <c:pt idx="1163">
                  <c:v>8001.9501950000003</c:v>
                </c:pt>
                <c:pt idx="1164">
                  <c:v>7971.2998049999997</c:v>
                </c:pt>
                <c:pt idx="1165">
                  <c:v>7785.8500979999999</c:v>
                </c:pt>
                <c:pt idx="1166">
                  <c:v>7717</c:v>
                </c:pt>
                <c:pt idx="1167">
                  <c:v>7823</c:v>
                </c:pt>
                <c:pt idx="1168">
                  <c:v>7655.0498049999997</c:v>
                </c:pt>
                <c:pt idx="1169">
                  <c:v>7558.7998049999997</c:v>
                </c:pt>
                <c:pt idx="1170">
                  <c:v>7688.25</c:v>
                </c:pt>
                <c:pt idx="1171">
                  <c:v>7818.6000979999999</c:v>
                </c:pt>
                <c:pt idx="1172">
                  <c:v>7788.1000979999999</c:v>
                </c:pt>
                <c:pt idx="1173">
                  <c:v>7789.2998049999997</c:v>
                </c:pt>
                <c:pt idx="1174">
                  <c:v>7872.25</c:v>
                </c:pt>
                <c:pt idx="1175">
                  <c:v>7829.1000979999999</c:v>
                </c:pt>
                <c:pt idx="1176">
                  <c:v>7899.1499020000001</c:v>
                </c:pt>
                <c:pt idx="1177">
                  <c:v>7981.8999020000001</c:v>
                </c:pt>
                <c:pt idx="1178">
                  <c:v>7977.1000979999999</c:v>
                </c:pt>
                <c:pt idx="1179">
                  <c:v>7812</c:v>
                </c:pt>
                <c:pt idx="1180">
                  <c:v>7845.9501950000003</c:v>
                </c:pt>
                <c:pt idx="1181">
                  <c:v>7868.5</c:v>
                </c:pt>
                <c:pt idx="1182">
                  <c:v>7795.7001950000003</c:v>
                </c:pt>
                <c:pt idx="1183">
                  <c:v>7843.2998049999997</c:v>
                </c:pt>
                <c:pt idx="1184">
                  <c:v>7948.8999020000001</c:v>
                </c:pt>
                <c:pt idx="1185">
                  <c:v>7950.8999020000001</c:v>
                </c:pt>
                <c:pt idx="1186">
                  <c:v>8119.2998049999997</c:v>
                </c:pt>
                <c:pt idx="1187">
                  <c:v>8152.8999020000001</c:v>
                </c:pt>
                <c:pt idx="1188">
                  <c:v>8177.3999020000001</c:v>
                </c:pt>
                <c:pt idx="1189">
                  <c:v>8129.3500979999999</c:v>
                </c:pt>
                <c:pt idx="1190">
                  <c:v>8189.7001950000003</c:v>
                </c:pt>
                <c:pt idx="1191">
                  <c:v>8143.6000979999999</c:v>
                </c:pt>
                <c:pt idx="1192">
                  <c:v>8131.7001950000003</c:v>
                </c:pt>
                <c:pt idx="1193">
                  <c:v>8107.8999020000001</c:v>
                </c:pt>
                <c:pt idx="1194">
                  <c:v>8179.5</c:v>
                </c:pt>
                <c:pt idx="1195">
                  <c:v>8238.1503909999992</c:v>
                </c:pt>
                <c:pt idx="1196">
                  <c:v>8275.0498050000006</c:v>
                </c:pt>
                <c:pt idx="1197">
                  <c:v>8261.6503909999992</c:v>
                </c:pt>
                <c:pt idx="1198">
                  <c:v>8251.7001949999994</c:v>
                </c:pt>
                <c:pt idx="1199">
                  <c:v>8295.4501949999994</c:v>
                </c:pt>
                <c:pt idx="1200">
                  <c:v>8260.5498050000006</c:v>
                </c:pt>
                <c:pt idx="1201">
                  <c:v>8232.9003909999992</c:v>
                </c:pt>
                <c:pt idx="1202">
                  <c:v>8171.2001950000003</c:v>
                </c:pt>
                <c:pt idx="1203">
                  <c:v>8111.75</c:v>
                </c:pt>
                <c:pt idx="1204">
                  <c:v>8065.7998049999997</c:v>
                </c:pt>
                <c:pt idx="1205">
                  <c:v>8050.7998049999997</c:v>
                </c:pt>
                <c:pt idx="1206">
                  <c:v>8060.7001950000003</c:v>
                </c:pt>
                <c:pt idx="1207">
                  <c:v>8040.2001950000003</c:v>
                </c:pt>
                <c:pt idx="1208">
                  <c:v>7955.4501950000003</c:v>
                </c:pt>
                <c:pt idx="1209">
                  <c:v>7954.2998049999997</c:v>
                </c:pt>
                <c:pt idx="1210">
                  <c:v>7915.2001950000003</c:v>
                </c:pt>
                <c:pt idx="1211">
                  <c:v>7783.3500979999999</c:v>
                </c:pt>
                <c:pt idx="1212">
                  <c:v>7762.25</c:v>
                </c:pt>
                <c:pt idx="1213">
                  <c:v>7806.6000979999999</c:v>
                </c:pt>
                <c:pt idx="1214">
                  <c:v>7837.5498049999997</c:v>
                </c:pt>
                <c:pt idx="1215">
                  <c:v>7731.7998049999997</c:v>
                </c:pt>
                <c:pt idx="1216">
                  <c:v>7842.75</c:v>
                </c:pt>
                <c:pt idx="1217">
                  <c:v>7856.5498049999997</c:v>
                </c:pt>
                <c:pt idx="1218">
                  <c:v>7849.25</c:v>
                </c:pt>
                <c:pt idx="1219">
                  <c:v>7831.6000979999999</c:v>
                </c:pt>
                <c:pt idx="1220">
                  <c:v>7883.7998049999997</c:v>
                </c:pt>
                <c:pt idx="1221">
                  <c:v>7942.7001950000003</c:v>
                </c:pt>
                <c:pt idx="1222">
                  <c:v>7935.25</c:v>
                </c:pt>
                <c:pt idx="1223">
                  <c:v>7954.8999020000001</c:v>
                </c:pt>
                <c:pt idx="1224">
                  <c:v>7931.3500979999999</c:v>
                </c:pt>
                <c:pt idx="1225">
                  <c:v>7864.1499020000001</c:v>
                </c:pt>
                <c:pt idx="1226">
                  <c:v>7781.8999020000001</c:v>
                </c:pt>
                <c:pt idx="1227">
                  <c:v>7765.3999020000001</c:v>
                </c:pt>
                <c:pt idx="1228">
                  <c:v>7701.7001950000003</c:v>
                </c:pt>
                <c:pt idx="1229">
                  <c:v>7612.5</c:v>
                </c:pt>
                <c:pt idx="1230">
                  <c:v>7683.2998049999997</c:v>
                </c:pt>
                <c:pt idx="1231">
                  <c:v>7610.4501950000003</c:v>
                </c:pt>
                <c:pt idx="1232">
                  <c:v>7650.0498049999997</c:v>
                </c:pt>
                <c:pt idx="1233">
                  <c:v>7700.8999020000001</c:v>
                </c:pt>
                <c:pt idx="1234">
                  <c:v>7750.8999020000001</c:v>
                </c:pt>
                <c:pt idx="1235">
                  <c:v>7844.3500979999999</c:v>
                </c:pt>
                <c:pt idx="1236">
                  <c:v>7761.9501950000003</c:v>
                </c:pt>
                <c:pt idx="1237">
                  <c:v>7834.4501950000003</c:v>
                </c:pt>
                <c:pt idx="1238">
                  <c:v>7786.1000979999999</c:v>
                </c:pt>
                <c:pt idx="1239">
                  <c:v>7865.9501950000003</c:v>
                </c:pt>
                <c:pt idx="1240">
                  <c:v>7861.0498049999997</c:v>
                </c:pt>
                <c:pt idx="1241">
                  <c:v>7925.1499020000001</c:v>
                </c:pt>
                <c:pt idx="1242">
                  <c:v>7928.9501950000003</c:v>
                </c:pt>
                <c:pt idx="1243">
                  <c:v>7896.25</c:v>
                </c:pt>
                <c:pt idx="1244">
                  <c:v>7946.3500979999999</c:v>
                </c:pt>
                <c:pt idx="1245">
                  <c:v>7791.2998049999997</c:v>
                </c:pt>
                <c:pt idx="1246">
                  <c:v>7784.6499020000001</c:v>
                </c:pt>
                <c:pt idx="1247">
                  <c:v>7741</c:v>
                </c:pt>
                <c:pt idx="1248">
                  <c:v>7568.2998049999997</c:v>
                </c:pt>
                <c:pt idx="1249">
                  <c:v>7601.3500979999999</c:v>
                </c:pt>
                <c:pt idx="1250">
                  <c:v>7563.8500979999999</c:v>
                </c:pt>
                <c:pt idx="1251">
                  <c:v>7510.2998049999997</c:v>
                </c:pt>
                <c:pt idx="1252">
                  <c:v>7562.3999020000001</c:v>
                </c:pt>
                <c:pt idx="1253">
                  <c:v>7536.7998049999997</c:v>
                </c:pt>
                <c:pt idx="1254">
                  <c:v>7437.7998049999997</c:v>
                </c:pt>
                <c:pt idx="1255">
                  <c:v>7351</c:v>
                </c:pt>
                <c:pt idx="1256">
                  <c:v>7435.1000979999999</c:v>
                </c:pt>
                <c:pt idx="1257">
                  <c:v>7309.2998049999997</c:v>
                </c:pt>
                <c:pt idx="1258">
                  <c:v>7276.7998049999997</c:v>
                </c:pt>
                <c:pt idx="1259">
                  <c:v>7422.4501950000003</c:v>
                </c:pt>
                <c:pt idx="1260">
                  <c:v>7436.1499020000001</c:v>
                </c:pt>
                <c:pt idx="1261">
                  <c:v>7437.75</c:v>
                </c:pt>
                <c:pt idx="1262">
                  <c:v>7424.6499020000001</c:v>
                </c:pt>
                <c:pt idx="1263">
                  <c:v>7563.5498049999997</c:v>
                </c:pt>
                <c:pt idx="1264">
                  <c:v>7555.9501950000003</c:v>
                </c:pt>
                <c:pt idx="1265">
                  <c:v>7455.5498049999997</c:v>
                </c:pt>
                <c:pt idx="1266">
                  <c:v>7361.7998049999997</c:v>
                </c:pt>
                <c:pt idx="1267">
                  <c:v>7404</c:v>
                </c:pt>
                <c:pt idx="1268">
                  <c:v>7489.1000979999999</c:v>
                </c:pt>
                <c:pt idx="1269">
                  <c:v>7387.25</c:v>
                </c:pt>
                <c:pt idx="1270">
                  <c:v>7298.2001950000003</c:v>
                </c:pt>
                <c:pt idx="1271">
                  <c:v>7215.7001950000003</c:v>
                </c:pt>
                <c:pt idx="1272">
                  <c:v>6976.3500979999999</c:v>
                </c:pt>
                <c:pt idx="1273">
                  <c:v>6980.9501950000003</c:v>
                </c:pt>
                <c:pt idx="1274">
                  <c:v>7162.9501950000003</c:v>
                </c:pt>
                <c:pt idx="1275">
                  <c:v>7048.25</c:v>
                </c:pt>
                <c:pt idx="1276">
                  <c:v>7108.4501950000003</c:v>
                </c:pt>
                <c:pt idx="1277">
                  <c:v>7191.75</c:v>
                </c:pt>
                <c:pt idx="1278">
                  <c:v>7210.75</c:v>
                </c:pt>
                <c:pt idx="1279">
                  <c:v>7234.5498049999997</c:v>
                </c:pt>
                <c:pt idx="1280">
                  <c:v>7109.5498049999997</c:v>
                </c:pt>
                <c:pt idx="1281">
                  <c:v>7018.7001950000003</c:v>
                </c:pt>
                <c:pt idx="1282">
                  <c:v>6970.6000979999999</c:v>
                </c:pt>
                <c:pt idx="1283">
                  <c:v>7029.75</c:v>
                </c:pt>
                <c:pt idx="1284">
                  <c:v>6987.0498049999997</c:v>
                </c:pt>
                <c:pt idx="1285">
                  <c:v>7222.2998049999997</c:v>
                </c:pt>
                <c:pt idx="1286">
                  <c:v>7368.8500979999999</c:v>
                </c:pt>
                <c:pt idx="1287">
                  <c:v>7475.6000979999999</c:v>
                </c:pt>
                <c:pt idx="1288">
                  <c:v>7485.3500979999999</c:v>
                </c:pt>
                <c:pt idx="1289">
                  <c:v>7485.2998049999997</c:v>
                </c:pt>
                <c:pt idx="1290">
                  <c:v>7531.7998049999997</c:v>
                </c:pt>
                <c:pt idx="1291">
                  <c:v>7486.1499020000001</c:v>
                </c:pt>
                <c:pt idx="1292">
                  <c:v>7510.2001950000003</c:v>
                </c:pt>
                <c:pt idx="1293">
                  <c:v>7538.75</c:v>
                </c:pt>
                <c:pt idx="1294">
                  <c:v>7460.6000979999999</c:v>
                </c:pt>
                <c:pt idx="1295">
                  <c:v>7498.75</c:v>
                </c:pt>
                <c:pt idx="1296">
                  <c:v>7512.5498049999997</c:v>
                </c:pt>
                <c:pt idx="1297">
                  <c:v>7604.3500979999999</c:v>
                </c:pt>
                <c:pt idx="1298">
                  <c:v>7704.25</c:v>
                </c:pt>
                <c:pt idx="1299">
                  <c:v>7714.8999020000001</c:v>
                </c:pt>
                <c:pt idx="1300">
                  <c:v>7716.5</c:v>
                </c:pt>
                <c:pt idx="1301">
                  <c:v>7615.1000979999999</c:v>
                </c:pt>
                <c:pt idx="1302">
                  <c:v>7597</c:v>
                </c:pt>
                <c:pt idx="1303">
                  <c:v>7735.2001950000003</c:v>
                </c:pt>
                <c:pt idx="1304">
                  <c:v>7738.3999020000001</c:v>
                </c:pt>
                <c:pt idx="1305">
                  <c:v>7713.0498049999997</c:v>
                </c:pt>
                <c:pt idx="1306">
                  <c:v>7758.7998049999997</c:v>
                </c:pt>
                <c:pt idx="1307">
                  <c:v>7603.2001950000003</c:v>
                </c:pt>
                <c:pt idx="1308">
                  <c:v>7614.3500979999999</c:v>
                </c:pt>
                <c:pt idx="1309">
                  <c:v>7546.4501950000003</c:v>
                </c:pt>
                <c:pt idx="1310">
                  <c:v>7555.2001950000003</c:v>
                </c:pt>
                <c:pt idx="1311">
                  <c:v>7671.3999020000001</c:v>
                </c:pt>
                <c:pt idx="1312">
                  <c:v>7708.9501950000003</c:v>
                </c:pt>
                <c:pt idx="1313">
                  <c:v>7850.4501950000003</c:v>
                </c:pt>
                <c:pt idx="1314">
                  <c:v>7914.7001950000003</c:v>
                </c:pt>
                <c:pt idx="1315">
                  <c:v>7914.75</c:v>
                </c:pt>
                <c:pt idx="1316">
                  <c:v>7912.0498049999997</c:v>
                </c:pt>
                <c:pt idx="1317">
                  <c:v>7899.2998049999997</c:v>
                </c:pt>
                <c:pt idx="1318">
                  <c:v>7855.0498049999997</c:v>
                </c:pt>
                <c:pt idx="1319">
                  <c:v>7962.6499020000001</c:v>
                </c:pt>
                <c:pt idx="1320">
                  <c:v>7979.8999020000001</c:v>
                </c:pt>
                <c:pt idx="1321">
                  <c:v>7847.25</c:v>
                </c:pt>
                <c:pt idx="1322">
                  <c:v>7849.7998049999997</c:v>
                </c:pt>
                <c:pt idx="1323">
                  <c:v>7805.8999020000001</c:v>
                </c:pt>
                <c:pt idx="1324">
                  <c:v>7747</c:v>
                </c:pt>
                <c:pt idx="1325">
                  <c:v>7706.5498049999997</c:v>
                </c:pt>
                <c:pt idx="1326">
                  <c:v>7735.5</c:v>
                </c:pt>
                <c:pt idx="1327">
                  <c:v>7733.4501950000003</c:v>
                </c:pt>
                <c:pt idx="1328">
                  <c:v>7866.0498049999997</c:v>
                </c:pt>
                <c:pt idx="1329">
                  <c:v>7887.7998049999997</c:v>
                </c:pt>
                <c:pt idx="1330">
                  <c:v>7848.8500979999999</c:v>
                </c:pt>
                <c:pt idx="1331">
                  <c:v>7900.3999020000001</c:v>
                </c:pt>
                <c:pt idx="1332">
                  <c:v>7814.8999020000001</c:v>
                </c:pt>
                <c:pt idx="1333">
                  <c:v>7860.75</c:v>
                </c:pt>
                <c:pt idx="1334">
                  <c:v>7890.75</c:v>
                </c:pt>
                <c:pt idx="1335">
                  <c:v>7870.1499020000001</c:v>
                </c:pt>
                <c:pt idx="1336">
                  <c:v>7783.3999020000001</c:v>
                </c:pt>
                <c:pt idx="1337">
                  <c:v>7749.7001950000003</c:v>
                </c:pt>
                <c:pt idx="1338">
                  <c:v>7731.0498049999997</c:v>
                </c:pt>
                <c:pt idx="1339">
                  <c:v>7748.8500979999999</c:v>
                </c:pt>
                <c:pt idx="1340">
                  <c:v>7934.8999020000001</c:v>
                </c:pt>
                <c:pt idx="1341">
                  <c:v>8069.6499020000001</c:v>
                </c:pt>
                <c:pt idx="1342">
                  <c:v>8156.6499020000001</c:v>
                </c:pt>
                <c:pt idx="1343">
                  <c:v>8178.5</c:v>
                </c:pt>
                <c:pt idx="1344">
                  <c:v>8160.1000979999999</c:v>
                </c:pt>
                <c:pt idx="1345">
                  <c:v>8179.9501950000003</c:v>
                </c:pt>
                <c:pt idx="1346">
                  <c:v>8218.9501949999994</c:v>
                </c:pt>
                <c:pt idx="1347">
                  <c:v>8220.7998050000006</c:v>
                </c:pt>
                <c:pt idx="1348">
                  <c:v>8201.0498050000006</c:v>
                </c:pt>
                <c:pt idx="1349">
                  <c:v>8266.4501949999994</c:v>
                </c:pt>
                <c:pt idx="1350">
                  <c:v>8273.0498050000006</c:v>
                </c:pt>
                <c:pt idx="1351">
                  <c:v>8203.5996090000008</c:v>
                </c:pt>
                <c:pt idx="1352">
                  <c:v>8170.0498049999997</c:v>
                </c:pt>
                <c:pt idx="1353">
                  <c:v>8110.6000979999999</c:v>
                </c:pt>
                <c:pt idx="1354">
                  <c:v>8108.8500979999999</c:v>
                </c:pt>
                <c:pt idx="1355">
                  <c:v>8206.5996090000008</c:v>
                </c:pt>
                <c:pt idx="1356">
                  <c:v>8140.75</c:v>
                </c:pt>
                <c:pt idx="1357">
                  <c:v>8170.2001950000003</c:v>
                </c:pt>
                <c:pt idx="1358">
                  <c:v>8238.5</c:v>
                </c:pt>
                <c:pt idx="1359">
                  <c:v>8219.9003909999992</c:v>
                </c:pt>
                <c:pt idx="1360">
                  <c:v>8203.7001949999994</c:v>
                </c:pt>
                <c:pt idx="1361">
                  <c:v>8270.4501949999994</c:v>
                </c:pt>
                <c:pt idx="1362">
                  <c:v>8088.6000979999999</c:v>
                </c:pt>
                <c:pt idx="1363">
                  <c:v>8094.7001950000003</c:v>
                </c:pt>
                <c:pt idx="1364">
                  <c:v>8127.8500979999999</c:v>
                </c:pt>
                <c:pt idx="1365">
                  <c:v>8204</c:v>
                </c:pt>
                <c:pt idx="1366">
                  <c:v>8287.75</c:v>
                </c:pt>
                <c:pt idx="1367">
                  <c:v>8328.3496090000008</c:v>
                </c:pt>
                <c:pt idx="1368">
                  <c:v>8370.7001949999994</c:v>
                </c:pt>
                <c:pt idx="1369">
                  <c:v>8335.9501949999994</c:v>
                </c:pt>
                <c:pt idx="1370">
                  <c:v>8337.9003909999992</c:v>
                </c:pt>
                <c:pt idx="1371">
                  <c:v>8323.2001949999994</c:v>
                </c:pt>
                <c:pt idx="1372">
                  <c:v>8467.9003909999992</c:v>
                </c:pt>
                <c:pt idx="1373">
                  <c:v>8521.0498050000006</c:v>
                </c:pt>
                <c:pt idx="1374">
                  <c:v>8519.5</c:v>
                </c:pt>
                <c:pt idx="1375">
                  <c:v>8565</c:v>
                </c:pt>
                <c:pt idx="1376">
                  <c:v>8541.4003909999992</c:v>
                </c:pt>
                <c:pt idx="1377">
                  <c:v>8508.7001949999994</c:v>
                </c:pt>
                <c:pt idx="1378">
                  <c:v>8528.5498050000006</c:v>
                </c:pt>
                <c:pt idx="1379">
                  <c:v>8565.8496090000008</c:v>
                </c:pt>
                <c:pt idx="1380">
                  <c:v>8510.0996090000008</c:v>
                </c:pt>
                <c:pt idx="1381">
                  <c:v>8541.2001949999994</c:v>
                </c:pt>
                <c:pt idx="1382">
                  <c:v>8635.6503909999992</c:v>
                </c:pt>
                <c:pt idx="1383">
                  <c:v>8590.6503909999992</c:v>
                </c:pt>
                <c:pt idx="1384">
                  <c:v>8615.7998050000006</c:v>
                </c:pt>
                <c:pt idx="1385">
                  <c:v>8666.2998050000006</c:v>
                </c:pt>
                <c:pt idx="1386">
                  <c:v>8638.5</c:v>
                </c:pt>
                <c:pt idx="1387">
                  <c:v>8636.5498050000006</c:v>
                </c:pt>
                <c:pt idx="1388">
                  <c:v>8622.9003909999992</c:v>
                </c:pt>
                <c:pt idx="1389">
                  <c:v>8544.8496090000008</c:v>
                </c:pt>
                <c:pt idx="1390">
                  <c:v>8551.0996090000008</c:v>
                </c:pt>
                <c:pt idx="1391">
                  <c:v>8683.1503909999992</c:v>
                </c:pt>
                <c:pt idx="1392">
                  <c:v>8711.3496090000008</c:v>
                </c:pt>
                <c:pt idx="1393">
                  <c:v>8678.25</c:v>
                </c:pt>
                <c:pt idx="1394">
                  <c:v>8575.2998050000006</c:v>
                </c:pt>
                <c:pt idx="1395">
                  <c:v>8592.1503909999992</c:v>
                </c:pt>
                <c:pt idx="1396">
                  <c:v>8642.5498050000006</c:v>
                </c:pt>
                <c:pt idx="1397">
                  <c:v>8624.0498050000006</c:v>
                </c:pt>
                <c:pt idx="1398">
                  <c:v>8673.25</c:v>
                </c:pt>
                <c:pt idx="1399">
                  <c:v>8666.9003909999992</c:v>
                </c:pt>
                <c:pt idx="1400">
                  <c:v>8629.1503909999992</c:v>
                </c:pt>
                <c:pt idx="1401">
                  <c:v>8632.5996090000008</c:v>
                </c:pt>
                <c:pt idx="1402">
                  <c:v>8650.2998050000006</c:v>
                </c:pt>
                <c:pt idx="1403">
                  <c:v>8592.2001949999994</c:v>
                </c:pt>
                <c:pt idx="1404">
                  <c:v>8572.5498050000006</c:v>
                </c:pt>
                <c:pt idx="1405">
                  <c:v>8607.4501949999994</c:v>
                </c:pt>
                <c:pt idx="1406">
                  <c:v>8744.3496090000008</c:v>
                </c:pt>
                <c:pt idx="1407">
                  <c:v>8786.2001949999994</c:v>
                </c:pt>
                <c:pt idx="1408">
                  <c:v>8774.6503909999992</c:v>
                </c:pt>
                <c:pt idx="1409">
                  <c:v>8809.6503909999992</c:v>
                </c:pt>
                <c:pt idx="1410">
                  <c:v>8943</c:v>
                </c:pt>
                <c:pt idx="1411">
                  <c:v>8917.9501949999994</c:v>
                </c:pt>
                <c:pt idx="1412">
                  <c:v>8952.5</c:v>
                </c:pt>
                <c:pt idx="1413">
                  <c:v>8866.7001949999994</c:v>
                </c:pt>
                <c:pt idx="1414">
                  <c:v>8715.5996090000008</c:v>
                </c:pt>
                <c:pt idx="1415">
                  <c:v>8726.5996090000008</c:v>
                </c:pt>
                <c:pt idx="1416">
                  <c:v>8742.5498050000006</c:v>
                </c:pt>
                <c:pt idx="1417">
                  <c:v>8779.8496090000008</c:v>
                </c:pt>
                <c:pt idx="1418">
                  <c:v>8808.4003909999992</c:v>
                </c:pt>
                <c:pt idx="1419">
                  <c:v>8775.9003909999992</c:v>
                </c:pt>
                <c:pt idx="1420">
                  <c:v>8777.1503909999992</c:v>
                </c:pt>
                <c:pt idx="1421">
                  <c:v>8867.4501949999994</c:v>
                </c:pt>
                <c:pt idx="1422">
                  <c:v>8831.5498050000006</c:v>
                </c:pt>
                <c:pt idx="1423">
                  <c:v>8723.0498050000006</c:v>
                </c:pt>
                <c:pt idx="1424">
                  <c:v>8706.4003909999992</c:v>
                </c:pt>
                <c:pt idx="1425">
                  <c:v>8745.1503909999992</c:v>
                </c:pt>
                <c:pt idx="1426">
                  <c:v>8591.25</c:v>
                </c:pt>
                <c:pt idx="1427">
                  <c:v>8611.1503909999992</c:v>
                </c:pt>
                <c:pt idx="1428">
                  <c:v>8738.0996090000008</c:v>
                </c:pt>
                <c:pt idx="1429">
                  <c:v>8769.1503909999992</c:v>
                </c:pt>
                <c:pt idx="1430">
                  <c:v>8743.9501949999994</c:v>
                </c:pt>
                <c:pt idx="1431">
                  <c:v>8709.5498050000006</c:v>
                </c:pt>
                <c:pt idx="1432">
                  <c:v>8697.5996090000008</c:v>
                </c:pt>
                <c:pt idx="1433">
                  <c:v>8708.7998050000006</c:v>
                </c:pt>
                <c:pt idx="1434">
                  <c:v>8573.3496090000008</c:v>
                </c:pt>
                <c:pt idx="1435">
                  <c:v>8583.4003909999992</c:v>
                </c:pt>
                <c:pt idx="1436">
                  <c:v>8520.4003909999992</c:v>
                </c:pt>
                <c:pt idx="1437">
                  <c:v>8677.9003909999992</c:v>
                </c:pt>
                <c:pt idx="1438">
                  <c:v>8659.0996090000008</c:v>
                </c:pt>
                <c:pt idx="1439">
                  <c:v>8699.4003909999992</c:v>
                </c:pt>
                <c:pt idx="1440">
                  <c:v>8693.0498050000006</c:v>
                </c:pt>
                <c:pt idx="1441">
                  <c:v>8708.9501949999994</c:v>
                </c:pt>
                <c:pt idx="1442">
                  <c:v>8691.2998050000006</c:v>
                </c:pt>
                <c:pt idx="1443">
                  <c:v>8615.25</c:v>
                </c:pt>
                <c:pt idx="1444">
                  <c:v>8615.25</c:v>
                </c:pt>
                <c:pt idx="1445">
                  <c:v>8638</c:v>
                </c:pt>
                <c:pt idx="1446">
                  <c:v>8626.25</c:v>
                </c:pt>
                <c:pt idx="1447">
                  <c:v>8514</c:v>
                </c:pt>
                <c:pt idx="1448">
                  <c:v>8484.9501949999994</c:v>
                </c:pt>
                <c:pt idx="1449">
                  <c:v>8433.75</c:v>
                </c:pt>
                <c:pt idx="1450">
                  <c:v>8497.0498050000006</c:v>
                </c:pt>
                <c:pt idx="1451">
                  <c:v>8543.5498050000006</c:v>
                </c:pt>
                <c:pt idx="1452">
                  <c:v>8432</c:v>
                </c:pt>
                <c:pt idx="1453">
                  <c:v>8525.75</c:v>
                </c:pt>
                <c:pt idx="1454">
                  <c:v>8296.2998050000006</c:v>
                </c:pt>
                <c:pt idx="1455">
                  <c:v>8108.4501950000003</c:v>
                </c:pt>
                <c:pt idx="1456">
                  <c:v>8111.6000979999999</c:v>
                </c:pt>
                <c:pt idx="1457">
                  <c:v>8079.9501950000003</c:v>
                </c:pt>
                <c:pt idx="1458">
                  <c:v>8074.1000979999999</c:v>
                </c:pt>
                <c:pt idx="1459">
                  <c:v>7929.1000979999999</c:v>
                </c:pt>
                <c:pt idx="1460">
                  <c:v>8002.2998049999997</c:v>
                </c:pt>
                <c:pt idx="1461">
                  <c:v>8033.2998049999997</c:v>
                </c:pt>
                <c:pt idx="1462">
                  <c:v>7965.5</c:v>
                </c:pt>
                <c:pt idx="1463">
                  <c:v>8114.2998049999997</c:v>
                </c:pt>
                <c:pt idx="1464">
                  <c:v>8126.8999020000001</c:v>
                </c:pt>
                <c:pt idx="1465">
                  <c:v>8142.1499020000001</c:v>
                </c:pt>
                <c:pt idx="1466">
                  <c:v>8224.5</c:v>
                </c:pt>
                <c:pt idx="1467">
                  <c:v>8192.9003909999992</c:v>
                </c:pt>
                <c:pt idx="1468">
                  <c:v>8086.7998049999997</c:v>
                </c:pt>
                <c:pt idx="1469">
                  <c:v>8128.75</c:v>
                </c:pt>
                <c:pt idx="1470">
                  <c:v>8143.1499020000001</c:v>
                </c:pt>
                <c:pt idx="1471">
                  <c:v>8102.0498049999997</c:v>
                </c:pt>
                <c:pt idx="1472">
                  <c:v>8246.8496090000008</c:v>
                </c:pt>
                <c:pt idx="1473">
                  <c:v>8261.75</c:v>
                </c:pt>
                <c:pt idx="1474">
                  <c:v>8170.7998049999997</c:v>
                </c:pt>
                <c:pt idx="1475">
                  <c:v>8221.7998050000006</c:v>
                </c:pt>
                <c:pt idx="1476">
                  <c:v>8182.4501950000003</c:v>
                </c:pt>
                <c:pt idx="1477">
                  <c:v>8153.6000979999999</c:v>
                </c:pt>
                <c:pt idx="1478">
                  <c:v>8139.4501950000003</c:v>
                </c:pt>
                <c:pt idx="1479">
                  <c:v>8104.3500979999999</c:v>
                </c:pt>
                <c:pt idx="1480">
                  <c:v>8082.3999020000001</c:v>
                </c:pt>
                <c:pt idx="1481">
                  <c:v>8061.2998049999997</c:v>
                </c:pt>
                <c:pt idx="1482">
                  <c:v>7979.1000979999999</c:v>
                </c:pt>
                <c:pt idx="1483">
                  <c:v>7985.75</c:v>
                </c:pt>
                <c:pt idx="1484">
                  <c:v>7908.25</c:v>
                </c:pt>
                <c:pt idx="1485">
                  <c:v>8032.8500979999999</c:v>
                </c:pt>
                <c:pt idx="1486">
                  <c:v>8034.8500979999999</c:v>
                </c:pt>
                <c:pt idx="1487">
                  <c:v>8103.6000979999999</c:v>
                </c:pt>
                <c:pt idx="1488">
                  <c:v>8185.7998049999997</c:v>
                </c:pt>
                <c:pt idx="1489">
                  <c:v>8179.5</c:v>
                </c:pt>
                <c:pt idx="1490">
                  <c:v>8192.25</c:v>
                </c:pt>
                <c:pt idx="1491">
                  <c:v>8190.5</c:v>
                </c:pt>
                <c:pt idx="1492">
                  <c:v>8273.7998050000006</c:v>
                </c:pt>
                <c:pt idx="1493">
                  <c:v>8243.7998050000006</c:v>
                </c:pt>
                <c:pt idx="1494">
                  <c:v>8236.0498050000006</c:v>
                </c:pt>
                <c:pt idx="1495">
                  <c:v>8288.5996090000008</c:v>
                </c:pt>
                <c:pt idx="1496">
                  <c:v>8380.6503909999992</c:v>
                </c:pt>
                <c:pt idx="1497">
                  <c:v>8407.2001949999994</c:v>
                </c:pt>
                <c:pt idx="1498">
                  <c:v>8400.3496090000008</c:v>
                </c:pt>
                <c:pt idx="1499">
                  <c:v>8412.7998050000006</c:v>
                </c:pt>
                <c:pt idx="1500">
                  <c:v>8398</c:v>
                </c:pt>
                <c:pt idx="1501">
                  <c:v>8417</c:v>
                </c:pt>
                <c:pt idx="1502">
                  <c:v>8435.0996090000008</c:v>
                </c:pt>
                <c:pt idx="1503">
                  <c:v>8349.3496090000008</c:v>
                </c:pt>
                <c:pt idx="1504">
                  <c:v>8391.5</c:v>
                </c:pt>
                <c:pt idx="1505">
                  <c:v>8475.7998050000006</c:v>
                </c:pt>
                <c:pt idx="1506">
                  <c:v>8602.75</c:v>
                </c:pt>
                <c:pt idx="1507">
                  <c:v>8641.25</c:v>
                </c:pt>
                <c:pt idx="1508">
                  <c:v>8632.75</c:v>
                </c:pt>
                <c:pt idx="1509">
                  <c:v>8561.2998050000006</c:v>
                </c:pt>
                <c:pt idx="1510">
                  <c:v>8716.4003909999992</c:v>
                </c:pt>
                <c:pt idx="1511">
                  <c:v>8734.25</c:v>
                </c:pt>
                <c:pt idx="1512">
                  <c:v>8740.9501949999994</c:v>
                </c:pt>
                <c:pt idx="1513">
                  <c:v>8801.0498050000006</c:v>
                </c:pt>
                <c:pt idx="1514">
                  <c:v>8768.2998050000006</c:v>
                </c:pt>
                <c:pt idx="1515">
                  <c:v>8769.0498050000006</c:v>
                </c:pt>
                <c:pt idx="1516">
                  <c:v>8778.4003909999992</c:v>
                </c:pt>
                <c:pt idx="1517">
                  <c:v>8793.5498050000006</c:v>
                </c:pt>
                <c:pt idx="1518">
                  <c:v>8805.0498050000006</c:v>
                </c:pt>
                <c:pt idx="1519">
                  <c:v>8792.2998050000006</c:v>
                </c:pt>
                <c:pt idx="1520">
                  <c:v>8724.7001949999994</c:v>
                </c:pt>
                <c:pt idx="1521">
                  <c:v>8778</c:v>
                </c:pt>
                <c:pt idx="1522">
                  <c:v>8821.7001949999994</c:v>
                </c:pt>
                <c:pt idx="1523">
                  <c:v>8879.2001949999994</c:v>
                </c:pt>
                <c:pt idx="1524">
                  <c:v>8907.8496090000008</c:v>
                </c:pt>
                <c:pt idx="1525">
                  <c:v>8926.9003909999992</c:v>
                </c:pt>
                <c:pt idx="1526">
                  <c:v>8939.5</c:v>
                </c:pt>
                <c:pt idx="1527">
                  <c:v>8896.7001949999994</c:v>
                </c:pt>
                <c:pt idx="1528">
                  <c:v>8879.5996090000008</c:v>
                </c:pt>
                <c:pt idx="1529">
                  <c:v>8945.7998050000006</c:v>
                </c:pt>
                <c:pt idx="1530">
                  <c:v>8899.75</c:v>
                </c:pt>
                <c:pt idx="1531">
                  <c:v>8897.5498050000006</c:v>
                </c:pt>
                <c:pt idx="1532">
                  <c:v>8963.4501949999994</c:v>
                </c:pt>
                <c:pt idx="1533">
                  <c:v>8946.9003909999992</c:v>
                </c:pt>
                <c:pt idx="1534">
                  <c:v>8924.2998050000006</c:v>
                </c:pt>
                <c:pt idx="1535">
                  <c:v>8927</c:v>
                </c:pt>
                <c:pt idx="1536">
                  <c:v>8934.5498050000006</c:v>
                </c:pt>
                <c:pt idx="1537">
                  <c:v>9087</c:v>
                </c:pt>
                <c:pt idx="1538">
                  <c:v>9084.7998050000006</c:v>
                </c:pt>
                <c:pt idx="1539">
                  <c:v>9153.7001949999994</c:v>
                </c:pt>
                <c:pt idx="1540">
                  <c:v>9160.0498050000006</c:v>
                </c:pt>
                <c:pt idx="1541">
                  <c:v>9126.8496090000008</c:v>
                </c:pt>
                <c:pt idx="1542">
                  <c:v>9121.5</c:v>
                </c:pt>
                <c:pt idx="1543">
                  <c:v>9030.4501949999994</c:v>
                </c:pt>
                <c:pt idx="1544">
                  <c:v>9086.2998050000006</c:v>
                </c:pt>
                <c:pt idx="1545">
                  <c:v>9108</c:v>
                </c:pt>
                <c:pt idx="1546">
                  <c:v>9045.2001949999994</c:v>
                </c:pt>
                <c:pt idx="1547">
                  <c:v>9100.7998050000006</c:v>
                </c:pt>
                <c:pt idx="1548">
                  <c:v>9143.7998050000006</c:v>
                </c:pt>
                <c:pt idx="1549">
                  <c:v>9173.75</c:v>
                </c:pt>
                <c:pt idx="1550">
                  <c:v>9173.75</c:v>
                </c:pt>
                <c:pt idx="1551">
                  <c:v>9237.8496090000008</c:v>
                </c:pt>
                <c:pt idx="1552">
                  <c:v>9265.1503909999992</c:v>
                </c:pt>
                <c:pt idx="1553">
                  <c:v>9261.9501949999994</c:v>
                </c:pt>
                <c:pt idx="1554">
                  <c:v>9198.2998050000006</c:v>
                </c:pt>
                <c:pt idx="1555">
                  <c:v>9181.4501949999994</c:v>
                </c:pt>
                <c:pt idx="1556">
                  <c:v>9237</c:v>
                </c:pt>
                <c:pt idx="1557">
                  <c:v>9203.4501949999994</c:v>
                </c:pt>
                <c:pt idx="1558">
                  <c:v>9150.7998050000006</c:v>
                </c:pt>
                <c:pt idx="1559">
                  <c:v>9139.2998050000006</c:v>
                </c:pt>
                <c:pt idx="1560">
                  <c:v>9105.1503909999992</c:v>
                </c:pt>
                <c:pt idx="1561">
                  <c:v>9103.5</c:v>
                </c:pt>
                <c:pt idx="1562">
                  <c:v>9136.4003909999992</c:v>
                </c:pt>
                <c:pt idx="1563">
                  <c:v>9119.4003909999992</c:v>
                </c:pt>
                <c:pt idx="1564">
                  <c:v>9217.9501949999994</c:v>
                </c:pt>
                <c:pt idx="1565">
                  <c:v>9306.5996090000008</c:v>
                </c:pt>
                <c:pt idx="1566">
                  <c:v>9351.8496090000008</c:v>
                </c:pt>
                <c:pt idx="1567">
                  <c:v>9342.1503909999992</c:v>
                </c:pt>
                <c:pt idx="1568">
                  <c:v>9304.0498050000006</c:v>
                </c:pt>
                <c:pt idx="1569">
                  <c:v>9313.7998050000006</c:v>
                </c:pt>
                <c:pt idx="1570">
                  <c:v>9311.9501949999994</c:v>
                </c:pt>
                <c:pt idx="1571">
                  <c:v>9359.9003909999992</c:v>
                </c:pt>
                <c:pt idx="1572">
                  <c:v>9285.2998050000006</c:v>
                </c:pt>
                <c:pt idx="1573">
                  <c:v>9314.0498050000006</c:v>
                </c:pt>
                <c:pt idx="1574">
                  <c:v>9316.8496090000008</c:v>
                </c:pt>
                <c:pt idx="1575">
                  <c:v>9407.2998050000006</c:v>
                </c:pt>
                <c:pt idx="1576">
                  <c:v>9422.4003909999992</c:v>
                </c:pt>
                <c:pt idx="1577">
                  <c:v>9400.9003909999992</c:v>
                </c:pt>
                <c:pt idx="1578">
                  <c:v>9445.4003909999992</c:v>
                </c:pt>
                <c:pt idx="1579">
                  <c:v>9512.25</c:v>
                </c:pt>
                <c:pt idx="1580">
                  <c:v>9525.75</c:v>
                </c:pt>
                <c:pt idx="1581">
                  <c:v>9429.4501949999994</c:v>
                </c:pt>
                <c:pt idx="1582">
                  <c:v>9427.9003909999992</c:v>
                </c:pt>
                <c:pt idx="1583">
                  <c:v>9438.25</c:v>
                </c:pt>
                <c:pt idx="1584">
                  <c:v>9386.1503909999992</c:v>
                </c:pt>
                <c:pt idx="1585">
                  <c:v>9360.5498050000006</c:v>
                </c:pt>
                <c:pt idx="1586">
                  <c:v>9509.75</c:v>
                </c:pt>
                <c:pt idx="1587">
                  <c:v>9595.0996090000008</c:v>
                </c:pt>
                <c:pt idx="1588">
                  <c:v>9604.9003909999992</c:v>
                </c:pt>
                <c:pt idx="1589">
                  <c:v>9624.5498050000006</c:v>
                </c:pt>
                <c:pt idx="1590">
                  <c:v>9621.25</c:v>
                </c:pt>
                <c:pt idx="1591">
                  <c:v>9616.0996090000008</c:v>
                </c:pt>
                <c:pt idx="1592">
                  <c:v>9653.5</c:v>
                </c:pt>
                <c:pt idx="1593">
                  <c:v>9675.0996090000008</c:v>
                </c:pt>
                <c:pt idx="1594">
                  <c:v>9637.1503909999992</c:v>
                </c:pt>
                <c:pt idx="1595">
                  <c:v>9663.9003909999992</c:v>
                </c:pt>
                <c:pt idx="1596">
                  <c:v>9647.25</c:v>
                </c:pt>
                <c:pt idx="1597">
                  <c:v>9668.25</c:v>
                </c:pt>
                <c:pt idx="1598">
                  <c:v>9616.4003909999992</c:v>
                </c:pt>
                <c:pt idx="1599">
                  <c:v>9606.9003909999992</c:v>
                </c:pt>
                <c:pt idx="1600">
                  <c:v>9618.1503909999992</c:v>
                </c:pt>
                <c:pt idx="1601">
                  <c:v>9578.0498050000006</c:v>
                </c:pt>
                <c:pt idx="1602">
                  <c:v>9588.0498050000006</c:v>
                </c:pt>
                <c:pt idx="1603">
                  <c:v>9657.5498050000006</c:v>
                </c:pt>
                <c:pt idx="1604">
                  <c:v>9653.5</c:v>
                </c:pt>
                <c:pt idx="1605">
                  <c:v>9633.5996090000008</c:v>
                </c:pt>
                <c:pt idx="1606">
                  <c:v>9630</c:v>
                </c:pt>
                <c:pt idx="1607">
                  <c:v>9574.9501949999994</c:v>
                </c:pt>
                <c:pt idx="1608">
                  <c:v>9511.4003909999992</c:v>
                </c:pt>
                <c:pt idx="1609">
                  <c:v>9491.25</c:v>
                </c:pt>
                <c:pt idx="1610">
                  <c:v>9504.0996090000008</c:v>
                </c:pt>
                <c:pt idx="1611">
                  <c:v>9520.9003909999992</c:v>
                </c:pt>
                <c:pt idx="1612">
                  <c:v>9615</c:v>
                </c:pt>
                <c:pt idx="1613">
                  <c:v>9613.2998050000006</c:v>
                </c:pt>
                <c:pt idx="1614">
                  <c:v>9637.5996090000008</c:v>
                </c:pt>
                <c:pt idx="1615">
                  <c:v>9674.5498050000006</c:v>
                </c:pt>
                <c:pt idx="1616">
                  <c:v>9665.7998050000006</c:v>
                </c:pt>
                <c:pt idx="1617">
                  <c:v>9771.0498050000006</c:v>
                </c:pt>
                <c:pt idx="1618">
                  <c:v>9786.0498050000006</c:v>
                </c:pt>
                <c:pt idx="1619">
                  <c:v>9816.0996090000008</c:v>
                </c:pt>
                <c:pt idx="1620">
                  <c:v>9891.7001949999994</c:v>
                </c:pt>
                <c:pt idx="1621">
                  <c:v>9886.3496090000008</c:v>
                </c:pt>
                <c:pt idx="1622">
                  <c:v>9915.9501949999994</c:v>
                </c:pt>
                <c:pt idx="1623">
                  <c:v>9827.1503909999992</c:v>
                </c:pt>
                <c:pt idx="1624">
                  <c:v>9899.5996090000008</c:v>
                </c:pt>
                <c:pt idx="1625">
                  <c:v>9873.2998050000006</c:v>
                </c:pt>
                <c:pt idx="1626">
                  <c:v>9915.25</c:v>
                </c:pt>
                <c:pt idx="1627">
                  <c:v>9966.4003909999992</c:v>
                </c:pt>
                <c:pt idx="1628">
                  <c:v>9964.5498050000006</c:v>
                </c:pt>
                <c:pt idx="1629">
                  <c:v>10020.650390999999</c:v>
                </c:pt>
                <c:pt idx="1630">
                  <c:v>10020.549805000001</c:v>
                </c:pt>
                <c:pt idx="1631">
                  <c:v>10014.5</c:v>
                </c:pt>
                <c:pt idx="1632">
                  <c:v>10077.099609000001</c:v>
                </c:pt>
                <c:pt idx="1633">
                  <c:v>10114.650390999999</c:v>
                </c:pt>
                <c:pt idx="1634">
                  <c:v>10081.5</c:v>
                </c:pt>
                <c:pt idx="1635">
                  <c:v>10013.650390999999</c:v>
                </c:pt>
                <c:pt idx="1636">
                  <c:v>10066.400390999999</c:v>
                </c:pt>
                <c:pt idx="1637">
                  <c:v>10057.400390999999</c:v>
                </c:pt>
                <c:pt idx="1638">
                  <c:v>9978.5498050000006</c:v>
                </c:pt>
                <c:pt idx="1639">
                  <c:v>9908.0498050000006</c:v>
                </c:pt>
                <c:pt idx="1640">
                  <c:v>9820.25</c:v>
                </c:pt>
                <c:pt idx="1641">
                  <c:v>9710.7998050000006</c:v>
                </c:pt>
                <c:pt idx="1642">
                  <c:v>9794.1503909999992</c:v>
                </c:pt>
                <c:pt idx="1643">
                  <c:v>9897.2998050000006</c:v>
                </c:pt>
                <c:pt idx="1644">
                  <c:v>9904.1503909999992</c:v>
                </c:pt>
                <c:pt idx="1645">
                  <c:v>9837.4003909999992</c:v>
                </c:pt>
                <c:pt idx="1646">
                  <c:v>9754.3496090000008</c:v>
                </c:pt>
                <c:pt idx="1647">
                  <c:v>9765.5498050000006</c:v>
                </c:pt>
                <c:pt idx="1648">
                  <c:v>9852.5</c:v>
                </c:pt>
                <c:pt idx="1649">
                  <c:v>9857.0498050000006</c:v>
                </c:pt>
                <c:pt idx="1650">
                  <c:v>9912.7998050000006</c:v>
                </c:pt>
                <c:pt idx="1651">
                  <c:v>9796.0498050000006</c:v>
                </c:pt>
                <c:pt idx="1652">
                  <c:v>9884.4003909999992</c:v>
                </c:pt>
                <c:pt idx="1653">
                  <c:v>9917.9003909999992</c:v>
                </c:pt>
                <c:pt idx="1654">
                  <c:v>9974.4003909999992</c:v>
                </c:pt>
                <c:pt idx="1655">
                  <c:v>9912.8496090000008</c:v>
                </c:pt>
                <c:pt idx="1656">
                  <c:v>9952.2001949999994</c:v>
                </c:pt>
                <c:pt idx="1657">
                  <c:v>9916.2001949999994</c:v>
                </c:pt>
                <c:pt idx="1658">
                  <c:v>9929.9003909999992</c:v>
                </c:pt>
                <c:pt idx="1659">
                  <c:v>9934.7998050000006</c:v>
                </c:pt>
                <c:pt idx="1660">
                  <c:v>10006.049805000001</c:v>
                </c:pt>
                <c:pt idx="1661">
                  <c:v>10093.049805000001</c:v>
                </c:pt>
                <c:pt idx="1662">
                  <c:v>10079.299805000001</c:v>
                </c:pt>
                <c:pt idx="1663">
                  <c:v>10086.599609000001</c:v>
                </c:pt>
                <c:pt idx="1664">
                  <c:v>10085.400390999999</c:v>
                </c:pt>
                <c:pt idx="1665">
                  <c:v>10153.099609000001</c:v>
                </c:pt>
                <c:pt idx="1666">
                  <c:v>10147.549805000001</c:v>
                </c:pt>
                <c:pt idx="1667">
                  <c:v>10141.150390999999</c:v>
                </c:pt>
                <c:pt idx="1668">
                  <c:v>10121.900390999999</c:v>
                </c:pt>
                <c:pt idx="1669">
                  <c:v>9964.4003909999992</c:v>
                </c:pt>
                <c:pt idx="1670">
                  <c:v>9872.5996090000008</c:v>
                </c:pt>
                <c:pt idx="1671">
                  <c:v>9871.5</c:v>
                </c:pt>
                <c:pt idx="1672">
                  <c:v>9735.75</c:v>
                </c:pt>
                <c:pt idx="1673">
                  <c:v>9768.9501949999994</c:v>
                </c:pt>
                <c:pt idx="1674">
                  <c:v>9788.5996090000008</c:v>
                </c:pt>
                <c:pt idx="1675">
                  <c:v>9859.5</c:v>
                </c:pt>
                <c:pt idx="1676">
                  <c:v>9914.9003909999992</c:v>
                </c:pt>
                <c:pt idx="1677">
                  <c:v>9888.7001949999994</c:v>
                </c:pt>
                <c:pt idx="1678">
                  <c:v>9979.7001949999994</c:v>
                </c:pt>
                <c:pt idx="1679">
                  <c:v>9988.75</c:v>
                </c:pt>
                <c:pt idx="1680">
                  <c:v>10016.950194999999</c:v>
                </c:pt>
                <c:pt idx="1681">
                  <c:v>9984.7998050000006</c:v>
                </c:pt>
                <c:pt idx="1682">
                  <c:v>10096.400390999999</c:v>
                </c:pt>
                <c:pt idx="1683">
                  <c:v>10167.450194999999</c:v>
                </c:pt>
                <c:pt idx="1684">
                  <c:v>10230.849609000001</c:v>
                </c:pt>
                <c:pt idx="1685">
                  <c:v>10234.450194999999</c:v>
                </c:pt>
                <c:pt idx="1686">
                  <c:v>10210.849609000001</c:v>
                </c:pt>
                <c:pt idx="1687">
                  <c:v>10146.549805000001</c:v>
                </c:pt>
                <c:pt idx="1688">
                  <c:v>10184.849609000001</c:v>
                </c:pt>
                <c:pt idx="1689">
                  <c:v>10207.700194999999</c:v>
                </c:pt>
                <c:pt idx="1690">
                  <c:v>10295.349609000001</c:v>
                </c:pt>
                <c:pt idx="1691">
                  <c:v>10343.799805000001</c:v>
                </c:pt>
                <c:pt idx="1692">
                  <c:v>10323.049805000001</c:v>
                </c:pt>
                <c:pt idx="1693">
                  <c:v>10363.650390999999</c:v>
                </c:pt>
                <c:pt idx="1694">
                  <c:v>10335.299805000001</c:v>
                </c:pt>
                <c:pt idx="1695">
                  <c:v>10440.5</c:v>
                </c:pt>
                <c:pt idx="1696">
                  <c:v>10423.799805000001</c:v>
                </c:pt>
                <c:pt idx="1697">
                  <c:v>10452.5</c:v>
                </c:pt>
                <c:pt idx="1698">
                  <c:v>10451.799805000001</c:v>
                </c:pt>
                <c:pt idx="1699">
                  <c:v>10350.150390999999</c:v>
                </c:pt>
                <c:pt idx="1700">
                  <c:v>10303.150390999999</c:v>
                </c:pt>
                <c:pt idx="1701">
                  <c:v>10308.950194999999</c:v>
                </c:pt>
                <c:pt idx="1702">
                  <c:v>10321.75</c:v>
                </c:pt>
                <c:pt idx="1703">
                  <c:v>10224.950194999999</c:v>
                </c:pt>
                <c:pt idx="1704">
                  <c:v>10186.599609000001</c:v>
                </c:pt>
                <c:pt idx="1705">
                  <c:v>10118.049805000001</c:v>
                </c:pt>
                <c:pt idx="1706">
                  <c:v>10214.75</c:v>
                </c:pt>
                <c:pt idx="1707">
                  <c:v>10283.599609000001</c:v>
                </c:pt>
                <c:pt idx="1708">
                  <c:v>10298.75</c:v>
                </c:pt>
                <c:pt idx="1709">
                  <c:v>10326.900390999999</c:v>
                </c:pt>
                <c:pt idx="1710">
                  <c:v>10342.299805000001</c:v>
                </c:pt>
                <c:pt idx="1711">
                  <c:v>10348.75</c:v>
                </c:pt>
                <c:pt idx="1712">
                  <c:v>10389.700194999999</c:v>
                </c:pt>
                <c:pt idx="1713">
                  <c:v>10399.549805000001</c:v>
                </c:pt>
                <c:pt idx="1714">
                  <c:v>10370.25</c:v>
                </c:pt>
                <c:pt idx="1715">
                  <c:v>10361.299805000001</c:v>
                </c:pt>
                <c:pt idx="1716">
                  <c:v>10226.549805000001</c:v>
                </c:pt>
                <c:pt idx="1717">
                  <c:v>10121.799805000001</c:v>
                </c:pt>
                <c:pt idx="1718">
                  <c:v>10127.75</c:v>
                </c:pt>
                <c:pt idx="1719">
                  <c:v>10118.25</c:v>
                </c:pt>
                <c:pt idx="1720">
                  <c:v>10044.099609000001</c:v>
                </c:pt>
                <c:pt idx="1721">
                  <c:v>10166.700194999999</c:v>
                </c:pt>
                <c:pt idx="1722">
                  <c:v>10265.650390999999</c:v>
                </c:pt>
                <c:pt idx="1723">
                  <c:v>10322.25</c:v>
                </c:pt>
                <c:pt idx="1724">
                  <c:v>10240.150390999999</c:v>
                </c:pt>
                <c:pt idx="1725">
                  <c:v>10192.950194999999</c:v>
                </c:pt>
                <c:pt idx="1726">
                  <c:v>10252.099609000001</c:v>
                </c:pt>
                <c:pt idx="1727">
                  <c:v>10333.25</c:v>
                </c:pt>
                <c:pt idx="1728">
                  <c:v>10388.75</c:v>
                </c:pt>
                <c:pt idx="1729">
                  <c:v>10463.200194999999</c:v>
                </c:pt>
                <c:pt idx="1730">
                  <c:v>10444.200194999999</c:v>
                </c:pt>
                <c:pt idx="1731">
                  <c:v>10440.299805000001</c:v>
                </c:pt>
                <c:pt idx="1732">
                  <c:v>10493</c:v>
                </c:pt>
                <c:pt idx="1733">
                  <c:v>10531.5</c:v>
                </c:pt>
                <c:pt idx="1734">
                  <c:v>10490.75</c:v>
                </c:pt>
                <c:pt idx="1735">
                  <c:v>10477.900390999999</c:v>
                </c:pt>
                <c:pt idx="1736">
                  <c:v>10530.700194999999</c:v>
                </c:pt>
                <c:pt idx="1737">
                  <c:v>10442.200194999999</c:v>
                </c:pt>
                <c:pt idx="1738">
                  <c:v>10443.200194999999</c:v>
                </c:pt>
                <c:pt idx="1739">
                  <c:v>10504.799805000001</c:v>
                </c:pt>
                <c:pt idx="1740">
                  <c:v>10558.849609000001</c:v>
                </c:pt>
                <c:pt idx="1741">
                  <c:v>10623.599609000001</c:v>
                </c:pt>
                <c:pt idx="1742">
                  <c:v>10637</c:v>
                </c:pt>
                <c:pt idx="1743">
                  <c:v>10632.200194999999</c:v>
                </c:pt>
                <c:pt idx="1744">
                  <c:v>10651.200194999999</c:v>
                </c:pt>
                <c:pt idx="1745">
                  <c:v>10681.25</c:v>
                </c:pt>
                <c:pt idx="1746">
                  <c:v>10741.549805000001</c:v>
                </c:pt>
                <c:pt idx="1747">
                  <c:v>10700.450194999999</c:v>
                </c:pt>
                <c:pt idx="1748">
                  <c:v>10788.549805000001</c:v>
                </c:pt>
                <c:pt idx="1749">
                  <c:v>10817</c:v>
                </c:pt>
                <c:pt idx="1750">
                  <c:v>10894.700194999999</c:v>
                </c:pt>
                <c:pt idx="1751">
                  <c:v>10966.200194999999</c:v>
                </c:pt>
                <c:pt idx="1752">
                  <c:v>11083.700194999999</c:v>
                </c:pt>
                <c:pt idx="1753">
                  <c:v>11086</c:v>
                </c:pt>
                <c:pt idx="1754">
                  <c:v>11069.650390999999</c:v>
                </c:pt>
                <c:pt idx="1755">
                  <c:v>11130.400390999999</c:v>
                </c:pt>
                <c:pt idx="1756">
                  <c:v>11049.650390999999</c:v>
                </c:pt>
                <c:pt idx="1757">
                  <c:v>11027.700194999999</c:v>
                </c:pt>
                <c:pt idx="1758">
                  <c:v>11016.900390999999</c:v>
                </c:pt>
                <c:pt idx="1759">
                  <c:v>10760.599609000001</c:v>
                </c:pt>
                <c:pt idx="1760">
                  <c:v>10666.549805000001</c:v>
                </c:pt>
                <c:pt idx="1761">
                  <c:v>10498.25</c:v>
                </c:pt>
                <c:pt idx="1762">
                  <c:v>10476.700194999999</c:v>
                </c:pt>
                <c:pt idx="1763">
                  <c:v>10576.849609000001</c:v>
                </c:pt>
                <c:pt idx="1764">
                  <c:v>10454.950194999999</c:v>
                </c:pt>
                <c:pt idx="1765">
                  <c:v>10539.75</c:v>
                </c:pt>
                <c:pt idx="1766">
                  <c:v>10500.900390999999</c:v>
                </c:pt>
                <c:pt idx="1767">
                  <c:v>10545.5</c:v>
                </c:pt>
                <c:pt idx="1768">
                  <c:v>10452.299805000001</c:v>
                </c:pt>
                <c:pt idx="1769">
                  <c:v>10378.400390999999</c:v>
                </c:pt>
                <c:pt idx="1770">
                  <c:v>10360.400390999999</c:v>
                </c:pt>
                <c:pt idx="1771">
                  <c:v>10397.450194999999</c:v>
                </c:pt>
                <c:pt idx="1772">
                  <c:v>10382.700194999999</c:v>
                </c:pt>
                <c:pt idx="1773">
                  <c:v>10491.049805000001</c:v>
                </c:pt>
                <c:pt idx="1774">
                  <c:v>10582.599609000001</c:v>
                </c:pt>
                <c:pt idx="1775">
                  <c:v>10554.299805000001</c:v>
                </c:pt>
                <c:pt idx="1776">
                  <c:v>10492.849609000001</c:v>
                </c:pt>
                <c:pt idx="1777">
                  <c:v>10458.349609000001</c:v>
                </c:pt>
                <c:pt idx="1778">
                  <c:v>10358.849609000001</c:v>
                </c:pt>
                <c:pt idx="1779">
                  <c:v>10249.25</c:v>
                </c:pt>
                <c:pt idx="1780">
                  <c:v>10154.200194999999</c:v>
                </c:pt>
                <c:pt idx="1781">
                  <c:v>10242.650390999999</c:v>
                </c:pt>
                <c:pt idx="1782">
                  <c:v>10226.849609000001</c:v>
                </c:pt>
                <c:pt idx="1783">
                  <c:v>10421.400390999999</c:v>
                </c:pt>
                <c:pt idx="1784">
                  <c:v>10426.849609000001</c:v>
                </c:pt>
                <c:pt idx="1785">
                  <c:v>10410.900390999999</c:v>
                </c:pt>
                <c:pt idx="1786">
                  <c:v>10360.150390999999</c:v>
                </c:pt>
                <c:pt idx="1787">
                  <c:v>10195.150390999999</c:v>
                </c:pt>
                <c:pt idx="1788">
                  <c:v>10094.25</c:v>
                </c:pt>
                <c:pt idx="1789">
                  <c:v>10124.349609000001</c:v>
                </c:pt>
                <c:pt idx="1790">
                  <c:v>10155.25</c:v>
                </c:pt>
                <c:pt idx="1791">
                  <c:v>10114.75</c:v>
                </c:pt>
                <c:pt idx="1792">
                  <c:v>9998.0498050000006</c:v>
                </c:pt>
                <c:pt idx="1793">
                  <c:v>10130.650390999999</c:v>
                </c:pt>
                <c:pt idx="1794">
                  <c:v>10184.150390999999</c:v>
                </c:pt>
                <c:pt idx="1795">
                  <c:v>10113.700194999999</c:v>
                </c:pt>
                <c:pt idx="1796">
                  <c:v>10211.799805000001</c:v>
                </c:pt>
                <c:pt idx="1797">
                  <c:v>10245</c:v>
                </c:pt>
                <c:pt idx="1798">
                  <c:v>10128.400390999999</c:v>
                </c:pt>
                <c:pt idx="1799">
                  <c:v>10325.150390999999</c:v>
                </c:pt>
                <c:pt idx="1800">
                  <c:v>10331.599609000001</c:v>
                </c:pt>
                <c:pt idx="1801">
                  <c:v>10379.349609000001</c:v>
                </c:pt>
                <c:pt idx="1802">
                  <c:v>10402.25</c:v>
                </c:pt>
                <c:pt idx="1803">
                  <c:v>10417.150390999999</c:v>
                </c:pt>
                <c:pt idx="1804">
                  <c:v>10458.650390999999</c:v>
                </c:pt>
                <c:pt idx="1805">
                  <c:v>10480.599609000001</c:v>
                </c:pt>
                <c:pt idx="1806">
                  <c:v>10528.349609000001</c:v>
                </c:pt>
                <c:pt idx="1807">
                  <c:v>10548.700194999999</c:v>
                </c:pt>
                <c:pt idx="1808">
                  <c:v>10526.200194999999</c:v>
                </c:pt>
                <c:pt idx="1809">
                  <c:v>10565.299805000001</c:v>
                </c:pt>
                <c:pt idx="1810">
                  <c:v>10564.049805000001</c:v>
                </c:pt>
                <c:pt idx="1811">
                  <c:v>10584.700194999999</c:v>
                </c:pt>
                <c:pt idx="1812">
                  <c:v>10614.349609000001</c:v>
                </c:pt>
                <c:pt idx="1813">
                  <c:v>10570.549805000001</c:v>
                </c:pt>
                <c:pt idx="1814">
                  <c:v>10617.799805000001</c:v>
                </c:pt>
                <c:pt idx="1815">
                  <c:v>10692.299805000001</c:v>
                </c:pt>
                <c:pt idx="1816">
                  <c:v>10739.349609000001</c:v>
                </c:pt>
                <c:pt idx="1817">
                  <c:v>10718.049805000001</c:v>
                </c:pt>
                <c:pt idx="1818">
                  <c:v>10679.650390999999</c:v>
                </c:pt>
                <c:pt idx="1819">
                  <c:v>10618.25</c:v>
                </c:pt>
                <c:pt idx="1820">
                  <c:v>10715.5</c:v>
                </c:pt>
                <c:pt idx="1821">
                  <c:v>10717.799805000001</c:v>
                </c:pt>
                <c:pt idx="1822">
                  <c:v>10741.700194999999</c:v>
                </c:pt>
                <c:pt idx="1823">
                  <c:v>10716.549805000001</c:v>
                </c:pt>
                <c:pt idx="1824">
                  <c:v>10806.5</c:v>
                </c:pt>
                <c:pt idx="1825">
                  <c:v>10806.599609000001</c:v>
                </c:pt>
                <c:pt idx="1826">
                  <c:v>10801.849609000001</c:v>
                </c:pt>
                <c:pt idx="1827">
                  <c:v>10741.099609000001</c:v>
                </c:pt>
                <c:pt idx="1828">
                  <c:v>10682.700194999999</c:v>
                </c:pt>
                <c:pt idx="1829">
                  <c:v>10596.400390999999</c:v>
                </c:pt>
                <c:pt idx="1830">
                  <c:v>10516.700194999999</c:v>
                </c:pt>
                <c:pt idx="1831">
                  <c:v>10536.700194999999</c:v>
                </c:pt>
                <c:pt idx="1832">
                  <c:v>10430.349609000001</c:v>
                </c:pt>
                <c:pt idx="1833">
                  <c:v>10513.849609000001</c:v>
                </c:pt>
                <c:pt idx="1834">
                  <c:v>10605.150390999999</c:v>
                </c:pt>
                <c:pt idx="1835">
                  <c:v>10688.650390999999</c:v>
                </c:pt>
                <c:pt idx="1836">
                  <c:v>10633.299805000001</c:v>
                </c:pt>
                <c:pt idx="1837">
                  <c:v>10614.349609000001</c:v>
                </c:pt>
                <c:pt idx="1838">
                  <c:v>10736.150390999999</c:v>
                </c:pt>
                <c:pt idx="1839">
                  <c:v>10696.200194999999</c:v>
                </c:pt>
                <c:pt idx="1840">
                  <c:v>10628.5</c:v>
                </c:pt>
                <c:pt idx="1841">
                  <c:v>10593.150390999999</c:v>
                </c:pt>
                <c:pt idx="1842">
                  <c:v>10684.650390999999</c:v>
                </c:pt>
                <c:pt idx="1843">
                  <c:v>10768.349609000001</c:v>
                </c:pt>
                <c:pt idx="1844">
                  <c:v>10767.650390999999</c:v>
                </c:pt>
                <c:pt idx="1845">
                  <c:v>10786.950194999999</c:v>
                </c:pt>
                <c:pt idx="1846">
                  <c:v>10842.849609000001</c:v>
                </c:pt>
                <c:pt idx="1847">
                  <c:v>10856.700194999999</c:v>
                </c:pt>
                <c:pt idx="1848">
                  <c:v>10808.049805000001</c:v>
                </c:pt>
                <c:pt idx="1849">
                  <c:v>10817.700194999999</c:v>
                </c:pt>
                <c:pt idx="1850">
                  <c:v>10799.849609000001</c:v>
                </c:pt>
                <c:pt idx="1851">
                  <c:v>10710.450194999999</c:v>
                </c:pt>
                <c:pt idx="1852">
                  <c:v>10772.049805000001</c:v>
                </c:pt>
                <c:pt idx="1853">
                  <c:v>10741.099609000001</c:v>
                </c:pt>
                <c:pt idx="1854">
                  <c:v>10821.849609000001</c:v>
                </c:pt>
                <c:pt idx="1855">
                  <c:v>10762.450194999999</c:v>
                </c:pt>
                <c:pt idx="1856">
                  <c:v>10769.150390999999</c:v>
                </c:pt>
                <c:pt idx="1857">
                  <c:v>10671.400390999999</c:v>
                </c:pt>
                <c:pt idx="1858">
                  <c:v>10589.099609000001</c:v>
                </c:pt>
                <c:pt idx="1859">
                  <c:v>10714.299805000001</c:v>
                </c:pt>
                <c:pt idx="1860">
                  <c:v>10657.299805000001</c:v>
                </c:pt>
                <c:pt idx="1861">
                  <c:v>10699.900390999999</c:v>
                </c:pt>
                <c:pt idx="1862">
                  <c:v>10769.900390999999</c:v>
                </c:pt>
                <c:pt idx="1863">
                  <c:v>10749.75</c:v>
                </c:pt>
                <c:pt idx="1864">
                  <c:v>10772.650390999999</c:v>
                </c:pt>
                <c:pt idx="1865">
                  <c:v>10852.900390999999</c:v>
                </c:pt>
                <c:pt idx="1866">
                  <c:v>10947.25</c:v>
                </c:pt>
                <c:pt idx="1867">
                  <c:v>10948.299805000001</c:v>
                </c:pt>
                <c:pt idx="1868">
                  <c:v>11023.200194999999</c:v>
                </c:pt>
                <c:pt idx="1869">
                  <c:v>11018.900390999999</c:v>
                </c:pt>
                <c:pt idx="1870">
                  <c:v>10936.849609000001</c:v>
                </c:pt>
                <c:pt idx="1871">
                  <c:v>11008.049805000001</c:v>
                </c:pt>
                <c:pt idx="1872">
                  <c:v>10980.450194999999</c:v>
                </c:pt>
                <c:pt idx="1873">
                  <c:v>10957.099609000001</c:v>
                </c:pt>
                <c:pt idx="1874">
                  <c:v>11010.200194999999</c:v>
                </c:pt>
                <c:pt idx="1875">
                  <c:v>11084.75</c:v>
                </c:pt>
                <c:pt idx="1876">
                  <c:v>11134.299805000001</c:v>
                </c:pt>
                <c:pt idx="1877">
                  <c:v>11132</c:v>
                </c:pt>
                <c:pt idx="1878">
                  <c:v>11167.299805000001</c:v>
                </c:pt>
                <c:pt idx="1879">
                  <c:v>11278.349609000001</c:v>
                </c:pt>
                <c:pt idx="1880">
                  <c:v>11319.549805000001</c:v>
                </c:pt>
                <c:pt idx="1881">
                  <c:v>11356.5</c:v>
                </c:pt>
                <c:pt idx="1882">
                  <c:v>11346.200194999999</c:v>
                </c:pt>
                <c:pt idx="1883">
                  <c:v>11244.700194999999</c:v>
                </c:pt>
                <c:pt idx="1884">
                  <c:v>11360.799805000001</c:v>
                </c:pt>
                <c:pt idx="1885">
                  <c:v>11387.099609000001</c:v>
                </c:pt>
                <c:pt idx="1886">
                  <c:v>11389.450194999999</c:v>
                </c:pt>
                <c:pt idx="1887">
                  <c:v>11450</c:v>
                </c:pt>
                <c:pt idx="1888">
                  <c:v>11470.700194999999</c:v>
                </c:pt>
                <c:pt idx="1889">
                  <c:v>11429.5</c:v>
                </c:pt>
                <c:pt idx="1890">
                  <c:v>11355.75</c:v>
                </c:pt>
                <c:pt idx="1891">
                  <c:v>11435.099609000001</c:v>
                </c:pt>
                <c:pt idx="1892">
                  <c:v>11385.049805000001</c:v>
                </c:pt>
                <c:pt idx="1893">
                  <c:v>11470.75</c:v>
                </c:pt>
                <c:pt idx="1894">
                  <c:v>11551.75</c:v>
                </c:pt>
                <c:pt idx="1895">
                  <c:v>11570.900390999999</c:v>
                </c:pt>
                <c:pt idx="1896">
                  <c:v>11582.75</c:v>
                </c:pt>
                <c:pt idx="1897">
                  <c:v>11557.099609000001</c:v>
                </c:pt>
                <c:pt idx="1898">
                  <c:v>11691.950194999999</c:v>
                </c:pt>
                <c:pt idx="1899">
                  <c:v>11738.5</c:v>
                </c:pt>
                <c:pt idx="1900">
                  <c:v>11691.900390999999</c:v>
                </c:pt>
                <c:pt idx="1901">
                  <c:v>11676.799805000001</c:v>
                </c:pt>
                <c:pt idx="1902">
                  <c:v>11680.5</c:v>
                </c:pt>
                <c:pt idx="1903">
                  <c:v>11582.349609000001</c:v>
                </c:pt>
                <c:pt idx="1904">
                  <c:v>11520.299805000001</c:v>
                </c:pt>
                <c:pt idx="1905">
                  <c:v>11476.950194999999</c:v>
                </c:pt>
                <c:pt idx="1906">
                  <c:v>11536.900390999999</c:v>
                </c:pt>
                <c:pt idx="1907">
                  <c:v>11589.099609000001</c:v>
                </c:pt>
                <c:pt idx="1908">
                  <c:v>11438.099609000001</c:v>
                </c:pt>
                <c:pt idx="1909">
                  <c:v>11287.5</c:v>
                </c:pt>
                <c:pt idx="1910">
                  <c:v>11369.900390999999</c:v>
                </c:pt>
                <c:pt idx="1911">
                  <c:v>11515.200194999999</c:v>
                </c:pt>
                <c:pt idx="1912">
                  <c:v>11377.75</c:v>
                </c:pt>
                <c:pt idx="1913">
                  <c:v>11278.900390999999</c:v>
                </c:pt>
                <c:pt idx="1914">
                  <c:v>11234.349609000001</c:v>
                </c:pt>
                <c:pt idx="1915">
                  <c:v>11143.099609000001</c:v>
                </c:pt>
                <c:pt idx="1916">
                  <c:v>10967.400390999999</c:v>
                </c:pt>
                <c:pt idx="1917">
                  <c:v>11067.450194999999</c:v>
                </c:pt>
                <c:pt idx="1918">
                  <c:v>11053.799805000001</c:v>
                </c:pt>
                <c:pt idx="1919">
                  <c:v>10977.549805000001</c:v>
                </c:pt>
                <c:pt idx="1920">
                  <c:v>10930.450194999999</c:v>
                </c:pt>
                <c:pt idx="1921">
                  <c:v>11008.299805000001</c:v>
                </c:pt>
                <c:pt idx="1922">
                  <c:v>10858.25</c:v>
                </c:pt>
                <c:pt idx="1923">
                  <c:v>10599.25</c:v>
                </c:pt>
                <c:pt idx="1924">
                  <c:v>10316.450194999999</c:v>
                </c:pt>
                <c:pt idx="1925">
                  <c:v>10348.049805000001</c:v>
                </c:pt>
                <c:pt idx="1926">
                  <c:v>10301.049805000001</c:v>
                </c:pt>
                <c:pt idx="1927">
                  <c:v>10460.099609000001</c:v>
                </c:pt>
                <c:pt idx="1928">
                  <c:v>10234.650390999999</c:v>
                </c:pt>
                <c:pt idx="1929">
                  <c:v>10472.5</c:v>
                </c:pt>
                <c:pt idx="1930">
                  <c:v>10512.5</c:v>
                </c:pt>
                <c:pt idx="1931">
                  <c:v>10584.75</c:v>
                </c:pt>
                <c:pt idx="1932">
                  <c:v>10453.049805000001</c:v>
                </c:pt>
                <c:pt idx="1933">
                  <c:v>10303.549805000001</c:v>
                </c:pt>
                <c:pt idx="1934">
                  <c:v>10245.25</c:v>
                </c:pt>
                <c:pt idx="1935">
                  <c:v>10146.799805000001</c:v>
                </c:pt>
                <c:pt idx="1936">
                  <c:v>10224.75</c:v>
                </c:pt>
                <c:pt idx="1937">
                  <c:v>10124.900390999999</c:v>
                </c:pt>
                <c:pt idx="1938">
                  <c:v>10030</c:v>
                </c:pt>
                <c:pt idx="1939">
                  <c:v>10250.849609000001</c:v>
                </c:pt>
                <c:pt idx="1940">
                  <c:v>10198.400390999999</c:v>
                </c:pt>
                <c:pt idx="1941">
                  <c:v>10386.599609000001</c:v>
                </c:pt>
                <c:pt idx="1942">
                  <c:v>10380.450194999999</c:v>
                </c:pt>
                <c:pt idx="1943">
                  <c:v>10553</c:v>
                </c:pt>
                <c:pt idx="1944">
                  <c:v>10524</c:v>
                </c:pt>
                <c:pt idx="1945">
                  <c:v>10530</c:v>
                </c:pt>
                <c:pt idx="1946">
                  <c:v>10598.400390999999</c:v>
                </c:pt>
                <c:pt idx="1947">
                  <c:v>10585.200194999999</c:v>
                </c:pt>
                <c:pt idx="1948">
                  <c:v>10482.200194999999</c:v>
                </c:pt>
                <c:pt idx="1949">
                  <c:v>10582.5</c:v>
                </c:pt>
                <c:pt idx="1950">
                  <c:v>10576.299805000001</c:v>
                </c:pt>
                <c:pt idx="1951">
                  <c:v>10616.700194999999</c:v>
                </c:pt>
                <c:pt idx="1952">
                  <c:v>10682.200194999999</c:v>
                </c:pt>
                <c:pt idx="1953">
                  <c:v>10763.400390999999</c:v>
                </c:pt>
                <c:pt idx="1954">
                  <c:v>10656.200194999999</c:v>
                </c:pt>
                <c:pt idx="1955">
                  <c:v>10600.049805000001</c:v>
                </c:pt>
                <c:pt idx="1956">
                  <c:v>10526.75</c:v>
                </c:pt>
                <c:pt idx="1957">
                  <c:v>10628.599609000001</c:v>
                </c:pt>
                <c:pt idx="1958">
                  <c:v>10685.599609000001</c:v>
                </c:pt>
                <c:pt idx="1959">
                  <c:v>10728.849609000001</c:v>
                </c:pt>
                <c:pt idx="1960">
                  <c:v>10858.700194999999</c:v>
                </c:pt>
                <c:pt idx="1961">
                  <c:v>10876.75</c:v>
                </c:pt>
                <c:pt idx="1962">
                  <c:v>10883.75</c:v>
                </c:pt>
                <c:pt idx="1963">
                  <c:v>10869.5</c:v>
                </c:pt>
                <c:pt idx="1964">
                  <c:v>10782.900390999999</c:v>
                </c:pt>
                <c:pt idx="1965">
                  <c:v>10601.150390999999</c:v>
                </c:pt>
                <c:pt idx="1966">
                  <c:v>10693.700194999999</c:v>
                </c:pt>
                <c:pt idx="1967">
                  <c:v>10488.450194999999</c:v>
                </c:pt>
                <c:pt idx="1968">
                  <c:v>10549.150390999999</c:v>
                </c:pt>
                <c:pt idx="1969">
                  <c:v>10737.599609000001</c:v>
                </c:pt>
                <c:pt idx="1970">
                  <c:v>10791.549805000001</c:v>
                </c:pt>
                <c:pt idx="1971">
                  <c:v>10805.450194999999</c:v>
                </c:pt>
                <c:pt idx="1972">
                  <c:v>10888.349609000001</c:v>
                </c:pt>
                <c:pt idx="1973">
                  <c:v>10908.700194999999</c:v>
                </c:pt>
                <c:pt idx="1974">
                  <c:v>10967.299805000001</c:v>
                </c:pt>
                <c:pt idx="1975">
                  <c:v>10951.700194999999</c:v>
                </c:pt>
                <c:pt idx="1976">
                  <c:v>10754</c:v>
                </c:pt>
                <c:pt idx="1977">
                  <c:v>10663.5</c:v>
                </c:pt>
                <c:pt idx="1978">
                  <c:v>10729.849609000001</c:v>
                </c:pt>
                <c:pt idx="1979">
                  <c:v>10779.799805000001</c:v>
                </c:pt>
                <c:pt idx="1980">
                  <c:v>10859.900390999999</c:v>
                </c:pt>
                <c:pt idx="1981">
                  <c:v>10862.549805000001</c:v>
                </c:pt>
                <c:pt idx="1982">
                  <c:v>10792.5</c:v>
                </c:pt>
                <c:pt idx="1983">
                  <c:v>10672.25</c:v>
                </c:pt>
                <c:pt idx="1984">
                  <c:v>10727.349609000001</c:v>
                </c:pt>
                <c:pt idx="1985">
                  <c:v>10771.799805000001</c:v>
                </c:pt>
                <c:pt idx="1986">
                  <c:v>10802.150390999999</c:v>
                </c:pt>
                <c:pt idx="1987">
                  <c:v>10855.150390999999</c:v>
                </c:pt>
                <c:pt idx="1988">
                  <c:v>10821.599609000001</c:v>
                </c:pt>
                <c:pt idx="1989">
                  <c:v>10794.950194999999</c:v>
                </c:pt>
                <c:pt idx="1990">
                  <c:v>10737.599609000001</c:v>
                </c:pt>
                <c:pt idx="1991">
                  <c:v>10886.799805000001</c:v>
                </c:pt>
                <c:pt idx="1992">
                  <c:v>10890.299805000001</c:v>
                </c:pt>
                <c:pt idx="1993">
                  <c:v>10905.200194999999</c:v>
                </c:pt>
                <c:pt idx="1994">
                  <c:v>10906.950194999999</c:v>
                </c:pt>
                <c:pt idx="1995">
                  <c:v>10961.849609000001</c:v>
                </c:pt>
                <c:pt idx="1996">
                  <c:v>10922.75</c:v>
                </c:pt>
                <c:pt idx="1997">
                  <c:v>10831.5</c:v>
                </c:pt>
                <c:pt idx="1998">
                  <c:v>10849.799805000001</c:v>
                </c:pt>
                <c:pt idx="1999">
                  <c:v>10780.549805000001</c:v>
                </c:pt>
                <c:pt idx="2000">
                  <c:v>10661.549805000001</c:v>
                </c:pt>
                <c:pt idx="2001">
                  <c:v>10652.200194999999</c:v>
                </c:pt>
                <c:pt idx="2002">
                  <c:v>10651.799805000001</c:v>
                </c:pt>
                <c:pt idx="2003">
                  <c:v>10830.950194999999</c:v>
                </c:pt>
                <c:pt idx="2004">
                  <c:v>10893.650390999999</c:v>
                </c:pt>
                <c:pt idx="2005">
                  <c:v>10912.25</c:v>
                </c:pt>
                <c:pt idx="2006">
                  <c:v>10934.349609000001</c:v>
                </c:pt>
                <c:pt idx="2007">
                  <c:v>11062.450194999999</c:v>
                </c:pt>
                <c:pt idx="2008">
                  <c:v>11069.400390999999</c:v>
                </c:pt>
                <c:pt idx="2009">
                  <c:v>10943.599609000001</c:v>
                </c:pt>
                <c:pt idx="2010">
                  <c:v>10888.799805000001</c:v>
                </c:pt>
                <c:pt idx="2011">
                  <c:v>10831.400390999999</c:v>
                </c:pt>
                <c:pt idx="2012">
                  <c:v>10746.049805000001</c:v>
                </c:pt>
                <c:pt idx="2013">
                  <c:v>10724.400390999999</c:v>
                </c:pt>
                <c:pt idx="2014">
                  <c:v>10640.950194999999</c:v>
                </c:pt>
                <c:pt idx="2015">
                  <c:v>10604.349609000001</c:v>
                </c:pt>
                <c:pt idx="2016">
                  <c:v>10735.450194999999</c:v>
                </c:pt>
                <c:pt idx="2017">
                  <c:v>10789.849609000001</c:v>
                </c:pt>
                <c:pt idx="2018">
                  <c:v>10791.650390999999</c:v>
                </c:pt>
                <c:pt idx="2019">
                  <c:v>10880.099609000001</c:v>
                </c:pt>
                <c:pt idx="2020">
                  <c:v>10835.299805000001</c:v>
                </c:pt>
                <c:pt idx="2021">
                  <c:v>10806.650390999999</c:v>
                </c:pt>
                <c:pt idx="2022">
                  <c:v>10792.5</c:v>
                </c:pt>
                <c:pt idx="2023">
                  <c:v>10863.5</c:v>
                </c:pt>
                <c:pt idx="2024">
                  <c:v>10987.450194999999</c:v>
                </c:pt>
                <c:pt idx="2025">
                  <c:v>11053</c:v>
                </c:pt>
                <c:pt idx="2026">
                  <c:v>11058.200194999999</c:v>
                </c:pt>
                <c:pt idx="2027">
                  <c:v>11035.400390999999</c:v>
                </c:pt>
                <c:pt idx="2028">
                  <c:v>11168.049805000001</c:v>
                </c:pt>
                <c:pt idx="2029">
                  <c:v>11301.200194999999</c:v>
                </c:pt>
                <c:pt idx="2030">
                  <c:v>11341.700194999999</c:v>
                </c:pt>
                <c:pt idx="2031">
                  <c:v>11343.25</c:v>
                </c:pt>
                <c:pt idx="2032">
                  <c:v>11426.849609000001</c:v>
                </c:pt>
                <c:pt idx="2033">
                  <c:v>11462.200194999999</c:v>
                </c:pt>
                <c:pt idx="2034">
                  <c:v>11532.400390999999</c:v>
                </c:pt>
                <c:pt idx="2035">
                  <c:v>11521.049805000001</c:v>
                </c:pt>
                <c:pt idx="2036">
                  <c:v>11456.900390999999</c:v>
                </c:pt>
                <c:pt idx="2037">
                  <c:v>11354.25</c:v>
                </c:pt>
                <c:pt idx="2038">
                  <c:v>11483.25</c:v>
                </c:pt>
                <c:pt idx="2039">
                  <c:v>11445.049805000001</c:v>
                </c:pt>
                <c:pt idx="2040">
                  <c:v>11570</c:v>
                </c:pt>
                <c:pt idx="2041">
                  <c:v>11669.150390999999</c:v>
                </c:pt>
                <c:pt idx="2042">
                  <c:v>11713.200194999999</c:v>
                </c:pt>
                <c:pt idx="2043">
                  <c:v>11643.950194999999</c:v>
                </c:pt>
                <c:pt idx="2044">
                  <c:v>11598</c:v>
                </c:pt>
                <c:pt idx="2045">
                  <c:v>11665.950194999999</c:v>
                </c:pt>
                <c:pt idx="2046">
                  <c:v>11604.5</c:v>
                </c:pt>
                <c:pt idx="2047">
                  <c:v>11671.950194999999</c:v>
                </c:pt>
                <c:pt idx="2048">
                  <c:v>11584.299805000001</c:v>
                </c:pt>
                <c:pt idx="2049">
                  <c:v>11596.700194999999</c:v>
                </c:pt>
                <c:pt idx="2050">
                  <c:v>11643.450194999999</c:v>
                </c:pt>
                <c:pt idx="2051">
                  <c:v>11690.349609000001</c:v>
                </c:pt>
                <c:pt idx="2052">
                  <c:v>11787.150390999999</c:v>
                </c:pt>
                <c:pt idx="2053">
                  <c:v>11752.799805000001</c:v>
                </c:pt>
                <c:pt idx="2054">
                  <c:v>11594.450194999999</c:v>
                </c:pt>
                <c:pt idx="2055">
                  <c:v>11575.950194999999</c:v>
                </c:pt>
                <c:pt idx="2056">
                  <c:v>11726.150390999999</c:v>
                </c:pt>
                <c:pt idx="2057">
                  <c:v>11641.799805000001</c:v>
                </c:pt>
                <c:pt idx="2058">
                  <c:v>11754.650390999999</c:v>
                </c:pt>
                <c:pt idx="2059">
                  <c:v>11748.150390999999</c:v>
                </c:pt>
                <c:pt idx="2060">
                  <c:v>11724.75</c:v>
                </c:pt>
                <c:pt idx="2061">
                  <c:v>11712.25</c:v>
                </c:pt>
                <c:pt idx="2062">
                  <c:v>11598.25</c:v>
                </c:pt>
                <c:pt idx="2063">
                  <c:v>11497.900390999999</c:v>
                </c:pt>
                <c:pt idx="2064">
                  <c:v>11359.450194999999</c:v>
                </c:pt>
                <c:pt idx="2065">
                  <c:v>11301.799805000001</c:v>
                </c:pt>
                <c:pt idx="2066">
                  <c:v>11278.900390999999</c:v>
                </c:pt>
                <c:pt idx="2067">
                  <c:v>11148.200194999999</c:v>
                </c:pt>
                <c:pt idx="2068">
                  <c:v>11222.049805000001</c:v>
                </c:pt>
                <c:pt idx="2069">
                  <c:v>11157</c:v>
                </c:pt>
                <c:pt idx="2070">
                  <c:v>11257.099609000001</c:v>
                </c:pt>
                <c:pt idx="2071">
                  <c:v>11407.150390999999</c:v>
                </c:pt>
                <c:pt idx="2072">
                  <c:v>11828.25</c:v>
                </c:pt>
                <c:pt idx="2073">
                  <c:v>11709.099609000001</c:v>
                </c:pt>
                <c:pt idx="2074">
                  <c:v>11737.900390999999</c:v>
                </c:pt>
                <c:pt idx="2075">
                  <c:v>11657.049805000001</c:v>
                </c:pt>
                <c:pt idx="2076">
                  <c:v>11844.099609000001</c:v>
                </c:pt>
                <c:pt idx="2077">
                  <c:v>11924.75</c:v>
                </c:pt>
                <c:pt idx="2078">
                  <c:v>11928.75</c:v>
                </c:pt>
                <c:pt idx="2079">
                  <c:v>11861.099609000001</c:v>
                </c:pt>
                <c:pt idx="2080">
                  <c:v>11945.900390999999</c:v>
                </c:pt>
                <c:pt idx="2081">
                  <c:v>11922.799805000001</c:v>
                </c:pt>
                <c:pt idx="2082">
                  <c:v>12088.549805000001</c:v>
                </c:pt>
                <c:pt idx="2083">
                  <c:v>12021.650390999999</c:v>
                </c:pt>
                <c:pt idx="2084">
                  <c:v>11843.75</c:v>
                </c:pt>
                <c:pt idx="2085">
                  <c:v>11870.650390999999</c:v>
                </c:pt>
                <c:pt idx="2086">
                  <c:v>11922.700194999999</c:v>
                </c:pt>
                <c:pt idx="2087">
                  <c:v>11965.599609000001</c:v>
                </c:pt>
                <c:pt idx="2088">
                  <c:v>11906.200194999999</c:v>
                </c:pt>
                <c:pt idx="2089">
                  <c:v>11914.049805000001</c:v>
                </c:pt>
                <c:pt idx="2090">
                  <c:v>11823.299805000001</c:v>
                </c:pt>
                <c:pt idx="2091">
                  <c:v>11672.150390999999</c:v>
                </c:pt>
                <c:pt idx="2092">
                  <c:v>11691.5</c:v>
                </c:pt>
                <c:pt idx="2093">
                  <c:v>11691.450194999999</c:v>
                </c:pt>
                <c:pt idx="2094">
                  <c:v>11831.75</c:v>
                </c:pt>
                <c:pt idx="2095">
                  <c:v>11724.099609000001</c:v>
                </c:pt>
                <c:pt idx="2096">
                  <c:v>11699.650390999999</c:v>
                </c:pt>
                <c:pt idx="2097">
                  <c:v>11796.450194999999</c:v>
                </c:pt>
                <c:pt idx="2098">
                  <c:v>11847.549805000001</c:v>
                </c:pt>
                <c:pt idx="2099">
                  <c:v>11841.549805000001</c:v>
                </c:pt>
                <c:pt idx="2100">
                  <c:v>11788.849609000001</c:v>
                </c:pt>
                <c:pt idx="2101">
                  <c:v>11865.599609000001</c:v>
                </c:pt>
                <c:pt idx="2102">
                  <c:v>11910.299805000001</c:v>
                </c:pt>
                <c:pt idx="2103">
                  <c:v>11916.75</c:v>
                </c:pt>
                <c:pt idx="2104">
                  <c:v>11946.75</c:v>
                </c:pt>
                <c:pt idx="2105">
                  <c:v>11811.150390999999</c:v>
                </c:pt>
                <c:pt idx="2106">
                  <c:v>11558.599609000001</c:v>
                </c:pt>
                <c:pt idx="2107">
                  <c:v>11555.900390999999</c:v>
                </c:pt>
                <c:pt idx="2108">
                  <c:v>11498.900390999999</c:v>
                </c:pt>
                <c:pt idx="2109">
                  <c:v>11582.900390999999</c:v>
                </c:pt>
                <c:pt idx="2110">
                  <c:v>11552.5</c:v>
                </c:pt>
                <c:pt idx="2111">
                  <c:v>11588.349609000001</c:v>
                </c:pt>
                <c:pt idx="2112">
                  <c:v>11662.599609000001</c:v>
                </c:pt>
                <c:pt idx="2113">
                  <c:v>11687.5</c:v>
                </c:pt>
                <c:pt idx="2114">
                  <c:v>11596.900390999999</c:v>
                </c:pt>
                <c:pt idx="2115">
                  <c:v>11419.25</c:v>
                </c:pt>
                <c:pt idx="2116">
                  <c:v>11346.200194999999</c:v>
                </c:pt>
                <c:pt idx="2117">
                  <c:v>11331.049805000001</c:v>
                </c:pt>
                <c:pt idx="2118">
                  <c:v>11271.299805000001</c:v>
                </c:pt>
                <c:pt idx="2119">
                  <c:v>11252.150390999999</c:v>
                </c:pt>
                <c:pt idx="2120">
                  <c:v>11284.299805000001</c:v>
                </c:pt>
                <c:pt idx="2121">
                  <c:v>11189.200194999999</c:v>
                </c:pt>
                <c:pt idx="2122">
                  <c:v>11085.400390999999</c:v>
                </c:pt>
                <c:pt idx="2123">
                  <c:v>11118</c:v>
                </c:pt>
                <c:pt idx="2124">
                  <c:v>10980</c:v>
                </c:pt>
                <c:pt idx="2125">
                  <c:v>10997.349609000001</c:v>
                </c:pt>
                <c:pt idx="2126">
                  <c:v>10862.599609000001</c:v>
                </c:pt>
                <c:pt idx="2127">
                  <c:v>10948.25</c:v>
                </c:pt>
                <c:pt idx="2128">
                  <c:v>10855.5</c:v>
                </c:pt>
                <c:pt idx="2129">
                  <c:v>11032.450194999999</c:v>
                </c:pt>
                <c:pt idx="2130">
                  <c:v>11109.650390999999</c:v>
                </c:pt>
                <c:pt idx="2131">
                  <c:v>10925.849609000001</c:v>
                </c:pt>
                <c:pt idx="2132">
                  <c:v>11029.400390999999</c:v>
                </c:pt>
                <c:pt idx="2133">
                  <c:v>11047.799805000001</c:v>
                </c:pt>
                <c:pt idx="2134">
                  <c:v>11053.900390999999</c:v>
                </c:pt>
                <c:pt idx="2135">
                  <c:v>11017</c:v>
                </c:pt>
                <c:pt idx="2136">
                  <c:v>10918.700194999999</c:v>
                </c:pt>
                <c:pt idx="2137">
                  <c:v>10741.349609000001</c:v>
                </c:pt>
                <c:pt idx="2138">
                  <c:v>10829.349609000001</c:v>
                </c:pt>
                <c:pt idx="2139">
                  <c:v>11057.849609000001</c:v>
                </c:pt>
                <c:pt idx="2140">
                  <c:v>11105.349609000001</c:v>
                </c:pt>
                <c:pt idx="2141">
                  <c:v>11046.099609000001</c:v>
                </c:pt>
                <c:pt idx="2142">
                  <c:v>10948.299805000001</c:v>
                </c:pt>
                <c:pt idx="2143">
                  <c:v>11023.25</c:v>
                </c:pt>
                <c:pt idx="2144">
                  <c:v>10797.900390999999</c:v>
                </c:pt>
                <c:pt idx="2145">
                  <c:v>10844.650390999999</c:v>
                </c:pt>
                <c:pt idx="2146">
                  <c:v>10847.900390999999</c:v>
                </c:pt>
                <c:pt idx="2147">
                  <c:v>10946.200194999999</c:v>
                </c:pt>
                <c:pt idx="2148">
                  <c:v>11003.049805000001</c:v>
                </c:pt>
                <c:pt idx="2149">
                  <c:v>11035.700194999999</c:v>
                </c:pt>
                <c:pt idx="2150">
                  <c:v>10982.799805000001</c:v>
                </c:pt>
                <c:pt idx="2151">
                  <c:v>11075.900390999999</c:v>
                </c:pt>
                <c:pt idx="2152">
                  <c:v>11003.5</c:v>
                </c:pt>
                <c:pt idx="2153">
                  <c:v>10817.599609000001</c:v>
                </c:pt>
                <c:pt idx="2154">
                  <c:v>10840.650390999999</c:v>
                </c:pt>
                <c:pt idx="2155">
                  <c:v>10704.799805000001</c:v>
                </c:pt>
                <c:pt idx="2156">
                  <c:v>11274.200194999999</c:v>
                </c:pt>
                <c:pt idx="2157">
                  <c:v>11600.200194999999</c:v>
                </c:pt>
                <c:pt idx="2158">
                  <c:v>11588.200194999999</c:v>
                </c:pt>
                <c:pt idx="2159">
                  <c:v>11440.200194999999</c:v>
                </c:pt>
                <c:pt idx="2160">
                  <c:v>11571.200194999999</c:v>
                </c:pt>
                <c:pt idx="2161">
                  <c:v>11512.400390999999</c:v>
                </c:pt>
                <c:pt idx="2162">
                  <c:v>11474.450194999999</c:v>
                </c:pt>
                <c:pt idx="2163">
                  <c:v>11359.900390999999</c:v>
                </c:pt>
                <c:pt idx="2164">
                  <c:v>11314</c:v>
                </c:pt>
                <c:pt idx="2165">
                  <c:v>11174.75</c:v>
                </c:pt>
                <c:pt idx="2166">
                  <c:v>11126.400390999999</c:v>
                </c:pt>
                <c:pt idx="2167">
                  <c:v>11313.299805000001</c:v>
                </c:pt>
                <c:pt idx="2168">
                  <c:v>11234.549805000001</c:v>
                </c:pt>
                <c:pt idx="2169">
                  <c:v>11305.049805000001</c:v>
                </c:pt>
                <c:pt idx="2170">
                  <c:v>11341.150390999999</c:v>
                </c:pt>
                <c:pt idx="2171">
                  <c:v>11428.299805000001</c:v>
                </c:pt>
                <c:pt idx="2172">
                  <c:v>11464</c:v>
                </c:pt>
                <c:pt idx="2173">
                  <c:v>11586.349609000001</c:v>
                </c:pt>
                <c:pt idx="2174">
                  <c:v>11661.849609000001</c:v>
                </c:pt>
                <c:pt idx="2175">
                  <c:v>11588.349609000001</c:v>
                </c:pt>
                <c:pt idx="2176">
                  <c:v>11604.099609000001</c:v>
                </c:pt>
                <c:pt idx="2177">
                  <c:v>11582.599609000001</c:v>
                </c:pt>
                <c:pt idx="2178">
                  <c:v>11583.900390999999</c:v>
                </c:pt>
                <c:pt idx="2179">
                  <c:v>11786.849609000001</c:v>
                </c:pt>
                <c:pt idx="2180">
                  <c:v>11844.099609000001</c:v>
                </c:pt>
                <c:pt idx="2181">
                  <c:v>11877.450194999999</c:v>
                </c:pt>
                <c:pt idx="2182">
                  <c:v>11890.599609000001</c:v>
                </c:pt>
                <c:pt idx="2183">
                  <c:v>11941.299805000001</c:v>
                </c:pt>
                <c:pt idx="2184">
                  <c:v>11917.200194999999</c:v>
                </c:pt>
                <c:pt idx="2185">
                  <c:v>11966.049805000001</c:v>
                </c:pt>
                <c:pt idx="2186">
                  <c:v>12012.049805000001</c:v>
                </c:pt>
                <c:pt idx="2187">
                  <c:v>11908.150390999999</c:v>
                </c:pt>
                <c:pt idx="2188">
                  <c:v>11913.450194999999</c:v>
                </c:pt>
                <c:pt idx="2189">
                  <c:v>11840.450194999999</c:v>
                </c:pt>
                <c:pt idx="2190">
                  <c:v>11872.099609000001</c:v>
                </c:pt>
                <c:pt idx="2191">
                  <c:v>11895.450194999999</c:v>
                </c:pt>
                <c:pt idx="2192">
                  <c:v>11884.5</c:v>
                </c:pt>
                <c:pt idx="2193">
                  <c:v>11940.099609000001</c:v>
                </c:pt>
                <c:pt idx="2194">
                  <c:v>11999.099609000001</c:v>
                </c:pt>
                <c:pt idx="2195">
                  <c:v>11968.400390999999</c:v>
                </c:pt>
                <c:pt idx="2196">
                  <c:v>11914.400390999999</c:v>
                </c:pt>
                <c:pt idx="2197">
                  <c:v>12073.75</c:v>
                </c:pt>
                <c:pt idx="2198">
                  <c:v>12037.700194999999</c:v>
                </c:pt>
                <c:pt idx="2199">
                  <c:v>12100.700194999999</c:v>
                </c:pt>
                <c:pt idx="2200">
                  <c:v>12151.150390999999</c:v>
                </c:pt>
                <c:pt idx="2201">
                  <c:v>12056.049805000001</c:v>
                </c:pt>
                <c:pt idx="2202">
                  <c:v>12048.200194999999</c:v>
                </c:pt>
                <c:pt idx="2203">
                  <c:v>11994.200194999999</c:v>
                </c:pt>
                <c:pt idx="2204">
                  <c:v>12043.200194999999</c:v>
                </c:pt>
                <c:pt idx="2205">
                  <c:v>12018.400390999999</c:v>
                </c:pt>
                <c:pt idx="2206">
                  <c:v>11921.5</c:v>
                </c:pt>
                <c:pt idx="2207">
                  <c:v>11937.5</c:v>
                </c:pt>
                <c:pt idx="2208">
                  <c:v>11856.799805000001</c:v>
                </c:pt>
                <c:pt idx="2209">
                  <c:v>11910.150390999999</c:v>
                </c:pt>
                <c:pt idx="2210">
                  <c:v>11971.799805000001</c:v>
                </c:pt>
                <c:pt idx="2211">
                  <c:v>12086.700194999999</c:v>
                </c:pt>
                <c:pt idx="2212">
                  <c:v>12053.950194999999</c:v>
                </c:pt>
                <c:pt idx="2213">
                  <c:v>12165</c:v>
                </c:pt>
                <c:pt idx="2214">
                  <c:v>12221.650390999999</c:v>
                </c:pt>
                <c:pt idx="2215">
                  <c:v>12259.700194999999</c:v>
                </c:pt>
                <c:pt idx="2216">
                  <c:v>12271.799805000001</c:v>
                </c:pt>
                <c:pt idx="2217">
                  <c:v>12262.75</c:v>
                </c:pt>
                <c:pt idx="2218">
                  <c:v>12214.549805000001</c:v>
                </c:pt>
                <c:pt idx="2219">
                  <c:v>12126.549805000001</c:v>
                </c:pt>
                <c:pt idx="2220">
                  <c:v>12245.799805000001</c:v>
                </c:pt>
                <c:pt idx="2221">
                  <c:v>12255.849609000001</c:v>
                </c:pt>
                <c:pt idx="2222">
                  <c:v>12168.450194999999</c:v>
                </c:pt>
                <c:pt idx="2223">
                  <c:v>12182.5</c:v>
                </c:pt>
                <c:pt idx="2224">
                  <c:v>12282.200194999999</c:v>
                </c:pt>
                <c:pt idx="2225">
                  <c:v>12226.650390999999</c:v>
                </c:pt>
                <c:pt idx="2226">
                  <c:v>11993.049805000001</c:v>
                </c:pt>
                <c:pt idx="2227">
                  <c:v>12052.950194999999</c:v>
                </c:pt>
                <c:pt idx="2228">
                  <c:v>12025.349609000001</c:v>
                </c:pt>
                <c:pt idx="2229">
                  <c:v>12215.900390999999</c:v>
                </c:pt>
                <c:pt idx="2230">
                  <c:v>12256.799805000001</c:v>
                </c:pt>
                <c:pt idx="2231">
                  <c:v>12329.549805000001</c:v>
                </c:pt>
                <c:pt idx="2232">
                  <c:v>12362.299805000001</c:v>
                </c:pt>
                <c:pt idx="2233">
                  <c:v>12343.299805000001</c:v>
                </c:pt>
                <c:pt idx="2234">
                  <c:v>12355.5</c:v>
                </c:pt>
                <c:pt idx="2235">
                  <c:v>12352.349609000001</c:v>
                </c:pt>
                <c:pt idx="2236">
                  <c:v>12224.549805000001</c:v>
                </c:pt>
                <c:pt idx="2237">
                  <c:v>12169.849609000001</c:v>
                </c:pt>
                <c:pt idx="2238">
                  <c:v>12106.900390999999</c:v>
                </c:pt>
                <c:pt idx="2239">
                  <c:v>12180.349609000001</c:v>
                </c:pt>
                <c:pt idx="2240">
                  <c:v>12248.25</c:v>
                </c:pt>
                <c:pt idx="2241">
                  <c:v>12119</c:v>
                </c:pt>
                <c:pt idx="2242">
                  <c:v>12055.799805000001</c:v>
                </c:pt>
                <c:pt idx="2243">
                  <c:v>12129.5</c:v>
                </c:pt>
                <c:pt idx="2244">
                  <c:v>12035.799805000001</c:v>
                </c:pt>
                <c:pt idx="2245">
                  <c:v>11962.099609000001</c:v>
                </c:pt>
                <c:pt idx="2246">
                  <c:v>11707.900390999999</c:v>
                </c:pt>
                <c:pt idx="2247">
                  <c:v>11979.650390999999</c:v>
                </c:pt>
                <c:pt idx="2248">
                  <c:v>12089.150390999999</c:v>
                </c:pt>
                <c:pt idx="2249">
                  <c:v>12137.950194999999</c:v>
                </c:pt>
                <c:pt idx="2250">
                  <c:v>12098.349609000001</c:v>
                </c:pt>
                <c:pt idx="2251">
                  <c:v>12031.5</c:v>
                </c:pt>
                <c:pt idx="2252">
                  <c:v>12107.900390999999</c:v>
                </c:pt>
                <c:pt idx="2253">
                  <c:v>12201.200194999999</c:v>
                </c:pt>
                <c:pt idx="2254">
                  <c:v>12174.650390999999</c:v>
                </c:pt>
                <c:pt idx="2255">
                  <c:v>12113.450194999999</c:v>
                </c:pt>
                <c:pt idx="2256">
                  <c:v>12045.799805000001</c:v>
                </c:pt>
                <c:pt idx="2257">
                  <c:v>11992.5</c:v>
                </c:pt>
                <c:pt idx="2258">
                  <c:v>12125.900390999999</c:v>
                </c:pt>
                <c:pt idx="2259">
                  <c:v>12080.849609000001</c:v>
                </c:pt>
                <c:pt idx="2260">
                  <c:v>11829.400390999999</c:v>
                </c:pt>
                <c:pt idx="2261">
                  <c:v>11797.900390999999</c:v>
                </c:pt>
                <c:pt idx="2262">
                  <c:v>11678.5</c:v>
                </c:pt>
                <c:pt idx="2263">
                  <c:v>11633.299805000001</c:v>
                </c:pt>
                <c:pt idx="2264">
                  <c:v>11201.75</c:v>
                </c:pt>
                <c:pt idx="2265">
                  <c:v>11132.75</c:v>
                </c:pt>
                <c:pt idx="2266">
                  <c:v>11303.299805000001</c:v>
                </c:pt>
                <c:pt idx="2267">
                  <c:v>11251</c:v>
                </c:pt>
                <c:pt idx="2268">
                  <c:v>11269</c:v>
                </c:pt>
                <c:pt idx="2269">
                  <c:v>10989.450194999999</c:v>
                </c:pt>
                <c:pt idx="2270">
                  <c:v>10451.450194999999</c:v>
                </c:pt>
                <c:pt idx="2271">
                  <c:v>10458.400390999999</c:v>
                </c:pt>
                <c:pt idx="2272">
                  <c:v>9590.1503909999992</c:v>
                </c:pt>
                <c:pt idx="2273">
                  <c:v>9955.2001949999994</c:v>
                </c:pt>
                <c:pt idx="2274">
                  <c:v>9197.4003909999992</c:v>
                </c:pt>
                <c:pt idx="2275">
                  <c:v>8967.0498050000006</c:v>
                </c:pt>
                <c:pt idx="2276">
                  <c:v>8468.7998050000006</c:v>
                </c:pt>
                <c:pt idx="2277">
                  <c:v>8263.4501949999994</c:v>
                </c:pt>
                <c:pt idx="2278">
                  <c:v>8745.4501949999994</c:v>
                </c:pt>
                <c:pt idx="2279">
                  <c:v>7610.25</c:v>
                </c:pt>
                <c:pt idx="2280">
                  <c:v>7801.0498049999997</c:v>
                </c:pt>
                <c:pt idx="2281">
                  <c:v>8317.8496090000008</c:v>
                </c:pt>
                <c:pt idx="2282">
                  <c:v>8641.4501949999994</c:v>
                </c:pt>
                <c:pt idx="2283">
                  <c:v>8660.25</c:v>
                </c:pt>
                <c:pt idx="2284">
                  <c:v>8281.0996090000008</c:v>
                </c:pt>
                <c:pt idx="2285">
                  <c:v>8597.75</c:v>
                </c:pt>
                <c:pt idx="2286">
                  <c:v>8253.7998050000006</c:v>
                </c:pt>
                <c:pt idx="2287">
                  <c:v>8083.7998049999997</c:v>
                </c:pt>
                <c:pt idx="2288">
                  <c:v>8792.2001949999994</c:v>
                </c:pt>
                <c:pt idx="2289">
                  <c:v>8748.75</c:v>
                </c:pt>
                <c:pt idx="2290">
                  <c:v>9111.9003909999992</c:v>
                </c:pt>
                <c:pt idx="2291">
                  <c:v>8993.8496090000008</c:v>
                </c:pt>
                <c:pt idx="2292">
                  <c:v>8925.2998050000006</c:v>
                </c:pt>
                <c:pt idx="2293">
                  <c:v>8992.7998050000006</c:v>
                </c:pt>
                <c:pt idx="2294">
                  <c:v>9266.75</c:v>
                </c:pt>
                <c:pt idx="2295">
                  <c:v>9261.8496090000008</c:v>
                </c:pt>
                <c:pt idx="2296">
                  <c:v>8981.4501949999994</c:v>
                </c:pt>
                <c:pt idx="2297">
                  <c:v>9187.2998050000006</c:v>
                </c:pt>
                <c:pt idx="2298">
                  <c:v>9313.9003909999992</c:v>
                </c:pt>
                <c:pt idx="2299">
                  <c:v>9154.4003909999992</c:v>
                </c:pt>
                <c:pt idx="2300">
                  <c:v>9282.2998050000006</c:v>
                </c:pt>
                <c:pt idx="2301">
                  <c:v>9380.9003909999992</c:v>
                </c:pt>
                <c:pt idx="2302">
                  <c:v>9553.3496090000008</c:v>
                </c:pt>
                <c:pt idx="2303">
                  <c:v>9859.9003909999992</c:v>
                </c:pt>
                <c:pt idx="2304">
                  <c:v>9293.5</c:v>
                </c:pt>
                <c:pt idx="2305">
                  <c:v>9205.5996090000008</c:v>
                </c:pt>
                <c:pt idx="2306">
                  <c:v>9270.9003909999992</c:v>
                </c:pt>
                <c:pt idx="2307">
                  <c:v>9199.0498050000006</c:v>
                </c:pt>
                <c:pt idx="2308">
                  <c:v>9251.5</c:v>
                </c:pt>
                <c:pt idx="2309">
                  <c:v>9239.2001949999994</c:v>
                </c:pt>
                <c:pt idx="2310">
                  <c:v>9196.5498050000006</c:v>
                </c:pt>
                <c:pt idx="2311">
                  <c:v>9383.5498050000006</c:v>
                </c:pt>
                <c:pt idx="2312">
                  <c:v>9142.75</c:v>
                </c:pt>
                <c:pt idx="2313">
                  <c:v>9136.8496090000008</c:v>
                </c:pt>
                <c:pt idx="2314">
                  <c:v>8823.25</c:v>
                </c:pt>
                <c:pt idx="2315">
                  <c:v>8879.0996090000008</c:v>
                </c:pt>
                <c:pt idx="2316">
                  <c:v>9066.5498050000006</c:v>
                </c:pt>
                <c:pt idx="2317">
                  <c:v>9106.25</c:v>
                </c:pt>
                <c:pt idx="2318">
                  <c:v>9039.25</c:v>
                </c:pt>
                <c:pt idx="2319">
                  <c:v>9029.0498050000006</c:v>
                </c:pt>
                <c:pt idx="2320">
                  <c:v>9314.9501949999994</c:v>
                </c:pt>
                <c:pt idx="2321">
                  <c:v>9490.0996090000008</c:v>
                </c:pt>
                <c:pt idx="2322">
                  <c:v>9580.2998050000006</c:v>
                </c:pt>
                <c:pt idx="2323">
                  <c:v>9826.1503909999992</c:v>
                </c:pt>
                <c:pt idx="2324">
                  <c:v>9979.0996090000008</c:v>
                </c:pt>
                <c:pt idx="2325">
                  <c:v>10061.549805000001</c:v>
                </c:pt>
                <c:pt idx="2326">
                  <c:v>10029.099609000001</c:v>
                </c:pt>
                <c:pt idx="2327">
                  <c:v>10142.150390999999</c:v>
                </c:pt>
                <c:pt idx="2328">
                  <c:v>10167.450194999999</c:v>
                </c:pt>
                <c:pt idx="2329">
                  <c:v>10046.650390999999</c:v>
                </c:pt>
                <c:pt idx="2330">
                  <c:v>10116.150390999999</c:v>
                </c:pt>
                <c:pt idx="2331">
                  <c:v>9902</c:v>
                </c:pt>
                <c:pt idx="2332">
                  <c:v>9972.9003909999992</c:v>
                </c:pt>
                <c:pt idx="2333">
                  <c:v>9813.7001949999994</c:v>
                </c:pt>
                <c:pt idx="2334">
                  <c:v>9914</c:v>
                </c:pt>
                <c:pt idx="2335">
                  <c:v>9881.1503909999992</c:v>
                </c:pt>
                <c:pt idx="2336">
                  <c:v>10091.650390999999</c:v>
                </c:pt>
                <c:pt idx="2337">
                  <c:v>10244.400390999999</c:v>
                </c:pt>
                <c:pt idx="2338">
                  <c:v>10311.200194999999</c:v>
                </c:pt>
                <c:pt idx="2339">
                  <c:v>10471</c:v>
                </c:pt>
                <c:pt idx="2340">
                  <c:v>10305.299805000001</c:v>
                </c:pt>
                <c:pt idx="2341">
                  <c:v>10288.900390999999</c:v>
                </c:pt>
                <c:pt idx="2342">
                  <c:v>10383</c:v>
                </c:pt>
                <c:pt idx="2343">
                  <c:v>10312.400390999999</c:v>
                </c:pt>
                <c:pt idx="2344">
                  <c:v>10302.099609000001</c:v>
                </c:pt>
                <c:pt idx="2345">
                  <c:v>10430.049805000001</c:v>
                </c:pt>
                <c:pt idx="2346">
                  <c:v>10551.700194999999</c:v>
                </c:pt>
                <c:pt idx="2347">
                  <c:v>10607.349609000001</c:v>
                </c:pt>
                <c:pt idx="2348">
                  <c:v>10763.650390999999</c:v>
                </c:pt>
                <c:pt idx="2349">
                  <c:v>10799.650390999999</c:v>
                </c:pt>
                <c:pt idx="2350">
                  <c:v>10705.75</c:v>
                </c:pt>
                <c:pt idx="2351">
                  <c:v>10813.450194999999</c:v>
                </c:pt>
                <c:pt idx="2352">
                  <c:v>10768.049805000001</c:v>
                </c:pt>
                <c:pt idx="2353">
                  <c:v>10802.700194999999</c:v>
                </c:pt>
                <c:pt idx="2354">
                  <c:v>10607.349609000001</c:v>
                </c:pt>
                <c:pt idx="2355">
                  <c:v>10618.200194999999</c:v>
                </c:pt>
                <c:pt idx="2356">
                  <c:v>10739.950194999999</c:v>
                </c:pt>
                <c:pt idx="2357">
                  <c:v>10901.700194999999</c:v>
                </c:pt>
                <c:pt idx="2358">
                  <c:v>11022.200194999999</c:v>
                </c:pt>
                <c:pt idx="2359">
                  <c:v>11162.25</c:v>
                </c:pt>
                <c:pt idx="2360">
                  <c:v>11132.599609000001</c:v>
                </c:pt>
                <c:pt idx="2361">
                  <c:v>11215.450194999999</c:v>
                </c:pt>
                <c:pt idx="2362">
                  <c:v>11194.150390999999</c:v>
                </c:pt>
                <c:pt idx="2363">
                  <c:v>11131.799805000001</c:v>
                </c:pt>
                <c:pt idx="2364">
                  <c:v>11300.549805000001</c:v>
                </c:pt>
                <c:pt idx="2365">
                  <c:v>11202.849609000001</c:v>
                </c:pt>
                <c:pt idx="2366">
                  <c:v>11102.150390999999</c:v>
                </c:pt>
                <c:pt idx="2367">
                  <c:v>11073.450194999999</c:v>
                </c:pt>
                <c:pt idx="2368">
                  <c:v>10891.599609000001</c:v>
                </c:pt>
                <c:pt idx="2369">
                  <c:v>11095.25</c:v>
                </c:pt>
                <c:pt idx="2370">
                  <c:v>11101.650390999999</c:v>
                </c:pt>
                <c:pt idx="2371">
                  <c:v>11200.150390999999</c:v>
                </c:pt>
                <c:pt idx="2372">
                  <c:v>11214.049805000001</c:v>
                </c:pt>
                <c:pt idx="2373">
                  <c:v>11270.150390999999</c:v>
                </c:pt>
                <c:pt idx="2374">
                  <c:v>11322.5</c:v>
                </c:pt>
                <c:pt idx="2375">
                  <c:v>11308.400390999999</c:v>
                </c:pt>
                <c:pt idx="2376">
                  <c:v>11300.450194999999</c:v>
                </c:pt>
                <c:pt idx="2377">
                  <c:v>11178.400390999999</c:v>
                </c:pt>
                <c:pt idx="2378">
                  <c:v>11247.099609000001</c:v>
                </c:pt>
                <c:pt idx="2379">
                  <c:v>11385.349609000001</c:v>
                </c:pt>
                <c:pt idx="2380">
                  <c:v>11408.400390999999</c:v>
                </c:pt>
                <c:pt idx="2381">
                  <c:v>11312.200194999999</c:v>
                </c:pt>
                <c:pt idx="2382">
                  <c:v>11371.599609000001</c:v>
                </c:pt>
                <c:pt idx="2383">
                  <c:v>11466.450194999999</c:v>
                </c:pt>
                <c:pt idx="2384">
                  <c:v>11472.25</c:v>
                </c:pt>
                <c:pt idx="2385">
                  <c:v>11549.599609000001</c:v>
                </c:pt>
                <c:pt idx="2386">
                  <c:v>11559.25</c:v>
                </c:pt>
                <c:pt idx="2387">
                  <c:v>11647.599609000001</c:v>
                </c:pt>
                <c:pt idx="2388">
                  <c:v>11387.5</c:v>
                </c:pt>
                <c:pt idx="2389">
                  <c:v>11470.25</c:v>
                </c:pt>
                <c:pt idx="2390">
                  <c:v>11535</c:v>
                </c:pt>
                <c:pt idx="2391">
                  <c:v>11527.450194999999</c:v>
                </c:pt>
                <c:pt idx="2392">
                  <c:v>11333.849609000001</c:v>
                </c:pt>
                <c:pt idx="2393">
                  <c:v>11355.049805000001</c:v>
                </c:pt>
                <c:pt idx="2394">
                  <c:v>11317.349609000001</c:v>
                </c:pt>
                <c:pt idx="2395">
                  <c:v>11278</c:v>
                </c:pt>
                <c:pt idx="2396">
                  <c:v>11449.25</c:v>
                </c:pt>
                <c:pt idx="2397">
                  <c:v>11464.450194999999</c:v>
                </c:pt>
                <c:pt idx="2398">
                  <c:v>11440.049805000001</c:v>
                </c:pt>
                <c:pt idx="2399">
                  <c:v>11521.799805000001</c:v>
                </c:pt>
                <c:pt idx="2400">
                  <c:v>11604.549805000001</c:v>
                </c:pt>
                <c:pt idx="2401">
                  <c:v>11516.099609000001</c:v>
                </c:pt>
                <c:pt idx="2402">
                  <c:v>11504.950194999999</c:v>
                </c:pt>
                <c:pt idx="2403">
                  <c:v>11250.549805000001</c:v>
                </c:pt>
                <c:pt idx="2404">
                  <c:v>11153.650390999999</c:v>
                </c:pt>
                <c:pt idx="2405">
                  <c:v>11131.849609000001</c:v>
                </c:pt>
                <c:pt idx="2406">
                  <c:v>10805.549805000001</c:v>
                </c:pt>
                <c:pt idx="2407">
                  <c:v>11050.25</c:v>
                </c:pt>
                <c:pt idx="2408">
                  <c:v>11227.549805000001</c:v>
                </c:pt>
                <c:pt idx="2409">
                  <c:v>11222.400390999999</c:v>
                </c:pt>
                <c:pt idx="2410">
                  <c:v>11247.549805000001</c:v>
                </c:pt>
                <c:pt idx="2411">
                  <c:v>11416.950194999999</c:v>
                </c:pt>
                <c:pt idx="2412">
                  <c:v>11503.349609000001</c:v>
                </c:pt>
                <c:pt idx="2413">
                  <c:v>11662.400390999999</c:v>
                </c:pt>
                <c:pt idx="2414">
                  <c:v>11738.849609000001</c:v>
                </c:pt>
                <c:pt idx="2415">
                  <c:v>11834.599609000001</c:v>
                </c:pt>
                <c:pt idx="2416">
                  <c:v>11914.200194999999</c:v>
                </c:pt>
                <c:pt idx="2417">
                  <c:v>11930.950194999999</c:v>
                </c:pt>
                <c:pt idx="2418">
                  <c:v>11934.5</c:v>
                </c:pt>
                <c:pt idx="2419">
                  <c:v>11971.049805000001</c:v>
                </c:pt>
                <c:pt idx="2420">
                  <c:v>11680.349609000001</c:v>
                </c:pt>
                <c:pt idx="2421">
                  <c:v>11762.450194999999</c:v>
                </c:pt>
                <c:pt idx="2422">
                  <c:v>11873.049805000001</c:v>
                </c:pt>
                <c:pt idx="2423">
                  <c:v>11896.799805000001</c:v>
                </c:pt>
                <c:pt idx="2424">
                  <c:v>11937.650390999999</c:v>
                </c:pt>
                <c:pt idx="2425">
                  <c:v>11896.450194999999</c:v>
                </c:pt>
                <c:pt idx="2426">
                  <c:v>11930.349609000001</c:v>
                </c:pt>
                <c:pt idx="2427">
                  <c:v>11767.75</c:v>
                </c:pt>
                <c:pt idx="2428">
                  <c:v>11889.400390999999</c:v>
                </c:pt>
                <c:pt idx="2429">
                  <c:v>11729.599609000001</c:v>
                </c:pt>
                <c:pt idx="2430">
                  <c:v>11670.799805000001</c:v>
                </c:pt>
                <c:pt idx="2431">
                  <c:v>11642.400390999999</c:v>
                </c:pt>
                <c:pt idx="2432">
                  <c:v>11669.150390999999</c:v>
                </c:pt>
                <c:pt idx="2433">
                  <c:v>11813.5</c:v>
                </c:pt>
                <c:pt idx="2434">
                  <c:v>11908.5</c:v>
                </c:pt>
                <c:pt idx="2435">
                  <c:v>12120.299805000001</c:v>
                </c:pt>
                <c:pt idx="2436">
                  <c:v>12263.549805000001</c:v>
                </c:pt>
                <c:pt idx="2437">
                  <c:v>12461.049805000001</c:v>
                </c:pt>
                <c:pt idx="2438">
                  <c:v>12631.099609000001</c:v>
                </c:pt>
                <c:pt idx="2439">
                  <c:v>12749.150390999999</c:v>
                </c:pt>
                <c:pt idx="2440">
                  <c:v>12690.799805000001</c:v>
                </c:pt>
                <c:pt idx="2441">
                  <c:v>12719.950194999999</c:v>
                </c:pt>
                <c:pt idx="2442">
                  <c:v>12874.200194999999</c:v>
                </c:pt>
                <c:pt idx="2443">
                  <c:v>12938.25</c:v>
                </c:pt>
                <c:pt idx="2444">
                  <c:v>12771.700194999999</c:v>
                </c:pt>
                <c:pt idx="2445">
                  <c:v>12859.049805000001</c:v>
                </c:pt>
                <c:pt idx="2446">
                  <c:v>12926.450194999999</c:v>
                </c:pt>
                <c:pt idx="2447">
                  <c:v>13055.150390999999</c:v>
                </c:pt>
                <c:pt idx="2448">
                  <c:v>12858.400390999999</c:v>
                </c:pt>
                <c:pt idx="2449">
                  <c:v>12987</c:v>
                </c:pt>
                <c:pt idx="2450">
                  <c:v>12968.950194999999</c:v>
                </c:pt>
                <c:pt idx="2451">
                  <c:v>13109.049805000001</c:v>
                </c:pt>
                <c:pt idx="2452">
                  <c:v>13113.75</c:v>
                </c:pt>
                <c:pt idx="2453">
                  <c:v>13133.900390999999</c:v>
                </c:pt>
                <c:pt idx="2454">
                  <c:v>13258.549805000001</c:v>
                </c:pt>
                <c:pt idx="2455">
                  <c:v>13355.75</c:v>
                </c:pt>
                <c:pt idx="2456">
                  <c:v>13392.950194999999</c:v>
                </c:pt>
                <c:pt idx="2457">
                  <c:v>13529.099609000001</c:v>
                </c:pt>
                <c:pt idx="2458">
                  <c:v>13478.299805000001</c:v>
                </c:pt>
                <c:pt idx="2459">
                  <c:v>13513.849609000001</c:v>
                </c:pt>
                <c:pt idx="2460">
                  <c:v>13558.150390999999</c:v>
                </c:pt>
                <c:pt idx="2461">
                  <c:v>13567.849609000001</c:v>
                </c:pt>
                <c:pt idx="2462">
                  <c:v>13682.700194999999</c:v>
                </c:pt>
                <c:pt idx="2463">
                  <c:v>13740.700194999999</c:v>
                </c:pt>
                <c:pt idx="2464">
                  <c:v>13760.549805000001</c:v>
                </c:pt>
                <c:pt idx="2465">
                  <c:v>13328.400390999999</c:v>
                </c:pt>
                <c:pt idx="2466">
                  <c:v>13466.299805000001</c:v>
                </c:pt>
                <c:pt idx="2467">
                  <c:v>13601.099609000001</c:v>
                </c:pt>
                <c:pt idx="2468">
                  <c:v>13749.25</c:v>
                </c:pt>
                <c:pt idx="2469">
                  <c:v>13873.200194999999</c:v>
                </c:pt>
                <c:pt idx="2470">
                  <c:v>13932.599609000001</c:v>
                </c:pt>
                <c:pt idx="2471">
                  <c:v>13981.950194999999</c:v>
                </c:pt>
                <c:pt idx="2472">
                  <c:v>13981.75</c:v>
                </c:pt>
                <c:pt idx="2473">
                  <c:v>14132.900390999999</c:v>
                </c:pt>
                <c:pt idx="2474">
                  <c:v>14199.5</c:v>
                </c:pt>
                <c:pt idx="2475">
                  <c:v>14146.25</c:v>
                </c:pt>
                <c:pt idx="2476">
                  <c:v>14137.349609000001</c:v>
                </c:pt>
                <c:pt idx="2477">
                  <c:v>14347.25</c:v>
                </c:pt>
                <c:pt idx="2478">
                  <c:v>14484.75</c:v>
                </c:pt>
                <c:pt idx="2479">
                  <c:v>14563.450194999999</c:v>
                </c:pt>
                <c:pt idx="2480">
                  <c:v>14564.849609000001</c:v>
                </c:pt>
                <c:pt idx="2481">
                  <c:v>14595.599609000001</c:v>
                </c:pt>
                <c:pt idx="2482">
                  <c:v>14433.700194999999</c:v>
                </c:pt>
                <c:pt idx="2483">
                  <c:v>14281.299805000001</c:v>
                </c:pt>
                <c:pt idx="2484">
                  <c:v>14521.150390999999</c:v>
                </c:pt>
                <c:pt idx="2485">
                  <c:v>14644.700194999999</c:v>
                </c:pt>
                <c:pt idx="2486">
                  <c:v>14590.349609000001</c:v>
                </c:pt>
                <c:pt idx="2487">
                  <c:v>14371.900390999999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'Bollinger Bands'!$J$20</c:f>
              <c:strCache>
                <c:ptCount val="1"/>
                <c:pt idx="0">
                  <c:v>Upper Band</c:v>
                </c:pt>
              </c:strCache>
            </c:strRef>
          </c:tx>
          <c:marker>
            <c:symbol val="none"/>
          </c:marker>
          <c:val>
            <c:numRef>
              <c:f>'Bollinger Bands'!$J$21:$J$2508</c:f>
              <c:numCache>
                <c:formatCode>General</c:formatCode>
                <c:ptCount val="2488"/>
                <c:pt idx="0">
                  <c:v>6339.294279446216</c:v>
                </c:pt>
                <c:pt idx="1">
                  <c:v>6348.3966806300277</c:v>
                </c:pt>
                <c:pt idx="2">
                  <c:v>6363.6554582239278</c:v>
                </c:pt>
                <c:pt idx="3">
                  <c:v>6383.0348399421819</c:v>
                </c:pt>
                <c:pt idx="4">
                  <c:v>6389.6734247370168</c:v>
                </c:pt>
                <c:pt idx="5">
                  <c:v>6391.9787976054804</c:v>
                </c:pt>
                <c:pt idx="6">
                  <c:v>6384.0834439845967</c:v>
                </c:pt>
                <c:pt idx="7">
                  <c:v>6376.5532604656692</c:v>
                </c:pt>
                <c:pt idx="8">
                  <c:v>6362.8858018816054</c:v>
                </c:pt>
                <c:pt idx="9">
                  <c:v>6325.6618392894288</c:v>
                </c:pt>
                <c:pt idx="10">
                  <c:v>6285.1738929274743</c:v>
                </c:pt>
                <c:pt idx="11">
                  <c:v>6228.4552840284859</c:v>
                </c:pt>
                <c:pt idx="12">
                  <c:v>6175.5890327161269</c:v>
                </c:pt>
                <c:pt idx="13">
                  <c:v>6129.6937556775792</c:v>
                </c:pt>
                <c:pt idx="14">
                  <c:v>6110.0739414107029</c:v>
                </c:pt>
                <c:pt idx="15">
                  <c:v>6076.6325209828474</c:v>
                </c:pt>
                <c:pt idx="16">
                  <c:v>6067.9887278721071</c:v>
                </c:pt>
                <c:pt idx="17">
                  <c:v>6060.9894700838768</c:v>
                </c:pt>
                <c:pt idx="18">
                  <c:v>6064.763741435022</c:v>
                </c:pt>
                <c:pt idx="19">
                  <c:v>6063.0655628792983</c:v>
                </c:pt>
                <c:pt idx="20">
                  <c:v>6068.9332688715758</c:v>
                </c:pt>
                <c:pt idx="21">
                  <c:v>6076.1772804326165</c:v>
                </c:pt>
                <c:pt idx="22">
                  <c:v>6082.4998131823904</c:v>
                </c:pt>
                <c:pt idx="23">
                  <c:v>6074.5071682040571</c:v>
                </c:pt>
                <c:pt idx="24">
                  <c:v>6074.9781395066429</c:v>
                </c:pt>
                <c:pt idx="25">
                  <c:v>6088.0122928185074</c:v>
                </c:pt>
                <c:pt idx="26">
                  <c:v>6110.2652376485494</c:v>
                </c:pt>
                <c:pt idx="27">
                  <c:v>6134.094280555657</c:v>
                </c:pt>
                <c:pt idx="28">
                  <c:v>6162.4843993601908</c:v>
                </c:pt>
                <c:pt idx="29">
                  <c:v>6184.9692878314609</c:v>
                </c:pt>
                <c:pt idx="30">
                  <c:v>6194.4311976360268</c:v>
                </c:pt>
                <c:pt idx="31">
                  <c:v>6198.8627271007463</c:v>
                </c:pt>
                <c:pt idx="32">
                  <c:v>6180.0671692964652</c:v>
                </c:pt>
                <c:pt idx="33">
                  <c:v>6196.0160195670342</c:v>
                </c:pt>
                <c:pt idx="34">
                  <c:v>6214.01511133439</c:v>
                </c:pt>
                <c:pt idx="35">
                  <c:v>6216.5616039341839</c:v>
                </c:pt>
                <c:pt idx="36">
                  <c:v>6229.7805707916177</c:v>
                </c:pt>
                <c:pt idx="37">
                  <c:v>6254.9404942787687</c:v>
                </c:pt>
                <c:pt idx="38">
                  <c:v>6272.4347488144795</c:v>
                </c:pt>
                <c:pt idx="39">
                  <c:v>6273.3621911365335</c:v>
                </c:pt>
                <c:pt idx="40">
                  <c:v>6275.4930491637297</c:v>
                </c:pt>
                <c:pt idx="41">
                  <c:v>6273.3416067068529</c:v>
                </c:pt>
                <c:pt idx="42">
                  <c:v>6266.3315211086283</c:v>
                </c:pt>
                <c:pt idx="43">
                  <c:v>6256.1139964127078</c:v>
                </c:pt>
                <c:pt idx="44">
                  <c:v>6246.2740533720316</c:v>
                </c:pt>
                <c:pt idx="45">
                  <c:v>6229.1668517977305</c:v>
                </c:pt>
                <c:pt idx="46">
                  <c:v>6206.6649235430668</c:v>
                </c:pt>
                <c:pt idx="47">
                  <c:v>6167.8236783721322</c:v>
                </c:pt>
                <c:pt idx="48">
                  <c:v>6121.2961162919819</c:v>
                </c:pt>
                <c:pt idx="49">
                  <c:v>6060.1567601865481</c:v>
                </c:pt>
                <c:pt idx="50">
                  <c:v>5994.8623325571471</c:v>
                </c:pt>
                <c:pt idx="51">
                  <c:v>5936.5738951351113</c:v>
                </c:pt>
                <c:pt idx="52">
                  <c:v>5906.1285081495826</c:v>
                </c:pt>
                <c:pt idx="53">
                  <c:v>5907.895944314685</c:v>
                </c:pt>
                <c:pt idx="54">
                  <c:v>5910.9775386307911</c:v>
                </c:pt>
                <c:pt idx="55">
                  <c:v>5885.5712233647228</c:v>
                </c:pt>
                <c:pt idx="56">
                  <c:v>5864.2541892776189</c:v>
                </c:pt>
                <c:pt idx="57">
                  <c:v>5849.7074013056508</c:v>
                </c:pt>
                <c:pt idx="58">
                  <c:v>5834.5081666974665</c:v>
                </c:pt>
                <c:pt idx="59">
                  <c:v>5805.7895746080931</c:v>
                </c:pt>
                <c:pt idx="60">
                  <c:v>5785.6479624052272</c:v>
                </c:pt>
                <c:pt idx="61">
                  <c:v>5753.5011827327362</c:v>
                </c:pt>
                <c:pt idx="62">
                  <c:v>5725.3304511410324</c:v>
                </c:pt>
                <c:pt idx="63">
                  <c:v>5676.2597981480503</c:v>
                </c:pt>
                <c:pt idx="64">
                  <c:v>5634.1796242630253</c:v>
                </c:pt>
                <c:pt idx="65">
                  <c:v>5615.2743322521283</c:v>
                </c:pt>
                <c:pt idx="66">
                  <c:v>5606.3931996927868</c:v>
                </c:pt>
                <c:pt idx="67">
                  <c:v>5595.0945319812326</c:v>
                </c:pt>
                <c:pt idx="68">
                  <c:v>5607.7523751319777</c:v>
                </c:pt>
                <c:pt idx="69">
                  <c:v>5620.9991398462535</c:v>
                </c:pt>
                <c:pt idx="70">
                  <c:v>5623.0532112135497</c:v>
                </c:pt>
                <c:pt idx="71">
                  <c:v>5627.4815439908471</c:v>
                </c:pt>
                <c:pt idx="72">
                  <c:v>5638.6104793317372</c:v>
                </c:pt>
                <c:pt idx="73">
                  <c:v>5648.4114181808809</c:v>
                </c:pt>
                <c:pt idx="74">
                  <c:v>5644.7175741822793</c:v>
                </c:pt>
                <c:pt idx="75">
                  <c:v>5627.2422108309074</c:v>
                </c:pt>
                <c:pt idx="76">
                  <c:v>5626.9913532555265</c:v>
                </c:pt>
                <c:pt idx="77">
                  <c:v>5626.7874360355663</c:v>
                </c:pt>
                <c:pt idx="78">
                  <c:v>5629.438736298086</c:v>
                </c:pt>
                <c:pt idx="79">
                  <c:v>5627.8118876005137</c:v>
                </c:pt>
                <c:pt idx="80">
                  <c:v>5619.5468555966427</c:v>
                </c:pt>
                <c:pt idx="81">
                  <c:v>5620.0387401857542</c:v>
                </c:pt>
                <c:pt idx="82">
                  <c:v>5612.6606374410085</c:v>
                </c:pt>
                <c:pt idx="83">
                  <c:v>5613.5926471583989</c:v>
                </c:pt>
                <c:pt idx="84">
                  <c:v>5621.0294205437776</c:v>
                </c:pt>
                <c:pt idx="85">
                  <c:v>5638.8460302850935</c:v>
                </c:pt>
                <c:pt idx="86">
                  <c:v>5664.6512724877821</c:v>
                </c:pt>
                <c:pt idx="87">
                  <c:v>5700.5581032304972</c:v>
                </c:pt>
                <c:pt idx="88">
                  <c:v>5750.695591224513</c:v>
                </c:pt>
                <c:pt idx="89">
                  <c:v>5804.5934015334606</c:v>
                </c:pt>
                <c:pt idx="90">
                  <c:v>5848.3175213213854</c:v>
                </c:pt>
                <c:pt idx="91">
                  <c:v>5906.8430569994935</c:v>
                </c:pt>
                <c:pt idx="92">
                  <c:v>5957.0102941092764</c:v>
                </c:pt>
                <c:pt idx="93">
                  <c:v>5996.8499663258026</c:v>
                </c:pt>
                <c:pt idx="94">
                  <c:v>6030.5099362035571</c:v>
                </c:pt>
                <c:pt idx="95">
                  <c:v>6050.5015018894273</c:v>
                </c:pt>
                <c:pt idx="96">
                  <c:v>6063.1290845917765</c:v>
                </c:pt>
                <c:pt idx="97">
                  <c:v>6087.067194042932</c:v>
                </c:pt>
                <c:pt idx="98">
                  <c:v>6097.964774045292</c:v>
                </c:pt>
                <c:pt idx="99">
                  <c:v>6092.9641801744874</c:v>
                </c:pt>
                <c:pt idx="100">
                  <c:v>6074.3306543417148</c:v>
                </c:pt>
                <c:pt idx="101">
                  <c:v>6052.8050872585036</c:v>
                </c:pt>
                <c:pt idx="102">
                  <c:v>6030.7606234466148</c:v>
                </c:pt>
                <c:pt idx="103">
                  <c:v>6007.1330879677016</c:v>
                </c:pt>
                <c:pt idx="104">
                  <c:v>5976.4893222451519</c:v>
                </c:pt>
                <c:pt idx="105">
                  <c:v>5963.9029651754045</c:v>
                </c:pt>
                <c:pt idx="106">
                  <c:v>5952.8333442474086</c:v>
                </c:pt>
                <c:pt idx="107">
                  <c:v>5951.2737499412679</c:v>
                </c:pt>
                <c:pt idx="108">
                  <c:v>5960.3421758020286</c:v>
                </c:pt>
                <c:pt idx="109">
                  <c:v>5993.730372555151</c:v>
                </c:pt>
                <c:pt idx="110">
                  <c:v>6019.6529410532503</c:v>
                </c:pt>
                <c:pt idx="111">
                  <c:v>6040.4989366993486</c:v>
                </c:pt>
                <c:pt idx="112">
                  <c:v>6034.5194361503982</c:v>
                </c:pt>
                <c:pt idx="113">
                  <c:v>6026.2858887656694</c:v>
                </c:pt>
                <c:pt idx="114">
                  <c:v>6015.3692357600094</c:v>
                </c:pt>
                <c:pt idx="115">
                  <c:v>6005.3711567591636</c:v>
                </c:pt>
                <c:pt idx="116">
                  <c:v>6005.7006644775929</c:v>
                </c:pt>
                <c:pt idx="117">
                  <c:v>5977.937752291019</c:v>
                </c:pt>
                <c:pt idx="118">
                  <c:v>5964.5155469814699</c:v>
                </c:pt>
                <c:pt idx="119">
                  <c:v>5964.9282851480184</c:v>
                </c:pt>
                <c:pt idx="120">
                  <c:v>5962.1519493511478</c:v>
                </c:pt>
                <c:pt idx="121">
                  <c:v>5936.8631840833987</c:v>
                </c:pt>
                <c:pt idx="122">
                  <c:v>5895.102982280885</c:v>
                </c:pt>
                <c:pt idx="123">
                  <c:v>5853.7179960235289</c:v>
                </c:pt>
                <c:pt idx="124">
                  <c:v>5802.9325961940258</c:v>
                </c:pt>
                <c:pt idx="125">
                  <c:v>5754.8077513361977</c:v>
                </c:pt>
                <c:pt idx="126">
                  <c:v>5704.9910222171902</c:v>
                </c:pt>
                <c:pt idx="127">
                  <c:v>5654.8345490197235</c:v>
                </c:pt>
                <c:pt idx="128">
                  <c:v>5610.0271703857652</c:v>
                </c:pt>
                <c:pt idx="129">
                  <c:v>5615.5579249584207</c:v>
                </c:pt>
                <c:pt idx="130">
                  <c:v>5617.5153297231882</c:v>
                </c:pt>
                <c:pt idx="131">
                  <c:v>5620.9298262497014</c:v>
                </c:pt>
                <c:pt idx="132">
                  <c:v>5618.1976777716945</c:v>
                </c:pt>
                <c:pt idx="133">
                  <c:v>5619.0063197689815</c:v>
                </c:pt>
                <c:pt idx="134">
                  <c:v>5617.1281720082898</c:v>
                </c:pt>
                <c:pt idx="135">
                  <c:v>5610.5889682706675</c:v>
                </c:pt>
                <c:pt idx="136">
                  <c:v>5610.5678447155778</c:v>
                </c:pt>
                <c:pt idx="137">
                  <c:v>5603.8582020823842</c:v>
                </c:pt>
                <c:pt idx="138">
                  <c:v>5603.9908770080401</c:v>
                </c:pt>
                <c:pt idx="139">
                  <c:v>5603.9445041368526</c:v>
                </c:pt>
                <c:pt idx="140">
                  <c:v>5605.3995090345479</c:v>
                </c:pt>
                <c:pt idx="141">
                  <c:v>5609.8075118368542</c:v>
                </c:pt>
                <c:pt idx="142">
                  <c:v>5628.3616706717594</c:v>
                </c:pt>
                <c:pt idx="143">
                  <c:v>5639.7204351202399</c:v>
                </c:pt>
                <c:pt idx="144">
                  <c:v>5648.7861537419667</c:v>
                </c:pt>
                <c:pt idx="145">
                  <c:v>5650.8219020223232</c:v>
                </c:pt>
                <c:pt idx="146">
                  <c:v>5653.2700346056563</c:v>
                </c:pt>
                <c:pt idx="147">
                  <c:v>5658.3441970388458</c:v>
                </c:pt>
                <c:pt idx="148">
                  <c:v>5665.8935908265221</c:v>
                </c:pt>
                <c:pt idx="149">
                  <c:v>5667.4951911943726</c:v>
                </c:pt>
                <c:pt idx="150">
                  <c:v>5685.4433810746787</c:v>
                </c:pt>
                <c:pt idx="151">
                  <c:v>5701.8162420865146</c:v>
                </c:pt>
                <c:pt idx="152">
                  <c:v>5720.2209741384459</c:v>
                </c:pt>
                <c:pt idx="153">
                  <c:v>5731.572392535355</c:v>
                </c:pt>
                <c:pt idx="154">
                  <c:v>5744.2167341677505</c:v>
                </c:pt>
                <c:pt idx="155">
                  <c:v>5776.6112314716474</c:v>
                </c:pt>
                <c:pt idx="156">
                  <c:v>5795.0013352515034</c:v>
                </c:pt>
                <c:pt idx="157">
                  <c:v>5805.8543825020033</c:v>
                </c:pt>
                <c:pt idx="158">
                  <c:v>5807.2082306499078</c:v>
                </c:pt>
                <c:pt idx="159">
                  <c:v>5814.3974500226568</c:v>
                </c:pt>
                <c:pt idx="160">
                  <c:v>5814.7857755359964</c:v>
                </c:pt>
                <c:pt idx="161">
                  <c:v>5816.9877911032536</c:v>
                </c:pt>
                <c:pt idx="162">
                  <c:v>5801.1781768853916</c:v>
                </c:pt>
                <c:pt idx="163">
                  <c:v>5784.0190972413293</c:v>
                </c:pt>
                <c:pt idx="164">
                  <c:v>5751.5341154022335</c:v>
                </c:pt>
                <c:pt idx="165">
                  <c:v>5713.3164814930906</c:v>
                </c:pt>
                <c:pt idx="166">
                  <c:v>5708.7843875834642</c:v>
                </c:pt>
                <c:pt idx="167">
                  <c:v>5716.5174345610021</c:v>
                </c:pt>
                <c:pt idx="168">
                  <c:v>5715.2421679886093</c:v>
                </c:pt>
                <c:pt idx="169">
                  <c:v>5716.0653292887964</c:v>
                </c:pt>
                <c:pt idx="170">
                  <c:v>5718.1112426111222</c:v>
                </c:pt>
                <c:pt idx="171">
                  <c:v>5720.5609755480282</c:v>
                </c:pt>
                <c:pt idx="172">
                  <c:v>5714.6732386849499</c:v>
                </c:pt>
                <c:pt idx="173">
                  <c:v>5715.5203095069164</c:v>
                </c:pt>
                <c:pt idx="174">
                  <c:v>5721.5241714787089</c:v>
                </c:pt>
                <c:pt idx="175">
                  <c:v>5713.8843581069113</c:v>
                </c:pt>
                <c:pt idx="176">
                  <c:v>5738.9557115557054</c:v>
                </c:pt>
                <c:pt idx="177">
                  <c:v>5774.3009394474147</c:v>
                </c:pt>
                <c:pt idx="178">
                  <c:v>5809.6291427950691</c:v>
                </c:pt>
                <c:pt idx="179">
                  <c:v>5811.7086242558471</c:v>
                </c:pt>
                <c:pt idx="180">
                  <c:v>5818.1334516450033</c:v>
                </c:pt>
                <c:pt idx="181">
                  <c:v>5818.2662307481542</c:v>
                </c:pt>
                <c:pt idx="182">
                  <c:v>5816.703307658071</c:v>
                </c:pt>
                <c:pt idx="183">
                  <c:v>5797.7881216114574</c:v>
                </c:pt>
                <c:pt idx="184">
                  <c:v>5790.6688866560744</c:v>
                </c:pt>
                <c:pt idx="185">
                  <c:v>5789.8816798763437</c:v>
                </c:pt>
                <c:pt idx="186">
                  <c:v>5754.3203379793531</c:v>
                </c:pt>
                <c:pt idx="187">
                  <c:v>5692.2784621702858</c:v>
                </c:pt>
                <c:pt idx="188">
                  <c:v>5647.6604407372142</c:v>
                </c:pt>
                <c:pt idx="189">
                  <c:v>5602.6703570894952</c:v>
                </c:pt>
                <c:pt idx="190">
                  <c:v>5568.8568645893756</c:v>
                </c:pt>
                <c:pt idx="191">
                  <c:v>5512.548303559648</c:v>
                </c:pt>
                <c:pt idx="192">
                  <c:v>5435.6614102146541</c:v>
                </c:pt>
                <c:pt idx="193">
                  <c:v>5364.5644221304892</c:v>
                </c:pt>
                <c:pt idx="194">
                  <c:v>5295.3325101965593</c:v>
                </c:pt>
                <c:pt idx="195">
                  <c:v>5240.793843924419</c:v>
                </c:pt>
                <c:pt idx="196">
                  <c:v>5223.2449143986551</c:v>
                </c:pt>
                <c:pt idx="197">
                  <c:v>5229.4039460860622</c:v>
                </c:pt>
                <c:pt idx="198">
                  <c:v>5227.9024157433951</c:v>
                </c:pt>
                <c:pt idx="199">
                  <c:v>5204.8300834393449</c:v>
                </c:pt>
                <c:pt idx="200">
                  <c:v>5183.7198778978254</c:v>
                </c:pt>
                <c:pt idx="201">
                  <c:v>5176.5336705186928</c:v>
                </c:pt>
                <c:pt idx="202">
                  <c:v>5181.8433066816533</c:v>
                </c:pt>
                <c:pt idx="203">
                  <c:v>5185.8551667398488</c:v>
                </c:pt>
                <c:pt idx="204">
                  <c:v>5190.970224991439</c:v>
                </c:pt>
                <c:pt idx="205">
                  <c:v>5206.7330023292516</c:v>
                </c:pt>
                <c:pt idx="206">
                  <c:v>5221.5759366267212</c:v>
                </c:pt>
                <c:pt idx="207">
                  <c:v>5222.0926220542169</c:v>
                </c:pt>
                <c:pt idx="208">
                  <c:v>5223.6799424691262</c:v>
                </c:pt>
                <c:pt idx="209">
                  <c:v>5224.1543103888953</c:v>
                </c:pt>
                <c:pt idx="210">
                  <c:v>5199.6203083688652</c:v>
                </c:pt>
                <c:pt idx="211">
                  <c:v>5198.3354943123868</c:v>
                </c:pt>
                <c:pt idx="212">
                  <c:v>5198.8784827934096</c:v>
                </c:pt>
                <c:pt idx="213">
                  <c:v>5196.8697938018759</c:v>
                </c:pt>
                <c:pt idx="214">
                  <c:v>5202.7837855827911</c:v>
                </c:pt>
                <c:pt idx="215">
                  <c:v>5211.8874001698114</c:v>
                </c:pt>
                <c:pt idx="216">
                  <c:v>5208.4002712139054</c:v>
                </c:pt>
                <c:pt idx="217">
                  <c:v>5181.8356663310869</c:v>
                </c:pt>
                <c:pt idx="218">
                  <c:v>5173.09980400119</c:v>
                </c:pt>
                <c:pt idx="219">
                  <c:v>5174.5956354922628</c:v>
                </c:pt>
                <c:pt idx="220">
                  <c:v>5191.433027815664</c:v>
                </c:pt>
                <c:pt idx="221">
                  <c:v>5199.4288430289016</c:v>
                </c:pt>
                <c:pt idx="222">
                  <c:v>5209.0873176954246</c:v>
                </c:pt>
                <c:pt idx="223">
                  <c:v>5214.6485255373927</c:v>
                </c:pt>
                <c:pt idx="224">
                  <c:v>5215.2252574302229</c:v>
                </c:pt>
                <c:pt idx="225">
                  <c:v>5215.0204704531779</c:v>
                </c:pt>
                <c:pt idx="226">
                  <c:v>5207.8378415236693</c:v>
                </c:pt>
                <c:pt idx="227">
                  <c:v>5215.5999175120141</c:v>
                </c:pt>
                <c:pt idx="228">
                  <c:v>5227.1853782758944</c:v>
                </c:pt>
                <c:pt idx="229">
                  <c:v>5249.9874082262986</c:v>
                </c:pt>
                <c:pt idx="230">
                  <c:v>5315.5424344963048</c:v>
                </c:pt>
                <c:pt idx="231">
                  <c:v>5361.2634556584408</c:v>
                </c:pt>
                <c:pt idx="232">
                  <c:v>5386.9387848526812</c:v>
                </c:pt>
                <c:pt idx="233">
                  <c:v>5409.8581834912438</c:v>
                </c:pt>
                <c:pt idx="234">
                  <c:v>5423.9685827604662</c:v>
                </c:pt>
                <c:pt idx="235">
                  <c:v>5422.9939513468817</c:v>
                </c:pt>
                <c:pt idx="236">
                  <c:v>5404.668156898113</c:v>
                </c:pt>
                <c:pt idx="237">
                  <c:v>5392.6659308702365</c:v>
                </c:pt>
                <c:pt idx="238">
                  <c:v>5385.3662759655253</c:v>
                </c:pt>
                <c:pt idx="239">
                  <c:v>5373.2611676563774</c:v>
                </c:pt>
                <c:pt idx="240">
                  <c:v>5374.9404079707219</c:v>
                </c:pt>
                <c:pt idx="241">
                  <c:v>5378.7968316849401</c:v>
                </c:pt>
                <c:pt idx="242">
                  <c:v>5395.6827811173143</c:v>
                </c:pt>
                <c:pt idx="243">
                  <c:v>5412.6890189137139</c:v>
                </c:pt>
                <c:pt idx="244">
                  <c:v>5446.9254206582491</c:v>
                </c:pt>
                <c:pt idx="245">
                  <c:v>5464.8369408320259</c:v>
                </c:pt>
                <c:pt idx="246">
                  <c:v>5494.4922289452543</c:v>
                </c:pt>
                <c:pt idx="247">
                  <c:v>5516.1712063679943</c:v>
                </c:pt>
                <c:pt idx="248">
                  <c:v>5517.0526243751428</c:v>
                </c:pt>
                <c:pt idx="249">
                  <c:v>5510.6252456668226</c:v>
                </c:pt>
                <c:pt idx="250">
                  <c:v>5471.5973396307718</c:v>
                </c:pt>
                <c:pt idx="251">
                  <c:v>5431.293531244306</c:v>
                </c:pt>
                <c:pt idx="252">
                  <c:v>5405.3388746256796</c:v>
                </c:pt>
                <c:pt idx="253">
                  <c:v>5376.6157221320136</c:v>
                </c:pt>
                <c:pt idx="254">
                  <c:v>5346.2117423803775</c:v>
                </c:pt>
                <c:pt idx="255">
                  <c:v>5300.3741697831874</c:v>
                </c:pt>
                <c:pt idx="256">
                  <c:v>5244.6255604822036</c:v>
                </c:pt>
                <c:pt idx="257">
                  <c:v>5201.7874099654937</c:v>
                </c:pt>
                <c:pt idx="258">
                  <c:v>5162.4163466849632</c:v>
                </c:pt>
                <c:pt idx="259">
                  <c:v>5122.7019525002179</c:v>
                </c:pt>
                <c:pt idx="260">
                  <c:v>5097.255970908679</c:v>
                </c:pt>
                <c:pt idx="261">
                  <c:v>5083.9708227249339</c:v>
                </c:pt>
                <c:pt idx="262">
                  <c:v>5086.1612756381255</c:v>
                </c:pt>
                <c:pt idx="263">
                  <c:v>5095.9007458397364</c:v>
                </c:pt>
                <c:pt idx="264">
                  <c:v>5096.4370766222619</c:v>
                </c:pt>
                <c:pt idx="265">
                  <c:v>5094.4991257702986</c:v>
                </c:pt>
                <c:pt idx="266">
                  <c:v>5094.3493659930045</c:v>
                </c:pt>
                <c:pt idx="267">
                  <c:v>5094.0923020438831</c:v>
                </c:pt>
                <c:pt idx="268">
                  <c:v>5089.5837173397422</c:v>
                </c:pt>
                <c:pt idx="269">
                  <c:v>5089.7754911493294</c:v>
                </c:pt>
                <c:pt idx="270">
                  <c:v>5088.0359680215679</c:v>
                </c:pt>
                <c:pt idx="271">
                  <c:v>5070.7236626921294</c:v>
                </c:pt>
                <c:pt idx="272">
                  <c:v>5025.7366080438424</c:v>
                </c:pt>
                <c:pt idx="273">
                  <c:v>4976.3992280219427</c:v>
                </c:pt>
                <c:pt idx="274">
                  <c:v>4906.5335682556879</c:v>
                </c:pt>
                <c:pt idx="275">
                  <c:v>4865.3634807799335</c:v>
                </c:pt>
                <c:pt idx="276">
                  <c:v>4861.0218743329524</c:v>
                </c:pt>
                <c:pt idx="277">
                  <c:v>4878.3815558190336</c:v>
                </c:pt>
                <c:pt idx="278">
                  <c:v>4883.6958011256984</c:v>
                </c:pt>
                <c:pt idx="279">
                  <c:v>4900.3166274421792</c:v>
                </c:pt>
                <c:pt idx="280">
                  <c:v>4918.4508946760016</c:v>
                </c:pt>
                <c:pt idx="281">
                  <c:v>4956.7282804940714</c:v>
                </c:pt>
                <c:pt idx="282">
                  <c:v>4982.1747830571712</c:v>
                </c:pt>
                <c:pt idx="283">
                  <c:v>5006.1257784466761</c:v>
                </c:pt>
                <c:pt idx="284">
                  <c:v>5046.9609014071575</c:v>
                </c:pt>
                <c:pt idx="285">
                  <c:v>5081.7728264510451</c:v>
                </c:pt>
                <c:pt idx="286">
                  <c:v>5129.6777512170647</c:v>
                </c:pt>
                <c:pt idx="287">
                  <c:v>5178.2467209845108</c:v>
                </c:pt>
                <c:pt idx="288">
                  <c:v>5227.7695575961825</c:v>
                </c:pt>
                <c:pt idx="289">
                  <c:v>5239.6318641450607</c:v>
                </c:pt>
                <c:pt idx="290">
                  <c:v>5262.1148895227561</c:v>
                </c:pt>
                <c:pt idx="291">
                  <c:v>5299.5692889444163</c:v>
                </c:pt>
                <c:pt idx="292">
                  <c:v>5335.4330283624213</c:v>
                </c:pt>
                <c:pt idx="293">
                  <c:v>5375.060420817329</c:v>
                </c:pt>
                <c:pt idx="294">
                  <c:v>5413.1333329291365</c:v>
                </c:pt>
                <c:pt idx="295">
                  <c:v>5433.1836515115856</c:v>
                </c:pt>
                <c:pt idx="296">
                  <c:v>5463.6520171858192</c:v>
                </c:pt>
                <c:pt idx="297">
                  <c:v>5496.3221624006501</c:v>
                </c:pt>
                <c:pt idx="298">
                  <c:v>5510.1273967854031</c:v>
                </c:pt>
                <c:pt idx="299">
                  <c:v>5521.037263888662</c:v>
                </c:pt>
                <c:pt idx="300">
                  <c:v>5527.9891782749028</c:v>
                </c:pt>
                <c:pt idx="301">
                  <c:v>5563.7453157430718</c:v>
                </c:pt>
                <c:pt idx="302">
                  <c:v>5584.8949543214876</c:v>
                </c:pt>
                <c:pt idx="303">
                  <c:v>5614.2658097393232</c:v>
                </c:pt>
                <c:pt idx="304">
                  <c:v>5647.5921978059814</c:v>
                </c:pt>
                <c:pt idx="305">
                  <c:v>5650.9603034843049</c:v>
                </c:pt>
                <c:pt idx="306">
                  <c:v>5655.0440248675868</c:v>
                </c:pt>
                <c:pt idx="307">
                  <c:v>5652.0189863624773</c:v>
                </c:pt>
                <c:pt idx="308">
                  <c:v>5647.3428003695453</c:v>
                </c:pt>
                <c:pt idx="309">
                  <c:v>5621.2953209198186</c:v>
                </c:pt>
                <c:pt idx="310">
                  <c:v>5609.7826986283044</c:v>
                </c:pt>
                <c:pt idx="311">
                  <c:v>5600.9647866390578</c:v>
                </c:pt>
                <c:pt idx="312">
                  <c:v>5594.8573625389981</c:v>
                </c:pt>
                <c:pt idx="313">
                  <c:v>5598.7058733937502</c:v>
                </c:pt>
                <c:pt idx="314">
                  <c:v>5610.2663850066001</c:v>
                </c:pt>
                <c:pt idx="315">
                  <c:v>5619.4759470289664</c:v>
                </c:pt>
                <c:pt idx="316">
                  <c:v>5619.4976372615665</c:v>
                </c:pt>
                <c:pt idx="317">
                  <c:v>5617.6125466917902</c:v>
                </c:pt>
                <c:pt idx="318">
                  <c:v>5620.2352769589961</c:v>
                </c:pt>
                <c:pt idx="319">
                  <c:v>5625.5755473866793</c:v>
                </c:pt>
                <c:pt idx="320">
                  <c:v>5624.0135208594156</c:v>
                </c:pt>
                <c:pt idx="321">
                  <c:v>5607.8108876752412</c:v>
                </c:pt>
                <c:pt idx="322">
                  <c:v>5593.7594518496344</c:v>
                </c:pt>
                <c:pt idx="323">
                  <c:v>5565.4452372743426</c:v>
                </c:pt>
                <c:pt idx="324">
                  <c:v>5517.8922972254586</c:v>
                </c:pt>
                <c:pt idx="325">
                  <c:v>5496.5767007282884</c:v>
                </c:pt>
                <c:pt idx="326">
                  <c:v>5472.9777042012083</c:v>
                </c:pt>
                <c:pt idx="327">
                  <c:v>5466.4189053296031</c:v>
                </c:pt>
                <c:pt idx="328">
                  <c:v>5467.3660273099504</c:v>
                </c:pt>
                <c:pt idx="329">
                  <c:v>5464.517987442181</c:v>
                </c:pt>
                <c:pt idx="330">
                  <c:v>5459.2469208182874</c:v>
                </c:pt>
                <c:pt idx="331">
                  <c:v>5455.714198108989</c:v>
                </c:pt>
                <c:pt idx="332">
                  <c:v>5451.1342594728731</c:v>
                </c:pt>
                <c:pt idx="333">
                  <c:v>5457.713169914331</c:v>
                </c:pt>
                <c:pt idx="334">
                  <c:v>5459.4402579931966</c:v>
                </c:pt>
                <c:pt idx="335">
                  <c:v>5458.7824529062254</c:v>
                </c:pt>
                <c:pt idx="336">
                  <c:v>5455.4930635580877</c:v>
                </c:pt>
                <c:pt idx="337">
                  <c:v>5448.8435945653964</c:v>
                </c:pt>
                <c:pt idx="338">
                  <c:v>5426.9992540673156</c:v>
                </c:pt>
                <c:pt idx="339">
                  <c:v>5389.7870200582211</c:v>
                </c:pt>
                <c:pt idx="340">
                  <c:v>5371.3861544287893</c:v>
                </c:pt>
                <c:pt idx="341">
                  <c:v>5367.6319983164631</c:v>
                </c:pt>
                <c:pt idx="342">
                  <c:v>5371.220391342421</c:v>
                </c:pt>
                <c:pt idx="343">
                  <c:v>5378.4431312478127</c:v>
                </c:pt>
                <c:pt idx="344">
                  <c:v>5365.4687024069553</c:v>
                </c:pt>
                <c:pt idx="345">
                  <c:v>5366.6572330969293</c:v>
                </c:pt>
                <c:pt idx="346">
                  <c:v>5364.7908671843934</c:v>
                </c:pt>
                <c:pt idx="347">
                  <c:v>5363.4039653839345</c:v>
                </c:pt>
                <c:pt idx="348">
                  <c:v>5365.0336784994006</c:v>
                </c:pt>
                <c:pt idx="349">
                  <c:v>5365.3259479871531</c:v>
                </c:pt>
                <c:pt idx="350">
                  <c:v>5362.8502157292633</c:v>
                </c:pt>
                <c:pt idx="351">
                  <c:v>5358.8881626403863</c:v>
                </c:pt>
                <c:pt idx="352">
                  <c:v>5352.3071618830345</c:v>
                </c:pt>
                <c:pt idx="353">
                  <c:v>5349.3302193417667</c:v>
                </c:pt>
                <c:pt idx="354">
                  <c:v>5343.5210068911865</c:v>
                </c:pt>
                <c:pt idx="355">
                  <c:v>5368.833764100792</c:v>
                </c:pt>
                <c:pt idx="356">
                  <c:v>5387.731574128421</c:v>
                </c:pt>
                <c:pt idx="357">
                  <c:v>5401.3825608276375</c:v>
                </c:pt>
                <c:pt idx="358">
                  <c:v>5408.4821896573685</c:v>
                </c:pt>
                <c:pt idx="359">
                  <c:v>5419.7521742045137</c:v>
                </c:pt>
                <c:pt idx="360">
                  <c:v>5419.4784807853021</c:v>
                </c:pt>
                <c:pt idx="361">
                  <c:v>5415.5803817842934</c:v>
                </c:pt>
                <c:pt idx="362">
                  <c:v>5401.1207433767704</c:v>
                </c:pt>
                <c:pt idx="363">
                  <c:v>5371.2359686635455</c:v>
                </c:pt>
                <c:pt idx="364">
                  <c:v>5346.3832345943028</c:v>
                </c:pt>
                <c:pt idx="365">
                  <c:v>5335.109402691025</c:v>
                </c:pt>
                <c:pt idx="366">
                  <c:v>5310.6359744179908</c:v>
                </c:pt>
                <c:pt idx="367">
                  <c:v>5286.6816460079517</c:v>
                </c:pt>
                <c:pt idx="368">
                  <c:v>5263.087445981364</c:v>
                </c:pt>
                <c:pt idx="369">
                  <c:v>5236.9240684686847</c:v>
                </c:pt>
                <c:pt idx="370">
                  <c:v>5189.8918860666136</c:v>
                </c:pt>
                <c:pt idx="371">
                  <c:v>5134.7732397461978</c:v>
                </c:pt>
                <c:pt idx="372">
                  <c:v>5087.2192854058885</c:v>
                </c:pt>
                <c:pt idx="373">
                  <c:v>5062.9738156579024</c:v>
                </c:pt>
                <c:pt idx="374">
                  <c:v>5020.7101296241126</c:v>
                </c:pt>
                <c:pt idx="375">
                  <c:v>5020.0909755841385</c:v>
                </c:pt>
                <c:pt idx="376">
                  <c:v>5037.2926880077193</c:v>
                </c:pt>
                <c:pt idx="377">
                  <c:v>5058.7907186618713</c:v>
                </c:pt>
                <c:pt idx="378">
                  <c:v>5077.2143241701879</c:v>
                </c:pt>
                <c:pt idx="379">
                  <c:v>5109.0156834483805</c:v>
                </c:pt>
                <c:pt idx="380">
                  <c:v>5136.4958940755796</c:v>
                </c:pt>
                <c:pt idx="381">
                  <c:v>5147.0184714083452</c:v>
                </c:pt>
                <c:pt idx="382">
                  <c:v>5172.0014563304167</c:v>
                </c:pt>
                <c:pt idx="383">
                  <c:v>5180.9775995961008</c:v>
                </c:pt>
                <c:pt idx="384">
                  <c:v>5192.0631782797491</c:v>
                </c:pt>
                <c:pt idx="385">
                  <c:v>5199.7363172480918</c:v>
                </c:pt>
                <c:pt idx="386">
                  <c:v>5219.8265666794177</c:v>
                </c:pt>
                <c:pt idx="387">
                  <c:v>5233.1495142539443</c:v>
                </c:pt>
                <c:pt idx="388">
                  <c:v>5241.8262815937642</c:v>
                </c:pt>
                <c:pt idx="389">
                  <c:v>5250.4347452291122</c:v>
                </c:pt>
                <c:pt idx="390">
                  <c:v>5259.6752640629056</c:v>
                </c:pt>
                <c:pt idx="391">
                  <c:v>5265.9042932843067</c:v>
                </c:pt>
                <c:pt idx="392">
                  <c:v>5280.9697679846358</c:v>
                </c:pt>
                <c:pt idx="393">
                  <c:v>5286.3948295072541</c:v>
                </c:pt>
                <c:pt idx="394">
                  <c:v>5285.0514219959132</c:v>
                </c:pt>
                <c:pt idx="395">
                  <c:v>5305.8129053577659</c:v>
                </c:pt>
                <c:pt idx="396">
                  <c:v>5332.7620761293128</c:v>
                </c:pt>
                <c:pt idx="397">
                  <c:v>5353.5685866408103</c:v>
                </c:pt>
                <c:pt idx="398">
                  <c:v>5361.7858409113614</c:v>
                </c:pt>
                <c:pt idx="399">
                  <c:v>5384.5820514964762</c:v>
                </c:pt>
                <c:pt idx="400">
                  <c:v>5397.1511258625769</c:v>
                </c:pt>
                <c:pt idx="401">
                  <c:v>5393.8194247202573</c:v>
                </c:pt>
                <c:pt idx="402">
                  <c:v>5395.1536174892171</c:v>
                </c:pt>
                <c:pt idx="403">
                  <c:v>5387.5366272557221</c:v>
                </c:pt>
                <c:pt idx="404">
                  <c:v>5383.1567261827749</c:v>
                </c:pt>
                <c:pt idx="405">
                  <c:v>5379.9622552380088</c:v>
                </c:pt>
                <c:pt idx="406">
                  <c:v>5380.580508502052</c:v>
                </c:pt>
                <c:pt idx="407">
                  <c:v>5378.2158381586023</c:v>
                </c:pt>
                <c:pt idx="408">
                  <c:v>5377.7750434852433</c:v>
                </c:pt>
                <c:pt idx="409">
                  <c:v>5376.8664139812308</c:v>
                </c:pt>
                <c:pt idx="410">
                  <c:v>5380.6600950212387</c:v>
                </c:pt>
                <c:pt idx="411">
                  <c:v>5395.4636198169646</c:v>
                </c:pt>
                <c:pt idx="412">
                  <c:v>5395.0096056916373</c:v>
                </c:pt>
                <c:pt idx="413">
                  <c:v>5389.2883770160533</c:v>
                </c:pt>
                <c:pt idx="414">
                  <c:v>5383.3205057633477</c:v>
                </c:pt>
                <c:pt idx="415">
                  <c:v>5375.6949385912276</c:v>
                </c:pt>
                <c:pt idx="416">
                  <c:v>5361.8258590232253</c:v>
                </c:pt>
                <c:pt idx="417">
                  <c:v>5348.0687063694795</c:v>
                </c:pt>
                <c:pt idx="418">
                  <c:v>5349.250310894311</c:v>
                </c:pt>
                <c:pt idx="419">
                  <c:v>5347.0863255106251</c:v>
                </c:pt>
                <c:pt idx="420">
                  <c:v>5354.0556218229267</c:v>
                </c:pt>
                <c:pt idx="421">
                  <c:v>5367.1418357287776</c:v>
                </c:pt>
                <c:pt idx="422">
                  <c:v>5379.3934742754082</c:v>
                </c:pt>
                <c:pt idx="423">
                  <c:v>5397.2063060695127</c:v>
                </c:pt>
                <c:pt idx="424">
                  <c:v>5419.7581158273915</c:v>
                </c:pt>
                <c:pt idx="425">
                  <c:v>5435.9628149268519</c:v>
                </c:pt>
                <c:pt idx="426">
                  <c:v>5450.3483024885245</c:v>
                </c:pt>
                <c:pt idx="427">
                  <c:v>5474.757084847125</c:v>
                </c:pt>
                <c:pt idx="428">
                  <c:v>5490.4879662962876</c:v>
                </c:pt>
                <c:pt idx="429">
                  <c:v>5503.5652838123378</c:v>
                </c:pt>
                <c:pt idx="430">
                  <c:v>5505.8702258518597</c:v>
                </c:pt>
                <c:pt idx="431">
                  <c:v>5484.2639601041856</c:v>
                </c:pt>
                <c:pt idx="432">
                  <c:v>5462.2214537137825</c:v>
                </c:pt>
                <c:pt idx="433">
                  <c:v>5455.7121208022472</c:v>
                </c:pt>
                <c:pt idx="434">
                  <c:v>5452.9849154745498</c:v>
                </c:pt>
                <c:pt idx="435">
                  <c:v>5451.7656274428273</c:v>
                </c:pt>
                <c:pt idx="436">
                  <c:v>5447.4598682219585</c:v>
                </c:pt>
                <c:pt idx="437">
                  <c:v>5445.8910052601977</c:v>
                </c:pt>
                <c:pt idx="438">
                  <c:v>5449.4122147748121</c:v>
                </c:pt>
                <c:pt idx="439">
                  <c:v>5449.763803991852</c:v>
                </c:pt>
                <c:pt idx="440">
                  <c:v>5451.8938271655934</c:v>
                </c:pt>
                <c:pt idx="441">
                  <c:v>5457.8742003178913</c:v>
                </c:pt>
                <c:pt idx="442">
                  <c:v>5470.3132108911786</c:v>
                </c:pt>
                <c:pt idx="443">
                  <c:v>5481.3927157214594</c:v>
                </c:pt>
                <c:pt idx="444">
                  <c:v>5526.0894042433492</c:v>
                </c:pt>
                <c:pt idx="445">
                  <c:v>5573.0004137492597</c:v>
                </c:pt>
                <c:pt idx="446">
                  <c:v>5609.4642940131998</c:v>
                </c:pt>
                <c:pt idx="447">
                  <c:v>5628.5768052943904</c:v>
                </c:pt>
                <c:pt idx="448">
                  <c:v>5678.258132965253</c:v>
                </c:pt>
                <c:pt idx="449">
                  <c:v>5716.0242963656929</c:v>
                </c:pt>
                <c:pt idx="450">
                  <c:v>5751.644897965456</c:v>
                </c:pt>
                <c:pt idx="451">
                  <c:v>5781.602191295754</c:v>
                </c:pt>
                <c:pt idx="452">
                  <c:v>5803.4528972701928</c:v>
                </c:pt>
                <c:pt idx="453">
                  <c:v>5831.9597442534359</c:v>
                </c:pt>
                <c:pt idx="454">
                  <c:v>5854.1160722044215</c:v>
                </c:pt>
                <c:pt idx="455">
                  <c:v>5871.4233246142758</c:v>
                </c:pt>
                <c:pt idx="456">
                  <c:v>5894.2064559979572</c:v>
                </c:pt>
                <c:pt idx="457">
                  <c:v>5893.6673037506298</c:v>
                </c:pt>
                <c:pt idx="458">
                  <c:v>5873.9878262564444</c:v>
                </c:pt>
                <c:pt idx="459">
                  <c:v>5866.7831647981702</c:v>
                </c:pt>
                <c:pt idx="460">
                  <c:v>5850.2797557935573</c:v>
                </c:pt>
                <c:pt idx="461">
                  <c:v>5835.5470442316346</c:v>
                </c:pt>
                <c:pt idx="462">
                  <c:v>5817.0691278555969</c:v>
                </c:pt>
                <c:pt idx="463">
                  <c:v>5787.7155570415443</c:v>
                </c:pt>
                <c:pt idx="464">
                  <c:v>5782.7004087850437</c:v>
                </c:pt>
                <c:pt idx="465">
                  <c:v>5780.7156132071086</c:v>
                </c:pt>
                <c:pt idx="466">
                  <c:v>5780.5812815114014</c:v>
                </c:pt>
                <c:pt idx="467">
                  <c:v>5763.9842892948136</c:v>
                </c:pt>
                <c:pt idx="468">
                  <c:v>5766.1191024318341</c:v>
                </c:pt>
                <c:pt idx="469">
                  <c:v>5766.3220083938249</c:v>
                </c:pt>
                <c:pt idx="470">
                  <c:v>5767.3235134987299</c:v>
                </c:pt>
                <c:pt idx="471">
                  <c:v>5767.2260273632837</c:v>
                </c:pt>
                <c:pt idx="472">
                  <c:v>5774.9160824176379</c:v>
                </c:pt>
                <c:pt idx="473">
                  <c:v>5777.1077995437527</c:v>
                </c:pt>
                <c:pt idx="474">
                  <c:v>5774.4953079437691</c:v>
                </c:pt>
                <c:pt idx="475">
                  <c:v>5770.4551361963531</c:v>
                </c:pt>
                <c:pt idx="476">
                  <c:v>5752.155049725442</c:v>
                </c:pt>
                <c:pt idx="477">
                  <c:v>5747.2315833182893</c:v>
                </c:pt>
                <c:pt idx="478">
                  <c:v>5760.410264552801</c:v>
                </c:pt>
                <c:pt idx="479">
                  <c:v>5765.535933639344</c:v>
                </c:pt>
                <c:pt idx="480">
                  <c:v>5765.7318764613119</c:v>
                </c:pt>
                <c:pt idx="481">
                  <c:v>5763.883102367472</c:v>
                </c:pt>
                <c:pt idx="482">
                  <c:v>5765.2919929485151</c:v>
                </c:pt>
                <c:pt idx="483">
                  <c:v>5773.0323141781528</c:v>
                </c:pt>
                <c:pt idx="484">
                  <c:v>5779.7860041786407</c:v>
                </c:pt>
                <c:pt idx="485">
                  <c:v>5784.7557303193189</c:v>
                </c:pt>
                <c:pt idx="486">
                  <c:v>5779.5720854167785</c:v>
                </c:pt>
                <c:pt idx="487">
                  <c:v>5777.4461134362655</c:v>
                </c:pt>
                <c:pt idx="488">
                  <c:v>5770.8049262238737</c:v>
                </c:pt>
                <c:pt idx="489">
                  <c:v>5767.1882843087424</c:v>
                </c:pt>
                <c:pt idx="490">
                  <c:v>5770.8131698798752</c:v>
                </c:pt>
                <c:pt idx="491">
                  <c:v>5801.539945130944</c:v>
                </c:pt>
                <c:pt idx="492">
                  <c:v>5842.4865019208173</c:v>
                </c:pt>
                <c:pt idx="493">
                  <c:v>5873.7678377888215</c:v>
                </c:pt>
                <c:pt idx="494">
                  <c:v>5904.9094537416349</c:v>
                </c:pt>
                <c:pt idx="495">
                  <c:v>5933.5650752884912</c:v>
                </c:pt>
                <c:pt idx="496">
                  <c:v>5965.4418706388251</c:v>
                </c:pt>
                <c:pt idx="497">
                  <c:v>5988.1938024370311</c:v>
                </c:pt>
                <c:pt idx="498">
                  <c:v>6007.392134939415</c:v>
                </c:pt>
                <c:pt idx="499">
                  <c:v>6024.6480030740377</c:v>
                </c:pt>
                <c:pt idx="500">
                  <c:v>6039.9061852012364</c:v>
                </c:pt>
                <c:pt idx="501">
                  <c:v>6048.9496846972315</c:v>
                </c:pt>
                <c:pt idx="502">
                  <c:v>6058.1186910307151</c:v>
                </c:pt>
                <c:pt idx="503">
                  <c:v>6056.8693959084512</c:v>
                </c:pt>
                <c:pt idx="504">
                  <c:v>6055.0501955786713</c:v>
                </c:pt>
                <c:pt idx="505">
                  <c:v>6051.160949455566</c:v>
                </c:pt>
                <c:pt idx="506">
                  <c:v>6045.6255663927013</c:v>
                </c:pt>
                <c:pt idx="507">
                  <c:v>6029.7202138228376</c:v>
                </c:pt>
                <c:pt idx="508">
                  <c:v>6005.2132307810216</c:v>
                </c:pt>
                <c:pt idx="509">
                  <c:v>5969.099172625024</c:v>
                </c:pt>
                <c:pt idx="510">
                  <c:v>5942.3706939381982</c:v>
                </c:pt>
                <c:pt idx="511">
                  <c:v>5939.6601868736143</c:v>
                </c:pt>
                <c:pt idx="512">
                  <c:v>5941.1510347811236</c:v>
                </c:pt>
                <c:pt idx="513">
                  <c:v>5964.0098868257237</c:v>
                </c:pt>
                <c:pt idx="514">
                  <c:v>5986.6110704745697</c:v>
                </c:pt>
                <c:pt idx="515">
                  <c:v>6006.467495582142</c:v>
                </c:pt>
                <c:pt idx="516">
                  <c:v>6015.282135572088</c:v>
                </c:pt>
                <c:pt idx="517">
                  <c:v>6027.482749308112</c:v>
                </c:pt>
                <c:pt idx="518">
                  <c:v>6033.215012719842</c:v>
                </c:pt>
                <c:pt idx="519">
                  <c:v>6038.3002559473862</c:v>
                </c:pt>
                <c:pt idx="520">
                  <c:v>6040.8843296415353</c:v>
                </c:pt>
                <c:pt idx="521">
                  <c:v>6051.7768019926407</c:v>
                </c:pt>
                <c:pt idx="522">
                  <c:v>6069.4734828848932</c:v>
                </c:pt>
                <c:pt idx="523">
                  <c:v>6072.3945125130349</c:v>
                </c:pt>
                <c:pt idx="524">
                  <c:v>6082.807093404941</c:v>
                </c:pt>
                <c:pt idx="525">
                  <c:v>6097.3957511738281</c:v>
                </c:pt>
                <c:pt idx="526">
                  <c:v>6113.474969338662</c:v>
                </c:pt>
                <c:pt idx="527">
                  <c:v>6114.1738367845392</c:v>
                </c:pt>
                <c:pt idx="528">
                  <c:v>6113.0982447130291</c:v>
                </c:pt>
                <c:pt idx="529">
                  <c:v>6111.9259281050017</c:v>
                </c:pt>
                <c:pt idx="530">
                  <c:v>6109.4727301341773</c:v>
                </c:pt>
                <c:pt idx="531">
                  <c:v>6109.9819297660206</c:v>
                </c:pt>
                <c:pt idx="532">
                  <c:v>6101.6423323194285</c:v>
                </c:pt>
                <c:pt idx="533">
                  <c:v>6104.4973111262107</c:v>
                </c:pt>
                <c:pt idx="534">
                  <c:v>6105.333342759327</c:v>
                </c:pt>
                <c:pt idx="535">
                  <c:v>6105.459849228223</c:v>
                </c:pt>
                <c:pt idx="536">
                  <c:v>6105.527922768707</c:v>
                </c:pt>
                <c:pt idx="537">
                  <c:v>6108.8722048332011</c:v>
                </c:pt>
                <c:pt idx="538">
                  <c:v>6110.1083381241979</c:v>
                </c:pt>
                <c:pt idx="539">
                  <c:v>6113.6896498698288</c:v>
                </c:pt>
                <c:pt idx="540">
                  <c:v>6121.3586347942055</c:v>
                </c:pt>
                <c:pt idx="541">
                  <c:v>6129.2117639165472</c:v>
                </c:pt>
                <c:pt idx="542">
                  <c:v>6127.8266816007117</c:v>
                </c:pt>
                <c:pt idx="543">
                  <c:v>6129.0346901592075</c:v>
                </c:pt>
                <c:pt idx="544">
                  <c:v>6129.6721045440336</c:v>
                </c:pt>
                <c:pt idx="545">
                  <c:v>6125.632428282026</c:v>
                </c:pt>
                <c:pt idx="546">
                  <c:v>6114.7090492041834</c:v>
                </c:pt>
                <c:pt idx="547">
                  <c:v>6106.3204923195208</c:v>
                </c:pt>
                <c:pt idx="548">
                  <c:v>6095.8316582078069</c:v>
                </c:pt>
                <c:pt idx="549">
                  <c:v>6095.1642746552188</c:v>
                </c:pt>
                <c:pt idx="550">
                  <c:v>6081.1800855419888</c:v>
                </c:pt>
                <c:pt idx="551">
                  <c:v>6062.5116243638013</c:v>
                </c:pt>
                <c:pt idx="552">
                  <c:v>6059.830592993947</c:v>
                </c:pt>
                <c:pt idx="553">
                  <c:v>6043.164133879779</c:v>
                </c:pt>
                <c:pt idx="554">
                  <c:v>6045.4240544615259</c:v>
                </c:pt>
                <c:pt idx="555">
                  <c:v>6041.6909073858342</c:v>
                </c:pt>
                <c:pt idx="556">
                  <c:v>6037.9766671318148</c:v>
                </c:pt>
                <c:pt idx="557">
                  <c:v>6027.2912381356282</c:v>
                </c:pt>
                <c:pt idx="558">
                  <c:v>6013.927117911956</c:v>
                </c:pt>
                <c:pt idx="559">
                  <c:v>6004.9045188091623</c:v>
                </c:pt>
                <c:pt idx="560">
                  <c:v>6011.2994177114178</c:v>
                </c:pt>
                <c:pt idx="561">
                  <c:v>6017.5517813895322</c:v>
                </c:pt>
                <c:pt idx="562">
                  <c:v>6016.4076880353705</c:v>
                </c:pt>
                <c:pt idx="563">
                  <c:v>6007.6670923733336</c:v>
                </c:pt>
                <c:pt idx="564">
                  <c:v>6009.1541700008202</c:v>
                </c:pt>
                <c:pt idx="565">
                  <c:v>6007.7592181505725</c:v>
                </c:pt>
                <c:pt idx="566">
                  <c:v>6002.7345286815089</c:v>
                </c:pt>
                <c:pt idx="567">
                  <c:v>5991.6742998586369</c:v>
                </c:pt>
                <c:pt idx="568">
                  <c:v>5981.7442070299448</c:v>
                </c:pt>
                <c:pt idx="569">
                  <c:v>5986.5099943901905</c:v>
                </c:pt>
                <c:pt idx="570">
                  <c:v>5989.1300447573039</c:v>
                </c:pt>
                <c:pt idx="571">
                  <c:v>5990.2053388789218</c:v>
                </c:pt>
                <c:pt idx="572">
                  <c:v>5994.6294185433853</c:v>
                </c:pt>
                <c:pt idx="573">
                  <c:v>5993.5292379200018</c:v>
                </c:pt>
                <c:pt idx="574">
                  <c:v>5993.2159363810379</c:v>
                </c:pt>
                <c:pt idx="575">
                  <c:v>5993.3750080658692</c:v>
                </c:pt>
                <c:pt idx="576">
                  <c:v>5994.4401105154184</c:v>
                </c:pt>
                <c:pt idx="577">
                  <c:v>6002.3365734485578</c:v>
                </c:pt>
                <c:pt idx="578">
                  <c:v>6006.4211229208968</c:v>
                </c:pt>
                <c:pt idx="579">
                  <c:v>6001.8368032660865</c:v>
                </c:pt>
                <c:pt idx="580">
                  <c:v>5981.8482568751879</c:v>
                </c:pt>
                <c:pt idx="581">
                  <c:v>5948.964398291746</c:v>
                </c:pt>
                <c:pt idx="582">
                  <c:v>5914.9219096245606</c:v>
                </c:pt>
                <c:pt idx="583">
                  <c:v>5893.8253954265683</c:v>
                </c:pt>
                <c:pt idx="584">
                  <c:v>5849.3849156904926</c:v>
                </c:pt>
                <c:pt idx="585">
                  <c:v>5811.8238028217293</c:v>
                </c:pt>
                <c:pt idx="586">
                  <c:v>5780.1639884986089</c:v>
                </c:pt>
                <c:pt idx="587">
                  <c:v>5788.8165863871145</c:v>
                </c:pt>
                <c:pt idx="588">
                  <c:v>5818.3680455238382</c:v>
                </c:pt>
                <c:pt idx="589">
                  <c:v>5847.8087267104138</c:v>
                </c:pt>
                <c:pt idx="590">
                  <c:v>5894.2412382659368</c:v>
                </c:pt>
                <c:pt idx="591">
                  <c:v>5923.6526453114948</c:v>
                </c:pt>
                <c:pt idx="592">
                  <c:v>5956.3993053354152</c:v>
                </c:pt>
                <c:pt idx="593">
                  <c:v>5989.8211710433498</c:v>
                </c:pt>
                <c:pt idx="594">
                  <c:v>6034.0553649289232</c:v>
                </c:pt>
                <c:pt idx="595">
                  <c:v>6059.79772251747</c:v>
                </c:pt>
                <c:pt idx="596">
                  <c:v>6091.1798744342659</c:v>
                </c:pt>
                <c:pt idx="597">
                  <c:v>6130.5831077499724</c:v>
                </c:pt>
                <c:pt idx="598">
                  <c:v>6166.7869332249211</c:v>
                </c:pt>
                <c:pt idx="599">
                  <c:v>6190.8513741023526</c:v>
                </c:pt>
                <c:pt idx="600">
                  <c:v>6209.3144576806626</c:v>
                </c:pt>
                <c:pt idx="601">
                  <c:v>6209.196676514719</c:v>
                </c:pt>
                <c:pt idx="602">
                  <c:v>6208.9812696306117</c:v>
                </c:pt>
                <c:pt idx="603">
                  <c:v>6213.6194036523484</c:v>
                </c:pt>
                <c:pt idx="604">
                  <c:v>6216.1599063031435</c:v>
                </c:pt>
                <c:pt idx="605">
                  <c:v>6233.0888567620577</c:v>
                </c:pt>
                <c:pt idx="606">
                  <c:v>6232.9818073363977</c:v>
                </c:pt>
                <c:pt idx="607">
                  <c:v>6233.2294802230472</c:v>
                </c:pt>
                <c:pt idx="608">
                  <c:v>6232.8137173897312</c:v>
                </c:pt>
                <c:pt idx="609">
                  <c:v>6222.2205961987502</c:v>
                </c:pt>
                <c:pt idx="610">
                  <c:v>6219.4282299105798</c:v>
                </c:pt>
                <c:pt idx="611">
                  <c:v>6214.5703859680179</c:v>
                </c:pt>
                <c:pt idx="612">
                  <c:v>6213.8698760017696</c:v>
                </c:pt>
                <c:pt idx="613">
                  <c:v>6212.6598141525537</c:v>
                </c:pt>
                <c:pt idx="614">
                  <c:v>6218.0564688916065</c:v>
                </c:pt>
                <c:pt idx="615">
                  <c:v>6213.7313988223787</c:v>
                </c:pt>
                <c:pt idx="616">
                  <c:v>6217.4873329933962</c:v>
                </c:pt>
                <c:pt idx="617">
                  <c:v>6225.7253488738024</c:v>
                </c:pt>
                <c:pt idx="618">
                  <c:v>6230.0805806014268</c:v>
                </c:pt>
                <c:pt idx="619">
                  <c:v>6233.9037798701829</c:v>
                </c:pt>
                <c:pt idx="620">
                  <c:v>6236.6712850567674</c:v>
                </c:pt>
                <c:pt idx="621">
                  <c:v>6242.9958681094595</c:v>
                </c:pt>
                <c:pt idx="622">
                  <c:v>6259.5175876069425</c:v>
                </c:pt>
                <c:pt idx="623">
                  <c:v>6260.3671256592506</c:v>
                </c:pt>
                <c:pt idx="624">
                  <c:v>6258.5556382004497</c:v>
                </c:pt>
                <c:pt idx="625">
                  <c:v>6231.9824540755681</c:v>
                </c:pt>
                <c:pt idx="626">
                  <c:v>6204.6564643970132</c:v>
                </c:pt>
                <c:pt idx="627">
                  <c:v>6183.5495579312756</c:v>
                </c:pt>
                <c:pt idx="628">
                  <c:v>6162.2284870088533</c:v>
                </c:pt>
                <c:pt idx="629">
                  <c:v>6171.9365172314765</c:v>
                </c:pt>
                <c:pt idx="630">
                  <c:v>6172.7182931614279</c:v>
                </c:pt>
                <c:pt idx="631">
                  <c:v>6161.5023503832308</c:v>
                </c:pt>
                <c:pt idx="632">
                  <c:v>6132.665543771539</c:v>
                </c:pt>
                <c:pt idx="633">
                  <c:v>6098.5933495396803</c:v>
                </c:pt>
                <c:pt idx="634">
                  <c:v>6041.0048130304367</c:v>
                </c:pt>
                <c:pt idx="635">
                  <c:v>6017.8763892267225</c:v>
                </c:pt>
                <c:pt idx="636">
                  <c:v>6010.8159890761499</c:v>
                </c:pt>
                <c:pt idx="637">
                  <c:v>6001.4234836875885</c:v>
                </c:pt>
                <c:pt idx="638">
                  <c:v>5982.8607844665212</c:v>
                </c:pt>
                <c:pt idx="639">
                  <c:v>5969.1030812235358</c:v>
                </c:pt>
                <c:pt idx="640">
                  <c:v>5966.9598575745576</c:v>
                </c:pt>
                <c:pt idx="641">
                  <c:v>5957.8915676369934</c:v>
                </c:pt>
                <c:pt idx="642">
                  <c:v>5965.9332040901227</c:v>
                </c:pt>
                <c:pt idx="643">
                  <c:v>5970.0783097665171</c:v>
                </c:pt>
                <c:pt idx="644">
                  <c:v>5992.3363802399954</c:v>
                </c:pt>
                <c:pt idx="645">
                  <c:v>6025.7458019588166</c:v>
                </c:pt>
                <c:pt idx="646">
                  <c:v>6057.3062395062871</c:v>
                </c:pt>
                <c:pt idx="647">
                  <c:v>6073.7275815259527</c:v>
                </c:pt>
                <c:pt idx="648">
                  <c:v>6091.582469632699</c:v>
                </c:pt>
                <c:pt idx="649">
                  <c:v>6117.6683875767285</c:v>
                </c:pt>
                <c:pt idx="650">
                  <c:v>6137.6924074923627</c:v>
                </c:pt>
                <c:pt idx="651">
                  <c:v>6143.0737146882257</c:v>
                </c:pt>
                <c:pt idx="652">
                  <c:v>6151.3370881998089</c:v>
                </c:pt>
                <c:pt idx="653">
                  <c:v>6129.5991023015786</c:v>
                </c:pt>
                <c:pt idx="654">
                  <c:v>6110.7071838912634</c:v>
                </c:pt>
                <c:pt idx="655">
                  <c:v>6109.6567186757557</c:v>
                </c:pt>
                <c:pt idx="656">
                  <c:v>6111.113719651923</c:v>
                </c:pt>
                <c:pt idx="657">
                  <c:v>6119.1451191218948</c:v>
                </c:pt>
                <c:pt idx="658">
                  <c:v>6122.6525233834291</c:v>
                </c:pt>
                <c:pt idx="659">
                  <c:v>6131.8199350513532</c:v>
                </c:pt>
                <c:pt idx="660">
                  <c:v>6146.0146434243825</c:v>
                </c:pt>
                <c:pt idx="661">
                  <c:v>6155.938384714309</c:v>
                </c:pt>
                <c:pt idx="662">
                  <c:v>6185.148047932068</c:v>
                </c:pt>
                <c:pt idx="663">
                  <c:v>6210.3811495353439</c:v>
                </c:pt>
                <c:pt idx="664">
                  <c:v>6215.5064633038592</c:v>
                </c:pt>
                <c:pt idx="665">
                  <c:v>6202.0416708003813</c:v>
                </c:pt>
                <c:pt idx="666">
                  <c:v>6177.0746651404179</c:v>
                </c:pt>
                <c:pt idx="667">
                  <c:v>6161.2651679894007</c:v>
                </c:pt>
                <c:pt idx="668">
                  <c:v>6151.2534846494391</c:v>
                </c:pt>
                <c:pt idx="669">
                  <c:v>6132.7248166892177</c:v>
                </c:pt>
                <c:pt idx="670">
                  <c:v>6106.887966436414</c:v>
                </c:pt>
                <c:pt idx="671">
                  <c:v>6082.2357082926956</c:v>
                </c:pt>
                <c:pt idx="672">
                  <c:v>6019.5861022823046</c:v>
                </c:pt>
                <c:pt idx="673">
                  <c:v>5963.7798635452782</c:v>
                </c:pt>
                <c:pt idx="674">
                  <c:v>5919.6544668099996</c:v>
                </c:pt>
                <c:pt idx="675">
                  <c:v>5888.4283039578422</c:v>
                </c:pt>
                <c:pt idx="676">
                  <c:v>5859.8660590515219</c:v>
                </c:pt>
                <c:pt idx="677">
                  <c:v>5831.0523100608589</c:v>
                </c:pt>
                <c:pt idx="678">
                  <c:v>5800.4503964065561</c:v>
                </c:pt>
                <c:pt idx="679">
                  <c:v>5773.9209700655138</c:v>
                </c:pt>
                <c:pt idx="680">
                  <c:v>5752.7716958159681</c:v>
                </c:pt>
                <c:pt idx="681">
                  <c:v>5723.9834999219938</c:v>
                </c:pt>
                <c:pt idx="682">
                  <c:v>5730.4595947871949</c:v>
                </c:pt>
                <c:pt idx="683">
                  <c:v>5754.0675404874846</c:v>
                </c:pt>
                <c:pt idx="684">
                  <c:v>5826.5285130707825</c:v>
                </c:pt>
                <c:pt idx="685">
                  <c:v>5887.7876173621371</c:v>
                </c:pt>
                <c:pt idx="686">
                  <c:v>5916.6535512367518</c:v>
                </c:pt>
                <c:pt idx="687">
                  <c:v>5937.4554588461906</c:v>
                </c:pt>
                <c:pt idx="688">
                  <c:v>5977.0261017194125</c:v>
                </c:pt>
                <c:pt idx="689">
                  <c:v>6014.8050799891498</c:v>
                </c:pt>
                <c:pt idx="690">
                  <c:v>6056.1294247442393</c:v>
                </c:pt>
                <c:pt idx="691">
                  <c:v>6131.3442132807168</c:v>
                </c:pt>
                <c:pt idx="692">
                  <c:v>6177.3497596427869</c:v>
                </c:pt>
                <c:pt idx="693">
                  <c:v>6199.6294813715813</c:v>
                </c:pt>
                <c:pt idx="694">
                  <c:v>6218.8927501284115</c:v>
                </c:pt>
                <c:pt idx="695">
                  <c:v>6214.0148645779591</c:v>
                </c:pt>
                <c:pt idx="696">
                  <c:v>6198.7271393706305</c:v>
                </c:pt>
                <c:pt idx="697">
                  <c:v>6187.4499740471938</c:v>
                </c:pt>
                <c:pt idx="698">
                  <c:v>6173.9657293569981</c:v>
                </c:pt>
                <c:pt idx="699">
                  <c:v>6167.3256954776925</c:v>
                </c:pt>
                <c:pt idx="700">
                  <c:v>6122.2539164808359</c:v>
                </c:pt>
                <c:pt idx="701">
                  <c:v>6079.5858286044459</c:v>
                </c:pt>
                <c:pt idx="702">
                  <c:v>6056.0879472246779</c:v>
                </c:pt>
                <c:pt idx="703">
                  <c:v>6044.3227365838748</c:v>
                </c:pt>
                <c:pt idx="704">
                  <c:v>6058.7160745016708</c:v>
                </c:pt>
                <c:pt idx="705">
                  <c:v>6073.5371519868258</c:v>
                </c:pt>
                <c:pt idx="706">
                  <c:v>6104.9376401247555</c:v>
                </c:pt>
                <c:pt idx="707">
                  <c:v>6135.3919528339302</c:v>
                </c:pt>
                <c:pt idx="708">
                  <c:v>6156.0742188028753</c:v>
                </c:pt>
                <c:pt idx="709">
                  <c:v>6166.9883130696489</c:v>
                </c:pt>
                <c:pt idx="710">
                  <c:v>6205.2320332276349</c:v>
                </c:pt>
                <c:pt idx="711">
                  <c:v>6224.4338572790894</c:v>
                </c:pt>
                <c:pt idx="712">
                  <c:v>6254.4056274422883</c:v>
                </c:pt>
                <c:pt idx="713">
                  <c:v>6279.8227673597594</c:v>
                </c:pt>
                <c:pt idx="714">
                  <c:v>6299.6255986158012</c:v>
                </c:pt>
                <c:pt idx="715">
                  <c:v>6313.0217623094741</c:v>
                </c:pt>
                <c:pt idx="716">
                  <c:v>6319.1381580044435</c:v>
                </c:pt>
                <c:pt idx="717">
                  <c:v>6335.5519524443234</c:v>
                </c:pt>
                <c:pt idx="718">
                  <c:v>6335.011241109748</c:v>
                </c:pt>
                <c:pt idx="719">
                  <c:v>6340.7911253461371</c:v>
                </c:pt>
                <c:pt idx="720">
                  <c:v>6360.4748312703114</c:v>
                </c:pt>
                <c:pt idx="721">
                  <c:v>6363.0413432779278</c:v>
                </c:pt>
                <c:pt idx="722">
                  <c:v>6353.1855682242767</c:v>
                </c:pt>
                <c:pt idx="723">
                  <c:v>6336.8710259091304</c:v>
                </c:pt>
                <c:pt idx="724">
                  <c:v>6327.4976306185163</c:v>
                </c:pt>
                <c:pt idx="725">
                  <c:v>6320.4978971852152</c:v>
                </c:pt>
                <c:pt idx="726">
                  <c:v>6329.0066230417015</c:v>
                </c:pt>
                <c:pt idx="727">
                  <c:v>6340.7853577198821</c:v>
                </c:pt>
                <c:pt idx="728">
                  <c:v>6342.6611472925006</c:v>
                </c:pt>
                <c:pt idx="729">
                  <c:v>6341.4929584495349</c:v>
                </c:pt>
                <c:pt idx="730">
                  <c:v>6342.6445635774253</c:v>
                </c:pt>
                <c:pt idx="731">
                  <c:v>6338.9781913124589</c:v>
                </c:pt>
                <c:pt idx="732">
                  <c:v>6343.1452619774591</c:v>
                </c:pt>
                <c:pt idx="733">
                  <c:v>6346.8474923055192</c:v>
                </c:pt>
                <c:pt idx="734">
                  <c:v>6344.6976547000522</c:v>
                </c:pt>
                <c:pt idx="735">
                  <c:v>6344.010646919638</c:v>
                </c:pt>
                <c:pt idx="736">
                  <c:v>6344.5171648794367</c:v>
                </c:pt>
                <c:pt idx="737">
                  <c:v>6335.1980237770676</c:v>
                </c:pt>
                <c:pt idx="738">
                  <c:v>6324.7222418600013</c:v>
                </c:pt>
                <c:pt idx="739">
                  <c:v>6308.7592102514473</c:v>
                </c:pt>
                <c:pt idx="740">
                  <c:v>6286.7373263275504</c:v>
                </c:pt>
                <c:pt idx="741">
                  <c:v>6271.2903882958481</c:v>
                </c:pt>
                <c:pt idx="742">
                  <c:v>6276.483225253648</c:v>
                </c:pt>
                <c:pt idx="743">
                  <c:v>6289.9265184427923</c:v>
                </c:pt>
                <c:pt idx="744">
                  <c:v>6333.2022633953147</c:v>
                </c:pt>
                <c:pt idx="745">
                  <c:v>6363.4557729053777</c:v>
                </c:pt>
                <c:pt idx="746">
                  <c:v>6381.5533455722407</c:v>
                </c:pt>
                <c:pt idx="747">
                  <c:v>6382.0244662441073</c:v>
                </c:pt>
                <c:pt idx="748">
                  <c:v>6380.8627780173083</c:v>
                </c:pt>
                <c:pt idx="749">
                  <c:v>6379.2299563966144</c:v>
                </c:pt>
                <c:pt idx="750">
                  <c:v>6376.0496251483528</c:v>
                </c:pt>
                <c:pt idx="751">
                  <c:v>6380.5257908885496</c:v>
                </c:pt>
                <c:pt idx="752">
                  <c:v>6371.6878930244184</c:v>
                </c:pt>
                <c:pt idx="753">
                  <c:v>6367.5271759536299</c:v>
                </c:pt>
                <c:pt idx="754">
                  <c:v>6375.6800313113054</c:v>
                </c:pt>
                <c:pt idx="755">
                  <c:v>6373.4717189781668</c:v>
                </c:pt>
                <c:pt idx="756">
                  <c:v>6367.7572675441479</c:v>
                </c:pt>
                <c:pt idx="757">
                  <c:v>6368.542968571649</c:v>
                </c:pt>
                <c:pt idx="758">
                  <c:v>6372.8846568262998</c:v>
                </c:pt>
                <c:pt idx="759">
                  <c:v>6379.2527606146614</c:v>
                </c:pt>
                <c:pt idx="760">
                  <c:v>6379.0550149840528</c:v>
                </c:pt>
                <c:pt idx="761">
                  <c:v>6376.2021886180992</c:v>
                </c:pt>
                <c:pt idx="762">
                  <c:v>6376.5671669504809</c:v>
                </c:pt>
                <c:pt idx="763">
                  <c:v>6377.3417779357924</c:v>
                </c:pt>
                <c:pt idx="764">
                  <c:v>6358.6988008659855</c:v>
                </c:pt>
                <c:pt idx="765">
                  <c:v>6344.817391966576</c:v>
                </c:pt>
                <c:pt idx="766">
                  <c:v>6333.9487970908067</c:v>
                </c:pt>
                <c:pt idx="767">
                  <c:v>6337.9589706888391</c:v>
                </c:pt>
                <c:pt idx="768">
                  <c:v>6339.1559230143521</c:v>
                </c:pt>
                <c:pt idx="769">
                  <c:v>6349.9812760315745</c:v>
                </c:pt>
                <c:pt idx="770">
                  <c:v>6355.9367560085302</c:v>
                </c:pt>
                <c:pt idx="771">
                  <c:v>6357.798038841338</c:v>
                </c:pt>
                <c:pt idx="772">
                  <c:v>6361.2747924363621</c:v>
                </c:pt>
                <c:pt idx="773">
                  <c:v>6366.3463907970799</c:v>
                </c:pt>
                <c:pt idx="774">
                  <c:v>6374.6924621991739</c:v>
                </c:pt>
                <c:pt idx="775">
                  <c:v>6385.0648033587386</c:v>
                </c:pt>
                <c:pt idx="776">
                  <c:v>6384.194575147797</c:v>
                </c:pt>
                <c:pt idx="777">
                  <c:v>6384.146848849442</c:v>
                </c:pt>
                <c:pt idx="778">
                  <c:v>6385.4611537122701</c:v>
                </c:pt>
                <c:pt idx="779">
                  <c:v>6383.112563957874</c:v>
                </c:pt>
                <c:pt idx="780">
                  <c:v>6391.9256784082636</c:v>
                </c:pt>
                <c:pt idx="781">
                  <c:v>6396.7036785884711</c:v>
                </c:pt>
                <c:pt idx="782">
                  <c:v>6412.2342080965745</c:v>
                </c:pt>
                <c:pt idx="783">
                  <c:v>6424.1909873563736</c:v>
                </c:pt>
                <c:pt idx="784">
                  <c:v>6430.5967739396519</c:v>
                </c:pt>
                <c:pt idx="785">
                  <c:v>6434.2801326844456</c:v>
                </c:pt>
                <c:pt idx="786">
                  <c:v>6435.0991647433257</c:v>
                </c:pt>
                <c:pt idx="787">
                  <c:v>6426.7158532794747</c:v>
                </c:pt>
                <c:pt idx="788">
                  <c:v>6419.9748504575364</c:v>
                </c:pt>
                <c:pt idx="789">
                  <c:v>6399.1417278162926</c:v>
                </c:pt>
                <c:pt idx="790">
                  <c:v>6378.639452592618</c:v>
                </c:pt>
                <c:pt idx="791">
                  <c:v>6363.2779039382467</c:v>
                </c:pt>
                <c:pt idx="792">
                  <c:v>6337.0733397818494</c:v>
                </c:pt>
                <c:pt idx="793">
                  <c:v>6307.1150128473028</c:v>
                </c:pt>
                <c:pt idx="794">
                  <c:v>6267.2077702662882</c:v>
                </c:pt>
                <c:pt idx="795">
                  <c:v>6207.7556811379063</c:v>
                </c:pt>
                <c:pt idx="796">
                  <c:v>6174.6071161471054</c:v>
                </c:pt>
                <c:pt idx="797">
                  <c:v>6185.7259190628574</c:v>
                </c:pt>
                <c:pt idx="798">
                  <c:v>6200.8088058731855</c:v>
                </c:pt>
                <c:pt idx="799">
                  <c:v>6225.1612465287362</c:v>
                </c:pt>
                <c:pt idx="800">
                  <c:v>6258.9323778929529</c:v>
                </c:pt>
                <c:pt idx="801">
                  <c:v>6274.5933427434193</c:v>
                </c:pt>
                <c:pt idx="802">
                  <c:v>6302.6903932855521</c:v>
                </c:pt>
                <c:pt idx="803">
                  <c:v>6332.4964283171066</c:v>
                </c:pt>
                <c:pt idx="804">
                  <c:v>6376.6958282056312</c:v>
                </c:pt>
                <c:pt idx="805">
                  <c:v>6449.2007919176922</c:v>
                </c:pt>
                <c:pt idx="806">
                  <c:v>6510.5556968948622</c:v>
                </c:pt>
                <c:pt idx="807">
                  <c:v>6554.1337515906116</c:v>
                </c:pt>
                <c:pt idx="808">
                  <c:v>6591.7499670603138</c:v>
                </c:pt>
                <c:pt idx="809">
                  <c:v>6619.5260006559911</c:v>
                </c:pt>
                <c:pt idx="810">
                  <c:v>6635.7208453157109</c:v>
                </c:pt>
                <c:pt idx="811">
                  <c:v>6652.2237071758109</c:v>
                </c:pt>
                <c:pt idx="812">
                  <c:v>6665.9939185077874</c:v>
                </c:pt>
                <c:pt idx="813">
                  <c:v>6673.4481141640417</c:v>
                </c:pt>
                <c:pt idx="814">
                  <c:v>6680.3575719367582</c:v>
                </c:pt>
                <c:pt idx="815">
                  <c:v>6687.4562195831104</c:v>
                </c:pt>
                <c:pt idx="816">
                  <c:v>6696.7892252189831</c:v>
                </c:pt>
                <c:pt idx="817">
                  <c:v>6705.1389369469161</c:v>
                </c:pt>
                <c:pt idx="818">
                  <c:v>6715.4703653927982</c:v>
                </c:pt>
                <c:pt idx="819">
                  <c:v>6735.0476786280533</c:v>
                </c:pt>
                <c:pt idx="820">
                  <c:v>6753.7169743585091</c:v>
                </c:pt>
                <c:pt idx="821">
                  <c:v>6756.2662368322935</c:v>
                </c:pt>
                <c:pt idx="822">
                  <c:v>6770.3474355117887</c:v>
                </c:pt>
                <c:pt idx="823">
                  <c:v>6776.5606239666413</c:v>
                </c:pt>
                <c:pt idx="824">
                  <c:v>6779.6758145555723</c:v>
                </c:pt>
                <c:pt idx="825">
                  <c:v>6790.9477937199117</c:v>
                </c:pt>
                <c:pt idx="826">
                  <c:v>6820.4222082593742</c:v>
                </c:pt>
                <c:pt idx="827">
                  <c:v>6844.3123385114013</c:v>
                </c:pt>
                <c:pt idx="828">
                  <c:v>6860.5604544837106</c:v>
                </c:pt>
                <c:pt idx="829">
                  <c:v>6864.9067287470389</c:v>
                </c:pt>
                <c:pt idx="830">
                  <c:v>6861.905957029222</c:v>
                </c:pt>
                <c:pt idx="831">
                  <c:v>6869.7449150628572</c:v>
                </c:pt>
                <c:pt idx="832">
                  <c:v>6881.2080989337637</c:v>
                </c:pt>
                <c:pt idx="833">
                  <c:v>6879.7923608959072</c:v>
                </c:pt>
                <c:pt idx="834">
                  <c:v>6876.4352316134746</c:v>
                </c:pt>
                <c:pt idx="835">
                  <c:v>6873.86988921988</c:v>
                </c:pt>
                <c:pt idx="836">
                  <c:v>6865.9121908534644</c:v>
                </c:pt>
                <c:pt idx="837">
                  <c:v>6854.0075903608613</c:v>
                </c:pt>
                <c:pt idx="838">
                  <c:v>6847.9413414021801</c:v>
                </c:pt>
                <c:pt idx="839">
                  <c:v>6848.0127420742538</c:v>
                </c:pt>
                <c:pt idx="840">
                  <c:v>6848.2580310775138</c:v>
                </c:pt>
                <c:pt idx="841">
                  <c:v>6848.3435340457791</c:v>
                </c:pt>
                <c:pt idx="842">
                  <c:v>6852.1697555156779</c:v>
                </c:pt>
                <c:pt idx="843">
                  <c:v>6854.6555815199818</c:v>
                </c:pt>
                <c:pt idx="844">
                  <c:v>6872.3204428328909</c:v>
                </c:pt>
                <c:pt idx="845">
                  <c:v>6933.4083337651937</c:v>
                </c:pt>
                <c:pt idx="846">
                  <c:v>7008.698568736485</c:v>
                </c:pt>
                <c:pt idx="847">
                  <c:v>7067.6225981914813</c:v>
                </c:pt>
                <c:pt idx="848">
                  <c:v>7121.5857889705439</c:v>
                </c:pt>
                <c:pt idx="849">
                  <c:v>7188.0888486104041</c:v>
                </c:pt>
                <c:pt idx="850">
                  <c:v>7257.0098819050181</c:v>
                </c:pt>
                <c:pt idx="851">
                  <c:v>7319.8533660890844</c:v>
                </c:pt>
                <c:pt idx="852">
                  <c:v>7369.3193375277961</c:v>
                </c:pt>
                <c:pt idx="853">
                  <c:v>7417.6243204681841</c:v>
                </c:pt>
                <c:pt idx="854">
                  <c:v>7478.4458604167467</c:v>
                </c:pt>
                <c:pt idx="855">
                  <c:v>7529.097567215852</c:v>
                </c:pt>
                <c:pt idx="856">
                  <c:v>7564.5836094516435</c:v>
                </c:pt>
                <c:pt idx="857">
                  <c:v>7592.6829132416442</c:v>
                </c:pt>
                <c:pt idx="858">
                  <c:v>7599.1539811603234</c:v>
                </c:pt>
                <c:pt idx="859">
                  <c:v>7597.8576697983808</c:v>
                </c:pt>
                <c:pt idx="860">
                  <c:v>7605.4873595551335</c:v>
                </c:pt>
                <c:pt idx="861">
                  <c:v>7612.1321586476506</c:v>
                </c:pt>
                <c:pt idx="862">
                  <c:v>7587.2431191769811</c:v>
                </c:pt>
                <c:pt idx="863">
                  <c:v>7545.988372083998</c:v>
                </c:pt>
                <c:pt idx="864">
                  <c:v>7557.5867233700701</c:v>
                </c:pt>
                <c:pt idx="865">
                  <c:v>7605.5806751258724</c:v>
                </c:pt>
                <c:pt idx="866">
                  <c:v>7652.9332371304163</c:v>
                </c:pt>
                <c:pt idx="867">
                  <c:v>7682.4465100704438</c:v>
                </c:pt>
                <c:pt idx="868">
                  <c:v>7709.8003445458871</c:v>
                </c:pt>
                <c:pt idx="869">
                  <c:v>7719.1918869090568</c:v>
                </c:pt>
                <c:pt idx="870">
                  <c:v>7728.5722364054254</c:v>
                </c:pt>
                <c:pt idx="871">
                  <c:v>7750.6848487284733</c:v>
                </c:pt>
                <c:pt idx="872">
                  <c:v>7755.8606278028237</c:v>
                </c:pt>
                <c:pt idx="873">
                  <c:v>7757.8630230763702</c:v>
                </c:pt>
                <c:pt idx="874">
                  <c:v>7760.9989138949895</c:v>
                </c:pt>
                <c:pt idx="875">
                  <c:v>7761.8042555752181</c:v>
                </c:pt>
                <c:pt idx="876">
                  <c:v>7765.7115515515416</c:v>
                </c:pt>
                <c:pt idx="877">
                  <c:v>7766.582844538837</c:v>
                </c:pt>
                <c:pt idx="878">
                  <c:v>7743.9748102550675</c:v>
                </c:pt>
                <c:pt idx="879">
                  <c:v>7708.5206971716334</c:v>
                </c:pt>
                <c:pt idx="880">
                  <c:v>7701.6729587089376</c:v>
                </c:pt>
                <c:pt idx="881">
                  <c:v>7702.4091984182505</c:v>
                </c:pt>
                <c:pt idx="882">
                  <c:v>7715.0155561582596</c:v>
                </c:pt>
                <c:pt idx="883">
                  <c:v>7730.5381546277349</c:v>
                </c:pt>
                <c:pt idx="884">
                  <c:v>7756.226919722325</c:v>
                </c:pt>
                <c:pt idx="885">
                  <c:v>7782.6328011448331</c:v>
                </c:pt>
                <c:pt idx="886">
                  <c:v>7779.5977798347594</c:v>
                </c:pt>
                <c:pt idx="887">
                  <c:v>7777.3739384700639</c:v>
                </c:pt>
                <c:pt idx="888">
                  <c:v>7772.413871679486</c:v>
                </c:pt>
                <c:pt idx="889">
                  <c:v>7777.5370677712026</c:v>
                </c:pt>
                <c:pt idx="890">
                  <c:v>7782.3044229660454</c:v>
                </c:pt>
                <c:pt idx="891">
                  <c:v>7778.0002591029906</c:v>
                </c:pt>
                <c:pt idx="892">
                  <c:v>7781.6585529993408</c:v>
                </c:pt>
                <c:pt idx="893">
                  <c:v>7786.6415944957298</c:v>
                </c:pt>
                <c:pt idx="894">
                  <c:v>7792.7245908575514</c:v>
                </c:pt>
                <c:pt idx="895">
                  <c:v>7798.7337138931152</c:v>
                </c:pt>
                <c:pt idx="896">
                  <c:v>7820.1143677710406</c:v>
                </c:pt>
                <c:pt idx="897">
                  <c:v>7844.6086238934367</c:v>
                </c:pt>
                <c:pt idx="898">
                  <c:v>7868.8277732205879</c:v>
                </c:pt>
                <c:pt idx="899">
                  <c:v>7881.4919581086051</c:v>
                </c:pt>
                <c:pt idx="900">
                  <c:v>7890.2813052407955</c:v>
                </c:pt>
                <c:pt idx="901">
                  <c:v>7904.0441447027615</c:v>
                </c:pt>
                <c:pt idx="902">
                  <c:v>7903.6851843713976</c:v>
                </c:pt>
                <c:pt idx="903">
                  <c:v>7899.6229081649317</c:v>
                </c:pt>
                <c:pt idx="904">
                  <c:v>7893.1732093280616</c:v>
                </c:pt>
                <c:pt idx="905">
                  <c:v>7887.3079849464484</c:v>
                </c:pt>
                <c:pt idx="906">
                  <c:v>7888.8679683984155</c:v>
                </c:pt>
                <c:pt idx="907">
                  <c:v>7888.8542453218151</c:v>
                </c:pt>
                <c:pt idx="908">
                  <c:v>7888.8146413818449</c:v>
                </c:pt>
                <c:pt idx="909">
                  <c:v>7874.6607957821325</c:v>
                </c:pt>
                <c:pt idx="910">
                  <c:v>7857.7742235750511</c:v>
                </c:pt>
                <c:pt idx="911">
                  <c:v>7849.5750368236786</c:v>
                </c:pt>
                <c:pt idx="912">
                  <c:v>7857.9780905254102</c:v>
                </c:pt>
                <c:pt idx="913">
                  <c:v>7882.4133147793946</c:v>
                </c:pt>
                <c:pt idx="914">
                  <c:v>7909.2117512179502</c:v>
                </c:pt>
                <c:pt idx="915">
                  <c:v>7927.6892957319105</c:v>
                </c:pt>
                <c:pt idx="916">
                  <c:v>7945.0678681953168</c:v>
                </c:pt>
                <c:pt idx="917">
                  <c:v>7963.3434558873487</c:v>
                </c:pt>
                <c:pt idx="918">
                  <c:v>7975.4220588458966</c:v>
                </c:pt>
                <c:pt idx="919">
                  <c:v>7990.3494743723413</c:v>
                </c:pt>
                <c:pt idx="920">
                  <c:v>8011.9236972426825</c:v>
                </c:pt>
                <c:pt idx="921">
                  <c:v>8033.2082877811445</c:v>
                </c:pt>
                <c:pt idx="922">
                  <c:v>8069.1118413571894</c:v>
                </c:pt>
                <c:pt idx="923">
                  <c:v>8104.6780326761118</c:v>
                </c:pt>
                <c:pt idx="924">
                  <c:v>8146.4503706155692</c:v>
                </c:pt>
                <c:pt idx="925">
                  <c:v>8179.9786996942148</c:v>
                </c:pt>
                <c:pt idx="926">
                  <c:v>8202.5475813892608</c:v>
                </c:pt>
                <c:pt idx="927">
                  <c:v>8234.0309010853271</c:v>
                </c:pt>
                <c:pt idx="928">
                  <c:v>8238.3272660596904</c:v>
                </c:pt>
                <c:pt idx="929">
                  <c:v>8230.4110099493737</c:v>
                </c:pt>
                <c:pt idx="930">
                  <c:v>8229.5093831651084</c:v>
                </c:pt>
                <c:pt idx="931">
                  <c:v>8226.333837091157</c:v>
                </c:pt>
                <c:pt idx="932">
                  <c:v>8217.611672105626</c:v>
                </c:pt>
                <c:pt idx="933">
                  <c:v>8213.9540536261393</c:v>
                </c:pt>
                <c:pt idx="934">
                  <c:v>8211.2564166345837</c:v>
                </c:pt>
                <c:pt idx="935">
                  <c:v>8215.6495547083996</c:v>
                </c:pt>
                <c:pt idx="936">
                  <c:v>8219.4377955177606</c:v>
                </c:pt>
                <c:pt idx="937">
                  <c:v>8226.3086207946708</c:v>
                </c:pt>
                <c:pt idx="938">
                  <c:v>8218.7467530849772</c:v>
                </c:pt>
                <c:pt idx="939">
                  <c:v>8209.2553743813878</c:v>
                </c:pt>
                <c:pt idx="940">
                  <c:v>8212.8025883411519</c:v>
                </c:pt>
                <c:pt idx="941">
                  <c:v>8211.475029270543</c:v>
                </c:pt>
                <c:pt idx="942">
                  <c:v>8214.4833278007009</c:v>
                </c:pt>
                <c:pt idx="943">
                  <c:v>8213.6782923312567</c:v>
                </c:pt>
                <c:pt idx="944">
                  <c:v>8209.3974626051677</c:v>
                </c:pt>
                <c:pt idx="945">
                  <c:v>8216.2597757180902</c:v>
                </c:pt>
                <c:pt idx="946">
                  <c:v>8220.6193540619151</c:v>
                </c:pt>
                <c:pt idx="947">
                  <c:v>8197.9053817615659</c:v>
                </c:pt>
                <c:pt idx="948">
                  <c:v>8181.9585824221413</c:v>
                </c:pt>
                <c:pt idx="949">
                  <c:v>8171.6466301670553</c:v>
                </c:pt>
                <c:pt idx="950">
                  <c:v>8161.6320349258003</c:v>
                </c:pt>
                <c:pt idx="951">
                  <c:v>8158.3348987079553</c:v>
                </c:pt>
                <c:pt idx="952">
                  <c:v>8155.412523753891</c:v>
                </c:pt>
                <c:pt idx="953">
                  <c:v>8154.5895029172698</c:v>
                </c:pt>
                <c:pt idx="954">
                  <c:v>8151.5985569344184</c:v>
                </c:pt>
                <c:pt idx="955">
                  <c:v>8131.0434436401392</c:v>
                </c:pt>
                <c:pt idx="956">
                  <c:v>8106.1464313923016</c:v>
                </c:pt>
                <c:pt idx="957">
                  <c:v>8075.8189965820347</c:v>
                </c:pt>
                <c:pt idx="958">
                  <c:v>8091.9935961895371</c:v>
                </c:pt>
                <c:pt idx="959">
                  <c:v>8130.5916122036515</c:v>
                </c:pt>
                <c:pt idx="960">
                  <c:v>8216.4661186132853</c:v>
                </c:pt>
                <c:pt idx="961">
                  <c:v>8282.3775881253259</c:v>
                </c:pt>
                <c:pt idx="962">
                  <c:v>8342.0098792342123</c:v>
                </c:pt>
                <c:pt idx="963">
                  <c:v>8393.0729207518907</c:v>
                </c:pt>
                <c:pt idx="964">
                  <c:v>8439.8797587227673</c:v>
                </c:pt>
                <c:pt idx="965">
                  <c:v>8482.6665221324929</c:v>
                </c:pt>
                <c:pt idx="966">
                  <c:v>8521.9539888076342</c:v>
                </c:pt>
                <c:pt idx="967">
                  <c:v>8554.8130516461279</c:v>
                </c:pt>
                <c:pt idx="968">
                  <c:v>8584.3105922578943</c:v>
                </c:pt>
                <c:pt idx="969">
                  <c:v>8616.118651181414</c:v>
                </c:pt>
                <c:pt idx="970">
                  <c:v>8638.4768708336851</c:v>
                </c:pt>
                <c:pt idx="971">
                  <c:v>8629.8880544800322</c:v>
                </c:pt>
                <c:pt idx="972">
                  <c:v>8615.1926938591878</c:v>
                </c:pt>
                <c:pt idx="973">
                  <c:v>8616.6221539474172</c:v>
                </c:pt>
                <c:pt idx="974">
                  <c:v>8623.709656418665</c:v>
                </c:pt>
                <c:pt idx="975">
                  <c:v>8619.2947765347617</c:v>
                </c:pt>
                <c:pt idx="976">
                  <c:v>8603.8244967843093</c:v>
                </c:pt>
                <c:pt idx="977">
                  <c:v>8583.4417625864335</c:v>
                </c:pt>
                <c:pt idx="978">
                  <c:v>8582.5338378583656</c:v>
                </c:pt>
                <c:pt idx="979">
                  <c:v>8579.5317412152908</c:v>
                </c:pt>
                <c:pt idx="980">
                  <c:v>8589.4251949539484</c:v>
                </c:pt>
                <c:pt idx="981">
                  <c:v>8599.0238334218266</c:v>
                </c:pt>
                <c:pt idx="982">
                  <c:v>8612.0088059504196</c:v>
                </c:pt>
                <c:pt idx="983">
                  <c:v>8617.050217702832</c:v>
                </c:pt>
                <c:pt idx="984">
                  <c:v>8612.2365791244811</c:v>
                </c:pt>
                <c:pt idx="985">
                  <c:v>8614.6982284354599</c:v>
                </c:pt>
                <c:pt idx="986">
                  <c:v>8616.9608342344345</c:v>
                </c:pt>
                <c:pt idx="987">
                  <c:v>8625.4513134643803</c:v>
                </c:pt>
                <c:pt idx="988">
                  <c:v>8646.1758587344666</c:v>
                </c:pt>
                <c:pt idx="989">
                  <c:v>8661.7285240125166</c:v>
                </c:pt>
                <c:pt idx="990">
                  <c:v>8700.2503072885775</c:v>
                </c:pt>
                <c:pt idx="991">
                  <c:v>8733.8864052676672</c:v>
                </c:pt>
                <c:pt idx="992">
                  <c:v>8739.8483055569923</c:v>
                </c:pt>
                <c:pt idx="993">
                  <c:v>8732.767075569287</c:v>
                </c:pt>
                <c:pt idx="994">
                  <c:v>8716.1107447812356</c:v>
                </c:pt>
                <c:pt idx="995">
                  <c:v>8706.4271826690092</c:v>
                </c:pt>
                <c:pt idx="996">
                  <c:v>8696.5831145805096</c:v>
                </c:pt>
                <c:pt idx="997">
                  <c:v>8680.3696901504463</c:v>
                </c:pt>
                <c:pt idx="998">
                  <c:v>8643.2178981750239</c:v>
                </c:pt>
                <c:pt idx="999">
                  <c:v>8608.4675282692806</c:v>
                </c:pt>
                <c:pt idx="1000">
                  <c:v>8577.5552458812144</c:v>
                </c:pt>
                <c:pt idx="1001">
                  <c:v>8550.9167510426778</c:v>
                </c:pt>
                <c:pt idx="1002">
                  <c:v>8511.6083443035168</c:v>
                </c:pt>
                <c:pt idx="1003">
                  <c:v>8463.4036205878328</c:v>
                </c:pt>
                <c:pt idx="1004">
                  <c:v>8436.8588672492133</c:v>
                </c:pt>
                <c:pt idx="1005">
                  <c:v>8425.1802385759274</c:v>
                </c:pt>
                <c:pt idx="1006">
                  <c:v>8414.3492703191605</c:v>
                </c:pt>
                <c:pt idx="1007">
                  <c:v>8418.6003819723956</c:v>
                </c:pt>
                <c:pt idx="1008">
                  <c:v>8425.1530369516004</c:v>
                </c:pt>
                <c:pt idx="1009">
                  <c:v>8429.148384120248</c:v>
                </c:pt>
                <c:pt idx="1010">
                  <c:v>8467.0488557740136</c:v>
                </c:pt>
                <c:pt idx="1011">
                  <c:v>8494.0987659040075</c:v>
                </c:pt>
                <c:pt idx="1012">
                  <c:v>8537.9617931207213</c:v>
                </c:pt>
                <c:pt idx="1013">
                  <c:v>8617.2636595969852</c:v>
                </c:pt>
                <c:pt idx="1014">
                  <c:v>8689.3720946410558</c:v>
                </c:pt>
                <c:pt idx="1015">
                  <c:v>8759.1848902637248</c:v>
                </c:pt>
                <c:pt idx="1016">
                  <c:v>8833.4319105437862</c:v>
                </c:pt>
                <c:pt idx="1017">
                  <c:v>8914.3012179880789</c:v>
                </c:pt>
                <c:pt idx="1018">
                  <c:v>8984.1473881244383</c:v>
                </c:pt>
                <c:pt idx="1019">
                  <c:v>9051.3153702701966</c:v>
                </c:pt>
                <c:pt idx="1020">
                  <c:v>9083.5545069103264</c:v>
                </c:pt>
                <c:pt idx="1021">
                  <c:v>9112.2774925771391</c:v>
                </c:pt>
                <c:pt idx="1022">
                  <c:v>9132.3814543542303</c:v>
                </c:pt>
                <c:pt idx="1023">
                  <c:v>9125.8880546104665</c:v>
                </c:pt>
                <c:pt idx="1024">
                  <c:v>9103.456085943335</c:v>
                </c:pt>
                <c:pt idx="1025">
                  <c:v>9087.0420993721818</c:v>
                </c:pt>
                <c:pt idx="1026">
                  <c:v>9068.8740730872705</c:v>
                </c:pt>
                <c:pt idx="1027">
                  <c:v>9051.8360017602863</c:v>
                </c:pt>
                <c:pt idx="1028">
                  <c:v>9025.7732278961976</c:v>
                </c:pt>
                <c:pt idx="1029">
                  <c:v>8985.2493011192364</c:v>
                </c:pt>
                <c:pt idx="1030">
                  <c:v>8983.35484185112</c:v>
                </c:pt>
                <c:pt idx="1031">
                  <c:v>8979.4743100406959</c:v>
                </c:pt>
                <c:pt idx="1032">
                  <c:v>8983.5425589859206</c:v>
                </c:pt>
                <c:pt idx="1033">
                  <c:v>8999.3943823037152</c:v>
                </c:pt>
                <c:pt idx="1034">
                  <c:v>9005.5750994842983</c:v>
                </c:pt>
                <c:pt idx="1035">
                  <c:v>9005.3435288772325</c:v>
                </c:pt>
                <c:pt idx="1036">
                  <c:v>8999.8489243837794</c:v>
                </c:pt>
                <c:pt idx="1037">
                  <c:v>8982.9614362572156</c:v>
                </c:pt>
                <c:pt idx="1038">
                  <c:v>8961.9531432043823</c:v>
                </c:pt>
                <c:pt idx="1039">
                  <c:v>8939.752606756987</c:v>
                </c:pt>
                <c:pt idx="1040">
                  <c:v>8967.4772022836951</c:v>
                </c:pt>
                <c:pt idx="1041">
                  <c:v>9002.9847977687259</c:v>
                </c:pt>
                <c:pt idx="1042">
                  <c:v>9021.6117302679577</c:v>
                </c:pt>
                <c:pt idx="1043">
                  <c:v>9041.8493354552629</c:v>
                </c:pt>
                <c:pt idx="1044">
                  <c:v>9042.3051461520245</c:v>
                </c:pt>
                <c:pt idx="1045">
                  <c:v>9040.6959485823209</c:v>
                </c:pt>
                <c:pt idx="1046">
                  <c:v>9022.2753505926066</c:v>
                </c:pt>
                <c:pt idx="1047">
                  <c:v>9005.7544559882699</c:v>
                </c:pt>
                <c:pt idx="1048">
                  <c:v>9003.109888992898</c:v>
                </c:pt>
                <c:pt idx="1049">
                  <c:v>9010.0765713346664</c:v>
                </c:pt>
                <c:pt idx="1050">
                  <c:v>9009.0209455064833</c:v>
                </c:pt>
                <c:pt idx="1051">
                  <c:v>9008.7594520242492</c:v>
                </c:pt>
                <c:pt idx="1052">
                  <c:v>9004.945793730556</c:v>
                </c:pt>
                <c:pt idx="1053">
                  <c:v>9000.6254857264521</c:v>
                </c:pt>
                <c:pt idx="1054">
                  <c:v>9002.5370047503693</c:v>
                </c:pt>
                <c:pt idx="1055">
                  <c:v>9008.5258172204394</c:v>
                </c:pt>
                <c:pt idx="1056">
                  <c:v>9012.4927115695555</c:v>
                </c:pt>
                <c:pt idx="1057">
                  <c:v>9038.7791033552221</c:v>
                </c:pt>
                <c:pt idx="1058">
                  <c:v>9059.9716379006604</c:v>
                </c:pt>
                <c:pt idx="1059">
                  <c:v>9044.9704818444534</c:v>
                </c:pt>
                <c:pt idx="1060">
                  <c:v>9004.7555456905575</c:v>
                </c:pt>
                <c:pt idx="1061">
                  <c:v>8945.1639893474385</c:v>
                </c:pt>
                <c:pt idx="1062">
                  <c:v>8900.9531272237928</c:v>
                </c:pt>
                <c:pt idx="1063">
                  <c:v>8845.026525885638</c:v>
                </c:pt>
                <c:pt idx="1064">
                  <c:v>8837.9172488391814</c:v>
                </c:pt>
                <c:pt idx="1065">
                  <c:v>8849.5040863038448</c:v>
                </c:pt>
                <c:pt idx="1066">
                  <c:v>8862.6316127337996</c:v>
                </c:pt>
                <c:pt idx="1067">
                  <c:v>8874.7521970589532</c:v>
                </c:pt>
                <c:pt idx="1068">
                  <c:v>8880.7630041013763</c:v>
                </c:pt>
                <c:pt idx="1069">
                  <c:v>8879.2501783964217</c:v>
                </c:pt>
                <c:pt idx="1070">
                  <c:v>8869.5813654711546</c:v>
                </c:pt>
                <c:pt idx="1071">
                  <c:v>8867.7614660444597</c:v>
                </c:pt>
                <c:pt idx="1072">
                  <c:v>8864.2631563074683</c:v>
                </c:pt>
                <c:pt idx="1073">
                  <c:v>8865.8185962220286</c:v>
                </c:pt>
                <c:pt idx="1074">
                  <c:v>8874.9147023086862</c:v>
                </c:pt>
                <c:pt idx="1075">
                  <c:v>8891.98481018858</c:v>
                </c:pt>
                <c:pt idx="1076">
                  <c:v>8896.7374678536489</c:v>
                </c:pt>
                <c:pt idx="1077">
                  <c:v>8904.5907079579429</c:v>
                </c:pt>
                <c:pt idx="1078">
                  <c:v>8917.9218419504996</c:v>
                </c:pt>
                <c:pt idx="1079">
                  <c:v>8917.5461845495429</c:v>
                </c:pt>
                <c:pt idx="1080">
                  <c:v>8916.6861975709526</c:v>
                </c:pt>
                <c:pt idx="1081">
                  <c:v>8924.838071774444</c:v>
                </c:pt>
                <c:pt idx="1082">
                  <c:v>8920.4064709782506</c:v>
                </c:pt>
                <c:pt idx="1083">
                  <c:v>8897.1553957811993</c:v>
                </c:pt>
                <c:pt idx="1084">
                  <c:v>8857.8373603955642</c:v>
                </c:pt>
                <c:pt idx="1085">
                  <c:v>8802.9968286059666</c:v>
                </c:pt>
                <c:pt idx="1086">
                  <c:v>8732.2878051340504</c:v>
                </c:pt>
                <c:pt idx="1087">
                  <c:v>8627.2735095296648</c:v>
                </c:pt>
                <c:pt idx="1088">
                  <c:v>8543.9640991392134</c:v>
                </c:pt>
                <c:pt idx="1089">
                  <c:v>8488.8712363266786</c:v>
                </c:pt>
                <c:pt idx="1090">
                  <c:v>8473.4823265363339</c:v>
                </c:pt>
                <c:pt idx="1091">
                  <c:v>8481.8026854481468</c:v>
                </c:pt>
                <c:pt idx="1092">
                  <c:v>8480.0172862031759</c:v>
                </c:pt>
                <c:pt idx="1093">
                  <c:v>8492.4058013345075</c:v>
                </c:pt>
                <c:pt idx="1094">
                  <c:v>8499.5905801997778</c:v>
                </c:pt>
                <c:pt idx="1095">
                  <c:v>8505.6235881154334</c:v>
                </c:pt>
                <c:pt idx="1096">
                  <c:v>8509.3185728352328</c:v>
                </c:pt>
                <c:pt idx="1097">
                  <c:v>8512.7733952252547</c:v>
                </c:pt>
                <c:pt idx="1098">
                  <c:v>8528.450298462576</c:v>
                </c:pt>
                <c:pt idx="1099">
                  <c:v>8540.8481541535693</c:v>
                </c:pt>
                <c:pt idx="1100">
                  <c:v>8538.2477598638052</c:v>
                </c:pt>
                <c:pt idx="1101">
                  <c:v>8533.7533460707946</c:v>
                </c:pt>
                <c:pt idx="1102">
                  <c:v>8522.7992636446161</c:v>
                </c:pt>
                <c:pt idx="1103">
                  <c:v>8530.0644753022698</c:v>
                </c:pt>
                <c:pt idx="1104">
                  <c:v>8543.4280366882213</c:v>
                </c:pt>
                <c:pt idx="1105">
                  <c:v>8555.9201166196963</c:v>
                </c:pt>
                <c:pt idx="1106">
                  <c:v>8558.9282903209278</c:v>
                </c:pt>
                <c:pt idx="1107">
                  <c:v>8578.5023097148405</c:v>
                </c:pt>
                <c:pt idx="1108">
                  <c:v>8589.0861142436697</c:v>
                </c:pt>
                <c:pt idx="1109">
                  <c:v>8581.8461819427848</c:v>
                </c:pt>
                <c:pt idx="1110">
                  <c:v>8569.5693061208731</c:v>
                </c:pt>
                <c:pt idx="1111">
                  <c:v>8543.2991341905854</c:v>
                </c:pt>
                <c:pt idx="1112">
                  <c:v>8514.9983121144232</c:v>
                </c:pt>
                <c:pt idx="1113">
                  <c:v>8478.3169034051316</c:v>
                </c:pt>
                <c:pt idx="1114">
                  <c:v>8475.2328068174465</c:v>
                </c:pt>
                <c:pt idx="1115">
                  <c:v>8482.7382773698209</c:v>
                </c:pt>
                <c:pt idx="1116">
                  <c:v>8487.0999901041487</c:v>
                </c:pt>
                <c:pt idx="1117">
                  <c:v>8500.477072091815</c:v>
                </c:pt>
                <c:pt idx="1118">
                  <c:v>8489.8894214973334</c:v>
                </c:pt>
                <c:pt idx="1119">
                  <c:v>8468.223099454819</c:v>
                </c:pt>
                <c:pt idx="1120">
                  <c:v>8486.3671303462434</c:v>
                </c:pt>
                <c:pt idx="1121">
                  <c:v>8524.4066236151557</c:v>
                </c:pt>
                <c:pt idx="1122">
                  <c:v>8556.3831073667588</c:v>
                </c:pt>
                <c:pt idx="1123">
                  <c:v>8592.0160088542289</c:v>
                </c:pt>
                <c:pt idx="1124">
                  <c:v>8626.7610433148639</c:v>
                </c:pt>
                <c:pt idx="1125">
                  <c:v>8650.8192127956499</c:v>
                </c:pt>
                <c:pt idx="1126">
                  <c:v>8656.9682833020306</c:v>
                </c:pt>
                <c:pt idx="1127">
                  <c:v>8641.251216451561</c:v>
                </c:pt>
                <c:pt idx="1128">
                  <c:v>8622.4653317689408</c:v>
                </c:pt>
                <c:pt idx="1129">
                  <c:v>8609.5483461499007</c:v>
                </c:pt>
                <c:pt idx="1130">
                  <c:v>8590.0437428488949</c:v>
                </c:pt>
                <c:pt idx="1131">
                  <c:v>8577.8414438196105</c:v>
                </c:pt>
                <c:pt idx="1132">
                  <c:v>8593.0512609426041</c:v>
                </c:pt>
                <c:pt idx="1133">
                  <c:v>8608.9783300081108</c:v>
                </c:pt>
                <c:pt idx="1134">
                  <c:v>8632.5398904127997</c:v>
                </c:pt>
                <c:pt idx="1135">
                  <c:v>8640.7777256088448</c:v>
                </c:pt>
                <c:pt idx="1136">
                  <c:v>8665.2311429786987</c:v>
                </c:pt>
                <c:pt idx="1137">
                  <c:v>8679.1331833669246</c:v>
                </c:pt>
                <c:pt idx="1138">
                  <c:v>8681.7749334086147</c:v>
                </c:pt>
                <c:pt idx="1139">
                  <c:v>8677.1664145213381</c:v>
                </c:pt>
                <c:pt idx="1140">
                  <c:v>8680.1630900756663</c:v>
                </c:pt>
                <c:pt idx="1141">
                  <c:v>8681.9802139574531</c:v>
                </c:pt>
                <c:pt idx="1142">
                  <c:v>8681.9627301038417</c:v>
                </c:pt>
                <c:pt idx="1143">
                  <c:v>8685.7429904011005</c:v>
                </c:pt>
                <c:pt idx="1144">
                  <c:v>8687.8616734448533</c:v>
                </c:pt>
                <c:pt idx="1145">
                  <c:v>8688.3572243314065</c:v>
                </c:pt>
                <c:pt idx="1146">
                  <c:v>8693.6379745684189</c:v>
                </c:pt>
                <c:pt idx="1147">
                  <c:v>8694.8356004007219</c:v>
                </c:pt>
                <c:pt idx="1148">
                  <c:v>8693.378635098692</c:v>
                </c:pt>
                <c:pt idx="1149">
                  <c:v>8694.6061666112037</c:v>
                </c:pt>
                <c:pt idx="1150">
                  <c:v>8694.3956063925598</c:v>
                </c:pt>
                <c:pt idx="1151">
                  <c:v>8701.8088636592947</c:v>
                </c:pt>
                <c:pt idx="1152">
                  <c:v>8695.7575821581358</c:v>
                </c:pt>
                <c:pt idx="1153">
                  <c:v>8684.5180486444588</c:v>
                </c:pt>
                <c:pt idx="1154">
                  <c:v>8671.2747818960579</c:v>
                </c:pt>
                <c:pt idx="1155">
                  <c:v>8667.3334690505071</c:v>
                </c:pt>
                <c:pt idx="1156">
                  <c:v>8646.7168760729473</c:v>
                </c:pt>
                <c:pt idx="1157">
                  <c:v>8633.6347307151573</c:v>
                </c:pt>
                <c:pt idx="1158">
                  <c:v>8636.4277992031639</c:v>
                </c:pt>
                <c:pt idx="1159">
                  <c:v>8768.8645625686313</c:v>
                </c:pt>
                <c:pt idx="1160">
                  <c:v>8824.3135957339182</c:v>
                </c:pt>
                <c:pt idx="1161">
                  <c:v>8877.5333041122321</c:v>
                </c:pt>
                <c:pt idx="1162">
                  <c:v>8888.467723099935</c:v>
                </c:pt>
                <c:pt idx="1163">
                  <c:v>8876.9047952542369</c:v>
                </c:pt>
                <c:pt idx="1164">
                  <c:v>8860.3069438185266</c:v>
                </c:pt>
                <c:pt idx="1165">
                  <c:v>8857.9345021307709</c:v>
                </c:pt>
                <c:pt idx="1166">
                  <c:v>8844.1302521588023</c:v>
                </c:pt>
                <c:pt idx="1167">
                  <c:v>8804.3502748248047</c:v>
                </c:pt>
                <c:pt idx="1168">
                  <c:v>8773.5411601472624</c:v>
                </c:pt>
                <c:pt idx="1169">
                  <c:v>8746.85385405118</c:v>
                </c:pt>
                <c:pt idx="1170">
                  <c:v>8706.2727443660951</c:v>
                </c:pt>
                <c:pt idx="1171">
                  <c:v>8671.3647500386724</c:v>
                </c:pt>
                <c:pt idx="1172">
                  <c:v>8631.0261994785633</c:v>
                </c:pt>
                <c:pt idx="1173">
                  <c:v>8549.969318724643</c:v>
                </c:pt>
                <c:pt idx="1174">
                  <c:v>8467.3718959284706</c:v>
                </c:pt>
                <c:pt idx="1175">
                  <c:v>8373.0548867596553</c:v>
                </c:pt>
                <c:pt idx="1176">
                  <c:v>8251.1574379138128</c:v>
                </c:pt>
                <c:pt idx="1177">
                  <c:v>8155.4756287969612</c:v>
                </c:pt>
                <c:pt idx="1178">
                  <c:v>8064.2079763451475</c:v>
                </c:pt>
                <c:pt idx="1179">
                  <c:v>8064.3070487149025</c:v>
                </c:pt>
                <c:pt idx="1180">
                  <c:v>8061.4863706378737</c:v>
                </c:pt>
                <c:pt idx="1181">
                  <c:v>8065.3524394297001</c:v>
                </c:pt>
                <c:pt idx="1182">
                  <c:v>8051.4576095832954</c:v>
                </c:pt>
                <c:pt idx="1183">
                  <c:v>8027.9207429864045</c:v>
                </c:pt>
                <c:pt idx="1184">
                  <c:v>8023.5569460934103</c:v>
                </c:pt>
                <c:pt idx="1185">
                  <c:v>8039.8728861274085</c:v>
                </c:pt>
                <c:pt idx="1186">
                  <c:v>8090.9703794799507</c:v>
                </c:pt>
                <c:pt idx="1187">
                  <c:v>8143.1507822702279</c:v>
                </c:pt>
                <c:pt idx="1188">
                  <c:v>8185.6413258335751</c:v>
                </c:pt>
                <c:pt idx="1189">
                  <c:v>8190.7953327444375</c:v>
                </c:pt>
                <c:pt idx="1190">
                  <c:v>8220.4293252220723</c:v>
                </c:pt>
                <c:pt idx="1191">
                  <c:v>8244.7235487122998</c:v>
                </c:pt>
                <c:pt idx="1192">
                  <c:v>8260.7976630628236</c:v>
                </c:pt>
                <c:pt idx="1193">
                  <c:v>8269.1098262191554</c:v>
                </c:pt>
                <c:pt idx="1194">
                  <c:v>8291.1690189043238</c:v>
                </c:pt>
                <c:pt idx="1195">
                  <c:v>8317.3282694019108</c:v>
                </c:pt>
                <c:pt idx="1196">
                  <c:v>8350.1337751392948</c:v>
                </c:pt>
                <c:pt idx="1197">
                  <c:v>8377.5280542455803</c:v>
                </c:pt>
                <c:pt idx="1198">
                  <c:v>8400.183129398778</c:v>
                </c:pt>
                <c:pt idx="1199">
                  <c:v>8415.0941366897769</c:v>
                </c:pt>
                <c:pt idx="1200">
                  <c:v>8421.1728475627424</c:v>
                </c:pt>
                <c:pt idx="1201">
                  <c:v>8420.0558228280534</c:v>
                </c:pt>
                <c:pt idx="1202">
                  <c:v>8390.4083400918353</c:v>
                </c:pt>
                <c:pt idx="1203">
                  <c:v>8355.521298389247</c:v>
                </c:pt>
                <c:pt idx="1204">
                  <c:v>8338.9396601973604</c:v>
                </c:pt>
                <c:pt idx="1205">
                  <c:v>8320.2984250087684</c:v>
                </c:pt>
                <c:pt idx="1206">
                  <c:v>8324.5934802193497</c:v>
                </c:pt>
                <c:pt idx="1207">
                  <c:v>8330.3746878012134</c:v>
                </c:pt>
                <c:pt idx="1208">
                  <c:v>8345.1808993674676</c:v>
                </c:pt>
                <c:pt idx="1209">
                  <c:v>8357.1828721058992</c:v>
                </c:pt>
                <c:pt idx="1210">
                  <c:v>8366.9865228121853</c:v>
                </c:pt>
                <c:pt idx="1211">
                  <c:v>8397.1897886139777</c:v>
                </c:pt>
                <c:pt idx="1212">
                  <c:v>8420.3313047881365</c:v>
                </c:pt>
                <c:pt idx="1213">
                  <c:v>8430.6718436753545</c:v>
                </c:pt>
                <c:pt idx="1214">
                  <c:v>8427.1158318894832</c:v>
                </c:pt>
                <c:pt idx="1215">
                  <c:v>8421.6212448025854</c:v>
                </c:pt>
                <c:pt idx="1216">
                  <c:v>8393.1268291207107</c:v>
                </c:pt>
                <c:pt idx="1217">
                  <c:v>8361.3629482565611</c:v>
                </c:pt>
                <c:pt idx="1218">
                  <c:v>8326.6237103302283</c:v>
                </c:pt>
                <c:pt idx="1219">
                  <c:v>8275.3381413973057</c:v>
                </c:pt>
                <c:pt idx="1220">
                  <c:v>8223.6172080520137</c:v>
                </c:pt>
                <c:pt idx="1221">
                  <c:v>8173.1815981060572</c:v>
                </c:pt>
                <c:pt idx="1222">
                  <c:v>8132.6835316990373</c:v>
                </c:pt>
                <c:pt idx="1223">
                  <c:v>8105.154733097731</c:v>
                </c:pt>
                <c:pt idx="1224">
                  <c:v>8084.0721728143799</c:v>
                </c:pt>
                <c:pt idx="1225">
                  <c:v>8060.417348819492</c:v>
                </c:pt>
                <c:pt idx="1226">
                  <c:v>8031.8919066736362</c:v>
                </c:pt>
                <c:pt idx="1227">
                  <c:v>8004.200199533092</c:v>
                </c:pt>
                <c:pt idx="1228">
                  <c:v>8000.2406554134523</c:v>
                </c:pt>
                <c:pt idx="1229">
                  <c:v>8006.9206223284536</c:v>
                </c:pt>
                <c:pt idx="1230">
                  <c:v>8001.9395471391836</c:v>
                </c:pt>
                <c:pt idx="1231">
                  <c:v>8015.0909614221791</c:v>
                </c:pt>
                <c:pt idx="1232">
                  <c:v>8020.6913012702335</c:v>
                </c:pt>
                <c:pt idx="1233">
                  <c:v>8020.2019199972001</c:v>
                </c:pt>
                <c:pt idx="1234">
                  <c:v>8016.0339595373425</c:v>
                </c:pt>
                <c:pt idx="1235">
                  <c:v>8020.7202470147604</c:v>
                </c:pt>
                <c:pt idx="1236">
                  <c:v>8016.3195924723805</c:v>
                </c:pt>
                <c:pt idx="1237">
                  <c:v>8014.1493246517439</c:v>
                </c:pt>
                <c:pt idx="1238">
                  <c:v>8009.4907090830584</c:v>
                </c:pt>
                <c:pt idx="1239">
                  <c:v>8013.0746053944004</c:v>
                </c:pt>
                <c:pt idx="1240">
                  <c:v>8010.1906974536805</c:v>
                </c:pt>
                <c:pt idx="1241">
                  <c:v>8006.8887487158354</c:v>
                </c:pt>
                <c:pt idx="1242">
                  <c:v>8005.7044019678133</c:v>
                </c:pt>
                <c:pt idx="1243">
                  <c:v>7994.7955763162599</c:v>
                </c:pt>
                <c:pt idx="1244">
                  <c:v>7997.8314636474706</c:v>
                </c:pt>
                <c:pt idx="1245">
                  <c:v>7991.1651329389988</c:v>
                </c:pt>
                <c:pt idx="1246">
                  <c:v>7991.2977440920004</c:v>
                </c:pt>
                <c:pt idx="1247">
                  <c:v>7990.8553540770845</c:v>
                </c:pt>
                <c:pt idx="1248">
                  <c:v>8003.0693299027907</c:v>
                </c:pt>
                <c:pt idx="1249">
                  <c:v>8004.2715748897135</c:v>
                </c:pt>
                <c:pt idx="1250">
                  <c:v>8014.3149722611652</c:v>
                </c:pt>
                <c:pt idx="1251">
                  <c:v>8026.6696677592208</c:v>
                </c:pt>
                <c:pt idx="1252">
                  <c:v>8033.1764212095413</c:v>
                </c:pt>
                <c:pt idx="1253">
                  <c:v>8042.0124724648149</c:v>
                </c:pt>
                <c:pt idx="1254">
                  <c:v>8058.9428681584559</c:v>
                </c:pt>
                <c:pt idx="1255">
                  <c:v>8073.0887121780806</c:v>
                </c:pt>
                <c:pt idx="1256">
                  <c:v>8076.4584849420717</c:v>
                </c:pt>
                <c:pt idx="1257">
                  <c:v>8081.3326424214492</c:v>
                </c:pt>
                <c:pt idx="1258">
                  <c:v>8087.4978359091983</c:v>
                </c:pt>
                <c:pt idx="1259">
                  <c:v>8063.0810254454045</c:v>
                </c:pt>
                <c:pt idx="1260">
                  <c:v>8034.3174020007045</c:v>
                </c:pt>
                <c:pt idx="1261">
                  <c:v>7987.4771770678171</c:v>
                </c:pt>
                <c:pt idx="1262">
                  <c:v>7932.0571178974169</c:v>
                </c:pt>
                <c:pt idx="1263">
                  <c:v>7879.3640532742438</c:v>
                </c:pt>
                <c:pt idx="1264">
                  <c:v>7800.8809680608629</c:v>
                </c:pt>
                <c:pt idx="1265">
                  <c:v>7753.6641284253819</c:v>
                </c:pt>
                <c:pt idx="1266">
                  <c:v>7700.8510703463517</c:v>
                </c:pt>
                <c:pt idx="1267">
                  <c:v>7648.3112781207228</c:v>
                </c:pt>
                <c:pt idx="1268">
                  <c:v>7638.0277187897536</c:v>
                </c:pt>
                <c:pt idx="1269">
                  <c:v>7616.3279035859769</c:v>
                </c:pt>
                <c:pt idx="1270">
                  <c:v>7605.7863255738957</c:v>
                </c:pt>
                <c:pt idx="1271">
                  <c:v>7612.1524466937171</c:v>
                </c:pt>
                <c:pt idx="1272">
                  <c:v>7654.7418953501483</c:v>
                </c:pt>
                <c:pt idx="1273">
                  <c:v>7673.8467529670934</c:v>
                </c:pt>
                <c:pt idx="1274">
                  <c:v>7669.8869465361358</c:v>
                </c:pt>
                <c:pt idx="1275">
                  <c:v>7681.3173458812325</c:v>
                </c:pt>
                <c:pt idx="1276">
                  <c:v>7675.107047596337</c:v>
                </c:pt>
                <c:pt idx="1277">
                  <c:v>7673.4942438012658</c:v>
                </c:pt>
                <c:pt idx="1278">
                  <c:v>7672.6482809377003</c:v>
                </c:pt>
                <c:pt idx="1279">
                  <c:v>7660.3652885432002</c:v>
                </c:pt>
                <c:pt idx="1280">
                  <c:v>7647.08336180882</c:v>
                </c:pt>
                <c:pt idx="1281">
                  <c:v>7636.1476443010915</c:v>
                </c:pt>
                <c:pt idx="1282">
                  <c:v>7626.1677410298798</c:v>
                </c:pt>
                <c:pt idx="1283">
                  <c:v>7577.8439641869963</c:v>
                </c:pt>
                <c:pt idx="1284">
                  <c:v>7523.9971350039095</c:v>
                </c:pt>
                <c:pt idx="1285">
                  <c:v>7488.1122537254314</c:v>
                </c:pt>
                <c:pt idx="1286">
                  <c:v>7489.3732865540605</c:v>
                </c:pt>
                <c:pt idx="1287">
                  <c:v>7505.3556584141761</c:v>
                </c:pt>
                <c:pt idx="1288">
                  <c:v>7504.4208580939303</c:v>
                </c:pt>
                <c:pt idx="1289">
                  <c:v>7525.1728274577954</c:v>
                </c:pt>
                <c:pt idx="1290">
                  <c:v>7568.134535689137</c:v>
                </c:pt>
                <c:pt idx="1291">
                  <c:v>7604.1354790577516</c:v>
                </c:pt>
                <c:pt idx="1292">
                  <c:v>7637.9811666116875</c:v>
                </c:pt>
                <c:pt idx="1293">
                  <c:v>7670.1652482605523</c:v>
                </c:pt>
                <c:pt idx="1294">
                  <c:v>7691.9220624734917</c:v>
                </c:pt>
                <c:pt idx="1295">
                  <c:v>7711.8360159304184</c:v>
                </c:pt>
                <c:pt idx="1296">
                  <c:v>7732.8911819992909</c:v>
                </c:pt>
                <c:pt idx="1297">
                  <c:v>7768.1346142293723</c:v>
                </c:pt>
                <c:pt idx="1298">
                  <c:v>7818.1180965710155</c:v>
                </c:pt>
                <c:pt idx="1299">
                  <c:v>7863.9855588579076</c:v>
                </c:pt>
                <c:pt idx="1300">
                  <c:v>7897.550975575894</c:v>
                </c:pt>
                <c:pt idx="1301">
                  <c:v>7896.6256364775054</c:v>
                </c:pt>
                <c:pt idx="1302">
                  <c:v>7872.513281259995</c:v>
                </c:pt>
                <c:pt idx="1303">
                  <c:v>7863.0099750033578</c:v>
                </c:pt>
                <c:pt idx="1304">
                  <c:v>7813.7317338595476</c:v>
                </c:pt>
                <c:pt idx="1305">
                  <c:v>7798.1019668256877</c:v>
                </c:pt>
                <c:pt idx="1306">
                  <c:v>7809.9157109490397</c:v>
                </c:pt>
                <c:pt idx="1307">
                  <c:v>7808.960602221704</c:v>
                </c:pt>
                <c:pt idx="1308">
                  <c:v>7808.2678577088527</c:v>
                </c:pt>
                <c:pt idx="1309">
                  <c:v>7805.3128812613859</c:v>
                </c:pt>
                <c:pt idx="1310">
                  <c:v>7804.7828152888251</c:v>
                </c:pt>
                <c:pt idx="1311">
                  <c:v>7806.4331274151091</c:v>
                </c:pt>
                <c:pt idx="1312">
                  <c:v>7812.7713426875025</c:v>
                </c:pt>
                <c:pt idx="1313">
                  <c:v>7847.6369840127682</c:v>
                </c:pt>
                <c:pt idx="1314">
                  <c:v>7884.2389283874663</c:v>
                </c:pt>
                <c:pt idx="1315">
                  <c:v>7916.0029517147814</c:v>
                </c:pt>
                <c:pt idx="1316">
                  <c:v>7940.6941990649666</c:v>
                </c:pt>
                <c:pt idx="1317">
                  <c:v>7964.6561896215189</c:v>
                </c:pt>
                <c:pt idx="1318">
                  <c:v>7978.9252968208411</c:v>
                </c:pt>
                <c:pt idx="1319">
                  <c:v>8011.7464350931195</c:v>
                </c:pt>
                <c:pt idx="1320">
                  <c:v>8044.406814048556</c:v>
                </c:pt>
                <c:pt idx="1321">
                  <c:v>8050.5271827632932</c:v>
                </c:pt>
                <c:pt idx="1322">
                  <c:v>8053.1967627610084</c:v>
                </c:pt>
                <c:pt idx="1323">
                  <c:v>8056.0315753583791</c:v>
                </c:pt>
                <c:pt idx="1324">
                  <c:v>8056.1768029942104</c:v>
                </c:pt>
                <c:pt idx="1325">
                  <c:v>8056.2334833093255</c:v>
                </c:pt>
                <c:pt idx="1326">
                  <c:v>8055.7454351453962</c:v>
                </c:pt>
                <c:pt idx="1327">
                  <c:v>8049.9764943774708</c:v>
                </c:pt>
                <c:pt idx="1328">
                  <c:v>8050.726313115938</c:v>
                </c:pt>
                <c:pt idx="1329">
                  <c:v>8038.6437536313115</c:v>
                </c:pt>
                <c:pt idx="1330">
                  <c:v>8014.3306381570792</c:v>
                </c:pt>
                <c:pt idx="1331">
                  <c:v>8010.4318067308222</c:v>
                </c:pt>
                <c:pt idx="1332">
                  <c:v>8003.439113766749</c:v>
                </c:pt>
                <c:pt idx="1333">
                  <c:v>8004.0073338066686</c:v>
                </c:pt>
                <c:pt idx="1334">
                  <c:v>8001.1006302808337</c:v>
                </c:pt>
                <c:pt idx="1335">
                  <c:v>7996.1808729961103</c:v>
                </c:pt>
                <c:pt idx="1336">
                  <c:v>7989.3366723167546</c:v>
                </c:pt>
                <c:pt idx="1337">
                  <c:v>7984.8311516766917</c:v>
                </c:pt>
                <c:pt idx="1338">
                  <c:v>7985.209820841862</c:v>
                </c:pt>
                <c:pt idx="1339">
                  <c:v>7964.8817533574384</c:v>
                </c:pt>
                <c:pt idx="1340">
                  <c:v>7953.2696351606792</c:v>
                </c:pt>
                <c:pt idx="1341">
                  <c:v>8005.0691736906592</c:v>
                </c:pt>
                <c:pt idx="1342">
                  <c:v>8073.6237242657062</c:v>
                </c:pt>
                <c:pt idx="1343">
                  <c:v>8135.8469044151161</c:v>
                </c:pt>
                <c:pt idx="1344">
                  <c:v>8181.4454361106255</c:v>
                </c:pt>
                <c:pt idx="1345">
                  <c:v>8221.2930414978182</c:v>
                </c:pt>
                <c:pt idx="1346">
                  <c:v>8264.2423938015254</c:v>
                </c:pt>
                <c:pt idx="1347">
                  <c:v>8299.3711256394981</c:v>
                </c:pt>
                <c:pt idx="1348">
                  <c:v>8330.4231118279004</c:v>
                </c:pt>
                <c:pt idx="1349">
                  <c:v>8370.2889100705906</c:v>
                </c:pt>
                <c:pt idx="1350">
                  <c:v>8405.5508956832564</c:v>
                </c:pt>
                <c:pt idx="1351">
                  <c:v>8426.1540713161012</c:v>
                </c:pt>
                <c:pt idx="1352">
                  <c:v>8435.9801111313191</c:v>
                </c:pt>
                <c:pt idx="1353">
                  <c:v>8439.8029519655283</c:v>
                </c:pt>
                <c:pt idx="1354">
                  <c:v>8443.2727354573744</c:v>
                </c:pt>
                <c:pt idx="1355">
                  <c:v>8453.0964660356331</c:v>
                </c:pt>
                <c:pt idx="1356">
                  <c:v>8443.3603056292504</c:v>
                </c:pt>
                <c:pt idx="1357">
                  <c:v>8422.4318921725371</c:v>
                </c:pt>
                <c:pt idx="1358">
                  <c:v>8388.3133513732646</c:v>
                </c:pt>
                <c:pt idx="1359">
                  <c:v>8323.2055452418899</c:v>
                </c:pt>
                <c:pt idx="1360">
                  <c:v>8288.364166648742</c:v>
                </c:pt>
                <c:pt idx="1361">
                  <c:v>8289.942048605606</c:v>
                </c:pt>
                <c:pt idx="1362">
                  <c:v>8296.6489241916661</c:v>
                </c:pt>
                <c:pt idx="1363">
                  <c:v>8300.9813478518063</c:v>
                </c:pt>
                <c:pt idx="1364">
                  <c:v>8301.8838803883773</c:v>
                </c:pt>
                <c:pt idx="1365">
                  <c:v>8303.3321234754021</c:v>
                </c:pt>
                <c:pt idx="1366">
                  <c:v>8314.5620798223681</c:v>
                </c:pt>
                <c:pt idx="1367">
                  <c:v>8334.0045294048577</c:v>
                </c:pt>
                <c:pt idx="1368">
                  <c:v>8363.1322997891366</c:v>
                </c:pt>
                <c:pt idx="1369">
                  <c:v>8375.1466900603446</c:v>
                </c:pt>
                <c:pt idx="1370">
                  <c:v>8386.0534467170874</c:v>
                </c:pt>
                <c:pt idx="1371">
                  <c:v>8399.0067254468704</c:v>
                </c:pt>
                <c:pt idx="1372">
                  <c:v>8443.991428235664</c:v>
                </c:pt>
                <c:pt idx="1373">
                  <c:v>8492.677392302001</c:v>
                </c:pt>
                <c:pt idx="1374">
                  <c:v>8531.0930961031663</c:v>
                </c:pt>
                <c:pt idx="1375">
                  <c:v>8577.7883912326015</c:v>
                </c:pt>
                <c:pt idx="1376">
                  <c:v>8609.419461688929</c:v>
                </c:pt>
                <c:pt idx="1377">
                  <c:v>8631.117245101359</c:v>
                </c:pt>
                <c:pt idx="1378">
                  <c:v>8655.2335909008216</c:v>
                </c:pt>
                <c:pt idx="1379">
                  <c:v>8682.1496111118504</c:v>
                </c:pt>
                <c:pt idx="1380">
                  <c:v>8695.4003533651248</c:v>
                </c:pt>
                <c:pt idx="1381">
                  <c:v>8713.2096393555767</c:v>
                </c:pt>
                <c:pt idx="1382">
                  <c:v>8726.0682450629902</c:v>
                </c:pt>
                <c:pt idx="1383">
                  <c:v>8720.6273043615474</c:v>
                </c:pt>
                <c:pt idx="1384">
                  <c:v>8713.5715517696135</c:v>
                </c:pt>
                <c:pt idx="1385">
                  <c:v>8719.9270614773232</c:v>
                </c:pt>
                <c:pt idx="1386">
                  <c:v>8726.4645843200906</c:v>
                </c:pt>
                <c:pt idx="1387">
                  <c:v>8732.6116587705656</c:v>
                </c:pt>
                <c:pt idx="1388">
                  <c:v>8737.4174304437402</c:v>
                </c:pt>
                <c:pt idx="1389">
                  <c:v>8725.3739439461151</c:v>
                </c:pt>
                <c:pt idx="1390">
                  <c:v>8707.8748192871408</c:v>
                </c:pt>
                <c:pt idx="1391">
                  <c:v>8692.2027529812931</c:v>
                </c:pt>
                <c:pt idx="1392">
                  <c:v>8708.9235193999557</c:v>
                </c:pt>
                <c:pt idx="1393">
                  <c:v>8719.6361135603838</c:v>
                </c:pt>
                <c:pt idx="1394">
                  <c:v>8718.0196263101243</c:v>
                </c:pt>
                <c:pt idx="1395">
                  <c:v>8718.550030977789</c:v>
                </c:pt>
                <c:pt idx="1396">
                  <c:v>8722.2928667619326</c:v>
                </c:pt>
                <c:pt idx="1397">
                  <c:v>8720.0254489210984</c:v>
                </c:pt>
                <c:pt idx="1398">
                  <c:v>8724.386535178226</c:v>
                </c:pt>
                <c:pt idx="1399">
                  <c:v>8729.2198737636772</c:v>
                </c:pt>
                <c:pt idx="1400">
                  <c:v>8722.1428000252199</c:v>
                </c:pt>
                <c:pt idx="1401">
                  <c:v>8718.0450568192773</c:v>
                </c:pt>
                <c:pt idx="1402">
                  <c:v>8719.2015592637817</c:v>
                </c:pt>
                <c:pt idx="1403">
                  <c:v>8719.1308677377237</c:v>
                </c:pt>
                <c:pt idx="1404">
                  <c:v>8720.6370760536265</c:v>
                </c:pt>
                <c:pt idx="1405">
                  <c:v>8716.4464855604783</c:v>
                </c:pt>
                <c:pt idx="1406">
                  <c:v>8736.0514068005014</c:v>
                </c:pt>
                <c:pt idx="1407">
                  <c:v>8764.3907546001756</c:v>
                </c:pt>
                <c:pt idx="1408">
                  <c:v>8785.507150045727</c:v>
                </c:pt>
                <c:pt idx="1409">
                  <c:v>8808.0722812663043</c:v>
                </c:pt>
                <c:pt idx="1410">
                  <c:v>8865.8354270310829</c:v>
                </c:pt>
                <c:pt idx="1411">
                  <c:v>8905.9723037532876</c:v>
                </c:pt>
                <c:pt idx="1412">
                  <c:v>8947.8062658335184</c:v>
                </c:pt>
                <c:pt idx="1413">
                  <c:v>8967.4798354234354</c:v>
                </c:pt>
                <c:pt idx="1414">
                  <c:v>8966.1595593619422</c:v>
                </c:pt>
                <c:pt idx="1415">
                  <c:v>8965.4578433995448</c:v>
                </c:pt>
                <c:pt idx="1416">
                  <c:v>8967.233907570102</c:v>
                </c:pt>
                <c:pt idx="1417">
                  <c:v>8970.3380669073831</c:v>
                </c:pt>
                <c:pt idx="1418">
                  <c:v>8976.8796247095615</c:v>
                </c:pt>
                <c:pt idx="1419">
                  <c:v>8979.6024198952891</c:v>
                </c:pt>
                <c:pt idx="1420">
                  <c:v>8979.7943134157285</c:v>
                </c:pt>
                <c:pt idx="1421">
                  <c:v>8988.2335849297488</c:v>
                </c:pt>
                <c:pt idx="1422">
                  <c:v>8991.2240846669083</c:v>
                </c:pt>
                <c:pt idx="1423">
                  <c:v>8980.7786729327636</c:v>
                </c:pt>
                <c:pt idx="1424">
                  <c:v>8964.3793780527867</c:v>
                </c:pt>
                <c:pt idx="1425">
                  <c:v>8949.6201082220323</c:v>
                </c:pt>
                <c:pt idx="1426">
                  <c:v>8967.3611410512203</c:v>
                </c:pt>
                <c:pt idx="1427">
                  <c:v>8976.420942016257</c:v>
                </c:pt>
                <c:pt idx="1428">
                  <c:v>8975.6281822861747</c:v>
                </c:pt>
                <c:pt idx="1429">
                  <c:v>8973.2112206547772</c:v>
                </c:pt>
                <c:pt idx="1430">
                  <c:v>8947.7152608978759</c:v>
                </c:pt>
                <c:pt idx="1431">
                  <c:v>8924.6756925268401</c:v>
                </c:pt>
                <c:pt idx="1432">
                  <c:v>8886.5448990398818</c:v>
                </c:pt>
                <c:pt idx="1433">
                  <c:v>8867.4508355131256</c:v>
                </c:pt>
                <c:pt idx="1434">
                  <c:v>8879.8563085734095</c:v>
                </c:pt>
                <c:pt idx="1435">
                  <c:v>8886.7985521890987</c:v>
                </c:pt>
                <c:pt idx="1436">
                  <c:v>8899.0770349141749</c:v>
                </c:pt>
                <c:pt idx="1437">
                  <c:v>8891.8506366495913</c:v>
                </c:pt>
                <c:pt idx="1438">
                  <c:v>8879.2715482703788</c:v>
                </c:pt>
                <c:pt idx="1439">
                  <c:v>8871.8933537169014</c:v>
                </c:pt>
                <c:pt idx="1440">
                  <c:v>8863.5454926115308</c:v>
                </c:pt>
                <c:pt idx="1441">
                  <c:v>8834.9248301442985</c:v>
                </c:pt>
                <c:pt idx="1442">
                  <c:v>8811.2019992823189</c:v>
                </c:pt>
                <c:pt idx="1443">
                  <c:v>8806.7772833599211</c:v>
                </c:pt>
                <c:pt idx="1444">
                  <c:v>8803.5045714481657</c:v>
                </c:pt>
                <c:pt idx="1445">
                  <c:v>8793.6488183123511</c:v>
                </c:pt>
                <c:pt idx="1446">
                  <c:v>8792.3138253999714</c:v>
                </c:pt>
                <c:pt idx="1447">
                  <c:v>8802.3680406322383</c:v>
                </c:pt>
                <c:pt idx="1448">
                  <c:v>8804.3261657172698</c:v>
                </c:pt>
                <c:pt idx="1449">
                  <c:v>8803.1759414071603</c:v>
                </c:pt>
                <c:pt idx="1450">
                  <c:v>8791.7387326971584</c:v>
                </c:pt>
                <c:pt idx="1451">
                  <c:v>8780.7454163051079</c:v>
                </c:pt>
                <c:pt idx="1452">
                  <c:v>8779.3111592357363</c:v>
                </c:pt>
                <c:pt idx="1453">
                  <c:v>8764.6011583458894</c:v>
                </c:pt>
                <c:pt idx="1454">
                  <c:v>8793.1743136649966</c:v>
                </c:pt>
                <c:pt idx="1455">
                  <c:v>8851.6301545260994</c:v>
                </c:pt>
                <c:pt idx="1456">
                  <c:v>8889.0328064087516</c:v>
                </c:pt>
                <c:pt idx="1457">
                  <c:v>8903.4604522379523</c:v>
                </c:pt>
                <c:pt idx="1458">
                  <c:v>8908.5006023642418</c:v>
                </c:pt>
                <c:pt idx="1459">
                  <c:v>8917.6119192239694</c:v>
                </c:pt>
                <c:pt idx="1460">
                  <c:v>8902.40725147788</c:v>
                </c:pt>
                <c:pt idx="1461">
                  <c:v>8870.9738655418478</c:v>
                </c:pt>
                <c:pt idx="1462">
                  <c:v>8839.4898736051236</c:v>
                </c:pt>
                <c:pt idx="1463">
                  <c:v>8803.8563874208685</c:v>
                </c:pt>
                <c:pt idx="1464">
                  <c:v>8762.3725828709285</c:v>
                </c:pt>
                <c:pt idx="1465">
                  <c:v>8709.7756109112524</c:v>
                </c:pt>
                <c:pt idx="1466">
                  <c:v>8654.4500078529072</c:v>
                </c:pt>
                <c:pt idx="1467">
                  <c:v>8617.1386484963587</c:v>
                </c:pt>
                <c:pt idx="1468">
                  <c:v>8580.1743180437479</c:v>
                </c:pt>
                <c:pt idx="1469">
                  <c:v>8549.0759535857724</c:v>
                </c:pt>
                <c:pt idx="1470">
                  <c:v>8500.0744801402543</c:v>
                </c:pt>
                <c:pt idx="1471">
                  <c:v>8427.0493039192752</c:v>
                </c:pt>
                <c:pt idx="1472">
                  <c:v>8388.6362225299326</c:v>
                </c:pt>
                <c:pt idx="1473">
                  <c:v>8308.6390796975611</c:v>
                </c:pt>
                <c:pt idx="1474">
                  <c:v>8285.165013982958</c:v>
                </c:pt>
                <c:pt idx="1475">
                  <c:v>8297.6048154091095</c:v>
                </c:pt>
                <c:pt idx="1476">
                  <c:v>8303.4016671638437</c:v>
                </c:pt>
                <c:pt idx="1477">
                  <c:v>8306.5262682627326</c:v>
                </c:pt>
                <c:pt idx="1478">
                  <c:v>8308.2694513511833</c:v>
                </c:pt>
                <c:pt idx="1479">
                  <c:v>8291.3922068861193</c:v>
                </c:pt>
                <c:pt idx="1480">
                  <c:v>8284.4171802610781</c:v>
                </c:pt>
                <c:pt idx="1481">
                  <c:v>8281.8699580742759</c:v>
                </c:pt>
                <c:pt idx="1482">
                  <c:v>8278.9971259559061</c:v>
                </c:pt>
                <c:pt idx="1483">
                  <c:v>8289.4684808955899</c:v>
                </c:pt>
                <c:pt idx="1484">
                  <c:v>8309.6794294147858</c:v>
                </c:pt>
                <c:pt idx="1485">
                  <c:v>8308.6283721024392</c:v>
                </c:pt>
                <c:pt idx="1486">
                  <c:v>8296.1574054514422</c:v>
                </c:pt>
                <c:pt idx="1487">
                  <c:v>8287.6358648124478</c:v>
                </c:pt>
                <c:pt idx="1488">
                  <c:v>8295.7036097998334</c:v>
                </c:pt>
                <c:pt idx="1489">
                  <c:v>8300.6268912800788</c:v>
                </c:pt>
                <c:pt idx="1490">
                  <c:v>8305.9666372727461</c:v>
                </c:pt>
                <c:pt idx="1491">
                  <c:v>8313.0842351105748</c:v>
                </c:pt>
                <c:pt idx="1492">
                  <c:v>8318.4855781924671</c:v>
                </c:pt>
                <c:pt idx="1493">
                  <c:v>8315.0491625507129</c:v>
                </c:pt>
                <c:pt idx="1494">
                  <c:v>8323.936596856247</c:v>
                </c:pt>
                <c:pt idx="1495">
                  <c:v>8336.1746420374366</c:v>
                </c:pt>
                <c:pt idx="1496">
                  <c:v>8374.002743276018</c:v>
                </c:pt>
                <c:pt idx="1497">
                  <c:v>8415.6975760924706</c:v>
                </c:pt>
                <c:pt idx="1498">
                  <c:v>8451.1722397893991</c:v>
                </c:pt>
                <c:pt idx="1499">
                  <c:v>8485.6751556201889</c:v>
                </c:pt>
                <c:pt idx="1500">
                  <c:v>8512.8004687322955</c:v>
                </c:pt>
                <c:pt idx="1501">
                  <c:v>8538.8385447355085</c:v>
                </c:pt>
                <c:pt idx="1502">
                  <c:v>8556.6473918361189</c:v>
                </c:pt>
                <c:pt idx="1503">
                  <c:v>8555.959176251401</c:v>
                </c:pt>
                <c:pt idx="1504">
                  <c:v>8538.3041956493598</c:v>
                </c:pt>
                <c:pt idx="1505">
                  <c:v>8547.8282349293331</c:v>
                </c:pt>
                <c:pt idx="1506">
                  <c:v>8578.5158504695446</c:v>
                </c:pt>
                <c:pt idx="1507">
                  <c:v>8618.943941634001</c:v>
                </c:pt>
                <c:pt idx="1508">
                  <c:v>8656.2047760371079</c:v>
                </c:pt>
                <c:pt idx="1509">
                  <c:v>8670.4678110594068</c:v>
                </c:pt>
                <c:pt idx="1510">
                  <c:v>8714.1191562659442</c:v>
                </c:pt>
                <c:pt idx="1511">
                  <c:v>8751.3613077009286</c:v>
                </c:pt>
                <c:pt idx="1512">
                  <c:v>8789.2970073091074</c:v>
                </c:pt>
                <c:pt idx="1513">
                  <c:v>8829.9682327645114</c:v>
                </c:pt>
                <c:pt idx="1514">
                  <c:v>8852.3667928900031</c:v>
                </c:pt>
                <c:pt idx="1515">
                  <c:v>8872.9578290150312</c:v>
                </c:pt>
                <c:pt idx="1516">
                  <c:v>8897.4510644997954</c:v>
                </c:pt>
                <c:pt idx="1517">
                  <c:v>8921.4878342257252</c:v>
                </c:pt>
                <c:pt idx="1518">
                  <c:v>8942.131786886901</c:v>
                </c:pt>
                <c:pt idx="1519">
                  <c:v>8956.6908307051763</c:v>
                </c:pt>
                <c:pt idx="1520">
                  <c:v>8956.3753898833129</c:v>
                </c:pt>
                <c:pt idx="1521">
                  <c:v>8959.8392157868111</c:v>
                </c:pt>
                <c:pt idx="1522">
                  <c:v>8966.2458201420322</c:v>
                </c:pt>
                <c:pt idx="1523">
                  <c:v>8957.8296469023899</c:v>
                </c:pt>
                <c:pt idx="1524">
                  <c:v>8948.8417071371496</c:v>
                </c:pt>
                <c:pt idx="1525">
                  <c:v>8949.6691229387325</c:v>
                </c:pt>
                <c:pt idx="1526">
                  <c:v>8967.9574656087734</c:v>
                </c:pt>
                <c:pt idx="1527">
                  <c:v>8977.0504206071691</c:v>
                </c:pt>
                <c:pt idx="1528">
                  <c:v>8978.5030198206096</c:v>
                </c:pt>
                <c:pt idx="1529">
                  <c:v>8969.6452558674791</c:v>
                </c:pt>
                <c:pt idx="1530">
                  <c:v>8974.5031741917501</c:v>
                </c:pt>
                <c:pt idx="1531">
                  <c:v>8978.5146251364895</c:v>
                </c:pt>
                <c:pt idx="1532">
                  <c:v>8992.7053010180698</c:v>
                </c:pt>
                <c:pt idx="1533">
                  <c:v>9004.587268629286</c:v>
                </c:pt>
                <c:pt idx="1534">
                  <c:v>9009.4209057543976</c:v>
                </c:pt>
                <c:pt idx="1535">
                  <c:v>9012.819491541919</c:v>
                </c:pt>
                <c:pt idx="1536">
                  <c:v>9016.1775283241041</c:v>
                </c:pt>
                <c:pt idx="1537">
                  <c:v>9053.2503787521073</c:v>
                </c:pt>
                <c:pt idx="1538">
                  <c:v>9082.7583275676898</c:v>
                </c:pt>
                <c:pt idx="1539">
                  <c:v>9123.7303775289984</c:v>
                </c:pt>
                <c:pt idx="1540">
                  <c:v>9148.0503601405253</c:v>
                </c:pt>
                <c:pt idx="1541">
                  <c:v>9164.0168329441731</c:v>
                </c:pt>
                <c:pt idx="1542">
                  <c:v>9178.6725322212751</c:v>
                </c:pt>
                <c:pt idx="1543">
                  <c:v>9181.5108110163746</c:v>
                </c:pt>
                <c:pt idx="1544">
                  <c:v>9191.3815470800764</c:v>
                </c:pt>
                <c:pt idx="1545">
                  <c:v>9203.5999907246623</c:v>
                </c:pt>
                <c:pt idx="1546">
                  <c:v>9207.080044123024</c:v>
                </c:pt>
                <c:pt idx="1547">
                  <c:v>9213.451556783155</c:v>
                </c:pt>
                <c:pt idx="1548">
                  <c:v>9221.9514571685286</c:v>
                </c:pt>
                <c:pt idx="1549">
                  <c:v>9238.3205636450184</c:v>
                </c:pt>
                <c:pt idx="1550">
                  <c:v>9247.2010642432415</c:v>
                </c:pt>
                <c:pt idx="1551">
                  <c:v>9264.1042931468528</c:v>
                </c:pt>
                <c:pt idx="1552">
                  <c:v>9289.1680888508308</c:v>
                </c:pt>
                <c:pt idx="1553">
                  <c:v>9306.5799948304266</c:v>
                </c:pt>
                <c:pt idx="1554">
                  <c:v>9304.3296413146854</c:v>
                </c:pt>
                <c:pt idx="1555">
                  <c:v>9294.2480651849473</c:v>
                </c:pt>
                <c:pt idx="1556">
                  <c:v>9285.5673279917009</c:v>
                </c:pt>
                <c:pt idx="1557">
                  <c:v>9290.206565191651</c:v>
                </c:pt>
                <c:pt idx="1558">
                  <c:v>9289.4935785638299</c:v>
                </c:pt>
                <c:pt idx="1559">
                  <c:v>9289.030271990463</c:v>
                </c:pt>
                <c:pt idx="1560">
                  <c:v>9288.3148206249934</c:v>
                </c:pt>
                <c:pt idx="1561">
                  <c:v>9288.5648975316326</c:v>
                </c:pt>
                <c:pt idx="1562">
                  <c:v>9288.7333631967904</c:v>
                </c:pt>
                <c:pt idx="1563">
                  <c:v>9281.3338172590265</c:v>
                </c:pt>
                <c:pt idx="1564">
                  <c:v>9285.6994147832283</c:v>
                </c:pt>
                <c:pt idx="1565">
                  <c:v>9307.9021654115859</c:v>
                </c:pt>
                <c:pt idx="1566">
                  <c:v>9330.6953269341539</c:v>
                </c:pt>
                <c:pt idx="1567">
                  <c:v>9351.5536466004705</c:v>
                </c:pt>
                <c:pt idx="1568">
                  <c:v>9363.4622438518436</c:v>
                </c:pt>
                <c:pt idx="1569">
                  <c:v>9376.1014380662473</c:v>
                </c:pt>
                <c:pt idx="1570">
                  <c:v>9386.9795557775778</c:v>
                </c:pt>
                <c:pt idx="1571">
                  <c:v>9404.0032260331245</c:v>
                </c:pt>
                <c:pt idx="1572">
                  <c:v>9406.0884254056127</c:v>
                </c:pt>
                <c:pt idx="1573">
                  <c:v>9412.1268307538976</c:v>
                </c:pt>
                <c:pt idx="1574">
                  <c:v>9420.9047872088267</c:v>
                </c:pt>
                <c:pt idx="1575">
                  <c:v>9444.5726289021659</c:v>
                </c:pt>
                <c:pt idx="1576">
                  <c:v>9468.2014576762649</c:v>
                </c:pt>
                <c:pt idx="1577">
                  <c:v>9485.2838350349357</c:v>
                </c:pt>
                <c:pt idx="1578">
                  <c:v>9505.7846706603777</c:v>
                </c:pt>
                <c:pt idx="1579">
                  <c:v>9535.2857420194487</c:v>
                </c:pt>
                <c:pt idx="1580">
                  <c:v>9556.7276730058147</c:v>
                </c:pt>
                <c:pt idx="1581">
                  <c:v>9552.4073055687695</c:v>
                </c:pt>
                <c:pt idx="1582">
                  <c:v>9546.7434719777466</c:v>
                </c:pt>
                <c:pt idx="1583">
                  <c:v>9530.0559739202108</c:v>
                </c:pt>
                <c:pt idx="1584">
                  <c:v>9520.9853850275085</c:v>
                </c:pt>
                <c:pt idx="1585">
                  <c:v>9519.7676074282681</c:v>
                </c:pt>
                <c:pt idx="1586">
                  <c:v>9537.9650208482544</c:v>
                </c:pt>
                <c:pt idx="1587">
                  <c:v>9574.5566229582764</c:v>
                </c:pt>
                <c:pt idx="1588">
                  <c:v>9605.0337183555002</c:v>
                </c:pt>
                <c:pt idx="1589">
                  <c:v>9635.0833419088758</c:v>
                </c:pt>
                <c:pt idx="1590">
                  <c:v>9658.4644390259982</c:v>
                </c:pt>
                <c:pt idx="1591">
                  <c:v>9679.4221797114715</c:v>
                </c:pt>
                <c:pt idx="1592">
                  <c:v>9697.1127681698508</c:v>
                </c:pt>
                <c:pt idx="1593">
                  <c:v>9716.8896189768384</c:v>
                </c:pt>
                <c:pt idx="1594">
                  <c:v>9723.5327954178156</c:v>
                </c:pt>
                <c:pt idx="1595">
                  <c:v>9740.0803577394345</c:v>
                </c:pt>
                <c:pt idx="1596">
                  <c:v>9751.6986046746424</c:v>
                </c:pt>
                <c:pt idx="1597">
                  <c:v>9762.1743419105715</c:v>
                </c:pt>
                <c:pt idx="1598">
                  <c:v>9766.307561225849</c:v>
                </c:pt>
                <c:pt idx="1599">
                  <c:v>9770.7039294100414</c:v>
                </c:pt>
                <c:pt idx="1600">
                  <c:v>9775.7246166834211</c:v>
                </c:pt>
                <c:pt idx="1601">
                  <c:v>9772.2188428750669</c:v>
                </c:pt>
                <c:pt idx="1602">
                  <c:v>9767.0598663197125</c:v>
                </c:pt>
                <c:pt idx="1603">
                  <c:v>9766.7291850211423</c:v>
                </c:pt>
                <c:pt idx="1604">
                  <c:v>9749.8908816688636</c:v>
                </c:pt>
                <c:pt idx="1605">
                  <c:v>9700.1428771656447</c:v>
                </c:pt>
                <c:pt idx="1606">
                  <c:v>9684.3897188647206</c:v>
                </c:pt>
                <c:pt idx="1607">
                  <c:v>9686.6764400831016</c:v>
                </c:pt>
                <c:pt idx="1608">
                  <c:v>9701.6612953386339</c:v>
                </c:pt>
                <c:pt idx="1609">
                  <c:v>9714.9723566157973</c:v>
                </c:pt>
                <c:pt idx="1610">
                  <c:v>9721.3344669526723</c:v>
                </c:pt>
                <c:pt idx="1611">
                  <c:v>9723.6957789231346</c:v>
                </c:pt>
                <c:pt idx="1612">
                  <c:v>9719.7677778363432</c:v>
                </c:pt>
                <c:pt idx="1613">
                  <c:v>9711.9298382683774</c:v>
                </c:pt>
                <c:pt idx="1614">
                  <c:v>9711.9830187385469</c:v>
                </c:pt>
                <c:pt idx="1615">
                  <c:v>9713.8759848628142</c:v>
                </c:pt>
                <c:pt idx="1616">
                  <c:v>9716.6742487032116</c:v>
                </c:pt>
                <c:pt idx="1617">
                  <c:v>9741.7805586182185</c:v>
                </c:pt>
                <c:pt idx="1618">
                  <c:v>9772.2084560156818</c:v>
                </c:pt>
                <c:pt idx="1619">
                  <c:v>9806.2609323423894</c:v>
                </c:pt>
                <c:pt idx="1620">
                  <c:v>9855.3376607654391</c:v>
                </c:pt>
                <c:pt idx="1621">
                  <c:v>9894.7452313384019</c:v>
                </c:pt>
                <c:pt idx="1622">
                  <c:v>9935.2809817764155</c:v>
                </c:pt>
                <c:pt idx="1623">
                  <c:v>9952.5260292075254</c:v>
                </c:pt>
                <c:pt idx="1624">
                  <c:v>9981.3826782960223</c:v>
                </c:pt>
                <c:pt idx="1625">
                  <c:v>10002.70034580685</c:v>
                </c:pt>
                <c:pt idx="1626">
                  <c:v>10028.877997632824</c:v>
                </c:pt>
                <c:pt idx="1627">
                  <c:v>10059.2706964709</c:v>
                </c:pt>
                <c:pt idx="1628">
                  <c:v>10078.183139637566</c:v>
                </c:pt>
                <c:pt idx="1629">
                  <c:v>10097.85812392668</c:v>
                </c:pt>
                <c:pt idx="1630">
                  <c:v>10109.720612093539</c:v>
                </c:pt>
                <c:pt idx="1631">
                  <c:v>10112.980806587264</c:v>
                </c:pt>
                <c:pt idx="1632">
                  <c:v>10134.565744614869</c:v>
                </c:pt>
                <c:pt idx="1633">
                  <c:v>10155.564510726603</c:v>
                </c:pt>
                <c:pt idx="1634">
                  <c:v>10164.017434425588</c:v>
                </c:pt>
                <c:pt idx="1635">
                  <c:v>10159.475025377309</c:v>
                </c:pt>
                <c:pt idx="1636">
                  <c:v>10152.663036984393</c:v>
                </c:pt>
                <c:pt idx="1637">
                  <c:v>10155.247734530336</c:v>
                </c:pt>
                <c:pt idx="1638">
                  <c:v>10146.775256115152</c:v>
                </c:pt>
                <c:pt idx="1639">
                  <c:v>10138.847087206945</c:v>
                </c:pt>
                <c:pt idx="1640">
                  <c:v>10145.656509088667</c:v>
                </c:pt>
                <c:pt idx="1641">
                  <c:v>10169.437264935917</c:v>
                </c:pt>
                <c:pt idx="1642">
                  <c:v>10175.870775954931</c:v>
                </c:pt>
                <c:pt idx="1643">
                  <c:v>10172.843086262403</c:v>
                </c:pt>
                <c:pt idx="1644">
                  <c:v>10172.809864478158</c:v>
                </c:pt>
                <c:pt idx="1645">
                  <c:v>10174.666021833402</c:v>
                </c:pt>
                <c:pt idx="1646">
                  <c:v>10184.550388306887</c:v>
                </c:pt>
                <c:pt idx="1647">
                  <c:v>10188.369064664381</c:v>
                </c:pt>
                <c:pt idx="1648">
                  <c:v>10185.483034152541</c:v>
                </c:pt>
                <c:pt idx="1649">
                  <c:v>10176.138433779826</c:v>
                </c:pt>
                <c:pt idx="1650">
                  <c:v>10166.808841229804</c:v>
                </c:pt>
                <c:pt idx="1651">
                  <c:v>10157.78084018851</c:v>
                </c:pt>
                <c:pt idx="1652">
                  <c:v>10135.446064752612</c:v>
                </c:pt>
                <c:pt idx="1653">
                  <c:v>10103.254323633982</c:v>
                </c:pt>
                <c:pt idx="1654">
                  <c:v>10082.49128327735</c:v>
                </c:pt>
                <c:pt idx="1655">
                  <c:v>10068.582764371942</c:v>
                </c:pt>
                <c:pt idx="1656">
                  <c:v>10045.200289693386</c:v>
                </c:pt>
                <c:pt idx="1657">
                  <c:v>10016.606364544423</c:v>
                </c:pt>
                <c:pt idx="1658">
                  <c:v>10008.001288479993</c:v>
                </c:pt>
                <c:pt idx="1659">
                  <c:v>10011.520010077458</c:v>
                </c:pt>
                <c:pt idx="1660">
                  <c:v>10031.773910132641</c:v>
                </c:pt>
                <c:pt idx="1661">
                  <c:v>10059.326543681083</c:v>
                </c:pt>
                <c:pt idx="1662">
                  <c:v>10085.864763770742</c:v>
                </c:pt>
                <c:pt idx="1663">
                  <c:v>10112.16476916771</c:v>
                </c:pt>
                <c:pt idx="1664">
                  <c:v>10134.896471512291</c:v>
                </c:pt>
                <c:pt idx="1665">
                  <c:v>10169.063450443249</c:v>
                </c:pt>
                <c:pt idx="1666">
                  <c:v>10187.951402450273</c:v>
                </c:pt>
                <c:pt idx="1667">
                  <c:v>10199.982204976362</c:v>
                </c:pt>
                <c:pt idx="1668">
                  <c:v>10213.140960024291</c:v>
                </c:pt>
                <c:pt idx="1669">
                  <c:v>10209.284954922352</c:v>
                </c:pt>
                <c:pt idx="1670">
                  <c:v>10211.559974561676</c:v>
                </c:pt>
                <c:pt idx="1671">
                  <c:v>10202.527674522749</c:v>
                </c:pt>
                <c:pt idx="1672">
                  <c:v>10222.651139279591</c:v>
                </c:pt>
                <c:pt idx="1673">
                  <c:v>10234.696893705826</c:v>
                </c:pt>
                <c:pt idx="1674">
                  <c:v>10240.931599450607</c:v>
                </c:pt>
                <c:pt idx="1675">
                  <c:v>10242.106811934118</c:v>
                </c:pt>
                <c:pt idx="1676">
                  <c:v>10241.444674629318</c:v>
                </c:pt>
                <c:pt idx="1677">
                  <c:v>10241.587329626835</c:v>
                </c:pt>
                <c:pt idx="1678">
                  <c:v>10243.351340270576</c:v>
                </c:pt>
                <c:pt idx="1679">
                  <c:v>10245.445821960107</c:v>
                </c:pt>
                <c:pt idx="1680">
                  <c:v>10246.28049767248</c:v>
                </c:pt>
                <c:pt idx="1681">
                  <c:v>10235.40175305127</c:v>
                </c:pt>
                <c:pt idx="1682">
                  <c:v>10237.825788142989</c:v>
                </c:pt>
                <c:pt idx="1683">
                  <c:v>10251.45445559853</c:v>
                </c:pt>
                <c:pt idx="1684">
                  <c:v>10277.846497714039</c:v>
                </c:pt>
                <c:pt idx="1685">
                  <c:v>10293.770622700471</c:v>
                </c:pt>
                <c:pt idx="1686">
                  <c:v>10305.078605330787</c:v>
                </c:pt>
                <c:pt idx="1687">
                  <c:v>10305.899108859408</c:v>
                </c:pt>
                <c:pt idx="1688">
                  <c:v>10315.718570093459</c:v>
                </c:pt>
                <c:pt idx="1689">
                  <c:v>10341.141034244234</c:v>
                </c:pt>
                <c:pt idx="1690">
                  <c:v>10379.420939187547</c:v>
                </c:pt>
                <c:pt idx="1691">
                  <c:v>10421.596794134175</c:v>
                </c:pt>
                <c:pt idx="1692">
                  <c:v>10438.178997991656</c:v>
                </c:pt>
                <c:pt idx="1693">
                  <c:v>10457.1567530352</c:v>
                </c:pt>
                <c:pt idx="1694">
                  <c:v>10462.825131995871</c:v>
                </c:pt>
                <c:pt idx="1695">
                  <c:v>10490.664424364604</c:v>
                </c:pt>
                <c:pt idx="1696">
                  <c:v>10512.405689949637</c:v>
                </c:pt>
                <c:pt idx="1697">
                  <c:v>10526.65806624855</c:v>
                </c:pt>
                <c:pt idx="1698">
                  <c:v>10544.539946641184</c:v>
                </c:pt>
                <c:pt idx="1699">
                  <c:v>10540.305365065477</c:v>
                </c:pt>
                <c:pt idx="1700">
                  <c:v>10529.547335346797</c:v>
                </c:pt>
                <c:pt idx="1701">
                  <c:v>10504.958120916797</c:v>
                </c:pt>
                <c:pt idx="1702">
                  <c:v>10494.930198601305</c:v>
                </c:pt>
                <c:pt idx="1703">
                  <c:v>10490.662886796132</c:v>
                </c:pt>
                <c:pt idx="1704">
                  <c:v>10493.367254888515</c:v>
                </c:pt>
                <c:pt idx="1705">
                  <c:v>10503.358410821538</c:v>
                </c:pt>
                <c:pt idx="1706">
                  <c:v>10503.202561868411</c:v>
                </c:pt>
                <c:pt idx="1707">
                  <c:v>10497.127662878538</c:v>
                </c:pt>
                <c:pt idx="1708">
                  <c:v>10494.089355459348</c:v>
                </c:pt>
                <c:pt idx="1709">
                  <c:v>10493.281267527822</c:v>
                </c:pt>
                <c:pt idx="1710">
                  <c:v>10495.588282134921</c:v>
                </c:pt>
                <c:pt idx="1711">
                  <c:v>10495.987311412218</c:v>
                </c:pt>
                <c:pt idx="1712">
                  <c:v>10502.004659693182</c:v>
                </c:pt>
                <c:pt idx="1713">
                  <c:v>10506.18259860328</c:v>
                </c:pt>
                <c:pt idx="1714">
                  <c:v>10508.981589774114</c:v>
                </c:pt>
                <c:pt idx="1715">
                  <c:v>10497.97719815826</c:v>
                </c:pt>
                <c:pt idx="1716">
                  <c:v>10486.622665642193</c:v>
                </c:pt>
                <c:pt idx="1717">
                  <c:v>10477.432690208061</c:v>
                </c:pt>
                <c:pt idx="1718">
                  <c:v>10461.079948225517</c:v>
                </c:pt>
                <c:pt idx="1719">
                  <c:v>10460.364341379236</c:v>
                </c:pt>
                <c:pt idx="1720">
                  <c:v>10471.51018431151</c:v>
                </c:pt>
                <c:pt idx="1721">
                  <c:v>10466.527206676781</c:v>
                </c:pt>
                <c:pt idx="1722">
                  <c:v>10461.231313266779</c:v>
                </c:pt>
                <c:pt idx="1723">
                  <c:v>10468.410545747576</c:v>
                </c:pt>
                <c:pt idx="1724">
                  <c:v>10469.016156492462</c:v>
                </c:pt>
                <c:pt idx="1725">
                  <c:v>10465.229855356367</c:v>
                </c:pt>
                <c:pt idx="1726">
                  <c:v>10466.122875685878</c:v>
                </c:pt>
                <c:pt idx="1727">
                  <c:v>10470.98565404088</c:v>
                </c:pt>
                <c:pt idx="1728">
                  <c:v>10482.548464633768</c:v>
                </c:pt>
                <c:pt idx="1729">
                  <c:v>10505.365382480377</c:v>
                </c:pt>
                <c:pt idx="1730">
                  <c:v>10521.050007673446</c:v>
                </c:pt>
                <c:pt idx="1731">
                  <c:v>10534.487968866404</c:v>
                </c:pt>
                <c:pt idx="1732">
                  <c:v>10552.766013642386</c:v>
                </c:pt>
                <c:pt idx="1733">
                  <c:v>10577.030704904135</c:v>
                </c:pt>
                <c:pt idx="1734">
                  <c:v>10594.721841936609</c:v>
                </c:pt>
                <c:pt idx="1735">
                  <c:v>10610.054876037344</c:v>
                </c:pt>
                <c:pt idx="1736">
                  <c:v>10638.491315043042</c:v>
                </c:pt>
                <c:pt idx="1737">
                  <c:v>10644.041300731704</c:v>
                </c:pt>
                <c:pt idx="1738">
                  <c:v>10646.334042299366</c:v>
                </c:pt>
                <c:pt idx="1739">
                  <c:v>10650.748796563199</c:v>
                </c:pt>
                <c:pt idx="1740">
                  <c:v>10641.10723391668</c:v>
                </c:pt>
                <c:pt idx="1741">
                  <c:v>10657.754288117711</c:v>
                </c:pt>
                <c:pt idx="1742">
                  <c:v>10682.886955920432</c:v>
                </c:pt>
                <c:pt idx="1743">
                  <c:v>10706.056020876045</c:v>
                </c:pt>
                <c:pt idx="1744">
                  <c:v>10719.362910440379</c:v>
                </c:pt>
                <c:pt idx="1745">
                  <c:v>10720.803959913394</c:v>
                </c:pt>
                <c:pt idx="1746">
                  <c:v>10737.444608852931</c:v>
                </c:pt>
                <c:pt idx="1747">
                  <c:v>10749.210576078907</c:v>
                </c:pt>
                <c:pt idx="1748">
                  <c:v>10783.008240382724</c:v>
                </c:pt>
                <c:pt idx="1749">
                  <c:v>10822.526956170092</c:v>
                </c:pt>
                <c:pt idx="1750">
                  <c:v>10873.541437613851</c:v>
                </c:pt>
                <c:pt idx="1751">
                  <c:v>10933.136546524642</c:v>
                </c:pt>
                <c:pt idx="1752">
                  <c:v>11016.685684516431</c:v>
                </c:pt>
                <c:pt idx="1753">
                  <c:v>11086.143880400514</c:v>
                </c:pt>
                <c:pt idx="1754">
                  <c:v>11138.306350997374</c:v>
                </c:pt>
                <c:pt idx="1755">
                  <c:v>11193.547882600882</c:v>
                </c:pt>
                <c:pt idx="1756">
                  <c:v>11226.336724497392</c:v>
                </c:pt>
                <c:pt idx="1757">
                  <c:v>11240.386436589964</c:v>
                </c:pt>
                <c:pt idx="1758">
                  <c:v>11243.773400586659</c:v>
                </c:pt>
                <c:pt idx="1759">
                  <c:v>11228.492957113514</c:v>
                </c:pt>
                <c:pt idx="1760">
                  <c:v>11219.637241281074</c:v>
                </c:pt>
                <c:pt idx="1761">
                  <c:v>11233.397357006084</c:v>
                </c:pt>
                <c:pt idx="1762">
                  <c:v>11249.329195074672</c:v>
                </c:pt>
                <c:pt idx="1763">
                  <c:v>11253.039848722874</c:v>
                </c:pt>
                <c:pt idx="1764">
                  <c:v>11269.640449297716</c:v>
                </c:pt>
                <c:pt idx="1765">
                  <c:v>11276.422478716755</c:v>
                </c:pt>
                <c:pt idx="1766">
                  <c:v>11284.904966268776</c:v>
                </c:pt>
                <c:pt idx="1767">
                  <c:v>11289.1427903039</c:v>
                </c:pt>
                <c:pt idx="1768">
                  <c:v>11296.048876904675</c:v>
                </c:pt>
                <c:pt idx="1769">
                  <c:v>11304.075274229868</c:v>
                </c:pt>
                <c:pt idx="1770">
                  <c:v>11301.156535930224</c:v>
                </c:pt>
                <c:pt idx="1771">
                  <c:v>11280.248640503305</c:v>
                </c:pt>
                <c:pt idx="1772">
                  <c:v>11233.016508704255</c:v>
                </c:pt>
                <c:pt idx="1773">
                  <c:v>11172.513857778398</c:v>
                </c:pt>
                <c:pt idx="1774">
                  <c:v>11108.352358605769</c:v>
                </c:pt>
                <c:pt idx="1775">
                  <c:v>11015.956472417112</c:v>
                </c:pt>
                <c:pt idx="1776">
                  <c:v>10929.818903030711</c:v>
                </c:pt>
                <c:pt idx="1777">
                  <c:v>10830.307456367478</c:v>
                </c:pt>
                <c:pt idx="1778">
                  <c:v>10701.619359330163</c:v>
                </c:pt>
                <c:pt idx="1779">
                  <c:v>10664.584009475449</c:v>
                </c:pt>
                <c:pt idx="1780">
                  <c:v>10663.929417701833</c:v>
                </c:pt>
                <c:pt idx="1781">
                  <c:v>10667.389607872252</c:v>
                </c:pt>
                <c:pt idx="1782">
                  <c:v>10671.022051002819</c:v>
                </c:pt>
                <c:pt idx="1783">
                  <c:v>10652.184030106253</c:v>
                </c:pt>
                <c:pt idx="1784">
                  <c:v>10650.0538553678</c:v>
                </c:pt>
                <c:pt idx="1785">
                  <c:v>10635.805471599198</c:v>
                </c:pt>
                <c:pt idx="1786">
                  <c:v>10624.938952677578</c:v>
                </c:pt>
                <c:pt idx="1787">
                  <c:v>10613.266153085979</c:v>
                </c:pt>
                <c:pt idx="1788">
                  <c:v>10625.000712569965</c:v>
                </c:pt>
                <c:pt idx="1789">
                  <c:v>10632.693061927488</c:v>
                </c:pt>
                <c:pt idx="1790">
                  <c:v>10635.288990779847</c:v>
                </c:pt>
                <c:pt idx="1791">
                  <c:v>10636.006687601206</c:v>
                </c:pt>
                <c:pt idx="1792">
                  <c:v>10647.724184363333</c:v>
                </c:pt>
                <c:pt idx="1793">
                  <c:v>10626.5274970396</c:v>
                </c:pt>
                <c:pt idx="1794">
                  <c:v>10579.335521201734</c:v>
                </c:pt>
                <c:pt idx="1795">
                  <c:v>10533.364397845247</c:v>
                </c:pt>
                <c:pt idx="1796">
                  <c:v>10494.890473346786</c:v>
                </c:pt>
                <c:pt idx="1797">
                  <c:v>10461.879053973686</c:v>
                </c:pt>
                <c:pt idx="1798">
                  <c:v>10444.553450227202</c:v>
                </c:pt>
                <c:pt idx="1799">
                  <c:v>10453.451377357969</c:v>
                </c:pt>
                <c:pt idx="1800">
                  <c:v>10466.219591336714</c:v>
                </c:pt>
                <c:pt idx="1801">
                  <c:v>10482.935615520433</c:v>
                </c:pt>
                <c:pt idx="1802">
                  <c:v>10503.256838076342</c:v>
                </c:pt>
                <c:pt idx="1803">
                  <c:v>10502.431448440428</c:v>
                </c:pt>
                <c:pt idx="1804">
                  <c:v>10509.139030148126</c:v>
                </c:pt>
                <c:pt idx="1805">
                  <c:v>10523.538684210853</c:v>
                </c:pt>
                <c:pt idx="1806">
                  <c:v>10555.823981937388</c:v>
                </c:pt>
                <c:pt idx="1807">
                  <c:v>10599.751425727254</c:v>
                </c:pt>
                <c:pt idx="1808">
                  <c:v>10629.706755399295</c:v>
                </c:pt>
                <c:pt idx="1809">
                  <c:v>10663.472672806191</c:v>
                </c:pt>
                <c:pt idx="1810">
                  <c:v>10692.907441173566</c:v>
                </c:pt>
                <c:pt idx="1811">
                  <c:v>10717.853295090006</c:v>
                </c:pt>
                <c:pt idx="1812">
                  <c:v>10724.391935049209</c:v>
                </c:pt>
                <c:pt idx="1813">
                  <c:v>10733.114193391395</c:v>
                </c:pt>
                <c:pt idx="1814">
                  <c:v>10749.438265821493</c:v>
                </c:pt>
                <c:pt idx="1815">
                  <c:v>10761.832991604195</c:v>
                </c:pt>
                <c:pt idx="1816">
                  <c:v>10789.228007161721</c:v>
                </c:pt>
                <c:pt idx="1817">
                  <c:v>10807.482061419327</c:v>
                </c:pt>
                <c:pt idx="1818">
                  <c:v>10784.177548328873</c:v>
                </c:pt>
                <c:pt idx="1819">
                  <c:v>10779.910831830668</c:v>
                </c:pt>
                <c:pt idx="1820">
                  <c:v>10785.25051673804</c:v>
                </c:pt>
                <c:pt idx="1821">
                  <c:v>10791.620321099534</c:v>
                </c:pt>
                <c:pt idx="1822">
                  <c:v>10799.809785984926</c:v>
                </c:pt>
                <c:pt idx="1823">
                  <c:v>10799.429803968182</c:v>
                </c:pt>
                <c:pt idx="1824">
                  <c:v>10818.430180711663</c:v>
                </c:pt>
                <c:pt idx="1825">
                  <c:v>10834.022925160998</c:v>
                </c:pt>
                <c:pt idx="1826">
                  <c:v>10849.175849398998</c:v>
                </c:pt>
                <c:pt idx="1827">
                  <c:v>10852.634807588533</c:v>
                </c:pt>
                <c:pt idx="1828">
                  <c:v>10845.504794228738</c:v>
                </c:pt>
                <c:pt idx="1829">
                  <c:v>10842.739481863748</c:v>
                </c:pt>
                <c:pt idx="1830">
                  <c:v>10849.336553125699</c:v>
                </c:pt>
                <c:pt idx="1831">
                  <c:v>10854.229923885632</c:v>
                </c:pt>
                <c:pt idx="1832">
                  <c:v>10876.779884701438</c:v>
                </c:pt>
                <c:pt idx="1833">
                  <c:v>10881.325642045336</c:v>
                </c:pt>
                <c:pt idx="1834">
                  <c:v>10881.417195881428</c:v>
                </c:pt>
                <c:pt idx="1835">
                  <c:v>10881.156227624726</c:v>
                </c:pt>
                <c:pt idx="1836">
                  <c:v>10873.70933451231</c:v>
                </c:pt>
                <c:pt idx="1837">
                  <c:v>10867.96053007674</c:v>
                </c:pt>
                <c:pt idx="1838">
                  <c:v>10873.506870044608</c:v>
                </c:pt>
                <c:pt idx="1839">
                  <c:v>10876.961323426958</c:v>
                </c:pt>
                <c:pt idx="1840">
                  <c:v>10871.809133408045</c:v>
                </c:pt>
                <c:pt idx="1841">
                  <c:v>10865.820446200132</c:v>
                </c:pt>
                <c:pt idx="1842">
                  <c:v>10859.516688314099</c:v>
                </c:pt>
                <c:pt idx="1843">
                  <c:v>10866.755753303416</c:v>
                </c:pt>
                <c:pt idx="1844">
                  <c:v>10859.597083790501</c:v>
                </c:pt>
                <c:pt idx="1845">
                  <c:v>10855.700176834658</c:v>
                </c:pt>
                <c:pt idx="1846">
                  <c:v>10864.809482235616</c:v>
                </c:pt>
                <c:pt idx="1847">
                  <c:v>10886.42221030355</c:v>
                </c:pt>
                <c:pt idx="1848">
                  <c:v>10902.154406882837</c:v>
                </c:pt>
                <c:pt idx="1849">
                  <c:v>10920.250369711881</c:v>
                </c:pt>
                <c:pt idx="1850">
                  <c:v>10928.195151867927</c:v>
                </c:pt>
                <c:pt idx="1851">
                  <c:v>10925.659191822635</c:v>
                </c:pt>
                <c:pt idx="1852">
                  <c:v>10905.936140077389</c:v>
                </c:pt>
                <c:pt idx="1853">
                  <c:v>10891.765230047253</c:v>
                </c:pt>
                <c:pt idx="1854">
                  <c:v>10897.086881365951</c:v>
                </c:pt>
                <c:pt idx="1855">
                  <c:v>10899.328852312461</c:v>
                </c:pt>
                <c:pt idx="1856">
                  <c:v>10897.847169510189</c:v>
                </c:pt>
                <c:pt idx="1857">
                  <c:v>10891.766168243601</c:v>
                </c:pt>
                <c:pt idx="1858">
                  <c:v>10902.18263560704</c:v>
                </c:pt>
                <c:pt idx="1859">
                  <c:v>10902.128072563457</c:v>
                </c:pt>
                <c:pt idx="1860">
                  <c:v>10899.528515465954</c:v>
                </c:pt>
                <c:pt idx="1861">
                  <c:v>10888.895020272266</c:v>
                </c:pt>
                <c:pt idx="1862">
                  <c:v>10889.575619149342</c:v>
                </c:pt>
                <c:pt idx="1863">
                  <c:v>10888.552659491239</c:v>
                </c:pt>
                <c:pt idx="1864">
                  <c:v>10888.91807131968</c:v>
                </c:pt>
                <c:pt idx="1865">
                  <c:v>10898.586636982573</c:v>
                </c:pt>
                <c:pt idx="1866">
                  <c:v>10923.437871626365</c:v>
                </c:pt>
                <c:pt idx="1867">
                  <c:v>10943.715512048449</c:v>
                </c:pt>
                <c:pt idx="1868">
                  <c:v>10987.907492376293</c:v>
                </c:pt>
                <c:pt idx="1869">
                  <c:v>11023.579725121006</c:v>
                </c:pt>
                <c:pt idx="1870">
                  <c:v>11039.538551299998</c:v>
                </c:pt>
                <c:pt idx="1871">
                  <c:v>11068.293304627263</c:v>
                </c:pt>
                <c:pt idx="1872">
                  <c:v>11088.715165257488</c:v>
                </c:pt>
                <c:pt idx="1873">
                  <c:v>11103.230066726273</c:v>
                </c:pt>
                <c:pt idx="1874">
                  <c:v>11123.951559264822</c:v>
                </c:pt>
                <c:pt idx="1875">
                  <c:v>11157.249318439575</c:v>
                </c:pt>
                <c:pt idx="1876">
                  <c:v>11196.489838717278</c:v>
                </c:pt>
                <c:pt idx="1877">
                  <c:v>11223.689768674973</c:v>
                </c:pt>
                <c:pt idx="1878">
                  <c:v>11238.94641621518</c:v>
                </c:pt>
                <c:pt idx="1879">
                  <c:v>11287.129385488965</c:v>
                </c:pt>
                <c:pt idx="1880">
                  <c:v>11326.672086746474</c:v>
                </c:pt>
                <c:pt idx="1881">
                  <c:v>11368.487054473158</c:v>
                </c:pt>
                <c:pt idx="1882">
                  <c:v>11404.666570021376</c:v>
                </c:pt>
                <c:pt idx="1883">
                  <c:v>11409.271247345745</c:v>
                </c:pt>
                <c:pt idx="1884">
                  <c:v>11429.657763041148</c:v>
                </c:pt>
                <c:pt idx="1885">
                  <c:v>11456.80529748086</c:v>
                </c:pt>
                <c:pt idx="1886">
                  <c:v>11486.062227298102</c:v>
                </c:pt>
                <c:pt idx="1887">
                  <c:v>11521.305303520936</c:v>
                </c:pt>
                <c:pt idx="1888">
                  <c:v>11558.898138396065</c:v>
                </c:pt>
                <c:pt idx="1889">
                  <c:v>11582.385573730606</c:v>
                </c:pt>
                <c:pt idx="1890">
                  <c:v>11581.524941313492</c:v>
                </c:pt>
                <c:pt idx="1891">
                  <c:v>11594.200703298466</c:v>
                </c:pt>
                <c:pt idx="1892">
                  <c:v>11589.77891429342</c:v>
                </c:pt>
                <c:pt idx="1893">
                  <c:v>11584.213740839048</c:v>
                </c:pt>
                <c:pt idx="1894">
                  <c:v>11592.77477765076</c:v>
                </c:pt>
                <c:pt idx="1895">
                  <c:v>11608.184225693945</c:v>
                </c:pt>
                <c:pt idx="1896">
                  <c:v>11624.997025544491</c:v>
                </c:pt>
                <c:pt idx="1897">
                  <c:v>11626.773457627205</c:v>
                </c:pt>
                <c:pt idx="1898">
                  <c:v>11658.450838978295</c:v>
                </c:pt>
                <c:pt idx="1899">
                  <c:v>11707.793903439368</c:v>
                </c:pt>
                <c:pt idx="1900">
                  <c:v>11739.016836447425</c:v>
                </c:pt>
                <c:pt idx="1901">
                  <c:v>11763.849476560836</c:v>
                </c:pt>
                <c:pt idx="1902">
                  <c:v>11784.549174698495</c:v>
                </c:pt>
                <c:pt idx="1903">
                  <c:v>11774.342697395394</c:v>
                </c:pt>
                <c:pt idx="1904">
                  <c:v>11770.503876174709</c:v>
                </c:pt>
                <c:pt idx="1905">
                  <c:v>11766.874435871408</c:v>
                </c:pt>
                <c:pt idx="1906">
                  <c:v>11763.832070970584</c:v>
                </c:pt>
                <c:pt idx="1907">
                  <c:v>11767.220897229117</c:v>
                </c:pt>
                <c:pt idx="1908">
                  <c:v>11768.553270050737</c:v>
                </c:pt>
                <c:pt idx="1909">
                  <c:v>11785.383859115687</c:v>
                </c:pt>
                <c:pt idx="1910">
                  <c:v>11783.905346369305</c:v>
                </c:pt>
                <c:pt idx="1911">
                  <c:v>11783.088815248197</c:v>
                </c:pt>
                <c:pt idx="1912">
                  <c:v>11783.78405407366</c:v>
                </c:pt>
                <c:pt idx="1913">
                  <c:v>11800.781700026746</c:v>
                </c:pt>
                <c:pt idx="1914">
                  <c:v>11816.954250242256</c:v>
                </c:pt>
                <c:pt idx="1915">
                  <c:v>11838.588496010254</c:v>
                </c:pt>
                <c:pt idx="1916">
                  <c:v>11879.509730547046</c:v>
                </c:pt>
                <c:pt idx="1917">
                  <c:v>11889.440309281965</c:v>
                </c:pt>
                <c:pt idx="1918">
                  <c:v>11873.627028491388</c:v>
                </c:pt>
                <c:pt idx="1919">
                  <c:v>11847.312939214642</c:v>
                </c:pt>
                <c:pt idx="1920">
                  <c:v>11823.59147829892</c:v>
                </c:pt>
                <c:pt idx="1921">
                  <c:v>11783.187512022463</c:v>
                </c:pt>
                <c:pt idx="1922">
                  <c:v>11746.321472972522</c:v>
                </c:pt>
                <c:pt idx="1923">
                  <c:v>11755.578095034401</c:v>
                </c:pt>
                <c:pt idx="1924">
                  <c:v>11806.566465779626</c:v>
                </c:pt>
                <c:pt idx="1925">
                  <c:v>11822.513804461572</c:v>
                </c:pt>
                <c:pt idx="1926">
                  <c:v>11810.848380631156</c:v>
                </c:pt>
                <c:pt idx="1927">
                  <c:v>11748.345378664731</c:v>
                </c:pt>
                <c:pt idx="1928">
                  <c:v>11723.537144325282</c:v>
                </c:pt>
                <c:pt idx="1929">
                  <c:v>11686.202189912279</c:v>
                </c:pt>
                <c:pt idx="1930">
                  <c:v>11623.738638585761</c:v>
                </c:pt>
                <c:pt idx="1931">
                  <c:v>11515.251151671033</c:v>
                </c:pt>
                <c:pt idx="1932">
                  <c:v>11427.170139218055</c:v>
                </c:pt>
                <c:pt idx="1933">
                  <c:v>11355.45145117838</c:v>
                </c:pt>
                <c:pt idx="1934">
                  <c:v>11282.634250042051</c:v>
                </c:pt>
                <c:pt idx="1935">
                  <c:v>11223.592284569208</c:v>
                </c:pt>
                <c:pt idx="1936">
                  <c:v>11180.843735280496</c:v>
                </c:pt>
                <c:pt idx="1937">
                  <c:v>11112.819779950491</c:v>
                </c:pt>
                <c:pt idx="1938">
                  <c:v>11039.975294172948</c:v>
                </c:pt>
                <c:pt idx="1939">
                  <c:v>10955.566046119944</c:v>
                </c:pt>
                <c:pt idx="1940">
                  <c:v>10869.947421424982</c:v>
                </c:pt>
                <c:pt idx="1941">
                  <c:v>10740.218252576353</c:v>
                </c:pt>
                <c:pt idx="1942">
                  <c:v>10635.597203913359</c:v>
                </c:pt>
                <c:pt idx="1943">
                  <c:v>10625.293979426853</c:v>
                </c:pt>
                <c:pt idx="1944">
                  <c:v>10648.361467408093</c:v>
                </c:pt>
                <c:pt idx="1945">
                  <c:v>10669.248248765885</c:v>
                </c:pt>
                <c:pt idx="1946">
                  <c:v>10702.273149945484</c:v>
                </c:pt>
                <c:pt idx="1947">
                  <c:v>10720.561167577549</c:v>
                </c:pt>
                <c:pt idx="1948">
                  <c:v>10730.75883738518</c:v>
                </c:pt>
                <c:pt idx="1949">
                  <c:v>10745.713243755505</c:v>
                </c:pt>
                <c:pt idx="1950">
                  <c:v>10754.735123910117</c:v>
                </c:pt>
                <c:pt idx="1951">
                  <c:v>10760.198863971442</c:v>
                </c:pt>
                <c:pt idx="1952">
                  <c:v>10793.441299488488</c:v>
                </c:pt>
                <c:pt idx="1953">
                  <c:v>10845.205419811007</c:v>
                </c:pt>
                <c:pt idx="1954">
                  <c:v>10869.099974565241</c:v>
                </c:pt>
                <c:pt idx="1955">
                  <c:v>10872.780418975655</c:v>
                </c:pt>
                <c:pt idx="1956">
                  <c:v>10872.030871611289</c:v>
                </c:pt>
                <c:pt idx="1957">
                  <c:v>10863.581412213067</c:v>
                </c:pt>
                <c:pt idx="1958">
                  <c:v>10824.723929348289</c:v>
                </c:pt>
                <c:pt idx="1959">
                  <c:v>10825.582388067132</c:v>
                </c:pt>
                <c:pt idx="1960">
                  <c:v>10829.155428615126</c:v>
                </c:pt>
                <c:pt idx="1961">
                  <c:v>10863.313349116301</c:v>
                </c:pt>
                <c:pt idx="1962">
                  <c:v>10887.478233164455</c:v>
                </c:pt>
                <c:pt idx="1963">
                  <c:v>10918.445555448259</c:v>
                </c:pt>
                <c:pt idx="1964">
                  <c:v>10927.998607755768</c:v>
                </c:pt>
                <c:pt idx="1965">
                  <c:v>10924.820093716253</c:v>
                </c:pt>
                <c:pt idx="1966">
                  <c:v>10926.657276558768</c:v>
                </c:pt>
                <c:pt idx="1967">
                  <c:v>10933.686929325724</c:v>
                </c:pt>
                <c:pt idx="1968">
                  <c:v>10927.713042007435</c:v>
                </c:pt>
                <c:pt idx="1969">
                  <c:v>10931.927809892426</c:v>
                </c:pt>
                <c:pt idx="1970">
                  <c:v>10940.472323564833</c:v>
                </c:pt>
                <c:pt idx="1971">
                  <c:v>10950.784464822895</c:v>
                </c:pt>
                <c:pt idx="1972">
                  <c:v>10973.352095473403</c:v>
                </c:pt>
                <c:pt idx="1973">
                  <c:v>10993.791215991232</c:v>
                </c:pt>
                <c:pt idx="1974">
                  <c:v>11027.435696993256</c:v>
                </c:pt>
                <c:pt idx="1975">
                  <c:v>11051.068717430793</c:v>
                </c:pt>
                <c:pt idx="1976">
                  <c:v>11040.733612753571</c:v>
                </c:pt>
                <c:pt idx="1977">
                  <c:v>11038.964447657259</c:v>
                </c:pt>
                <c:pt idx="1978">
                  <c:v>11038.782384637367</c:v>
                </c:pt>
                <c:pt idx="1979">
                  <c:v>11040.367143765805</c:v>
                </c:pt>
                <c:pt idx="1980">
                  <c:v>11040.504680182969</c:v>
                </c:pt>
                <c:pt idx="1981">
                  <c:v>11038.753367888825</c:v>
                </c:pt>
                <c:pt idx="1982">
                  <c:v>11029.577157388201</c:v>
                </c:pt>
                <c:pt idx="1983">
                  <c:v>11019.401639248948</c:v>
                </c:pt>
                <c:pt idx="1984">
                  <c:v>11016.967491803434</c:v>
                </c:pt>
                <c:pt idx="1985">
                  <c:v>11014.145086382287</c:v>
                </c:pt>
                <c:pt idx="1986">
                  <c:v>11017.262240111682</c:v>
                </c:pt>
                <c:pt idx="1987">
                  <c:v>10996.549567332517</c:v>
                </c:pt>
                <c:pt idx="1988">
                  <c:v>10974.569736921865</c:v>
                </c:pt>
                <c:pt idx="1989">
                  <c:v>10974.357531083586</c:v>
                </c:pt>
                <c:pt idx="1990">
                  <c:v>10974.679935792446</c:v>
                </c:pt>
                <c:pt idx="1991">
                  <c:v>10982.468714148585</c:v>
                </c:pt>
                <c:pt idx="1992">
                  <c:v>10982.753038598214</c:v>
                </c:pt>
                <c:pt idx="1993">
                  <c:v>10982.16645478568</c:v>
                </c:pt>
                <c:pt idx="1994">
                  <c:v>10969.403041518275</c:v>
                </c:pt>
                <c:pt idx="1995">
                  <c:v>10971.864533448217</c:v>
                </c:pt>
                <c:pt idx="1996">
                  <c:v>10985.73534396256</c:v>
                </c:pt>
                <c:pt idx="1997">
                  <c:v>10977.825429291046</c:v>
                </c:pt>
                <c:pt idx="1998">
                  <c:v>10977.240022529135</c:v>
                </c:pt>
                <c:pt idx="1999">
                  <c:v>10977.221684226353</c:v>
                </c:pt>
                <c:pt idx="2000">
                  <c:v>10985.143974699055</c:v>
                </c:pt>
                <c:pt idx="2001">
                  <c:v>10989.934225184868</c:v>
                </c:pt>
                <c:pt idx="2002">
                  <c:v>10996.561764519764</c:v>
                </c:pt>
                <c:pt idx="2003">
                  <c:v>10994.406019602497</c:v>
                </c:pt>
                <c:pt idx="2004">
                  <c:v>11001.604026967594</c:v>
                </c:pt>
                <c:pt idx="2005">
                  <c:v>11011.550603618663</c:v>
                </c:pt>
                <c:pt idx="2006">
                  <c:v>11023.740976632411</c:v>
                </c:pt>
                <c:pt idx="2007">
                  <c:v>11059.862658873495</c:v>
                </c:pt>
                <c:pt idx="2008">
                  <c:v>11094.114913404876</c:v>
                </c:pt>
                <c:pt idx="2009">
                  <c:v>11102.694217981591</c:v>
                </c:pt>
                <c:pt idx="2010">
                  <c:v>11102.814362386333</c:v>
                </c:pt>
                <c:pt idx="2011">
                  <c:v>11100.616781252624</c:v>
                </c:pt>
                <c:pt idx="2012">
                  <c:v>11099.524762141185</c:v>
                </c:pt>
                <c:pt idx="2013">
                  <c:v>11097.201381073635</c:v>
                </c:pt>
                <c:pt idx="2014">
                  <c:v>11099.923143714166</c:v>
                </c:pt>
                <c:pt idx="2015">
                  <c:v>11095.425737633364</c:v>
                </c:pt>
                <c:pt idx="2016">
                  <c:v>11084.305963042048</c:v>
                </c:pt>
                <c:pt idx="2017">
                  <c:v>11082.241378909777</c:v>
                </c:pt>
                <c:pt idx="2018">
                  <c:v>11078.793888872495</c:v>
                </c:pt>
                <c:pt idx="2019">
                  <c:v>11085.353282713062</c:v>
                </c:pt>
                <c:pt idx="2020">
                  <c:v>11084.750669213281</c:v>
                </c:pt>
                <c:pt idx="2021">
                  <c:v>11080.44206189045</c:v>
                </c:pt>
                <c:pt idx="2022">
                  <c:v>11074.179958566425</c:v>
                </c:pt>
                <c:pt idx="2023">
                  <c:v>11076.11489742738</c:v>
                </c:pt>
                <c:pt idx="2024">
                  <c:v>11089.006232888962</c:v>
                </c:pt>
                <c:pt idx="2025">
                  <c:v>11111.976298402527</c:v>
                </c:pt>
                <c:pt idx="2026">
                  <c:v>11132.092596787295</c:v>
                </c:pt>
                <c:pt idx="2027">
                  <c:v>11126.712989885909</c:v>
                </c:pt>
                <c:pt idx="2028">
                  <c:v>11150.935913379672</c:v>
                </c:pt>
                <c:pt idx="2029">
                  <c:v>11228.370473883971</c:v>
                </c:pt>
                <c:pt idx="2030">
                  <c:v>11308.004147935773</c:v>
                </c:pt>
                <c:pt idx="2031">
                  <c:v>11377.436731382761</c:v>
                </c:pt>
                <c:pt idx="2032">
                  <c:v>11455.134838054302</c:v>
                </c:pt>
                <c:pt idx="2033">
                  <c:v>11527.061259716065</c:v>
                </c:pt>
                <c:pt idx="2034">
                  <c:v>11595.311243095111</c:v>
                </c:pt>
                <c:pt idx="2035">
                  <c:v>11640.913049046554</c:v>
                </c:pt>
                <c:pt idx="2036">
                  <c:v>11674.749581149084</c:v>
                </c:pt>
                <c:pt idx="2037">
                  <c:v>11688.934243070764</c:v>
                </c:pt>
                <c:pt idx="2038">
                  <c:v>11715.223210417218</c:v>
                </c:pt>
                <c:pt idx="2039">
                  <c:v>11735.168827480917</c:v>
                </c:pt>
                <c:pt idx="2040">
                  <c:v>11763.197169935625</c:v>
                </c:pt>
                <c:pt idx="2041">
                  <c:v>11794.215255192903</c:v>
                </c:pt>
                <c:pt idx="2042">
                  <c:v>11815.072661692697</c:v>
                </c:pt>
                <c:pt idx="2043">
                  <c:v>11816.302136538667</c:v>
                </c:pt>
                <c:pt idx="2044">
                  <c:v>11816.154049073433</c:v>
                </c:pt>
                <c:pt idx="2045">
                  <c:v>11825.759214247697</c:v>
                </c:pt>
                <c:pt idx="2046">
                  <c:v>11814.92114483423</c:v>
                </c:pt>
                <c:pt idx="2047">
                  <c:v>11792.902279533922</c:v>
                </c:pt>
                <c:pt idx="2048">
                  <c:v>11771.051681807794</c:v>
                </c:pt>
                <c:pt idx="2049">
                  <c:v>11765.767113366524</c:v>
                </c:pt>
                <c:pt idx="2050">
                  <c:v>11766.937850350931</c:v>
                </c:pt>
                <c:pt idx="2051">
                  <c:v>11769.990069544936</c:v>
                </c:pt>
                <c:pt idx="2052">
                  <c:v>11799.372058157967</c:v>
                </c:pt>
                <c:pt idx="2053">
                  <c:v>11818.287803520107</c:v>
                </c:pt>
                <c:pt idx="2054">
                  <c:v>11819.152072126028</c:v>
                </c:pt>
                <c:pt idx="2055">
                  <c:v>11818.934881842646</c:v>
                </c:pt>
                <c:pt idx="2056">
                  <c:v>11826.95552154611</c:v>
                </c:pt>
                <c:pt idx="2057">
                  <c:v>11800.183714211273</c:v>
                </c:pt>
                <c:pt idx="2058">
                  <c:v>11806.512951837642</c:v>
                </c:pt>
                <c:pt idx="2059">
                  <c:v>11796.833493202606</c:v>
                </c:pt>
                <c:pt idx="2060">
                  <c:v>11800.130911474</c:v>
                </c:pt>
                <c:pt idx="2061">
                  <c:v>11803.683908897981</c:v>
                </c:pt>
                <c:pt idx="2062">
                  <c:v>11800.282050696891</c:v>
                </c:pt>
                <c:pt idx="2063">
                  <c:v>11812.421768901382</c:v>
                </c:pt>
                <c:pt idx="2064">
                  <c:v>11849.413392794295</c:v>
                </c:pt>
                <c:pt idx="2065">
                  <c:v>11882.702151592308</c:v>
                </c:pt>
                <c:pt idx="2066">
                  <c:v>11910.67501897373</c:v>
                </c:pt>
                <c:pt idx="2067">
                  <c:v>11947.570650285121</c:v>
                </c:pt>
                <c:pt idx="2068">
                  <c:v>11964.383135894504</c:v>
                </c:pt>
                <c:pt idx="2069">
                  <c:v>11982.373929661615</c:v>
                </c:pt>
                <c:pt idx="2070">
                  <c:v>11978.765228925913</c:v>
                </c:pt>
                <c:pt idx="2071">
                  <c:v>11960.716522827859</c:v>
                </c:pt>
                <c:pt idx="2072">
                  <c:v>11968.416161334837</c:v>
                </c:pt>
                <c:pt idx="2073">
                  <c:v>11961.798757990111</c:v>
                </c:pt>
                <c:pt idx="2074">
                  <c:v>11978.963593791057</c:v>
                </c:pt>
                <c:pt idx="2075">
                  <c:v>11986.53904266957</c:v>
                </c:pt>
                <c:pt idx="2076">
                  <c:v>12006.109268646909</c:v>
                </c:pt>
                <c:pt idx="2077">
                  <c:v>12050.165096636603</c:v>
                </c:pt>
                <c:pt idx="2078">
                  <c:v>12079.700981662258</c:v>
                </c:pt>
                <c:pt idx="2079">
                  <c:v>12096.483857385356</c:v>
                </c:pt>
                <c:pt idx="2080">
                  <c:v>12130.558487245189</c:v>
                </c:pt>
                <c:pt idx="2081">
                  <c:v>12159.976810774562</c:v>
                </c:pt>
                <c:pt idx="2082">
                  <c:v>12227.647824359046</c:v>
                </c:pt>
                <c:pt idx="2083">
                  <c:v>12278.585895954391</c:v>
                </c:pt>
                <c:pt idx="2084">
                  <c:v>12296.388467202078</c:v>
                </c:pt>
                <c:pt idx="2085">
                  <c:v>12309.295306607013</c:v>
                </c:pt>
                <c:pt idx="2086">
                  <c:v>12319.908089385466</c:v>
                </c:pt>
                <c:pt idx="2087">
                  <c:v>12307.686497492223</c:v>
                </c:pt>
                <c:pt idx="2088">
                  <c:v>12284.415478463015</c:v>
                </c:pt>
                <c:pt idx="2089">
                  <c:v>12224.458806983557</c:v>
                </c:pt>
                <c:pt idx="2090">
                  <c:v>12148.300232788046</c:v>
                </c:pt>
                <c:pt idx="2091">
                  <c:v>12091.422700888173</c:v>
                </c:pt>
                <c:pt idx="2092">
                  <c:v>12097.944805087987</c:v>
                </c:pt>
                <c:pt idx="2093">
                  <c:v>12099.603864236604</c:v>
                </c:pt>
                <c:pt idx="2094">
                  <c:v>12097.624058744748</c:v>
                </c:pt>
                <c:pt idx="2095">
                  <c:v>12089.875323469549</c:v>
                </c:pt>
                <c:pt idx="2096">
                  <c:v>12095.309597047573</c:v>
                </c:pt>
                <c:pt idx="2097">
                  <c:v>12088.744874698565</c:v>
                </c:pt>
                <c:pt idx="2098">
                  <c:v>12082.167204752179</c:v>
                </c:pt>
                <c:pt idx="2099">
                  <c:v>12081.19381153086</c:v>
                </c:pt>
                <c:pt idx="2100">
                  <c:v>12070.415268194794</c:v>
                </c:pt>
                <c:pt idx="2101">
                  <c:v>12064.759857244626</c:v>
                </c:pt>
                <c:pt idx="2102">
                  <c:v>12026.594844759551</c:v>
                </c:pt>
                <c:pt idx="2103">
                  <c:v>12004.758436340317</c:v>
                </c:pt>
                <c:pt idx="2104">
                  <c:v>12017.806884140129</c:v>
                </c:pt>
                <c:pt idx="2105">
                  <c:v>12014.088550680362</c:v>
                </c:pt>
                <c:pt idx="2106">
                  <c:v>12025.905283385997</c:v>
                </c:pt>
                <c:pt idx="2107">
                  <c:v>12020.550805739806</c:v>
                </c:pt>
                <c:pt idx="2108">
                  <c:v>12027.18583027249</c:v>
                </c:pt>
                <c:pt idx="2109">
                  <c:v>12014.002211327434</c:v>
                </c:pt>
                <c:pt idx="2110">
                  <c:v>12012.84500602023</c:v>
                </c:pt>
                <c:pt idx="2111">
                  <c:v>12015.460982032555</c:v>
                </c:pt>
                <c:pt idx="2112">
                  <c:v>12015.255433243574</c:v>
                </c:pt>
                <c:pt idx="2113">
                  <c:v>12015.187825950366</c:v>
                </c:pt>
                <c:pt idx="2114">
                  <c:v>12005.749836012048</c:v>
                </c:pt>
                <c:pt idx="2115">
                  <c:v>12021.023989664114</c:v>
                </c:pt>
                <c:pt idx="2116">
                  <c:v>12042.249975435714</c:v>
                </c:pt>
                <c:pt idx="2117">
                  <c:v>12049.109031423148</c:v>
                </c:pt>
                <c:pt idx="2118">
                  <c:v>12048.251557108446</c:v>
                </c:pt>
                <c:pt idx="2119">
                  <c:v>12040.819390252456</c:v>
                </c:pt>
                <c:pt idx="2120">
                  <c:v>12029.570383139653</c:v>
                </c:pt>
                <c:pt idx="2121">
                  <c:v>12007.567875095261</c:v>
                </c:pt>
                <c:pt idx="2122">
                  <c:v>11977.398627176417</c:v>
                </c:pt>
                <c:pt idx="2123">
                  <c:v>11926.445650819764</c:v>
                </c:pt>
                <c:pt idx="2124">
                  <c:v>11868.891964877597</c:v>
                </c:pt>
                <c:pt idx="2125">
                  <c:v>11825.917997897583</c:v>
                </c:pt>
                <c:pt idx="2126">
                  <c:v>11837.726729525517</c:v>
                </c:pt>
                <c:pt idx="2127">
                  <c:v>11826.588072743021</c:v>
                </c:pt>
                <c:pt idx="2128">
                  <c:v>11824.99549149891</c:v>
                </c:pt>
                <c:pt idx="2129">
                  <c:v>11788.702662780794</c:v>
                </c:pt>
                <c:pt idx="2130">
                  <c:v>11750.820417681874</c:v>
                </c:pt>
                <c:pt idx="2131">
                  <c:v>11706.094646432057</c:v>
                </c:pt>
                <c:pt idx="2132">
                  <c:v>11629.418538205686</c:v>
                </c:pt>
                <c:pt idx="2133">
                  <c:v>11529.17393857909</c:v>
                </c:pt>
                <c:pt idx="2134">
                  <c:v>11437.472951732487</c:v>
                </c:pt>
                <c:pt idx="2135">
                  <c:v>11384.689476784662</c:v>
                </c:pt>
                <c:pt idx="2136">
                  <c:v>11345.794656628361</c:v>
                </c:pt>
                <c:pt idx="2137">
                  <c:v>11322.681639413957</c:v>
                </c:pt>
                <c:pt idx="2138">
                  <c:v>11292.229695632908</c:v>
                </c:pt>
                <c:pt idx="2139">
                  <c:v>11260.167150590723</c:v>
                </c:pt>
                <c:pt idx="2140">
                  <c:v>11220.683052908988</c:v>
                </c:pt>
                <c:pt idx="2141">
                  <c:v>11196.012010281635</c:v>
                </c:pt>
                <c:pt idx="2142">
                  <c:v>11184.639986674954</c:v>
                </c:pt>
                <c:pt idx="2143">
                  <c:v>11170.695720958003</c:v>
                </c:pt>
                <c:pt idx="2144">
                  <c:v>11177.337067901966</c:v>
                </c:pt>
                <c:pt idx="2145">
                  <c:v>11176.123534723611</c:v>
                </c:pt>
                <c:pt idx="2146">
                  <c:v>11176.872995009358</c:v>
                </c:pt>
                <c:pt idx="2147">
                  <c:v>11176.793776582817</c:v>
                </c:pt>
                <c:pt idx="2148">
                  <c:v>11179.365311333186</c:v>
                </c:pt>
                <c:pt idx="2149">
                  <c:v>11179.745084176444</c:v>
                </c:pt>
                <c:pt idx="2150">
                  <c:v>11162.752394059649</c:v>
                </c:pt>
                <c:pt idx="2151">
                  <c:v>11175.943823568557</c:v>
                </c:pt>
                <c:pt idx="2152">
                  <c:v>11173.349763444541</c:v>
                </c:pt>
                <c:pt idx="2153">
                  <c:v>11168.264967235755</c:v>
                </c:pt>
                <c:pt idx="2154">
                  <c:v>11158.066971057751</c:v>
                </c:pt>
                <c:pt idx="2155">
                  <c:v>11164.503561514472</c:v>
                </c:pt>
                <c:pt idx="2156">
                  <c:v>11228.239993225341</c:v>
                </c:pt>
                <c:pt idx="2157">
                  <c:v>11380.263927599988</c:v>
                </c:pt>
                <c:pt idx="2158">
                  <c:v>11492.99277676493</c:v>
                </c:pt>
                <c:pt idx="2159">
                  <c:v>11547.451366522359</c:v>
                </c:pt>
                <c:pt idx="2160">
                  <c:v>11622.888484143446</c:v>
                </c:pt>
                <c:pt idx="2161">
                  <c:v>11680.281616517923</c:v>
                </c:pt>
                <c:pt idx="2162">
                  <c:v>11726.121202266659</c:v>
                </c:pt>
                <c:pt idx="2163">
                  <c:v>11750.373295878566</c:v>
                </c:pt>
                <c:pt idx="2164">
                  <c:v>11759.49884107151</c:v>
                </c:pt>
                <c:pt idx="2165">
                  <c:v>11757.047890960021</c:v>
                </c:pt>
                <c:pt idx="2166">
                  <c:v>11750.530649160011</c:v>
                </c:pt>
                <c:pt idx="2167">
                  <c:v>11758.864583943316</c:v>
                </c:pt>
                <c:pt idx="2168">
                  <c:v>11761.688587360406</c:v>
                </c:pt>
                <c:pt idx="2169">
                  <c:v>11768.961350187103</c:v>
                </c:pt>
                <c:pt idx="2170">
                  <c:v>11775.049725974133</c:v>
                </c:pt>
                <c:pt idx="2171">
                  <c:v>11791.197859498936</c:v>
                </c:pt>
                <c:pt idx="2172">
                  <c:v>11805.004493419157</c:v>
                </c:pt>
                <c:pt idx="2173">
                  <c:v>11806.792203486884</c:v>
                </c:pt>
                <c:pt idx="2174">
                  <c:v>11809.076970261067</c:v>
                </c:pt>
                <c:pt idx="2175">
                  <c:v>11729.006796815574</c:v>
                </c:pt>
                <c:pt idx="2176">
                  <c:v>11748.382564383206</c:v>
                </c:pt>
                <c:pt idx="2177">
                  <c:v>11745.639223912825</c:v>
                </c:pt>
                <c:pt idx="2178">
                  <c:v>11744.981284388627</c:v>
                </c:pt>
                <c:pt idx="2179">
                  <c:v>11800.178911259312</c:v>
                </c:pt>
                <c:pt idx="2180">
                  <c:v>11852.774402369192</c:v>
                </c:pt>
                <c:pt idx="2181">
                  <c:v>11912.618395783595</c:v>
                </c:pt>
                <c:pt idx="2182">
                  <c:v>11970.448063653228</c:v>
                </c:pt>
                <c:pt idx="2183">
                  <c:v>12033.083891028737</c:v>
                </c:pt>
                <c:pt idx="2184">
                  <c:v>12080.22303996405</c:v>
                </c:pt>
                <c:pt idx="2185">
                  <c:v>12115.914687324195</c:v>
                </c:pt>
                <c:pt idx="2186">
                  <c:v>12139.798930219833</c:v>
                </c:pt>
                <c:pt idx="2187">
                  <c:v>12156.52506226002</c:v>
                </c:pt>
                <c:pt idx="2188">
                  <c:v>12153.594361058062</c:v>
                </c:pt>
                <c:pt idx="2189">
                  <c:v>12140.223258346457</c:v>
                </c:pt>
                <c:pt idx="2190">
                  <c:v>12124.798304672902</c:v>
                </c:pt>
                <c:pt idx="2191">
                  <c:v>12115.887424165514</c:v>
                </c:pt>
                <c:pt idx="2192">
                  <c:v>12101.94351339487</c:v>
                </c:pt>
                <c:pt idx="2193">
                  <c:v>12105.766428885434</c:v>
                </c:pt>
                <c:pt idx="2194">
                  <c:v>12121.744195759678</c:v>
                </c:pt>
                <c:pt idx="2195">
                  <c:v>12118.830115862193</c:v>
                </c:pt>
                <c:pt idx="2196">
                  <c:v>12104.755961051806</c:v>
                </c:pt>
                <c:pt idx="2197">
                  <c:v>12099.699949759826</c:v>
                </c:pt>
                <c:pt idx="2198">
                  <c:v>12064.885139459226</c:v>
                </c:pt>
                <c:pt idx="2199">
                  <c:v>12085.999951648848</c:v>
                </c:pt>
                <c:pt idx="2200">
                  <c:v>12122.046177534361</c:v>
                </c:pt>
                <c:pt idx="2201">
                  <c:v>12132.564702757143</c:v>
                </c:pt>
                <c:pt idx="2202">
                  <c:v>12140.706004572137</c:v>
                </c:pt>
                <c:pt idx="2203">
                  <c:v>12142.981901872958</c:v>
                </c:pt>
                <c:pt idx="2204">
                  <c:v>12149.658535741215</c:v>
                </c:pt>
                <c:pt idx="2205">
                  <c:v>12152.925418002174</c:v>
                </c:pt>
                <c:pt idx="2206">
                  <c:v>12150.026410448529</c:v>
                </c:pt>
                <c:pt idx="2207">
                  <c:v>12149.423057871953</c:v>
                </c:pt>
                <c:pt idx="2208">
                  <c:v>12153.100471844249</c:v>
                </c:pt>
                <c:pt idx="2209">
                  <c:v>12147.647739093838</c:v>
                </c:pt>
                <c:pt idx="2210">
                  <c:v>12144.661585391039</c:v>
                </c:pt>
                <c:pt idx="2211">
                  <c:v>12154.25998769841</c:v>
                </c:pt>
                <c:pt idx="2212">
                  <c:v>12155.661179463697</c:v>
                </c:pt>
                <c:pt idx="2213">
                  <c:v>12179.723448931423</c:v>
                </c:pt>
                <c:pt idx="2214">
                  <c:v>12214.620660647312</c:v>
                </c:pt>
                <c:pt idx="2215">
                  <c:v>12253.738469203696</c:v>
                </c:pt>
                <c:pt idx="2216">
                  <c:v>12286.330221613556</c:v>
                </c:pt>
                <c:pt idx="2217">
                  <c:v>12313.393331605599</c:v>
                </c:pt>
                <c:pt idx="2218">
                  <c:v>12330.201467830369</c:v>
                </c:pt>
                <c:pt idx="2219">
                  <c:v>12332.260763245467</c:v>
                </c:pt>
                <c:pt idx="2220">
                  <c:v>12346.062795927599</c:v>
                </c:pt>
                <c:pt idx="2221">
                  <c:v>12366.667080867996</c:v>
                </c:pt>
                <c:pt idx="2222">
                  <c:v>12373.790142342563</c:v>
                </c:pt>
                <c:pt idx="2223">
                  <c:v>12380.932172644352</c:v>
                </c:pt>
                <c:pt idx="2224">
                  <c:v>12401.613893658383</c:v>
                </c:pt>
                <c:pt idx="2225">
                  <c:v>12411.501408085329</c:v>
                </c:pt>
                <c:pt idx="2226">
                  <c:v>12405.481357388962</c:v>
                </c:pt>
                <c:pt idx="2227">
                  <c:v>12398.163261083031</c:v>
                </c:pt>
                <c:pt idx="2228">
                  <c:v>12376.84398729303</c:v>
                </c:pt>
                <c:pt idx="2229">
                  <c:v>12363.999285305888</c:v>
                </c:pt>
                <c:pt idx="2230">
                  <c:v>12360.338290983618</c:v>
                </c:pt>
                <c:pt idx="2231">
                  <c:v>12379.008727624148</c:v>
                </c:pt>
                <c:pt idx="2232">
                  <c:v>12397.794596604743</c:v>
                </c:pt>
                <c:pt idx="2233">
                  <c:v>12415.082945855433</c:v>
                </c:pt>
                <c:pt idx="2234">
                  <c:v>12431.443477709581</c:v>
                </c:pt>
                <c:pt idx="2235">
                  <c:v>12443.575445354842</c:v>
                </c:pt>
                <c:pt idx="2236">
                  <c:v>12440.151005165762</c:v>
                </c:pt>
                <c:pt idx="2237">
                  <c:v>12435.97768935768</c:v>
                </c:pt>
                <c:pt idx="2238">
                  <c:v>12436.350707461248</c:v>
                </c:pt>
                <c:pt idx="2239">
                  <c:v>12435.87722020549</c:v>
                </c:pt>
                <c:pt idx="2240">
                  <c:v>12436.071333647165</c:v>
                </c:pt>
                <c:pt idx="2241">
                  <c:v>12432.58830256999</c:v>
                </c:pt>
                <c:pt idx="2242">
                  <c:v>12436.832690765092</c:v>
                </c:pt>
                <c:pt idx="2243">
                  <c:v>12436.417652642134</c:v>
                </c:pt>
                <c:pt idx="2244">
                  <c:v>12431.990765581744</c:v>
                </c:pt>
                <c:pt idx="2245">
                  <c:v>12438.214562490373</c:v>
                </c:pt>
                <c:pt idx="2246">
                  <c:v>12488.810413002679</c:v>
                </c:pt>
                <c:pt idx="2247">
                  <c:v>12491.849544617173</c:v>
                </c:pt>
                <c:pt idx="2248">
                  <c:v>12490.894371832175</c:v>
                </c:pt>
                <c:pt idx="2249">
                  <c:v>12486.11713636451</c:v>
                </c:pt>
                <c:pt idx="2250">
                  <c:v>12475.72926560843</c:v>
                </c:pt>
                <c:pt idx="2251">
                  <c:v>12453.323848315182</c:v>
                </c:pt>
                <c:pt idx="2252">
                  <c:v>12422.099409355736</c:v>
                </c:pt>
                <c:pt idx="2253">
                  <c:v>12399.238604861679</c:v>
                </c:pt>
                <c:pt idx="2254">
                  <c:v>12368.652848429068</c:v>
                </c:pt>
                <c:pt idx="2255">
                  <c:v>12329.859763300325</c:v>
                </c:pt>
                <c:pt idx="2256">
                  <c:v>12313.482799244688</c:v>
                </c:pt>
                <c:pt idx="2257">
                  <c:v>12304.475546100941</c:v>
                </c:pt>
                <c:pt idx="2258">
                  <c:v>12306.125123004867</c:v>
                </c:pt>
                <c:pt idx="2259">
                  <c:v>12295.952157496917</c:v>
                </c:pt>
                <c:pt idx="2260">
                  <c:v>12283.719077524252</c:v>
                </c:pt>
                <c:pt idx="2261">
                  <c:v>12291.012549240857</c:v>
                </c:pt>
                <c:pt idx="2262">
                  <c:v>12317.257756004907</c:v>
                </c:pt>
                <c:pt idx="2263">
                  <c:v>12332.196333361488</c:v>
                </c:pt>
                <c:pt idx="2264">
                  <c:v>12439.125699044976</c:v>
                </c:pt>
                <c:pt idx="2265">
                  <c:v>12518.678811203003</c:v>
                </c:pt>
                <c:pt idx="2266">
                  <c:v>12550.915797331185</c:v>
                </c:pt>
                <c:pt idx="2267">
                  <c:v>12570.89782706768</c:v>
                </c:pt>
                <c:pt idx="2268">
                  <c:v>12565.433038440005</c:v>
                </c:pt>
                <c:pt idx="2269">
                  <c:v>12574.836662281548</c:v>
                </c:pt>
                <c:pt idx="2270">
                  <c:v>12659.753199259441</c:v>
                </c:pt>
                <c:pt idx="2271">
                  <c:v>12702.929860575805</c:v>
                </c:pt>
                <c:pt idx="2272">
                  <c:v>12864.305240530866</c:v>
                </c:pt>
                <c:pt idx="2273">
                  <c:v>12859.998215176478</c:v>
                </c:pt>
                <c:pt idx="2274">
                  <c:v>12940.542491169886</c:v>
                </c:pt>
                <c:pt idx="2275">
                  <c:v>12994.045149197977</c:v>
                </c:pt>
                <c:pt idx="2276">
                  <c:v>13069.691843617264</c:v>
                </c:pt>
                <c:pt idx="2277">
                  <c:v>13103.20288437118</c:v>
                </c:pt>
                <c:pt idx="2278">
                  <c:v>12981.361525891663</c:v>
                </c:pt>
                <c:pt idx="2279">
                  <c:v>12961.422121594058</c:v>
                </c:pt>
                <c:pt idx="2280">
                  <c:v>12876.123395832996</c:v>
                </c:pt>
                <c:pt idx="2281">
                  <c:v>12687.207548940642</c:v>
                </c:pt>
                <c:pt idx="2282">
                  <c:v>12460.176313883296</c:v>
                </c:pt>
                <c:pt idx="2283">
                  <c:v>12202.920363773061</c:v>
                </c:pt>
                <c:pt idx="2284">
                  <c:v>12008.786035724846</c:v>
                </c:pt>
                <c:pt idx="2285">
                  <c:v>11783.32103712567</c:v>
                </c:pt>
                <c:pt idx="2286">
                  <c:v>11491.831129967934</c:v>
                </c:pt>
                <c:pt idx="2287">
                  <c:v>11165.817258663865</c:v>
                </c:pt>
                <c:pt idx="2288">
                  <c:v>10764.58085974978</c:v>
                </c:pt>
                <c:pt idx="2289">
                  <c:v>10372.874282838122</c:v>
                </c:pt>
                <c:pt idx="2290">
                  <c:v>10111.556788974369</c:v>
                </c:pt>
                <c:pt idx="2291">
                  <c:v>9784.4090263059734</c:v>
                </c:pt>
                <c:pt idx="2292">
                  <c:v>9671.5551036877478</c:v>
                </c:pt>
                <c:pt idx="2293">
                  <c:v>9437.8984662577186</c:v>
                </c:pt>
                <c:pt idx="2294">
                  <c:v>9452.3930902500888</c:v>
                </c:pt>
                <c:pt idx="2295">
                  <c:v>9503.9632336740433</c:v>
                </c:pt>
                <c:pt idx="2296">
                  <c:v>9543.8335233827565</c:v>
                </c:pt>
                <c:pt idx="2297">
                  <c:v>9607.8358309661435</c:v>
                </c:pt>
                <c:pt idx="2298">
                  <c:v>9679.9137327145454</c:v>
                </c:pt>
                <c:pt idx="2299">
                  <c:v>9635.393276321578</c:v>
                </c:pt>
                <c:pt idx="2300">
                  <c:v>9608.7504867583302</c:v>
                </c:pt>
                <c:pt idx="2301">
                  <c:v>9656.1459518127704</c:v>
                </c:pt>
                <c:pt idx="2302">
                  <c:v>9745.6590505620788</c:v>
                </c:pt>
                <c:pt idx="2303">
                  <c:v>9891.7324933564687</c:v>
                </c:pt>
                <c:pt idx="2304">
                  <c:v>9883.1423276803871</c:v>
                </c:pt>
                <c:pt idx="2305">
                  <c:v>9887.6874166109319</c:v>
                </c:pt>
                <c:pt idx="2306">
                  <c:v>9840.837775766282</c:v>
                </c:pt>
                <c:pt idx="2307">
                  <c:v>9695.7911043888107</c:v>
                </c:pt>
                <c:pt idx="2308">
                  <c:v>9683.4997719551138</c:v>
                </c:pt>
                <c:pt idx="2309">
                  <c:v>9654.6506109910424</c:v>
                </c:pt>
                <c:pt idx="2310">
                  <c:v>9655.2819702165016</c:v>
                </c:pt>
                <c:pt idx="2311">
                  <c:v>9662.4059037534153</c:v>
                </c:pt>
                <c:pt idx="2312">
                  <c:v>9646.0292668564416</c:v>
                </c:pt>
                <c:pt idx="2313">
                  <c:v>9635.8830571389299</c:v>
                </c:pt>
                <c:pt idx="2314">
                  <c:v>9667.5801960705794</c:v>
                </c:pt>
                <c:pt idx="2315">
                  <c:v>9681.5341672885643</c:v>
                </c:pt>
                <c:pt idx="2316">
                  <c:v>9677.0471708743407</c:v>
                </c:pt>
                <c:pt idx="2317">
                  <c:v>9676.5886814882888</c:v>
                </c:pt>
                <c:pt idx="2318">
                  <c:v>9669.8406835066271</c:v>
                </c:pt>
                <c:pt idx="2319">
                  <c:v>9671.095451523659</c:v>
                </c:pt>
                <c:pt idx="2320">
                  <c:v>9673.9499560492677</c:v>
                </c:pt>
                <c:pt idx="2321">
                  <c:v>9690.097325510631</c:v>
                </c:pt>
                <c:pt idx="2322">
                  <c:v>9695.59114343277</c:v>
                </c:pt>
                <c:pt idx="2323">
                  <c:v>9684.4628713412549</c:v>
                </c:pt>
                <c:pt idx="2324">
                  <c:v>9829.3466368060908</c:v>
                </c:pt>
                <c:pt idx="2325">
                  <c:v>9974.6536049184433</c:v>
                </c:pt>
                <c:pt idx="2326">
                  <c:v>10086.712053007624</c:v>
                </c:pt>
                <c:pt idx="2327">
                  <c:v>10211.659850039036</c:v>
                </c:pt>
                <c:pt idx="2328">
                  <c:v>10324.921204852211</c:v>
                </c:pt>
                <c:pt idx="2329">
                  <c:v>10400.945029748533</c:v>
                </c:pt>
                <c:pt idx="2330">
                  <c:v>10479.96086111546</c:v>
                </c:pt>
                <c:pt idx="2331">
                  <c:v>10518.48632710295</c:v>
                </c:pt>
                <c:pt idx="2332">
                  <c:v>10558.762216870207</c:v>
                </c:pt>
                <c:pt idx="2333">
                  <c:v>10573.817510729024</c:v>
                </c:pt>
                <c:pt idx="2334">
                  <c:v>10558.972132990508</c:v>
                </c:pt>
                <c:pt idx="2335">
                  <c:v>10529.53327105196</c:v>
                </c:pt>
                <c:pt idx="2336">
                  <c:v>10533.753537357121</c:v>
                </c:pt>
                <c:pt idx="2337">
                  <c:v>10548.987499483392</c:v>
                </c:pt>
                <c:pt idx="2338">
                  <c:v>10538.263063083687</c:v>
                </c:pt>
                <c:pt idx="2339">
                  <c:v>10517.859166470296</c:v>
                </c:pt>
                <c:pt idx="2340">
                  <c:v>10493.239735783522</c:v>
                </c:pt>
                <c:pt idx="2341">
                  <c:v>10477.7374088816</c:v>
                </c:pt>
                <c:pt idx="2342">
                  <c:v>10477.490452686328</c:v>
                </c:pt>
                <c:pt idx="2343">
                  <c:v>10490.802477592724</c:v>
                </c:pt>
                <c:pt idx="2344">
                  <c:v>10508.94354165583</c:v>
                </c:pt>
                <c:pt idx="2345">
                  <c:v>10547.467675259544</c:v>
                </c:pt>
                <c:pt idx="2346">
                  <c:v>10606.282278349805</c:v>
                </c:pt>
                <c:pt idx="2347">
                  <c:v>10669.422047387317</c:v>
                </c:pt>
                <c:pt idx="2348">
                  <c:v>10761.374215688558</c:v>
                </c:pt>
                <c:pt idx="2349">
                  <c:v>10847.674528375021</c:v>
                </c:pt>
                <c:pt idx="2350">
                  <c:v>10903.159549719838</c:v>
                </c:pt>
                <c:pt idx="2351">
                  <c:v>10958.979418999721</c:v>
                </c:pt>
                <c:pt idx="2352">
                  <c:v>10999.402828892211</c:v>
                </c:pt>
                <c:pt idx="2353">
                  <c:v>11012.189064898335</c:v>
                </c:pt>
                <c:pt idx="2354">
                  <c:v>10995.269517208117</c:v>
                </c:pt>
                <c:pt idx="2355">
                  <c:v>10955.034623396816</c:v>
                </c:pt>
                <c:pt idx="2356">
                  <c:v>10952.655772577124</c:v>
                </c:pt>
                <c:pt idx="2357">
                  <c:v>10990.639328839754</c:v>
                </c:pt>
                <c:pt idx="2358">
                  <c:v>11052.241653617248</c:v>
                </c:pt>
                <c:pt idx="2359">
                  <c:v>11145.296930938064</c:v>
                </c:pt>
                <c:pt idx="2360">
                  <c:v>11205.089039052835</c:v>
                </c:pt>
                <c:pt idx="2361">
                  <c:v>11267.452396416586</c:v>
                </c:pt>
                <c:pt idx="2362">
                  <c:v>11319.469762346242</c:v>
                </c:pt>
                <c:pt idx="2363">
                  <c:v>11337.594200931248</c:v>
                </c:pt>
                <c:pt idx="2364">
                  <c:v>11372.40213350148</c:v>
                </c:pt>
                <c:pt idx="2365">
                  <c:v>11389.389320476343</c:v>
                </c:pt>
                <c:pt idx="2366">
                  <c:v>11395.291122483379</c:v>
                </c:pt>
                <c:pt idx="2367">
                  <c:v>11396.839702814581</c:v>
                </c:pt>
                <c:pt idx="2368">
                  <c:v>11395.372560065394</c:v>
                </c:pt>
                <c:pt idx="2369">
                  <c:v>11407.399269401174</c:v>
                </c:pt>
                <c:pt idx="2370">
                  <c:v>11411.469624891537</c:v>
                </c:pt>
                <c:pt idx="2371">
                  <c:v>11431.44070498518</c:v>
                </c:pt>
                <c:pt idx="2372">
                  <c:v>11446.196172498914</c:v>
                </c:pt>
                <c:pt idx="2373">
                  <c:v>11466.981378242623</c:v>
                </c:pt>
                <c:pt idx="2374">
                  <c:v>11459.155926823014</c:v>
                </c:pt>
                <c:pt idx="2375">
                  <c:v>11428.635881735909</c:v>
                </c:pt>
                <c:pt idx="2376">
                  <c:v>11403.498425729837</c:v>
                </c:pt>
                <c:pt idx="2377">
                  <c:v>11386.009960795112</c:v>
                </c:pt>
                <c:pt idx="2378">
                  <c:v>11387.803762483458</c:v>
                </c:pt>
                <c:pt idx="2379">
                  <c:v>11417.744991222746</c:v>
                </c:pt>
                <c:pt idx="2380">
                  <c:v>11449.022910898209</c:v>
                </c:pt>
                <c:pt idx="2381">
                  <c:v>11458.384318156763</c:v>
                </c:pt>
                <c:pt idx="2382">
                  <c:v>11477.129328255367</c:v>
                </c:pt>
                <c:pt idx="2383">
                  <c:v>11512.399112577668</c:v>
                </c:pt>
                <c:pt idx="2384">
                  <c:v>11539.375124507929</c:v>
                </c:pt>
                <c:pt idx="2385">
                  <c:v>11585.512398079047</c:v>
                </c:pt>
                <c:pt idx="2386">
                  <c:v>11624.610736862136</c:v>
                </c:pt>
                <c:pt idx="2387">
                  <c:v>11674.041303724794</c:v>
                </c:pt>
                <c:pt idx="2388">
                  <c:v>11639.208868573984</c:v>
                </c:pt>
                <c:pt idx="2389">
                  <c:v>11639.859765949115</c:v>
                </c:pt>
                <c:pt idx="2390">
                  <c:v>11644.402944130019</c:v>
                </c:pt>
                <c:pt idx="2391">
                  <c:v>11654.238268440144</c:v>
                </c:pt>
                <c:pt idx="2392">
                  <c:v>11647.604876471829</c:v>
                </c:pt>
                <c:pt idx="2393">
                  <c:v>11645.025484539541</c:v>
                </c:pt>
                <c:pt idx="2394">
                  <c:v>11645.163289631428</c:v>
                </c:pt>
                <c:pt idx="2395">
                  <c:v>11646.64914456039</c:v>
                </c:pt>
                <c:pt idx="2396">
                  <c:v>11649.634396630385</c:v>
                </c:pt>
                <c:pt idx="2397">
                  <c:v>11637.481712712952</c:v>
                </c:pt>
                <c:pt idx="2398">
                  <c:v>11629.377845504503</c:v>
                </c:pt>
                <c:pt idx="2399">
                  <c:v>11638.218549110159</c:v>
                </c:pt>
                <c:pt idx="2400">
                  <c:v>11659.993604714959</c:v>
                </c:pt>
                <c:pt idx="2401">
                  <c:v>11660.818486709044</c:v>
                </c:pt>
                <c:pt idx="2402">
                  <c:v>11663.401694117641</c:v>
                </c:pt>
                <c:pt idx="2403">
                  <c:v>11676.125857588506</c:v>
                </c:pt>
                <c:pt idx="2404">
                  <c:v>11699.426924236894</c:v>
                </c:pt>
                <c:pt idx="2405">
                  <c:v>11708.435917113737</c:v>
                </c:pt>
                <c:pt idx="2406">
                  <c:v>11774.60397330159</c:v>
                </c:pt>
                <c:pt idx="2407">
                  <c:v>11751.414952952848</c:v>
                </c:pt>
                <c:pt idx="2408">
                  <c:v>11747.081617461394</c:v>
                </c:pt>
                <c:pt idx="2409">
                  <c:v>11733.952264834699</c:v>
                </c:pt>
                <c:pt idx="2410">
                  <c:v>11709.767072725404</c:v>
                </c:pt>
                <c:pt idx="2411">
                  <c:v>11694.884758734152</c:v>
                </c:pt>
                <c:pt idx="2412">
                  <c:v>11712.60954224631</c:v>
                </c:pt>
                <c:pt idx="2413">
                  <c:v>11756.496368320522</c:v>
                </c:pt>
                <c:pt idx="2414">
                  <c:v>11814.005815512939</c:v>
                </c:pt>
                <c:pt idx="2415">
                  <c:v>11886.765315096001</c:v>
                </c:pt>
                <c:pt idx="2416">
                  <c:v>11962.658244171002</c:v>
                </c:pt>
                <c:pt idx="2417">
                  <c:v>12032.984364604248</c:v>
                </c:pt>
                <c:pt idx="2418">
                  <c:v>12098.214546108195</c:v>
                </c:pt>
                <c:pt idx="2419">
                  <c:v>12160.344185636381</c:v>
                </c:pt>
                <c:pt idx="2420">
                  <c:v>12167.870238410311</c:v>
                </c:pt>
                <c:pt idx="2421">
                  <c:v>12191.352912698252</c:v>
                </c:pt>
                <c:pt idx="2422">
                  <c:v>12229.852290362083</c:v>
                </c:pt>
                <c:pt idx="2423">
                  <c:v>12270.104973084211</c:v>
                </c:pt>
                <c:pt idx="2424">
                  <c:v>12304.290539632691</c:v>
                </c:pt>
                <c:pt idx="2425">
                  <c:v>12321.546704509346</c:v>
                </c:pt>
                <c:pt idx="2426">
                  <c:v>12272.750632394871</c:v>
                </c:pt>
                <c:pt idx="2427">
                  <c:v>12229.034478102047</c:v>
                </c:pt>
                <c:pt idx="2428">
                  <c:v>12211.846905224207</c:v>
                </c:pt>
                <c:pt idx="2429">
                  <c:v>12165.080628338992</c:v>
                </c:pt>
                <c:pt idx="2430">
                  <c:v>12102.230972552035</c:v>
                </c:pt>
                <c:pt idx="2431">
                  <c:v>12067.580718018917</c:v>
                </c:pt>
                <c:pt idx="2432">
                  <c:v>12043.370162993149</c:v>
                </c:pt>
                <c:pt idx="2433">
                  <c:v>12039.044096685071</c:v>
                </c:pt>
                <c:pt idx="2434">
                  <c:v>12046.734052418731</c:v>
                </c:pt>
                <c:pt idx="2435">
                  <c:v>12096.715327687934</c:v>
                </c:pt>
                <c:pt idx="2436">
                  <c:v>12175.357410250454</c:v>
                </c:pt>
                <c:pt idx="2437">
                  <c:v>12300.476596859864</c:v>
                </c:pt>
                <c:pt idx="2438">
                  <c:v>12452.59750388648</c:v>
                </c:pt>
                <c:pt idx="2439">
                  <c:v>12607.691880362107</c:v>
                </c:pt>
                <c:pt idx="2440">
                  <c:v>12719.972572678358</c:v>
                </c:pt>
                <c:pt idx="2441">
                  <c:v>12823.450218075988</c:v>
                </c:pt>
                <c:pt idx="2442">
                  <c:v>12948.914160224875</c:v>
                </c:pt>
                <c:pt idx="2443">
                  <c:v>13071.071789470469</c:v>
                </c:pt>
                <c:pt idx="2444">
                  <c:v>13144.890938843497</c:v>
                </c:pt>
                <c:pt idx="2445">
                  <c:v>13224.215498438902</c:v>
                </c:pt>
                <c:pt idx="2446">
                  <c:v>13305.629836451439</c:v>
                </c:pt>
                <c:pt idx="2447">
                  <c:v>13389.958380534828</c:v>
                </c:pt>
                <c:pt idx="2448">
                  <c:v>13434.49835404823</c:v>
                </c:pt>
                <c:pt idx="2449">
                  <c:v>13473.452313239322</c:v>
                </c:pt>
                <c:pt idx="2450">
                  <c:v>13483.706326285253</c:v>
                </c:pt>
                <c:pt idx="2451">
                  <c:v>13486.472488850066</c:v>
                </c:pt>
                <c:pt idx="2452">
                  <c:v>13460.856288898953</c:v>
                </c:pt>
                <c:pt idx="2453">
                  <c:v>13430.460841681061</c:v>
                </c:pt>
                <c:pt idx="2454">
                  <c:v>13403.936568154793</c:v>
                </c:pt>
                <c:pt idx="2455">
                  <c:v>13410.378509809165</c:v>
                </c:pt>
                <c:pt idx="2456">
                  <c:v>13426.126517587954</c:v>
                </c:pt>
                <c:pt idx="2457">
                  <c:v>13491.301594983815</c:v>
                </c:pt>
                <c:pt idx="2458">
                  <c:v>13546.941073927148</c:v>
                </c:pt>
                <c:pt idx="2459">
                  <c:v>13608.049720420078</c:v>
                </c:pt>
                <c:pt idx="2460">
                  <c:v>13660.291526123639</c:v>
                </c:pt>
                <c:pt idx="2461">
                  <c:v>13703.538369304581</c:v>
                </c:pt>
                <c:pt idx="2462">
                  <c:v>13773.283400082484</c:v>
                </c:pt>
                <c:pt idx="2463">
                  <c:v>13846.920410961013</c:v>
                </c:pt>
                <c:pt idx="2464">
                  <c:v>13895.78989431879</c:v>
                </c:pt>
                <c:pt idx="2465">
                  <c:v>13883.731283031308</c:v>
                </c:pt>
                <c:pt idx="2466">
                  <c:v>13883.424443718146</c:v>
                </c:pt>
                <c:pt idx="2467">
                  <c:v>13904.628438486719</c:v>
                </c:pt>
                <c:pt idx="2468">
                  <c:v>13917.071611463736</c:v>
                </c:pt>
                <c:pt idx="2469">
                  <c:v>13958.826055971233</c:v>
                </c:pt>
                <c:pt idx="2470">
                  <c:v>13993.662710677152</c:v>
                </c:pt>
                <c:pt idx="2471">
                  <c:v>14043.456986286677</c:v>
                </c:pt>
                <c:pt idx="2472">
                  <c:v>14077.531920913283</c:v>
                </c:pt>
                <c:pt idx="2473">
                  <c:v>14133.572293186815</c:v>
                </c:pt>
                <c:pt idx="2474">
                  <c:v>14204.802845390417</c:v>
                </c:pt>
                <c:pt idx="2475">
                  <c:v>14257.099642785835</c:v>
                </c:pt>
                <c:pt idx="2476">
                  <c:v>14298.966459257314</c:v>
                </c:pt>
                <c:pt idx="2477">
                  <c:v>14386.384749139916</c:v>
                </c:pt>
                <c:pt idx="2478">
                  <c:v>14488.467033335301</c:v>
                </c:pt>
                <c:pt idx="2479">
                  <c:v>14592.595844458538</c:v>
                </c:pt>
                <c:pt idx="2480">
                  <c:v>14680.654178722674</c:v>
                </c:pt>
                <c:pt idx="2481">
                  <c:v>14759.781812796502</c:v>
                </c:pt>
                <c:pt idx="2482">
                  <c:v>14802.800136125083</c:v>
                </c:pt>
                <c:pt idx="2483">
                  <c:v>14821.673205975188</c:v>
                </c:pt>
                <c:pt idx="2484">
                  <c:v>14869.062571906214</c:v>
                </c:pt>
                <c:pt idx="2485">
                  <c:v>14872.489663611283</c:v>
                </c:pt>
                <c:pt idx="2486">
                  <c:v>14863.324289594966</c:v>
                </c:pt>
                <c:pt idx="2487">
                  <c:v>14827.06956969527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'Bollinger Bands'!$K$20</c:f>
              <c:strCache>
                <c:ptCount val="1"/>
                <c:pt idx="0">
                  <c:v>Lower Band</c:v>
                </c:pt>
              </c:strCache>
            </c:strRef>
          </c:tx>
          <c:marker>
            <c:symbol val="none"/>
          </c:marker>
          <c:val>
            <c:numRef>
              <c:f>'Bollinger Bands'!$K$21:$K$2508</c:f>
              <c:numCache>
                <c:formatCode>General</c:formatCode>
                <c:ptCount val="2488"/>
                <c:pt idx="0">
                  <c:v>5855.225691253785</c:v>
                </c:pt>
                <c:pt idx="1">
                  <c:v>5822.1183095699735</c:v>
                </c:pt>
                <c:pt idx="2">
                  <c:v>5778.634531976073</c:v>
                </c:pt>
                <c:pt idx="3">
                  <c:v>5733.1851795578186</c:v>
                </c:pt>
                <c:pt idx="4">
                  <c:v>5710.7765752629839</c:v>
                </c:pt>
                <c:pt idx="5">
                  <c:v>5692.9712023945203</c:v>
                </c:pt>
                <c:pt idx="6">
                  <c:v>5685.2015657154043</c:v>
                </c:pt>
                <c:pt idx="7">
                  <c:v>5682.0017687343316</c:v>
                </c:pt>
                <c:pt idx="8">
                  <c:v>5678.8992078183956</c:v>
                </c:pt>
                <c:pt idx="9">
                  <c:v>5687.1681899105715</c:v>
                </c:pt>
                <c:pt idx="10">
                  <c:v>5697.9910972725265</c:v>
                </c:pt>
                <c:pt idx="11">
                  <c:v>5714.9247451715137</c:v>
                </c:pt>
                <c:pt idx="12">
                  <c:v>5716.8709769838733</c:v>
                </c:pt>
                <c:pt idx="13">
                  <c:v>5729.0762638224205</c:v>
                </c:pt>
                <c:pt idx="14">
                  <c:v>5732.2960780892972</c:v>
                </c:pt>
                <c:pt idx="15">
                  <c:v>5747.9874985171527</c:v>
                </c:pt>
                <c:pt idx="16">
                  <c:v>5746.9912526278913</c:v>
                </c:pt>
                <c:pt idx="17">
                  <c:v>5748.9855299161218</c:v>
                </c:pt>
                <c:pt idx="18">
                  <c:v>5750.8862585649758</c:v>
                </c:pt>
                <c:pt idx="19">
                  <c:v>5751.6494273207018</c:v>
                </c:pt>
                <c:pt idx="20">
                  <c:v>5750.7467115284244</c:v>
                </c:pt>
                <c:pt idx="21">
                  <c:v>5754.9276999673866</c:v>
                </c:pt>
                <c:pt idx="22">
                  <c:v>5769.7901770176122</c:v>
                </c:pt>
                <c:pt idx="23">
                  <c:v>5802.3978122959425</c:v>
                </c:pt>
                <c:pt idx="24">
                  <c:v>5818.5268409933569</c:v>
                </c:pt>
                <c:pt idx="25">
                  <c:v>5825.2576779814926</c:v>
                </c:pt>
                <c:pt idx="26">
                  <c:v>5817.0997527514501</c:v>
                </c:pt>
                <c:pt idx="27">
                  <c:v>5805.550690344342</c:v>
                </c:pt>
                <c:pt idx="28">
                  <c:v>5793.6406008398071</c:v>
                </c:pt>
                <c:pt idx="29">
                  <c:v>5786.5657221685369</c:v>
                </c:pt>
                <c:pt idx="30">
                  <c:v>5787.4288123639717</c:v>
                </c:pt>
                <c:pt idx="31">
                  <c:v>5797.4522633992528</c:v>
                </c:pt>
                <c:pt idx="32">
                  <c:v>5830.0578310035335</c:v>
                </c:pt>
                <c:pt idx="33">
                  <c:v>5804.6589807329638</c:v>
                </c:pt>
                <c:pt idx="34">
                  <c:v>5771.3049085656066</c:v>
                </c:pt>
                <c:pt idx="35">
                  <c:v>5760.6734061658153</c:v>
                </c:pt>
                <c:pt idx="36">
                  <c:v>5733.4144490083818</c:v>
                </c:pt>
                <c:pt idx="37">
                  <c:v>5678.8345060212314</c:v>
                </c:pt>
                <c:pt idx="38">
                  <c:v>5632.1102709855204</c:v>
                </c:pt>
                <c:pt idx="39">
                  <c:v>5603.5228189634672</c:v>
                </c:pt>
                <c:pt idx="40">
                  <c:v>5572.0569512362708</c:v>
                </c:pt>
                <c:pt idx="41">
                  <c:v>5547.3684034931475</c:v>
                </c:pt>
                <c:pt idx="42">
                  <c:v>5522.8684792913718</c:v>
                </c:pt>
                <c:pt idx="43">
                  <c:v>5507.6009941872935</c:v>
                </c:pt>
                <c:pt idx="44">
                  <c:v>5486.5809274279709</c:v>
                </c:pt>
                <c:pt idx="45">
                  <c:v>5458.0830997022713</c:v>
                </c:pt>
                <c:pt idx="46">
                  <c:v>5421.6150083569337</c:v>
                </c:pt>
                <c:pt idx="47">
                  <c:v>5397.5962437278695</c:v>
                </c:pt>
                <c:pt idx="48">
                  <c:v>5370.0838155080182</c:v>
                </c:pt>
                <c:pt idx="49">
                  <c:v>5359.7881618134525</c:v>
                </c:pt>
                <c:pt idx="50">
                  <c:v>5369.7776089428544</c:v>
                </c:pt>
                <c:pt idx="51">
                  <c:v>5362.8160463648901</c:v>
                </c:pt>
                <c:pt idx="52">
                  <c:v>5342.4014235504183</c:v>
                </c:pt>
                <c:pt idx="53">
                  <c:v>5295.6039580853158</c:v>
                </c:pt>
                <c:pt idx="54">
                  <c:v>5242.4673344692101</c:v>
                </c:pt>
                <c:pt idx="55">
                  <c:v>5204.1286302352764</c:v>
                </c:pt>
                <c:pt idx="56">
                  <c:v>5181.2556741223798</c:v>
                </c:pt>
                <c:pt idx="57">
                  <c:v>5175.9474815943477</c:v>
                </c:pt>
                <c:pt idx="58">
                  <c:v>5173.7717162025319</c:v>
                </c:pt>
                <c:pt idx="59">
                  <c:v>5178.2553472919071</c:v>
                </c:pt>
                <c:pt idx="60">
                  <c:v>5183.9369984947725</c:v>
                </c:pt>
                <c:pt idx="61">
                  <c:v>5190.8187878672634</c:v>
                </c:pt>
                <c:pt idx="62">
                  <c:v>5201.1995292589663</c:v>
                </c:pt>
                <c:pt idx="63">
                  <c:v>5222.8652017519489</c:v>
                </c:pt>
                <c:pt idx="64">
                  <c:v>5239.940395236973</c:v>
                </c:pt>
                <c:pt idx="65">
                  <c:v>5224.6857262478707</c:v>
                </c:pt>
                <c:pt idx="66">
                  <c:v>5212.7068491072123</c:v>
                </c:pt>
                <c:pt idx="67">
                  <c:v>5206.7405266187652</c:v>
                </c:pt>
                <c:pt idx="68">
                  <c:v>5204.5926444680217</c:v>
                </c:pt>
                <c:pt idx="69">
                  <c:v>5201.7658992537436</c:v>
                </c:pt>
                <c:pt idx="70">
                  <c:v>5200.9118278864498</c:v>
                </c:pt>
                <c:pt idx="71">
                  <c:v>5203.2234853091522</c:v>
                </c:pt>
                <c:pt idx="72">
                  <c:v>5204.5745304682641</c:v>
                </c:pt>
                <c:pt idx="73">
                  <c:v>5216.6186111191191</c:v>
                </c:pt>
                <c:pt idx="74">
                  <c:v>5244.3974648177209</c:v>
                </c:pt>
                <c:pt idx="75">
                  <c:v>5283.8378671690934</c:v>
                </c:pt>
                <c:pt idx="76">
                  <c:v>5306.2387247444758</c:v>
                </c:pt>
                <c:pt idx="77">
                  <c:v>5305.8076321644357</c:v>
                </c:pt>
                <c:pt idx="78">
                  <c:v>5306.1713221019154</c:v>
                </c:pt>
                <c:pt idx="79">
                  <c:v>5304.2931414994891</c:v>
                </c:pt>
                <c:pt idx="80">
                  <c:v>5295.2831735033587</c:v>
                </c:pt>
                <c:pt idx="81">
                  <c:v>5285.3712694142459</c:v>
                </c:pt>
                <c:pt idx="82">
                  <c:v>5282.2743721589932</c:v>
                </c:pt>
                <c:pt idx="83">
                  <c:v>5282.4473429416012</c:v>
                </c:pt>
                <c:pt idx="84">
                  <c:v>5283.5155499562234</c:v>
                </c:pt>
                <c:pt idx="85">
                  <c:v>5304.853920714907</c:v>
                </c:pt>
                <c:pt idx="86">
                  <c:v>5317.4186980122167</c:v>
                </c:pt>
                <c:pt idx="87">
                  <c:v>5321.8218770695012</c:v>
                </c:pt>
                <c:pt idx="88">
                  <c:v>5298.2193987754863</c:v>
                </c:pt>
                <c:pt idx="89">
                  <c:v>5274.0765689665386</c:v>
                </c:pt>
                <c:pt idx="90">
                  <c:v>5259.0824296786141</c:v>
                </c:pt>
                <c:pt idx="91">
                  <c:v>5245.086923300506</c:v>
                </c:pt>
                <c:pt idx="92">
                  <c:v>5233.8446861907241</c:v>
                </c:pt>
                <c:pt idx="93">
                  <c:v>5230.0800139741968</c:v>
                </c:pt>
                <c:pt idx="94">
                  <c:v>5235.5500733964445</c:v>
                </c:pt>
                <c:pt idx="95">
                  <c:v>5255.2134882105738</c:v>
                </c:pt>
                <c:pt idx="96">
                  <c:v>5268.0059250082222</c:v>
                </c:pt>
                <c:pt idx="97">
                  <c:v>5290.2528253570663</c:v>
                </c:pt>
                <c:pt idx="98">
                  <c:v>5310.695235654709</c:v>
                </c:pt>
                <c:pt idx="99">
                  <c:v>5343.9408491255126</c:v>
                </c:pt>
                <c:pt idx="100">
                  <c:v>5399.279355458284</c:v>
                </c:pt>
                <c:pt idx="101">
                  <c:v>5469.4949127414957</c:v>
                </c:pt>
                <c:pt idx="102">
                  <c:v>5538.6243862533847</c:v>
                </c:pt>
                <c:pt idx="103">
                  <c:v>5601.676921732299</c:v>
                </c:pt>
                <c:pt idx="104">
                  <c:v>5666.920687454849</c:v>
                </c:pt>
                <c:pt idx="105">
                  <c:v>5697.4720347245966</c:v>
                </c:pt>
                <c:pt idx="106">
                  <c:v>5718.3616751525915</c:v>
                </c:pt>
                <c:pt idx="107">
                  <c:v>5721.2362596587327</c:v>
                </c:pt>
                <c:pt idx="108">
                  <c:v>5703.5328240979725</c:v>
                </c:pt>
                <c:pt idx="109">
                  <c:v>5643.2946273448497</c:v>
                </c:pt>
                <c:pt idx="110">
                  <c:v>5588.4820685467521</c:v>
                </c:pt>
                <c:pt idx="111">
                  <c:v>5522.7760632006521</c:v>
                </c:pt>
                <c:pt idx="112">
                  <c:v>5492.8956027496024</c:v>
                </c:pt>
                <c:pt idx="113">
                  <c:v>5467.0641599343289</c:v>
                </c:pt>
                <c:pt idx="114">
                  <c:v>5443.5357934399899</c:v>
                </c:pt>
                <c:pt idx="115">
                  <c:v>5425.8388529408348</c:v>
                </c:pt>
                <c:pt idx="116">
                  <c:v>5395.5543159224062</c:v>
                </c:pt>
                <c:pt idx="117">
                  <c:v>5386.6422281089808</c:v>
                </c:pt>
                <c:pt idx="118">
                  <c:v>5367.509452918529</c:v>
                </c:pt>
                <c:pt idx="119">
                  <c:v>5338.0817244519803</c:v>
                </c:pt>
                <c:pt idx="120">
                  <c:v>5308.8430700488534</c:v>
                </c:pt>
                <c:pt idx="121">
                  <c:v>5291.7768549166012</c:v>
                </c:pt>
                <c:pt idx="122">
                  <c:v>5293.7020470191146</c:v>
                </c:pt>
                <c:pt idx="123">
                  <c:v>5286.2920137764695</c:v>
                </c:pt>
                <c:pt idx="124">
                  <c:v>5289.7224332059732</c:v>
                </c:pt>
                <c:pt idx="125">
                  <c:v>5289.3523073637998</c:v>
                </c:pt>
                <c:pt idx="126">
                  <c:v>5301.8590267828067</c:v>
                </c:pt>
                <c:pt idx="127">
                  <c:v>5324.6755097802734</c:v>
                </c:pt>
                <c:pt idx="128">
                  <c:v>5346.6629177142313</c:v>
                </c:pt>
                <c:pt idx="129">
                  <c:v>5343.8071631415769</c:v>
                </c:pt>
                <c:pt idx="130">
                  <c:v>5343.1697779768092</c:v>
                </c:pt>
                <c:pt idx="131">
                  <c:v>5345.4452716502965</c:v>
                </c:pt>
                <c:pt idx="132">
                  <c:v>5346.2373811283042</c:v>
                </c:pt>
                <c:pt idx="133">
                  <c:v>5345.9337195310181</c:v>
                </c:pt>
                <c:pt idx="134">
                  <c:v>5346.3718770917094</c:v>
                </c:pt>
                <c:pt idx="135">
                  <c:v>5348.5110808293339</c:v>
                </c:pt>
                <c:pt idx="136">
                  <c:v>5348.4971946844225</c:v>
                </c:pt>
                <c:pt idx="137">
                  <c:v>5349.0118178176172</c:v>
                </c:pt>
                <c:pt idx="138">
                  <c:v>5349.0291428919609</c:v>
                </c:pt>
                <c:pt idx="139">
                  <c:v>5349.9304962631486</c:v>
                </c:pt>
                <c:pt idx="140">
                  <c:v>5346.090481565453</c:v>
                </c:pt>
                <c:pt idx="141">
                  <c:v>5335.5124591631466</c:v>
                </c:pt>
                <c:pt idx="142">
                  <c:v>5294.113280728242</c:v>
                </c:pt>
                <c:pt idx="143">
                  <c:v>5271.6845455797611</c:v>
                </c:pt>
                <c:pt idx="144">
                  <c:v>5250.9637976580343</c:v>
                </c:pt>
                <c:pt idx="145">
                  <c:v>5246.033029877678</c:v>
                </c:pt>
                <c:pt idx="146">
                  <c:v>5249.4748874943443</c:v>
                </c:pt>
                <c:pt idx="147">
                  <c:v>5249.4507250611541</c:v>
                </c:pt>
                <c:pt idx="148">
                  <c:v>5249.1213019734796</c:v>
                </c:pt>
                <c:pt idx="149">
                  <c:v>5248.3647211056277</c:v>
                </c:pt>
                <c:pt idx="150">
                  <c:v>5240.1215116253215</c:v>
                </c:pt>
                <c:pt idx="151">
                  <c:v>5234.7936701134831</c:v>
                </c:pt>
                <c:pt idx="152">
                  <c:v>5228.2339575615524</c:v>
                </c:pt>
                <c:pt idx="153">
                  <c:v>5224.4775587646445</c:v>
                </c:pt>
                <c:pt idx="154">
                  <c:v>5221.6932268322489</c:v>
                </c:pt>
                <c:pt idx="155">
                  <c:v>5210.0887685283533</c:v>
                </c:pt>
                <c:pt idx="156">
                  <c:v>5209.1836744484972</c:v>
                </c:pt>
                <c:pt idx="157">
                  <c:v>5211.6606564979966</c:v>
                </c:pt>
                <c:pt idx="158">
                  <c:v>5212.8717985500925</c:v>
                </c:pt>
                <c:pt idx="159">
                  <c:v>5219.4775986773429</c:v>
                </c:pt>
                <c:pt idx="160">
                  <c:v>5230.6442536640043</c:v>
                </c:pt>
                <c:pt idx="161">
                  <c:v>5249.9122576967447</c:v>
                </c:pt>
                <c:pt idx="162">
                  <c:v>5296.6368622146065</c:v>
                </c:pt>
                <c:pt idx="163">
                  <c:v>5347.5659125586699</c:v>
                </c:pt>
                <c:pt idx="164">
                  <c:v>5408.9258943977657</c:v>
                </c:pt>
                <c:pt idx="165">
                  <c:v>5469.3035381069085</c:v>
                </c:pt>
                <c:pt idx="166">
                  <c:v>5490.1056515165346</c:v>
                </c:pt>
                <c:pt idx="167">
                  <c:v>5497.7425752389981</c:v>
                </c:pt>
                <c:pt idx="168">
                  <c:v>5501.9728711113903</c:v>
                </c:pt>
                <c:pt idx="169">
                  <c:v>5495.7846708112029</c:v>
                </c:pt>
                <c:pt idx="170">
                  <c:v>5477.7737672888788</c:v>
                </c:pt>
                <c:pt idx="171">
                  <c:v>5460.8040148519731</c:v>
                </c:pt>
                <c:pt idx="172">
                  <c:v>5453.3217322150513</c:v>
                </c:pt>
                <c:pt idx="173">
                  <c:v>5434.9196320930851</c:v>
                </c:pt>
                <c:pt idx="174">
                  <c:v>5406.8507311212934</c:v>
                </c:pt>
                <c:pt idx="175">
                  <c:v>5374.7755054930903</c:v>
                </c:pt>
                <c:pt idx="176">
                  <c:v>5304.7641618442958</c:v>
                </c:pt>
                <c:pt idx="177">
                  <c:v>5219.6589241525862</c:v>
                </c:pt>
                <c:pt idx="178">
                  <c:v>5139.0007404049302</c:v>
                </c:pt>
                <c:pt idx="179">
                  <c:v>5094.476239444155</c:v>
                </c:pt>
                <c:pt idx="180">
                  <c:v>5050.6514120549973</c:v>
                </c:pt>
                <c:pt idx="181">
                  <c:v>4999.7036426518471</c:v>
                </c:pt>
                <c:pt idx="182">
                  <c:v>4948.1415657419302</c:v>
                </c:pt>
                <c:pt idx="183">
                  <c:v>4911.3617810885416</c:v>
                </c:pt>
                <c:pt idx="184">
                  <c:v>4856.1910257439249</c:v>
                </c:pt>
                <c:pt idx="185">
                  <c:v>4787.383212923658</c:v>
                </c:pt>
                <c:pt idx="186">
                  <c:v>4749.4295158206487</c:v>
                </c:pt>
                <c:pt idx="187">
                  <c:v>4738.3314013297158</c:v>
                </c:pt>
                <c:pt idx="188">
                  <c:v>4714.354403162788</c:v>
                </c:pt>
                <c:pt idx="189">
                  <c:v>4688.6245161105053</c:v>
                </c:pt>
                <c:pt idx="190">
                  <c:v>4648.4429891106265</c:v>
                </c:pt>
                <c:pt idx="191">
                  <c:v>4648.5115599403543</c:v>
                </c:pt>
                <c:pt idx="192">
                  <c:v>4673.8184727853477</c:v>
                </c:pt>
                <c:pt idx="193">
                  <c:v>4703.2604803695112</c:v>
                </c:pt>
                <c:pt idx="194">
                  <c:v>4733.7324313034396</c:v>
                </c:pt>
                <c:pt idx="195">
                  <c:v>4761.5210975755799</c:v>
                </c:pt>
                <c:pt idx="196">
                  <c:v>4770.4100173013439</c:v>
                </c:pt>
                <c:pt idx="197">
                  <c:v>4767.7259856139372</c:v>
                </c:pt>
                <c:pt idx="198">
                  <c:v>4767.8875256566052</c:v>
                </c:pt>
                <c:pt idx="199">
                  <c:v>4769.539838460656</c:v>
                </c:pt>
                <c:pt idx="200">
                  <c:v>4770.9150830021754</c:v>
                </c:pt>
                <c:pt idx="201">
                  <c:v>4772.0612513813066</c:v>
                </c:pt>
                <c:pt idx="202">
                  <c:v>4770.7416542183482</c:v>
                </c:pt>
                <c:pt idx="203">
                  <c:v>4769.4947843601522</c:v>
                </c:pt>
                <c:pt idx="204">
                  <c:v>4773.1597554085602</c:v>
                </c:pt>
                <c:pt idx="205">
                  <c:v>4786.8520073707468</c:v>
                </c:pt>
                <c:pt idx="206">
                  <c:v>4795.4540925732781</c:v>
                </c:pt>
                <c:pt idx="207">
                  <c:v>4792.4124071457809</c:v>
                </c:pt>
                <c:pt idx="208">
                  <c:v>4788.7100965308737</c:v>
                </c:pt>
                <c:pt idx="209">
                  <c:v>4787.8157090111044</c:v>
                </c:pt>
                <c:pt idx="210">
                  <c:v>4834.6947305311351</c:v>
                </c:pt>
                <c:pt idx="211">
                  <c:v>4838.6095249876143</c:v>
                </c:pt>
                <c:pt idx="212">
                  <c:v>4839.5115560065906</c:v>
                </c:pt>
                <c:pt idx="213">
                  <c:v>4831.8452449981251</c:v>
                </c:pt>
                <c:pt idx="214">
                  <c:v>4809.1612337172082</c:v>
                </c:pt>
                <c:pt idx="215">
                  <c:v>4770.8426288301889</c:v>
                </c:pt>
                <c:pt idx="216">
                  <c:v>4736.9947480860947</c:v>
                </c:pt>
                <c:pt idx="217">
                  <c:v>4737.0393334689134</c:v>
                </c:pt>
                <c:pt idx="218">
                  <c:v>4737.7901860988104</c:v>
                </c:pt>
                <c:pt idx="219">
                  <c:v>4739.049383907738</c:v>
                </c:pt>
                <c:pt idx="220">
                  <c:v>4738.056962284335</c:v>
                </c:pt>
                <c:pt idx="221">
                  <c:v>4736.5911763710974</c:v>
                </c:pt>
                <c:pt idx="222">
                  <c:v>4732.5926627045756</c:v>
                </c:pt>
                <c:pt idx="223">
                  <c:v>4730.4314548626071</c:v>
                </c:pt>
                <c:pt idx="224">
                  <c:v>4730.4097034697761</c:v>
                </c:pt>
                <c:pt idx="225">
                  <c:v>4730.5094611468239</c:v>
                </c:pt>
                <c:pt idx="226">
                  <c:v>4733.5570802763323</c:v>
                </c:pt>
                <c:pt idx="227">
                  <c:v>4738.4250335879879</c:v>
                </c:pt>
                <c:pt idx="228">
                  <c:v>4749.8995826241071</c:v>
                </c:pt>
                <c:pt idx="229">
                  <c:v>4762.717572273702</c:v>
                </c:pt>
                <c:pt idx="230">
                  <c:v>4736.1075655036948</c:v>
                </c:pt>
                <c:pt idx="231">
                  <c:v>4728.4565639415587</c:v>
                </c:pt>
                <c:pt idx="232">
                  <c:v>4727.0312347473164</c:v>
                </c:pt>
                <c:pt idx="233">
                  <c:v>4735.6318556087535</c:v>
                </c:pt>
                <c:pt idx="234">
                  <c:v>4763.1464563395311</c:v>
                </c:pt>
                <c:pt idx="235">
                  <c:v>4815.3261170531168</c:v>
                </c:pt>
                <c:pt idx="236">
                  <c:v>4887.4569408018851</c:v>
                </c:pt>
                <c:pt idx="237">
                  <c:v>4932.7591668297609</c:v>
                </c:pt>
                <c:pt idx="238">
                  <c:v>4958.9838217344713</c:v>
                </c:pt>
                <c:pt idx="239">
                  <c:v>4988.4889300436207</c:v>
                </c:pt>
                <c:pt idx="240">
                  <c:v>4983.7196995292761</c:v>
                </c:pt>
                <c:pt idx="241">
                  <c:v>4975.1232855150593</c:v>
                </c:pt>
                <c:pt idx="242">
                  <c:v>4938.4823555826833</c:v>
                </c:pt>
                <c:pt idx="243">
                  <c:v>4900.2310982862855</c:v>
                </c:pt>
                <c:pt idx="244">
                  <c:v>4840.0797063417494</c:v>
                </c:pt>
                <c:pt idx="245">
                  <c:v>4789.4882057679724</c:v>
                </c:pt>
                <c:pt idx="246">
                  <c:v>4721.2879469547452</c:v>
                </c:pt>
                <c:pt idx="247">
                  <c:v>4665.6189305320049</c:v>
                </c:pt>
                <c:pt idx="248">
                  <c:v>4640.0324832248571</c:v>
                </c:pt>
                <c:pt idx="249">
                  <c:v>4607.8098619331759</c:v>
                </c:pt>
                <c:pt idx="250">
                  <c:v>4593.9727289692282</c:v>
                </c:pt>
                <c:pt idx="251">
                  <c:v>4595.3015373556937</c:v>
                </c:pt>
                <c:pt idx="252">
                  <c:v>4600.47616467432</c:v>
                </c:pt>
                <c:pt idx="253">
                  <c:v>4607.2692878679882</c:v>
                </c:pt>
                <c:pt idx="254">
                  <c:v>4617.3582774196238</c:v>
                </c:pt>
                <c:pt idx="255">
                  <c:v>4629.1408207168142</c:v>
                </c:pt>
                <c:pt idx="256">
                  <c:v>4642.6244397177979</c:v>
                </c:pt>
                <c:pt idx="257">
                  <c:v>4639.8176195345068</c:v>
                </c:pt>
                <c:pt idx="258">
                  <c:v>4642.3636828150384</c:v>
                </c:pt>
                <c:pt idx="259">
                  <c:v>4643.5680671997816</c:v>
                </c:pt>
                <c:pt idx="260">
                  <c:v>4636.7990585913203</c:v>
                </c:pt>
                <c:pt idx="261">
                  <c:v>4612.1991970750641</c:v>
                </c:pt>
                <c:pt idx="262">
                  <c:v>4577.8437539618717</c:v>
                </c:pt>
                <c:pt idx="263">
                  <c:v>4531.9443227602596</c:v>
                </c:pt>
                <c:pt idx="264">
                  <c:v>4522.8879723777354</c:v>
                </c:pt>
                <c:pt idx="265">
                  <c:v>4516.9759232296983</c:v>
                </c:pt>
                <c:pt idx="266">
                  <c:v>4517.8806635069941</c:v>
                </c:pt>
                <c:pt idx="267">
                  <c:v>4522.1827469561167</c:v>
                </c:pt>
                <c:pt idx="268">
                  <c:v>4512.1413316602584</c:v>
                </c:pt>
                <c:pt idx="269">
                  <c:v>4496.064548050671</c:v>
                </c:pt>
                <c:pt idx="270">
                  <c:v>4477.0290711784328</c:v>
                </c:pt>
                <c:pt idx="271">
                  <c:v>4477.186347207873</c:v>
                </c:pt>
                <c:pt idx="272">
                  <c:v>4492.123401856159</c:v>
                </c:pt>
                <c:pt idx="273">
                  <c:v>4512.540811178058</c:v>
                </c:pt>
                <c:pt idx="274">
                  <c:v>4551.5564709443124</c:v>
                </c:pt>
                <c:pt idx="275">
                  <c:v>4572.6415487200666</c:v>
                </c:pt>
                <c:pt idx="276">
                  <c:v>4575.2681161670471</c:v>
                </c:pt>
                <c:pt idx="277">
                  <c:v>4567.5434443809672</c:v>
                </c:pt>
                <c:pt idx="278">
                  <c:v>4565.2941892743029</c:v>
                </c:pt>
                <c:pt idx="279">
                  <c:v>4558.9483629578217</c:v>
                </c:pt>
                <c:pt idx="280">
                  <c:v>4553.5690761239985</c:v>
                </c:pt>
                <c:pt idx="281">
                  <c:v>4546.8616610059289</c:v>
                </c:pt>
                <c:pt idx="282">
                  <c:v>4555.6851291428302</c:v>
                </c:pt>
                <c:pt idx="283">
                  <c:v>4579.154104453326</c:v>
                </c:pt>
                <c:pt idx="284">
                  <c:v>4573.864001092843</c:v>
                </c:pt>
                <c:pt idx="285">
                  <c:v>4570.2920662489551</c:v>
                </c:pt>
                <c:pt idx="286">
                  <c:v>4563.7221512829346</c:v>
                </c:pt>
                <c:pt idx="287">
                  <c:v>4555.9331620154899</c:v>
                </c:pt>
                <c:pt idx="288">
                  <c:v>4556.3003644038163</c:v>
                </c:pt>
                <c:pt idx="289">
                  <c:v>4588.5430383549383</c:v>
                </c:pt>
                <c:pt idx="290">
                  <c:v>4623.555032477243</c:v>
                </c:pt>
                <c:pt idx="291">
                  <c:v>4633.1406720555842</c:v>
                </c:pt>
                <c:pt idx="292">
                  <c:v>4649.3019326375788</c:v>
                </c:pt>
                <c:pt idx="293">
                  <c:v>4667.2645304826719</c:v>
                </c:pt>
                <c:pt idx="294">
                  <c:v>4689.9465987708654</c:v>
                </c:pt>
                <c:pt idx="295">
                  <c:v>4729.1312898884162</c:v>
                </c:pt>
                <c:pt idx="296">
                  <c:v>4750.5229339141824</c:v>
                </c:pt>
                <c:pt idx="297">
                  <c:v>4772.9927789993517</c:v>
                </c:pt>
                <c:pt idx="298">
                  <c:v>4814.2225544145986</c:v>
                </c:pt>
                <c:pt idx="299">
                  <c:v>4855.7327068113373</c:v>
                </c:pt>
                <c:pt idx="300">
                  <c:v>4902.9957827250955</c:v>
                </c:pt>
                <c:pt idx="301">
                  <c:v>4923.7046842569289</c:v>
                </c:pt>
                <c:pt idx="302">
                  <c:v>4959.1700846785097</c:v>
                </c:pt>
                <c:pt idx="303">
                  <c:v>4984.389219560675</c:v>
                </c:pt>
                <c:pt idx="304">
                  <c:v>5006.9178118940181</c:v>
                </c:pt>
                <c:pt idx="305">
                  <c:v>5049.4597160156945</c:v>
                </c:pt>
                <c:pt idx="306">
                  <c:v>5080.9709653324144</c:v>
                </c:pt>
                <c:pt idx="307">
                  <c:v>5111.0960038375224</c:v>
                </c:pt>
                <c:pt idx="308">
                  <c:v>5123.4221898304559</c:v>
                </c:pt>
                <c:pt idx="309">
                  <c:v>5178.2896887801835</c:v>
                </c:pt>
                <c:pt idx="310">
                  <c:v>5208.3973305716963</c:v>
                </c:pt>
                <c:pt idx="311">
                  <c:v>5227.6202230609424</c:v>
                </c:pt>
                <c:pt idx="312">
                  <c:v>5242.6726667610019</c:v>
                </c:pt>
                <c:pt idx="313">
                  <c:v>5234.274155906247</c:v>
                </c:pt>
                <c:pt idx="314">
                  <c:v>5208.7886442933996</c:v>
                </c:pt>
                <c:pt idx="315">
                  <c:v>5188.1091115710315</c:v>
                </c:pt>
                <c:pt idx="316">
                  <c:v>5184.6274116384329</c:v>
                </c:pt>
                <c:pt idx="317">
                  <c:v>5181.2324729082111</c:v>
                </c:pt>
                <c:pt idx="318">
                  <c:v>5183.3997328410042</c:v>
                </c:pt>
                <c:pt idx="319">
                  <c:v>5185.4294331133206</c:v>
                </c:pt>
                <c:pt idx="320">
                  <c:v>5183.4364791405851</c:v>
                </c:pt>
                <c:pt idx="321">
                  <c:v>5178.2340830247595</c:v>
                </c:pt>
                <c:pt idx="322">
                  <c:v>5165.7954798503661</c:v>
                </c:pt>
                <c:pt idx="323">
                  <c:v>5165.1647237256575</c:v>
                </c:pt>
                <c:pt idx="324">
                  <c:v>5188.4976930745433</c:v>
                </c:pt>
                <c:pt idx="325">
                  <c:v>5182.1232992717123</c:v>
                </c:pt>
                <c:pt idx="326">
                  <c:v>5185.2123347987908</c:v>
                </c:pt>
                <c:pt idx="327">
                  <c:v>5167.2661531703961</c:v>
                </c:pt>
                <c:pt idx="328">
                  <c:v>5162.5140018900493</c:v>
                </c:pt>
                <c:pt idx="329">
                  <c:v>5147.2870417578179</c:v>
                </c:pt>
                <c:pt idx="330">
                  <c:v>5131.9230986817101</c:v>
                </c:pt>
                <c:pt idx="331">
                  <c:v>5131.035801891011</c:v>
                </c:pt>
                <c:pt idx="332">
                  <c:v>5131.4707209271282</c:v>
                </c:pt>
                <c:pt idx="333">
                  <c:v>5132.7068006856689</c:v>
                </c:pt>
                <c:pt idx="334">
                  <c:v>5141.0297126068026</c:v>
                </c:pt>
                <c:pt idx="335">
                  <c:v>5143.0824883937748</c:v>
                </c:pt>
                <c:pt idx="336">
                  <c:v>5137.376907041913</c:v>
                </c:pt>
                <c:pt idx="337">
                  <c:v>5130.7564053346032</c:v>
                </c:pt>
                <c:pt idx="338">
                  <c:v>5137.3357556326846</c:v>
                </c:pt>
                <c:pt idx="339">
                  <c:v>5148.9030189417781</c:v>
                </c:pt>
                <c:pt idx="340">
                  <c:v>5151.8739040712107</c:v>
                </c:pt>
                <c:pt idx="341">
                  <c:v>5152.8080894835348</c:v>
                </c:pt>
                <c:pt idx="342">
                  <c:v>5153.5147159575781</c:v>
                </c:pt>
                <c:pt idx="343">
                  <c:v>5152.0469564521854</c:v>
                </c:pt>
                <c:pt idx="344">
                  <c:v>5157.6113755930419</c:v>
                </c:pt>
                <c:pt idx="345">
                  <c:v>5153.6378352030688</c:v>
                </c:pt>
                <c:pt idx="346">
                  <c:v>5149.9491718156069</c:v>
                </c:pt>
                <c:pt idx="347">
                  <c:v>5153.1110736160654</c:v>
                </c:pt>
                <c:pt idx="348">
                  <c:v>5146.0663703006003</c:v>
                </c:pt>
                <c:pt idx="349">
                  <c:v>5145.3591106128451</c:v>
                </c:pt>
                <c:pt idx="350">
                  <c:v>5154.764823270737</c:v>
                </c:pt>
                <c:pt idx="351">
                  <c:v>5153.0868860596138</c:v>
                </c:pt>
                <c:pt idx="352">
                  <c:v>5146.7178868169667</c:v>
                </c:pt>
                <c:pt idx="353">
                  <c:v>5122.5298391582337</c:v>
                </c:pt>
                <c:pt idx="354">
                  <c:v>5107.4640516088139</c:v>
                </c:pt>
                <c:pt idx="355">
                  <c:v>5058.7063236992099</c:v>
                </c:pt>
                <c:pt idx="356">
                  <c:v>5012.9284843715805</c:v>
                </c:pt>
                <c:pt idx="357">
                  <c:v>4973.1625073723635</c:v>
                </c:pt>
                <c:pt idx="358">
                  <c:v>4931.2678589426323</c:v>
                </c:pt>
                <c:pt idx="359">
                  <c:v>4890.0328353954865</c:v>
                </c:pt>
                <c:pt idx="360">
                  <c:v>4861.9664898146975</c:v>
                </c:pt>
                <c:pt idx="361">
                  <c:v>4822.7195693157064</c:v>
                </c:pt>
                <c:pt idx="362">
                  <c:v>4794.1992272232292</c:v>
                </c:pt>
                <c:pt idx="363">
                  <c:v>4779.9890312364541</c:v>
                </c:pt>
                <c:pt idx="364">
                  <c:v>4761.8067555056969</c:v>
                </c:pt>
                <c:pt idx="365">
                  <c:v>4736.5855678089756</c:v>
                </c:pt>
                <c:pt idx="366">
                  <c:v>4730.9339960820098</c:v>
                </c:pt>
                <c:pt idx="367">
                  <c:v>4726.728314692049</c:v>
                </c:pt>
                <c:pt idx="368">
                  <c:v>4729.9875049186376</c:v>
                </c:pt>
                <c:pt idx="369">
                  <c:v>4736.1008824313176</c:v>
                </c:pt>
                <c:pt idx="370">
                  <c:v>4753.3930746333872</c:v>
                </c:pt>
                <c:pt idx="371">
                  <c:v>4777.0217307538032</c:v>
                </c:pt>
                <c:pt idx="372">
                  <c:v>4789.8957046941105</c:v>
                </c:pt>
                <c:pt idx="373">
                  <c:v>4790.2711548420975</c:v>
                </c:pt>
                <c:pt idx="374">
                  <c:v>4807.4498311758871</c:v>
                </c:pt>
                <c:pt idx="375">
                  <c:v>4807.7839755158602</c:v>
                </c:pt>
                <c:pt idx="376">
                  <c:v>4798.0672727922811</c:v>
                </c:pt>
                <c:pt idx="377">
                  <c:v>4786.8342324381274</c:v>
                </c:pt>
                <c:pt idx="378">
                  <c:v>4780.9306465298114</c:v>
                </c:pt>
                <c:pt idx="379">
                  <c:v>4769.9392969516193</c:v>
                </c:pt>
                <c:pt idx="380">
                  <c:v>4760.3241253244187</c:v>
                </c:pt>
                <c:pt idx="381">
                  <c:v>4769.4515479916545</c:v>
                </c:pt>
                <c:pt idx="382">
                  <c:v>4771.3535240695846</c:v>
                </c:pt>
                <c:pt idx="383">
                  <c:v>4779.6573613038981</c:v>
                </c:pt>
                <c:pt idx="384">
                  <c:v>4792.9067924202509</c:v>
                </c:pt>
                <c:pt idx="385">
                  <c:v>4813.7236437519086</c:v>
                </c:pt>
                <c:pt idx="386">
                  <c:v>4817.9934041205815</c:v>
                </c:pt>
                <c:pt idx="387">
                  <c:v>4827.2354468460562</c:v>
                </c:pt>
                <c:pt idx="388">
                  <c:v>4831.458679506236</c:v>
                </c:pt>
                <c:pt idx="389">
                  <c:v>4835.9201865708883</c:v>
                </c:pt>
                <c:pt idx="390">
                  <c:v>4845.7946579370946</c:v>
                </c:pt>
                <c:pt idx="391">
                  <c:v>4862.055618915695</c:v>
                </c:pt>
                <c:pt idx="392">
                  <c:v>4890.7201246153672</c:v>
                </c:pt>
                <c:pt idx="393">
                  <c:v>4928.3400826927473</c:v>
                </c:pt>
                <c:pt idx="394">
                  <c:v>4972.1485292040888</c:v>
                </c:pt>
                <c:pt idx="395">
                  <c:v>4981.932016542235</c:v>
                </c:pt>
                <c:pt idx="396">
                  <c:v>4982.7478360706882</c:v>
                </c:pt>
                <c:pt idx="397">
                  <c:v>4986.8013352591906</c:v>
                </c:pt>
                <c:pt idx="398">
                  <c:v>5000.6890613886389</c:v>
                </c:pt>
                <c:pt idx="399">
                  <c:v>5000.8378704035222</c:v>
                </c:pt>
                <c:pt idx="400">
                  <c:v>5006.7537570374216</c:v>
                </c:pt>
                <c:pt idx="401">
                  <c:v>5028.1354581797423</c:v>
                </c:pt>
                <c:pt idx="402">
                  <c:v>5035.6212849107815</c:v>
                </c:pt>
                <c:pt idx="403">
                  <c:v>5056.5382751442776</c:v>
                </c:pt>
                <c:pt idx="404">
                  <c:v>5069.8181762172262</c:v>
                </c:pt>
                <c:pt idx="405">
                  <c:v>5082.5876471619913</c:v>
                </c:pt>
                <c:pt idx="406">
                  <c:v>5089.7394133979478</c:v>
                </c:pt>
                <c:pt idx="407">
                  <c:v>5098.0091130413975</c:v>
                </c:pt>
                <c:pt idx="408">
                  <c:v>5098.7799370147577</c:v>
                </c:pt>
                <c:pt idx="409">
                  <c:v>5100.4286055187667</c:v>
                </c:pt>
                <c:pt idx="410">
                  <c:v>5093.4049440787594</c:v>
                </c:pt>
                <c:pt idx="411">
                  <c:v>5067.9864290830337</c:v>
                </c:pt>
                <c:pt idx="412">
                  <c:v>5050.5354628083624</c:v>
                </c:pt>
                <c:pt idx="413">
                  <c:v>5048.3766621839459</c:v>
                </c:pt>
                <c:pt idx="414">
                  <c:v>5048.44951393665</c:v>
                </c:pt>
                <c:pt idx="415">
                  <c:v>5049.8701006087713</c:v>
                </c:pt>
                <c:pt idx="416">
                  <c:v>5053.7841996767747</c:v>
                </c:pt>
                <c:pt idx="417">
                  <c:v>5057.4163523305206</c:v>
                </c:pt>
                <c:pt idx="418">
                  <c:v>5056.9747381056877</c:v>
                </c:pt>
                <c:pt idx="419">
                  <c:v>5058.273733189375</c:v>
                </c:pt>
                <c:pt idx="420">
                  <c:v>5054.4744563770728</c:v>
                </c:pt>
                <c:pt idx="421">
                  <c:v>5050.1582619712217</c:v>
                </c:pt>
                <c:pt idx="422">
                  <c:v>5047.2216136245934</c:v>
                </c:pt>
                <c:pt idx="423">
                  <c:v>5044.4737720304893</c:v>
                </c:pt>
                <c:pt idx="424">
                  <c:v>5040.6719622726105</c:v>
                </c:pt>
                <c:pt idx="425">
                  <c:v>5039.1323021731478</c:v>
                </c:pt>
                <c:pt idx="426">
                  <c:v>5037.1067756114753</c:v>
                </c:pt>
                <c:pt idx="427">
                  <c:v>5034.2879834528749</c:v>
                </c:pt>
                <c:pt idx="428">
                  <c:v>5048.0470923037128</c:v>
                </c:pt>
                <c:pt idx="429">
                  <c:v>5063.6847650876598</c:v>
                </c:pt>
                <c:pt idx="430">
                  <c:v>5089.0898327481382</c:v>
                </c:pt>
                <c:pt idx="431">
                  <c:v>5141.4210984958108</c:v>
                </c:pt>
                <c:pt idx="432">
                  <c:v>5182.2585755862165</c:v>
                </c:pt>
                <c:pt idx="433">
                  <c:v>5200.2929084977513</c:v>
                </c:pt>
                <c:pt idx="434">
                  <c:v>5205.9701138254495</c:v>
                </c:pt>
                <c:pt idx="435">
                  <c:v>5208.5144018571727</c:v>
                </c:pt>
                <c:pt idx="436">
                  <c:v>5217.4451610780416</c:v>
                </c:pt>
                <c:pt idx="437">
                  <c:v>5220.0140240398023</c:v>
                </c:pt>
                <c:pt idx="438">
                  <c:v>5212.0778242251881</c:v>
                </c:pt>
                <c:pt idx="439">
                  <c:v>5212.266225308148</c:v>
                </c:pt>
                <c:pt idx="440">
                  <c:v>5212.6812216344078</c:v>
                </c:pt>
                <c:pt idx="441">
                  <c:v>5213.4058289821087</c:v>
                </c:pt>
                <c:pt idx="442">
                  <c:v>5212.0268282088209</c:v>
                </c:pt>
                <c:pt idx="443">
                  <c:v>5209.6923429785393</c:v>
                </c:pt>
                <c:pt idx="444">
                  <c:v>5184.7256348566507</c:v>
                </c:pt>
                <c:pt idx="445">
                  <c:v>5162.519605850739</c:v>
                </c:pt>
                <c:pt idx="446">
                  <c:v>5149.4307255867989</c:v>
                </c:pt>
                <c:pt idx="447">
                  <c:v>5143.643214305609</c:v>
                </c:pt>
                <c:pt idx="448">
                  <c:v>5121.7918670347462</c:v>
                </c:pt>
                <c:pt idx="449">
                  <c:v>5109.4507036343075</c:v>
                </c:pt>
                <c:pt idx="450">
                  <c:v>5102.5500727345443</c:v>
                </c:pt>
                <c:pt idx="451">
                  <c:v>5103.9127989042472</c:v>
                </c:pt>
                <c:pt idx="452">
                  <c:v>5118.2321124298078</c:v>
                </c:pt>
                <c:pt idx="453">
                  <c:v>5128.5502654465636</c:v>
                </c:pt>
                <c:pt idx="454">
                  <c:v>5152.4239179955812</c:v>
                </c:pt>
                <c:pt idx="455">
                  <c:v>5182.8666655857251</c:v>
                </c:pt>
                <c:pt idx="456">
                  <c:v>5211.4435440020425</c:v>
                </c:pt>
                <c:pt idx="457">
                  <c:v>5264.1076962493698</c:v>
                </c:pt>
                <c:pt idx="458">
                  <c:v>5327.5471835435555</c:v>
                </c:pt>
                <c:pt idx="459">
                  <c:v>5371.0018450018297</c:v>
                </c:pt>
                <c:pt idx="460">
                  <c:v>5416.3752247064422</c:v>
                </c:pt>
                <c:pt idx="461">
                  <c:v>5462.9129167683641</c:v>
                </c:pt>
                <c:pt idx="462">
                  <c:v>5505.8958136444016</c:v>
                </c:pt>
                <c:pt idx="463">
                  <c:v>5560.4393746584547</c:v>
                </c:pt>
                <c:pt idx="464">
                  <c:v>5572.489532714957</c:v>
                </c:pt>
                <c:pt idx="465">
                  <c:v>5579.4993282928917</c:v>
                </c:pt>
                <c:pt idx="466">
                  <c:v>5591.4986989885992</c:v>
                </c:pt>
                <c:pt idx="467">
                  <c:v>5621.0956912051888</c:v>
                </c:pt>
                <c:pt idx="468">
                  <c:v>5621.5608780681669</c:v>
                </c:pt>
                <c:pt idx="469">
                  <c:v>5623.5379525061762</c:v>
                </c:pt>
                <c:pt idx="470">
                  <c:v>5625.6764377012714</c:v>
                </c:pt>
                <c:pt idx="471">
                  <c:v>5625.9889141367166</c:v>
                </c:pt>
                <c:pt idx="472">
                  <c:v>5613.1388492823626</c:v>
                </c:pt>
                <c:pt idx="473">
                  <c:v>5602.5871711562477</c:v>
                </c:pt>
                <c:pt idx="474">
                  <c:v>5597.824662756233</c:v>
                </c:pt>
                <c:pt idx="475">
                  <c:v>5598.509854003647</c:v>
                </c:pt>
                <c:pt idx="476">
                  <c:v>5608.469950174559</c:v>
                </c:pt>
                <c:pt idx="477">
                  <c:v>5611.1383872817114</c:v>
                </c:pt>
                <c:pt idx="478">
                  <c:v>5606.3697158471978</c:v>
                </c:pt>
                <c:pt idx="479">
                  <c:v>5604.6590369606538</c:v>
                </c:pt>
                <c:pt idx="480">
                  <c:v>5607.8731039386876</c:v>
                </c:pt>
                <c:pt idx="481">
                  <c:v>5607.2869170325266</c:v>
                </c:pt>
                <c:pt idx="482">
                  <c:v>5601.3730459514836</c:v>
                </c:pt>
                <c:pt idx="483">
                  <c:v>5582.312705221847</c:v>
                </c:pt>
                <c:pt idx="484">
                  <c:v>5567.8990054213609</c:v>
                </c:pt>
                <c:pt idx="485">
                  <c:v>5554.0592597806808</c:v>
                </c:pt>
                <c:pt idx="486">
                  <c:v>5548.8528656832214</c:v>
                </c:pt>
                <c:pt idx="487">
                  <c:v>5545.3288376637347</c:v>
                </c:pt>
                <c:pt idx="488">
                  <c:v>5542.9150444761262</c:v>
                </c:pt>
                <c:pt idx="489">
                  <c:v>5540.9816863912583</c:v>
                </c:pt>
                <c:pt idx="490">
                  <c:v>5539.5718398201261</c:v>
                </c:pt>
                <c:pt idx="491">
                  <c:v>5524.7850547690559</c:v>
                </c:pt>
                <c:pt idx="492">
                  <c:v>5512.0335175791824</c:v>
                </c:pt>
                <c:pt idx="493">
                  <c:v>5505.8771817111765</c:v>
                </c:pt>
                <c:pt idx="494">
                  <c:v>5499.1555852583624</c:v>
                </c:pt>
                <c:pt idx="495">
                  <c:v>5490.7799442115092</c:v>
                </c:pt>
                <c:pt idx="496">
                  <c:v>5481.5731195611761</c:v>
                </c:pt>
                <c:pt idx="497">
                  <c:v>5477.1211877629694</c:v>
                </c:pt>
                <c:pt idx="498">
                  <c:v>5472.8028356605864</c:v>
                </c:pt>
                <c:pt idx="499">
                  <c:v>5471.5519480259618</c:v>
                </c:pt>
                <c:pt idx="500">
                  <c:v>5476.4687658987659</c:v>
                </c:pt>
                <c:pt idx="501">
                  <c:v>5484.2052469027703</c:v>
                </c:pt>
                <c:pt idx="502">
                  <c:v>5499.8962503692856</c:v>
                </c:pt>
                <c:pt idx="503">
                  <c:v>5529.5305551915508</c:v>
                </c:pt>
                <c:pt idx="504">
                  <c:v>5563.8897458213305</c:v>
                </c:pt>
                <c:pt idx="505">
                  <c:v>5603.5840212444355</c:v>
                </c:pt>
                <c:pt idx="506">
                  <c:v>5639.2794140072974</c:v>
                </c:pt>
                <c:pt idx="507">
                  <c:v>5677.1797860771612</c:v>
                </c:pt>
                <c:pt idx="508">
                  <c:v>5724.6017593189781</c:v>
                </c:pt>
                <c:pt idx="509">
                  <c:v>5787.6858370749751</c:v>
                </c:pt>
                <c:pt idx="510">
                  <c:v>5828.6793060618011</c:v>
                </c:pt>
                <c:pt idx="511">
                  <c:v>5839.724822926386</c:v>
                </c:pt>
                <c:pt idx="512">
                  <c:v>5840.7589750188745</c:v>
                </c:pt>
                <c:pt idx="513">
                  <c:v>5830.1301034742746</c:v>
                </c:pt>
                <c:pt idx="514">
                  <c:v>5819.5539198254282</c:v>
                </c:pt>
                <c:pt idx="515">
                  <c:v>5811.2624849178565</c:v>
                </c:pt>
                <c:pt idx="516">
                  <c:v>5808.1978449279104</c:v>
                </c:pt>
                <c:pt idx="517">
                  <c:v>5805.4272604918879</c:v>
                </c:pt>
                <c:pt idx="518">
                  <c:v>5805.9550068801564</c:v>
                </c:pt>
                <c:pt idx="519">
                  <c:v>5807.8547733526138</c:v>
                </c:pt>
                <c:pt idx="520">
                  <c:v>5811.6006801584654</c:v>
                </c:pt>
                <c:pt idx="521">
                  <c:v>5817.9631883073616</c:v>
                </c:pt>
                <c:pt idx="522">
                  <c:v>5817.9665074151098</c:v>
                </c:pt>
                <c:pt idx="523">
                  <c:v>5829.4404973869669</c:v>
                </c:pt>
                <c:pt idx="524">
                  <c:v>5833.2679554950591</c:v>
                </c:pt>
                <c:pt idx="525">
                  <c:v>5832.1592781261734</c:v>
                </c:pt>
                <c:pt idx="526">
                  <c:v>5832.6700502613367</c:v>
                </c:pt>
                <c:pt idx="527">
                  <c:v>5852.0511633154601</c:v>
                </c:pt>
                <c:pt idx="528">
                  <c:v>5872.9817358869705</c:v>
                </c:pt>
                <c:pt idx="529">
                  <c:v>5885.529052494996</c:v>
                </c:pt>
                <c:pt idx="530">
                  <c:v>5908.4372308658221</c:v>
                </c:pt>
                <c:pt idx="531">
                  <c:v>5924.5730019339799</c:v>
                </c:pt>
                <c:pt idx="532">
                  <c:v>5947.3925797805732</c:v>
                </c:pt>
                <c:pt idx="533">
                  <c:v>5950.7876009737929</c:v>
                </c:pt>
                <c:pt idx="534">
                  <c:v>5952.4765693406744</c:v>
                </c:pt>
                <c:pt idx="535">
                  <c:v>5950.6250628717798</c:v>
                </c:pt>
                <c:pt idx="536">
                  <c:v>5950.4419991312943</c:v>
                </c:pt>
                <c:pt idx="537">
                  <c:v>5942.6176877667995</c:v>
                </c:pt>
                <c:pt idx="538">
                  <c:v>5940.1515739758042</c:v>
                </c:pt>
                <c:pt idx="539">
                  <c:v>5933.5852525301734</c:v>
                </c:pt>
                <c:pt idx="540">
                  <c:v>5921.1362871057954</c:v>
                </c:pt>
                <c:pt idx="541">
                  <c:v>5900.6631872834541</c:v>
                </c:pt>
                <c:pt idx="542">
                  <c:v>5888.6382597992897</c:v>
                </c:pt>
                <c:pt idx="543">
                  <c:v>5880.540260940792</c:v>
                </c:pt>
                <c:pt idx="544">
                  <c:v>5865.6778465559655</c:v>
                </c:pt>
                <c:pt idx="545">
                  <c:v>5852.0175228179742</c:v>
                </c:pt>
                <c:pt idx="546">
                  <c:v>5844.5309408958155</c:v>
                </c:pt>
                <c:pt idx="547">
                  <c:v>5842.0395172804765</c:v>
                </c:pt>
                <c:pt idx="548">
                  <c:v>5841.4033513921904</c:v>
                </c:pt>
                <c:pt idx="549">
                  <c:v>5825.3607251447811</c:v>
                </c:pt>
                <c:pt idx="550">
                  <c:v>5816.9099045580106</c:v>
                </c:pt>
                <c:pt idx="551">
                  <c:v>5813.5733852362</c:v>
                </c:pt>
                <c:pt idx="552">
                  <c:v>5787.399436206053</c:v>
                </c:pt>
                <c:pt idx="553">
                  <c:v>5778.1808855202207</c:v>
                </c:pt>
                <c:pt idx="554">
                  <c:v>5741.7509454384744</c:v>
                </c:pt>
                <c:pt idx="555">
                  <c:v>5717.5641218141654</c:v>
                </c:pt>
                <c:pt idx="556">
                  <c:v>5692.403362068183</c:v>
                </c:pt>
                <c:pt idx="557">
                  <c:v>5685.8238008643721</c:v>
                </c:pt>
                <c:pt idx="558">
                  <c:v>5685.1279113880437</c:v>
                </c:pt>
                <c:pt idx="559">
                  <c:v>5686.6005104908363</c:v>
                </c:pt>
                <c:pt idx="560">
                  <c:v>5684.425631088583</c:v>
                </c:pt>
                <c:pt idx="561">
                  <c:v>5682.6232674104676</c:v>
                </c:pt>
                <c:pt idx="562">
                  <c:v>5682.9273705646274</c:v>
                </c:pt>
                <c:pt idx="563">
                  <c:v>5683.492966226665</c:v>
                </c:pt>
                <c:pt idx="564">
                  <c:v>5683.2058885991792</c:v>
                </c:pt>
                <c:pt idx="565">
                  <c:v>5683.1208600494256</c:v>
                </c:pt>
                <c:pt idx="566">
                  <c:v>5681.8505300184897</c:v>
                </c:pt>
                <c:pt idx="567">
                  <c:v>5673.5357588413617</c:v>
                </c:pt>
                <c:pt idx="568">
                  <c:v>5658.6008613700533</c:v>
                </c:pt>
                <c:pt idx="569">
                  <c:v>5634.4850740098072</c:v>
                </c:pt>
                <c:pt idx="570">
                  <c:v>5611.9700529426946</c:v>
                </c:pt>
                <c:pt idx="571">
                  <c:v>5588.8047686210784</c:v>
                </c:pt>
                <c:pt idx="572">
                  <c:v>5572.4056889566127</c:v>
                </c:pt>
                <c:pt idx="573">
                  <c:v>5562.0708598799956</c:v>
                </c:pt>
                <c:pt idx="574">
                  <c:v>5563.5191711189627</c:v>
                </c:pt>
                <c:pt idx="575">
                  <c:v>5566.2000897341304</c:v>
                </c:pt>
                <c:pt idx="576">
                  <c:v>5562.5749774845799</c:v>
                </c:pt>
                <c:pt idx="577">
                  <c:v>5533.7285145514415</c:v>
                </c:pt>
                <c:pt idx="578">
                  <c:v>5503.1089552791027</c:v>
                </c:pt>
                <c:pt idx="579">
                  <c:v>5475.6583139339136</c:v>
                </c:pt>
                <c:pt idx="580">
                  <c:v>5450.5868506248116</c:v>
                </c:pt>
                <c:pt idx="581">
                  <c:v>5445.1057189082549</c:v>
                </c:pt>
                <c:pt idx="582">
                  <c:v>5447.1381977754399</c:v>
                </c:pt>
                <c:pt idx="583">
                  <c:v>5435.9696729734324</c:v>
                </c:pt>
                <c:pt idx="584">
                  <c:v>5446.3551234095085</c:v>
                </c:pt>
                <c:pt idx="585">
                  <c:v>5465.5512459782694</c:v>
                </c:pt>
                <c:pt idx="586">
                  <c:v>5482.5560798013903</c:v>
                </c:pt>
                <c:pt idx="587">
                  <c:v>5477.6184722128837</c:v>
                </c:pt>
                <c:pt idx="588">
                  <c:v>5462.06701307616</c:v>
                </c:pt>
                <c:pt idx="589">
                  <c:v>5450.4413220895867</c:v>
                </c:pt>
                <c:pt idx="590">
                  <c:v>5430.5037812340652</c:v>
                </c:pt>
                <c:pt idx="591">
                  <c:v>5424.8523838885048</c:v>
                </c:pt>
                <c:pt idx="592">
                  <c:v>5418.3557238645844</c:v>
                </c:pt>
                <c:pt idx="593">
                  <c:v>5409.6988971566498</c:v>
                </c:pt>
                <c:pt idx="594">
                  <c:v>5394.9597228710754</c:v>
                </c:pt>
                <c:pt idx="595">
                  <c:v>5388.8073554825287</c:v>
                </c:pt>
                <c:pt idx="596">
                  <c:v>5387.240193865734</c:v>
                </c:pt>
                <c:pt idx="597">
                  <c:v>5394.7169410500273</c:v>
                </c:pt>
                <c:pt idx="598">
                  <c:v>5410.1180960750771</c:v>
                </c:pt>
                <c:pt idx="599">
                  <c:v>5436.7736258976474</c:v>
                </c:pt>
                <c:pt idx="600">
                  <c:v>5478.2755325193375</c:v>
                </c:pt>
                <c:pt idx="601">
                  <c:v>5520.5683136852822</c:v>
                </c:pt>
                <c:pt idx="602">
                  <c:v>5560.9237107693889</c:v>
                </c:pt>
                <c:pt idx="603">
                  <c:v>5618.105596247653</c:v>
                </c:pt>
                <c:pt idx="604">
                  <c:v>5675.7150935968593</c:v>
                </c:pt>
                <c:pt idx="605">
                  <c:v>5708.6211041379456</c:v>
                </c:pt>
                <c:pt idx="606">
                  <c:v>5755.5481242636042</c:v>
                </c:pt>
                <c:pt idx="607">
                  <c:v>5788.4004513769551</c:v>
                </c:pt>
                <c:pt idx="608">
                  <c:v>5814.8262240102695</c:v>
                </c:pt>
                <c:pt idx="609">
                  <c:v>5838.4343355012506</c:v>
                </c:pt>
                <c:pt idx="610">
                  <c:v>5847.9517017894232</c:v>
                </c:pt>
                <c:pt idx="611">
                  <c:v>5873.9795164319839</c:v>
                </c:pt>
                <c:pt idx="612">
                  <c:v>5895.3950165982305</c:v>
                </c:pt>
                <c:pt idx="613">
                  <c:v>5914.0150394474458</c:v>
                </c:pt>
                <c:pt idx="614">
                  <c:v>5921.0883554083948</c:v>
                </c:pt>
                <c:pt idx="615">
                  <c:v>5929.6084449776217</c:v>
                </c:pt>
                <c:pt idx="616">
                  <c:v>5922.6775108066049</c:v>
                </c:pt>
                <c:pt idx="617">
                  <c:v>5902.0295339261993</c:v>
                </c:pt>
                <c:pt idx="618">
                  <c:v>5883.1293314985742</c:v>
                </c:pt>
                <c:pt idx="619">
                  <c:v>5866.4311322298181</c:v>
                </c:pt>
                <c:pt idx="620">
                  <c:v>5842.2886270432336</c:v>
                </c:pt>
                <c:pt idx="621">
                  <c:v>5825.7190244905414</c:v>
                </c:pt>
                <c:pt idx="622">
                  <c:v>5788.5372952930575</c:v>
                </c:pt>
                <c:pt idx="623">
                  <c:v>5749.0327767407498</c:v>
                </c:pt>
                <c:pt idx="624">
                  <c:v>5703.764283799549</c:v>
                </c:pt>
                <c:pt idx="625">
                  <c:v>5692.4474776244324</c:v>
                </c:pt>
                <c:pt idx="626">
                  <c:v>5689.0884576029885</c:v>
                </c:pt>
                <c:pt idx="627">
                  <c:v>5680.1453640687232</c:v>
                </c:pt>
                <c:pt idx="628">
                  <c:v>5674.2414349911469</c:v>
                </c:pt>
                <c:pt idx="629">
                  <c:v>5633.4184144685232</c:v>
                </c:pt>
                <c:pt idx="630">
                  <c:v>5601.0466482385727</c:v>
                </c:pt>
                <c:pt idx="631">
                  <c:v>5562.972600816769</c:v>
                </c:pt>
                <c:pt idx="632">
                  <c:v>5541.5944172284608</c:v>
                </c:pt>
                <c:pt idx="633">
                  <c:v>5524.1066504603205</c:v>
                </c:pt>
                <c:pt idx="634">
                  <c:v>5537.5252162695633</c:v>
                </c:pt>
                <c:pt idx="635">
                  <c:v>5546.2786400732775</c:v>
                </c:pt>
                <c:pt idx="636">
                  <c:v>5549.2940695238494</c:v>
                </c:pt>
                <c:pt idx="637">
                  <c:v>5552.4965359124099</c:v>
                </c:pt>
                <c:pt idx="638">
                  <c:v>5555.764215533477</c:v>
                </c:pt>
                <c:pt idx="639">
                  <c:v>5561.076948076462</c:v>
                </c:pt>
                <c:pt idx="640">
                  <c:v>5561.9101619254425</c:v>
                </c:pt>
                <c:pt idx="641">
                  <c:v>5564.333432363007</c:v>
                </c:pt>
                <c:pt idx="642">
                  <c:v>5563.3118154098775</c:v>
                </c:pt>
                <c:pt idx="643">
                  <c:v>5564.8167097334826</c:v>
                </c:pt>
                <c:pt idx="644">
                  <c:v>5566.1586392600047</c:v>
                </c:pt>
                <c:pt idx="645">
                  <c:v>5552.8092273411849</c:v>
                </c:pt>
                <c:pt idx="646">
                  <c:v>5539.3237897937133</c:v>
                </c:pt>
                <c:pt idx="647">
                  <c:v>5537.0674379740485</c:v>
                </c:pt>
                <c:pt idx="648">
                  <c:v>5534.3175303673006</c:v>
                </c:pt>
                <c:pt idx="649">
                  <c:v>5546.446602723272</c:v>
                </c:pt>
                <c:pt idx="650">
                  <c:v>5562.5776121076378</c:v>
                </c:pt>
                <c:pt idx="651">
                  <c:v>5601.3512854117744</c:v>
                </c:pt>
                <c:pt idx="652">
                  <c:v>5639.9578826001907</c:v>
                </c:pt>
                <c:pt idx="653">
                  <c:v>5701.8758489984239</c:v>
                </c:pt>
                <c:pt idx="654">
                  <c:v>5743.2827576087366</c:v>
                </c:pt>
                <c:pt idx="655">
                  <c:v>5748.7332228242458</c:v>
                </c:pt>
                <c:pt idx="656">
                  <c:v>5740.5562022480772</c:v>
                </c:pt>
                <c:pt idx="657">
                  <c:v>5722.2748027781072</c:v>
                </c:pt>
                <c:pt idx="658">
                  <c:v>5715.8774083165736</c:v>
                </c:pt>
                <c:pt idx="659">
                  <c:v>5695.7999869486484</c:v>
                </c:pt>
                <c:pt idx="660">
                  <c:v>5662.6052785756192</c:v>
                </c:pt>
                <c:pt idx="661">
                  <c:v>5640.0665469856922</c:v>
                </c:pt>
                <c:pt idx="662">
                  <c:v>5579.1818837679339</c:v>
                </c:pt>
                <c:pt idx="663">
                  <c:v>5524.1887724646567</c:v>
                </c:pt>
                <c:pt idx="664">
                  <c:v>5482.1184390961434</c:v>
                </c:pt>
                <c:pt idx="665">
                  <c:v>5455.9232217996196</c:v>
                </c:pt>
                <c:pt idx="666">
                  <c:v>5447.7402274595834</c:v>
                </c:pt>
                <c:pt idx="667">
                  <c:v>5442.2547051106012</c:v>
                </c:pt>
                <c:pt idx="668">
                  <c:v>5405.7214177505621</c:v>
                </c:pt>
                <c:pt idx="669">
                  <c:v>5361.9201052107828</c:v>
                </c:pt>
                <c:pt idx="670">
                  <c:v>5324.9819554635869</c:v>
                </c:pt>
                <c:pt idx="671">
                  <c:v>5276.7092136073043</c:v>
                </c:pt>
                <c:pt idx="672">
                  <c:v>5272.4238586176962</c:v>
                </c:pt>
                <c:pt idx="673">
                  <c:v>5276.3550973547208</c:v>
                </c:pt>
                <c:pt idx="674">
                  <c:v>5277.380494089999</c:v>
                </c:pt>
                <c:pt idx="675">
                  <c:v>5248.7316569421564</c:v>
                </c:pt>
                <c:pt idx="676">
                  <c:v>5222.6289116484777</c:v>
                </c:pt>
                <c:pt idx="677">
                  <c:v>5216.8426606391422</c:v>
                </c:pt>
                <c:pt idx="678">
                  <c:v>5220.4245547934452</c:v>
                </c:pt>
                <c:pt idx="679">
                  <c:v>5229.2439713344866</c:v>
                </c:pt>
                <c:pt idx="680">
                  <c:v>5216.748274884033</c:v>
                </c:pt>
                <c:pt idx="681">
                  <c:v>5221.8064903780059</c:v>
                </c:pt>
                <c:pt idx="682">
                  <c:v>5220.4004150128039</c:v>
                </c:pt>
                <c:pt idx="683">
                  <c:v>5212.9224497125151</c:v>
                </c:pt>
                <c:pt idx="684">
                  <c:v>5173.5714869292178</c:v>
                </c:pt>
                <c:pt idx="685">
                  <c:v>5142.3873826378622</c:v>
                </c:pt>
                <c:pt idx="686">
                  <c:v>5128.6614877632474</c:v>
                </c:pt>
                <c:pt idx="687">
                  <c:v>5118.6896094538097</c:v>
                </c:pt>
                <c:pt idx="688">
                  <c:v>5112.3889372805888</c:v>
                </c:pt>
                <c:pt idx="689">
                  <c:v>5118.1549785108509</c:v>
                </c:pt>
                <c:pt idx="690">
                  <c:v>5126.6306337557608</c:v>
                </c:pt>
                <c:pt idx="691">
                  <c:v>5132.7158452192825</c:v>
                </c:pt>
                <c:pt idx="692">
                  <c:v>5147.0752891572129</c:v>
                </c:pt>
                <c:pt idx="693">
                  <c:v>5166.5955674284178</c:v>
                </c:pt>
                <c:pt idx="694">
                  <c:v>5188.927318171588</c:v>
                </c:pt>
                <c:pt idx="695">
                  <c:v>5252.4451940220388</c:v>
                </c:pt>
                <c:pt idx="696">
                  <c:v>5327.4579192293659</c:v>
                </c:pt>
                <c:pt idx="697">
                  <c:v>5381.150123552804</c:v>
                </c:pt>
                <c:pt idx="698">
                  <c:v>5420.9843682430019</c:v>
                </c:pt>
                <c:pt idx="699">
                  <c:v>5450.5543826223065</c:v>
                </c:pt>
                <c:pt idx="700">
                  <c:v>5552.4511616191639</c:v>
                </c:pt>
                <c:pt idx="701">
                  <c:v>5641.0392201955547</c:v>
                </c:pt>
                <c:pt idx="702">
                  <c:v>5695.8570722753229</c:v>
                </c:pt>
                <c:pt idx="703">
                  <c:v>5732.4222829161272</c:v>
                </c:pt>
                <c:pt idx="704">
                  <c:v>5729.098964498332</c:v>
                </c:pt>
                <c:pt idx="705">
                  <c:v>5725.0579163131752</c:v>
                </c:pt>
                <c:pt idx="706">
                  <c:v>5718.2074281752448</c:v>
                </c:pt>
                <c:pt idx="707">
                  <c:v>5713.9631251660685</c:v>
                </c:pt>
                <c:pt idx="708">
                  <c:v>5718.1308591971256</c:v>
                </c:pt>
                <c:pt idx="709">
                  <c:v>5726.7817552303513</c:v>
                </c:pt>
                <c:pt idx="710">
                  <c:v>5717.528025372364</c:v>
                </c:pt>
                <c:pt idx="711">
                  <c:v>5707.2662403209088</c:v>
                </c:pt>
                <c:pt idx="712">
                  <c:v>5696.3644408577102</c:v>
                </c:pt>
                <c:pt idx="713">
                  <c:v>5699.8073107402397</c:v>
                </c:pt>
                <c:pt idx="714">
                  <c:v>5707.1944697841955</c:v>
                </c:pt>
                <c:pt idx="715">
                  <c:v>5720.9032864905239</c:v>
                </c:pt>
                <c:pt idx="716">
                  <c:v>5736.6719005955529</c:v>
                </c:pt>
                <c:pt idx="717">
                  <c:v>5759.028076855674</c:v>
                </c:pt>
                <c:pt idx="718">
                  <c:v>5811.2088271902512</c:v>
                </c:pt>
                <c:pt idx="719">
                  <c:v>5857.3389526538631</c:v>
                </c:pt>
                <c:pt idx="720">
                  <c:v>5877.4052467296888</c:v>
                </c:pt>
                <c:pt idx="721">
                  <c:v>5909.4237444220726</c:v>
                </c:pt>
                <c:pt idx="722">
                  <c:v>5950.1795194757251</c:v>
                </c:pt>
                <c:pt idx="723">
                  <c:v>5992.3790715908717</c:v>
                </c:pt>
                <c:pt idx="724">
                  <c:v>6015.0824473814864</c:v>
                </c:pt>
                <c:pt idx="725">
                  <c:v>6027.8671418147869</c:v>
                </c:pt>
                <c:pt idx="726">
                  <c:v>6011.5433769582996</c:v>
                </c:pt>
                <c:pt idx="727">
                  <c:v>5987.4546325801184</c:v>
                </c:pt>
                <c:pt idx="728">
                  <c:v>5982.2888527075002</c:v>
                </c:pt>
                <c:pt idx="729">
                  <c:v>5997.7720317504663</c:v>
                </c:pt>
                <c:pt idx="730">
                  <c:v>5998.0204266225737</c:v>
                </c:pt>
                <c:pt idx="731">
                  <c:v>5993.4817695875408</c:v>
                </c:pt>
                <c:pt idx="732">
                  <c:v>5968.9396989225406</c:v>
                </c:pt>
                <c:pt idx="733">
                  <c:v>5946.9474782944808</c:v>
                </c:pt>
                <c:pt idx="734">
                  <c:v>5944.1973158999481</c:v>
                </c:pt>
                <c:pt idx="735">
                  <c:v>5936.3043432803606</c:v>
                </c:pt>
                <c:pt idx="736">
                  <c:v>5931.3978253205623</c:v>
                </c:pt>
                <c:pt idx="737">
                  <c:v>5927.8119860229326</c:v>
                </c:pt>
                <c:pt idx="738">
                  <c:v>5930.7277582399965</c:v>
                </c:pt>
                <c:pt idx="739">
                  <c:v>5938.5608094485515</c:v>
                </c:pt>
                <c:pt idx="740">
                  <c:v>5950.0476836724456</c:v>
                </c:pt>
                <c:pt idx="741">
                  <c:v>5956.2746510041479</c:v>
                </c:pt>
                <c:pt idx="742">
                  <c:v>5953.6768336463492</c:v>
                </c:pt>
                <c:pt idx="743">
                  <c:v>5947.4985306572044</c:v>
                </c:pt>
                <c:pt idx="744">
                  <c:v>5926.5377759046823</c:v>
                </c:pt>
                <c:pt idx="745">
                  <c:v>5921.6892956946213</c:v>
                </c:pt>
                <c:pt idx="746">
                  <c:v>5932.5767327277599</c:v>
                </c:pt>
                <c:pt idx="747">
                  <c:v>5956.8505827558929</c:v>
                </c:pt>
                <c:pt idx="748">
                  <c:v>5969.2372709826941</c:v>
                </c:pt>
                <c:pt idx="749">
                  <c:v>5967.440112103387</c:v>
                </c:pt>
                <c:pt idx="750">
                  <c:v>5964.190414051649</c:v>
                </c:pt>
                <c:pt idx="751">
                  <c:v>5969.1392483114532</c:v>
                </c:pt>
                <c:pt idx="752">
                  <c:v>5994.737155875584</c:v>
                </c:pt>
                <c:pt idx="753">
                  <c:v>6026.7778534463723</c:v>
                </c:pt>
                <c:pt idx="754">
                  <c:v>6035.5399882886959</c:v>
                </c:pt>
                <c:pt idx="755">
                  <c:v>6058.6782810218347</c:v>
                </c:pt>
                <c:pt idx="756">
                  <c:v>6086.5727128558538</c:v>
                </c:pt>
                <c:pt idx="757">
                  <c:v>6107.981982528353</c:v>
                </c:pt>
                <c:pt idx="758">
                  <c:v>6115.1402942737022</c:v>
                </c:pt>
                <c:pt idx="759">
                  <c:v>6117.3871806853385</c:v>
                </c:pt>
                <c:pt idx="760">
                  <c:v>6119.5149067159491</c:v>
                </c:pt>
                <c:pt idx="761">
                  <c:v>6127.387703781902</c:v>
                </c:pt>
                <c:pt idx="762">
                  <c:v>6122.0577351495194</c:v>
                </c:pt>
                <c:pt idx="763">
                  <c:v>6111.5181339642104</c:v>
                </c:pt>
                <c:pt idx="764">
                  <c:v>6111.2311306340134</c:v>
                </c:pt>
                <c:pt idx="765">
                  <c:v>6108.662539533424</c:v>
                </c:pt>
                <c:pt idx="766">
                  <c:v>6105.8861637091923</c:v>
                </c:pt>
                <c:pt idx="767">
                  <c:v>6105.4460096111588</c:v>
                </c:pt>
                <c:pt idx="768">
                  <c:v>6111.5940768856472</c:v>
                </c:pt>
                <c:pt idx="769">
                  <c:v>6117.3886945684262</c:v>
                </c:pt>
                <c:pt idx="770">
                  <c:v>6129.4182242914703</c:v>
                </c:pt>
                <c:pt idx="771">
                  <c:v>6132.0069414586615</c:v>
                </c:pt>
                <c:pt idx="772">
                  <c:v>6142.2602171636363</c:v>
                </c:pt>
                <c:pt idx="773">
                  <c:v>6141.143599302919</c:v>
                </c:pt>
                <c:pt idx="774">
                  <c:v>6138.242547400826</c:v>
                </c:pt>
                <c:pt idx="775">
                  <c:v>6135.5952062412616</c:v>
                </c:pt>
                <c:pt idx="776">
                  <c:v>6135.2504442522049</c:v>
                </c:pt>
                <c:pt idx="777">
                  <c:v>6117.5031998505592</c:v>
                </c:pt>
                <c:pt idx="778">
                  <c:v>6099.7038851877323</c:v>
                </c:pt>
                <c:pt idx="779">
                  <c:v>6083.6774749421265</c:v>
                </c:pt>
                <c:pt idx="780">
                  <c:v>6060.1193897917356</c:v>
                </c:pt>
                <c:pt idx="781">
                  <c:v>6043.1763994115272</c:v>
                </c:pt>
                <c:pt idx="782">
                  <c:v>6008.6808309034232</c:v>
                </c:pt>
                <c:pt idx="783">
                  <c:v>5980.5890418436256</c:v>
                </c:pt>
                <c:pt idx="784">
                  <c:v>5958.9632356603479</c:v>
                </c:pt>
                <c:pt idx="785">
                  <c:v>5942.074847615555</c:v>
                </c:pt>
                <c:pt idx="786">
                  <c:v>5930.4308155566741</c:v>
                </c:pt>
                <c:pt idx="787">
                  <c:v>5916.884146520526</c:v>
                </c:pt>
                <c:pt idx="788">
                  <c:v>5905.7101590424645</c:v>
                </c:pt>
                <c:pt idx="789">
                  <c:v>5902.8532914837078</c:v>
                </c:pt>
                <c:pt idx="790">
                  <c:v>5891.5755863073819</c:v>
                </c:pt>
                <c:pt idx="791">
                  <c:v>5885.6071545617533</c:v>
                </c:pt>
                <c:pt idx="792">
                  <c:v>5888.7466797181496</c:v>
                </c:pt>
                <c:pt idx="793">
                  <c:v>5900.0350359526956</c:v>
                </c:pt>
                <c:pt idx="794">
                  <c:v>5921.32225903371</c:v>
                </c:pt>
                <c:pt idx="795">
                  <c:v>5955.354377462093</c:v>
                </c:pt>
                <c:pt idx="796">
                  <c:v>5977.3729619528922</c:v>
                </c:pt>
                <c:pt idx="797">
                  <c:v>5971.2791590371398</c:v>
                </c:pt>
                <c:pt idx="798">
                  <c:v>5963.5762527268134</c:v>
                </c:pt>
                <c:pt idx="799">
                  <c:v>5951.078792571263</c:v>
                </c:pt>
                <c:pt idx="800">
                  <c:v>5937.6326612070452</c:v>
                </c:pt>
                <c:pt idx="801">
                  <c:v>5935.1667158565797</c:v>
                </c:pt>
                <c:pt idx="802">
                  <c:v>5936.6847043144471</c:v>
                </c:pt>
                <c:pt idx="803">
                  <c:v>5939.6536692828922</c:v>
                </c:pt>
                <c:pt idx="804">
                  <c:v>5933.3292693943695</c:v>
                </c:pt>
                <c:pt idx="805">
                  <c:v>5909.8593153823094</c:v>
                </c:pt>
                <c:pt idx="806">
                  <c:v>5895.9093909051389</c:v>
                </c:pt>
                <c:pt idx="807">
                  <c:v>5898.1763069093895</c:v>
                </c:pt>
                <c:pt idx="808">
                  <c:v>5905.980062139688</c:v>
                </c:pt>
                <c:pt idx="809">
                  <c:v>5919.1140383440106</c:v>
                </c:pt>
                <c:pt idx="810">
                  <c:v>5953.2292033842914</c:v>
                </c:pt>
                <c:pt idx="811">
                  <c:v>5983.5563219241913</c:v>
                </c:pt>
                <c:pt idx="812">
                  <c:v>6014.8611105922155</c:v>
                </c:pt>
                <c:pt idx="813">
                  <c:v>6043.0069149359597</c:v>
                </c:pt>
                <c:pt idx="814">
                  <c:v>6070.1424766632408</c:v>
                </c:pt>
                <c:pt idx="815">
                  <c:v>6112.2488095168892</c:v>
                </c:pt>
                <c:pt idx="816">
                  <c:v>6146.3457843810156</c:v>
                </c:pt>
                <c:pt idx="817">
                  <c:v>6179.5260530530832</c:v>
                </c:pt>
                <c:pt idx="818">
                  <c:v>6213.3646441072024</c:v>
                </c:pt>
                <c:pt idx="819">
                  <c:v>6239.4973405719475</c:v>
                </c:pt>
                <c:pt idx="820">
                  <c:v>6263.553044841492</c:v>
                </c:pt>
                <c:pt idx="821">
                  <c:v>6310.9637433677062</c:v>
                </c:pt>
                <c:pt idx="822">
                  <c:v>6342.3425056882115</c:v>
                </c:pt>
                <c:pt idx="823">
                  <c:v>6376.8743368333598</c:v>
                </c:pt>
                <c:pt idx="824">
                  <c:v>6403.0791658444286</c:v>
                </c:pt>
                <c:pt idx="825">
                  <c:v>6408.6471769800883</c:v>
                </c:pt>
                <c:pt idx="826">
                  <c:v>6405.0677819406255</c:v>
                </c:pt>
                <c:pt idx="827">
                  <c:v>6409.6276516885955</c:v>
                </c:pt>
                <c:pt idx="828">
                  <c:v>6419.3195260162875</c:v>
                </c:pt>
                <c:pt idx="829">
                  <c:v>6438.9732517529592</c:v>
                </c:pt>
                <c:pt idx="830">
                  <c:v>6459.083984470778</c:v>
                </c:pt>
                <c:pt idx="831">
                  <c:v>6477.5200264371424</c:v>
                </c:pt>
                <c:pt idx="832">
                  <c:v>6495.4168522662339</c:v>
                </c:pt>
                <c:pt idx="833">
                  <c:v>6530.0575903040944</c:v>
                </c:pt>
                <c:pt idx="834">
                  <c:v>6568.1746805865268</c:v>
                </c:pt>
                <c:pt idx="835">
                  <c:v>6590.6650229801207</c:v>
                </c:pt>
                <c:pt idx="836">
                  <c:v>6615.7727213465396</c:v>
                </c:pt>
                <c:pt idx="837">
                  <c:v>6639.0623316391393</c:v>
                </c:pt>
                <c:pt idx="838">
                  <c:v>6650.5935707978206</c:v>
                </c:pt>
                <c:pt idx="839">
                  <c:v>6650.4121604257452</c:v>
                </c:pt>
                <c:pt idx="840">
                  <c:v>6649.6818617224872</c:v>
                </c:pt>
                <c:pt idx="841">
                  <c:v>6649.0213587542212</c:v>
                </c:pt>
                <c:pt idx="842">
                  <c:v>6635.1951372843223</c:v>
                </c:pt>
                <c:pt idx="843">
                  <c:v>6625.0843112800185</c:v>
                </c:pt>
                <c:pt idx="844">
                  <c:v>6623.8644206671097</c:v>
                </c:pt>
                <c:pt idx="845">
                  <c:v>6594.6965492348081</c:v>
                </c:pt>
                <c:pt idx="846">
                  <c:v>6550.6612947635149</c:v>
                </c:pt>
                <c:pt idx="847">
                  <c:v>6522.972275108521</c:v>
                </c:pt>
                <c:pt idx="848">
                  <c:v>6503.6940940294571</c:v>
                </c:pt>
                <c:pt idx="849">
                  <c:v>6484.1810245895986</c:v>
                </c:pt>
                <c:pt idx="850">
                  <c:v>6474.0849912949816</c:v>
                </c:pt>
                <c:pt idx="851">
                  <c:v>6460.8515169109178</c:v>
                </c:pt>
                <c:pt idx="852">
                  <c:v>6454.9105454722057</c:v>
                </c:pt>
                <c:pt idx="853">
                  <c:v>6452.710542931819</c:v>
                </c:pt>
                <c:pt idx="854">
                  <c:v>6444.5190322832532</c:v>
                </c:pt>
                <c:pt idx="855">
                  <c:v>6451.4973059841495</c:v>
                </c:pt>
                <c:pt idx="856">
                  <c:v>6471.6862637483591</c:v>
                </c:pt>
                <c:pt idx="857">
                  <c:v>6505.0269501583589</c:v>
                </c:pt>
                <c:pt idx="858">
                  <c:v>6552.480882239679</c:v>
                </c:pt>
                <c:pt idx="859">
                  <c:v>6607.2922326016214</c:v>
                </c:pt>
                <c:pt idx="860">
                  <c:v>6665.9775330448692</c:v>
                </c:pt>
                <c:pt idx="861">
                  <c:v>6729.3877632523499</c:v>
                </c:pt>
                <c:pt idx="862">
                  <c:v>6829.24682222302</c:v>
                </c:pt>
                <c:pt idx="863">
                  <c:v>6951.9265693160041</c:v>
                </c:pt>
                <c:pt idx="864">
                  <c:v>7012.7882277299304</c:v>
                </c:pt>
                <c:pt idx="865">
                  <c:v>7028.829285774128</c:v>
                </c:pt>
                <c:pt idx="866">
                  <c:v>7036.2417139695835</c:v>
                </c:pt>
                <c:pt idx="867">
                  <c:v>7058.5384508295556</c:v>
                </c:pt>
                <c:pt idx="868">
                  <c:v>7083.8596163541133</c:v>
                </c:pt>
                <c:pt idx="869">
                  <c:v>7108.3780837909417</c:v>
                </c:pt>
                <c:pt idx="870">
                  <c:v>7125.9977342945713</c:v>
                </c:pt>
                <c:pt idx="871">
                  <c:v>7139.5051414715235</c:v>
                </c:pt>
                <c:pt idx="872">
                  <c:v>7164.8593916971768</c:v>
                </c:pt>
                <c:pt idx="873">
                  <c:v>7189.2870257236318</c:v>
                </c:pt>
                <c:pt idx="874">
                  <c:v>7200.5861446050149</c:v>
                </c:pt>
                <c:pt idx="875">
                  <c:v>7213.2108322247841</c:v>
                </c:pt>
                <c:pt idx="876">
                  <c:v>7235.5235557484575</c:v>
                </c:pt>
                <c:pt idx="877">
                  <c:v>7258.6122725611631</c:v>
                </c:pt>
                <c:pt idx="878">
                  <c:v>7306.975336144933</c:v>
                </c:pt>
                <c:pt idx="879">
                  <c:v>7370.314410228365</c:v>
                </c:pt>
                <c:pt idx="880">
                  <c:v>7402.0471584910592</c:v>
                </c:pt>
                <c:pt idx="881">
                  <c:v>7423.1959284817476</c:v>
                </c:pt>
                <c:pt idx="882">
                  <c:v>7442.879560941743</c:v>
                </c:pt>
                <c:pt idx="883">
                  <c:v>7451.4269331722644</c:v>
                </c:pt>
                <c:pt idx="884">
                  <c:v>7442.5581876776723</c:v>
                </c:pt>
                <c:pt idx="885">
                  <c:v>7429.4072866551651</c:v>
                </c:pt>
                <c:pt idx="886">
                  <c:v>7429.1223372652403</c:v>
                </c:pt>
                <c:pt idx="887">
                  <c:v>7427.1611688299363</c:v>
                </c:pt>
                <c:pt idx="888">
                  <c:v>7423.9062454205141</c:v>
                </c:pt>
                <c:pt idx="889">
                  <c:v>7410.5330493287975</c:v>
                </c:pt>
                <c:pt idx="890">
                  <c:v>7397.8257038339534</c:v>
                </c:pt>
                <c:pt idx="891">
                  <c:v>7391.6248383970096</c:v>
                </c:pt>
                <c:pt idx="892">
                  <c:v>7394.5865152006609</c:v>
                </c:pt>
                <c:pt idx="893">
                  <c:v>7399.5784737042723</c:v>
                </c:pt>
                <c:pt idx="894">
                  <c:v>7408.7404480424502</c:v>
                </c:pt>
                <c:pt idx="895">
                  <c:v>7421.8163347068885</c:v>
                </c:pt>
                <c:pt idx="896">
                  <c:v>7419.2006711289614</c:v>
                </c:pt>
                <c:pt idx="897">
                  <c:v>7417.3564150065649</c:v>
                </c:pt>
                <c:pt idx="898">
                  <c:v>7426.8772559794124</c:v>
                </c:pt>
                <c:pt idx="899">
                  <c:v>7442.3781100913966</c:v>
                </c:pt>
                <c:pt idx="900">
                  <c:v>7447.3237726592079</c:v>
                </c:pt>
                <c:pt idx="901">
                  <c:v>7449.2309038972426</c:v>
                </c:pt>
                <c:pt idx="902">
                  <c:v>7449.2048545286016</c:v>
                </c:pt>
                <c:pt idx="903">
                  <c:v>7442.0471600350656</c:v>
                </c:pt>
                <c:pt idx="904">
                  <c:v>7441.7018392719356</c:v>
                </c:pt>
                <c:pt idx="905">
                  <c:v>7443.50705395355</c:v>
                </c:pt>
                <c:pt idx="906">
                  <c:v>7446.8320315015808</c:v>
                </c:pt>
                <c:pt idx="907">
                  <c:v>7453.2707545781805</c:v>
                </c:pt>
                <c:pt idx="908">
                  <c:v>7453.3903390181531</c:v>
                </c:pt>
                <c:pt idx="909">
                  <c:v>7484.1791943178705</c:v>
                </c:pt>
                <c:pt idx="910">
                  <c:v>7528.3557568249498</c:v>
                </c:pt>
                <c:pt idx="911">
                  <c:v>7557.8449338763203</c:v>
                </c:pt>
                <c:pt idx="912">
                  <c:v>7566.1719094745895</c:v>
                </c:pt>
                <c:pt idx="913">
                  <c:v>7565.1166657206068</c:v>
                </c:pt>
                <c:pt idx="914">
                  <c:v>7561.6782390820517</c:v>
                </c:pt>
                <c:pt idx="915">
                  <c:v>7562.3106555680915</c:v>
                </c:pt>
                <c:pt idx="916">
                  <c:v>7557.2570831046824</c:v>
                </c:pt>
                <c:pt idx="917">
                  <c:v>7550.7265149126506</c:v>
                </c:pt>
                <c:pt idx="918">
                  <c:v>7546.2178826541031</c:v>
                </c:pt>
                <c:pt idx="919">
                  <c:v>7542.7204476276593</c:v>
                </c:pt>
                <c:pt idx="920">
                  <c:v>7539.8811857573164</c:v>
                </c:pt>
                <c:pt idx="921">
                  <c:v>7534.8916148188528</c:v>
                </c:pt>
                <c:pt idx="922">
                  <c:v>7529.6281002428077</c:v>
                </c:pt>
                <c:pt idx="923">
                  <c:v>7542.1068796238878</c:v>
                </c:pt>
                <c:pt idx="924">
                  <c:v>7543.4295612844298</c:v>
                </c:pt>
                <c:pt idx="925">
                  <c:v>7544.8412712057852</c:v>
                </c:pt>
                <c:pt idx="926">
                  <c:v>7563.7524188107382</c:v>
                </c:pt>
                <c:pt idx="927">
                  <c:v>7584.7340893146757</c:v>
                </c:pt>
                <c:pt idx="928">
                  <c:v>7638.8777633403115</c:v>
                </c:pt>
                <c:pt idx="929">
                  <c:v>7693.6090097506258</c:v>
                </c:pt>
                <c:pt idx="930">
                  <c:v>7730.3756755348932</c:v>
                </c:pt>
                <c:pt idx="931">
                  <c:v>7770.1462411088423</c:v>
                </c:pt>
                <c:pt idx="932">
                  <c:v>7803.8983865943728</c:v>
                </c:pt>
                <c:pt idx="933">
                  <c:v>7813.4209952738602</c:v>
                </c:pt>
                <c:pt idx="934">
                  <c:v>7823.9186322654123</c:v>
                </c:pt>
                <c:pt idx="935">
                  <c:v>7843.4705136916018</c:v>
                </c:pt>
                <c:pt idx="936">
                  <c:v>7862.7172825822399</c:v>
                </c:pt>
                <c:pt idx="937">
                  <c:v>7879.1564183053279</c:v>
                </c:pt>
                <c:pt idx="938">
                  <c:v>7897.8432860150224</c:v>
                </c:pt>
                <c:pt idx="939">
                  <c:v>7917.0996549186102</c:v>
                </c:pt>
                <c:pt idx="940">
                  <c:v>7911.1324702588463</c:v>
                </c:pt>
                <c:pt idx="941">
                  <c:v>7913.910029329455</c:v>
                </c:pt>
                <c:pt idx="942">
                  <c:v>7904.0217014992977</c:v>
                </c:pt>
                <c:pt idx="943">
                  <c:v>7893.0017369687457</c:v>
                </c:pt>
                <c:pt idx="944">
                  <c:v>7880.3775373948311</c:v>
                </c:pt>
                <c:pt idx="945">
                  <c:v>7849.1601949819078</c:v>
                </c:pt>
                <c:pt idx="946">
                  <c:v>7820.3856263380858</c:v>
                </c:pt>
                <c:pt idx="947">
                  <c:v>7821.7645889384366</c:v>
                </c:pt>
                <c:pt idx="948">
                  <c:v>7808.4113882778602</c:v>
                </c:pt>
                <c:pt idx="949">
                  <c:v>7797.7383307329474</c:v>
                </c:pt>
                <c:pt idx="950">
                  <c:v>7785.5829064742011</c:v>
                </c:pt>
                <c:pt idx="951">
                  <c:v>7753.1500621920477</c:v>
                </c:pt>
                <c:pt idx="952">
                  <c:v>7729.8424566461135</c:v>
                </c:pt>
                <c:pt idx="953">
                  <c:v>7725.3154774827344</c:v>
                </c:pt>
                <c:pt idx="954">
                  <c:v>7723.5314234655862</c:v>
                </c:pt>
                <c:pt idx="955">
                  <c:v>7732.2015269598614</c:v>
                </c:pt>
                <c:pt idx="956">
                  <c:v>7744.1235392077006</c:v>
                </c:pt>
                <c:pt idx="957">
                  <c:v>7762.5810033179678</c:v>
                </c:pt>
                <c:pt idx="958">
                  <c:v>7753.6964427104649</c:v>
                </c:pt>
                <c:pt idx="959">
                  <c:v>7731.7784559963502</c:v>
                </c:pt>
                <c:pt idx="960">
                  <c:v>7686.9389592867192</c:v>
                </c:pt>
                <c:pt idx="961">
                  <c:v>7656.5575190746767</c:v>
                </c:pt>
                <c:pt idx="962">
                  <c:v>7634.8652182657879</c:v>
                </c:pt>
                <c:pt idx="963">
                  <c:v>7621.0221962481091</c:v>
                </c:pt>
                <c:pt idx="964">
                  <c:v>7614.08537777723</c:v>
                </c:pt>
                <c:pt idx="965">
                  <c:v>7622.3236632675034</c:v>
                </c:pt>
                <c:pt idx="966">
                  <c:v>7637.0961575923629</c:v>
                </c:pt>
                <c:pt idx="967">
                  <c:v>7643.9670751538706</c:v>
                </c:pt>
                <c:pt idx="968">
                  <c:v>7667.4645541421041</c:v>
                </c:pt>
                <c:pt idx="969">
                  <c:v>7690.3064952185878</c:v>
                </c:pt>
                <c:pt idx="970">
                  <c:v>7724.1383146663156</c:v>
                </c:pt>
                <c:pt idx="971">
                  <c:v>7796.137092019967</c:v>
                </c:pt>
                <c:pt idx="972">
                  <c:v>7873.0524722408127</c:v>
                </c:pt>
                <c:pt idx="973">
                  <c:v>7931.4179828525812</c:v>
                </c:pt>
                <c:pt idx="974">
                  <c:v>7984.5705194813345</c:v>
                </c:pt>
                <c:pt idx="975">
                  <c:v>8035.7053700652414</c:v>
                </c:pt>
                <c:pt idx="976">
                  <c:v>8099.5806303156896</c:v>
                </c:pt>
                <c:pt idx="977">
                  <c:v>8166.623374213571</c:v>
                </c:pt>
                <c:pt idx="978">
                  <c:v>8217.3112794416338</c:v>
                </c:pt>
                <c:pt idx="979">
                  <c:v>8258.9833956847106</c:v>
                </c:pt>
                <c:pt idx="980">
                  <c:v>8269.3399419460529</c:v>
                </c:pt>
                <c:pt idx="981">
                  <c:v>8281.091303478177</c:v>
                </c:pt>
                <c:pt idx="982">
                  <c:v>8290.7163895495833</c:v>
                </c:pt>
                <c:pt idx="983">
                  <c:v>8305.8049582971689</c:v>
                </c:pt>
                <c:pt idx="984">
                  <c:v>8320.0185968755177</c:v>
                </c:pt>
                <c:pt idx="985">
                  <c:v>8315.3619279645427</c:v>
                </c:pt>
                <c:pt idx="986">
                  <c:v>8310.3343807655638</c:v>
                </c:pt>
                <c:pt idx="987">
                  <c:v>8295.3489797356215</c:v>
                </c:pt>
                <c:pt idx="988">
                  <c:v>8258.0443562655346</c:v>
                </c:pt>
                <c:pt idx="989">
                  <c:v>8221.3766518874836</c:v>
                </c:pt>
                <c:pt idx="990">
                  <c:v>8147.0248393114198</c:v>
                </c:pt>
                <c:pt idx="991">
                  <c:v>8078.13874133233</c:v>
                </c:pt>
                <c:pt idx="992">
                  <c:v>8047.9167824430042</c:v>
                </c:pt>
                <c:pt idx="993">
                  <c:v>8029.7830710307126</c:v>
                </c:pt>
                <c:pt idx="994">
                  <c:v>8025.824362718763</c:v>
                </c:pt>
                <c:pt idx="995">
                  <c:v>8015.897963930991</c:v>
                </c:pt>
                <c:pt idx="996">
                  <c:v>7995.5770418194916</c:v>
                </c:pt>
                <c:pt idx="997">
                  <c:v>7982.4404662495563</c:v>
                </c:pt>
                <c:pt idx="998">
                  <c:v>7985.397238724976</c:v>
                </c:pt>
                <c:pt idx="999">
                  <c:v>7989.3825695307169</c:v>
                </c:pt>
                <c:pt idx="1000">
                  <c:v>7996.0948519187868</c:v>
                </c:pt>
                <c:pt idx="1001">
                  <c:v>8008.5133271573222</c:v>
                </c:pt>
                <c:pt idx="1002">
                  <c:v>8029.2217338964829</c:v>
                </c:pt>
                <c:pt idx="1003">
                  <c:v>8036.3314869121677</c:v>
                </c:pt>
                <c:pt idx="1004">
                  <c:v>8029.2612500507876</c:v>
                </c:pt>
                <c:pt idx="1005">
                  <c:v>8030.3298201240696</c:v>
                </c:pt>
                <c:pt idx="1006">
                  <c:v>8034.04574928084</c:v>
                </c:pt>
                <c:pt idx="1007">
                  <c:v>8032.804598527604</c:v>
                </c:pt>
                <c:pt idx="1008">
                  <c:v>8033.7820217484013</c:v>
                </c:pt>
                <c:pt idx="1009">
                  <c:v>8035.5816941797502</c:v>
                </c:pt>
                <c:pt idx="1010">
                  <c:v>8040.3362518259855</c:v>
                </c:pt>
                <c:pt idx="1011">
                  <c:v>8061.6863416959904</c:v>
                </c:pt>
                <c:pt idx="1012">
                  <c:v>8056.9633534792774</c:v>
                </c:pt>
                <c:pt idx="1013">
                  <c:v>8024.7014284030156</c:v>
                </c:pt>
                <c:pt idx="1014">
                  <c:v>7993.1429933589407</c:v>
                </c:pt>
                <c:pt idx="1015">
                  <c:v>7972.770236836277</c:v>
                </c:pt>
                <c:pt idx="1016">
                  <c:v>7964.6731676562158</c:v>
                </c:pt>
                <c:pt idx="1017">
                  <c:v>7954.7838407119243</c:v>
                </c:pt>
                <c:pt idx="1018">
                  <c:v>7951.7376705755605</c:v>
                </c:pt>
                <c:pt idx="1019">
                  <c:v>7954.9796493298018</c:v>
                </c:pt>
                <c:pt idx="1020">
                  <c:v>7975.3605322896756</c:v>
                </c:pt>
                <c:pt idx="1021">
                  <c:v>7986.8325662228581</c:v>
                </c:pt>
                <c:pt idx="1022">
                  <c:v>8004.5435458457669</c:v>
                </c:pt>
                <c:pt idx="1023">
                  <c:v>8070.6719552895338</c:v>
                </c:pt>
                <c:pt idx="1024">
                  <c:v>8154.0639336566664</c:v>
                </c:pt>
                <c:pt idx="1025">
                  <c:v>8213.1229398278156</c:v>
                </c:pt>
                <c:pt idx="1026">
                  <c:v>8255.4759270127288</c:v>
                </c:pt>
                <c:pt idx="1027">
                  <c:v>8296.7689788397147</c:v>
                </c:pt>
                <c:pt idx="1028">
                  <c:v>8355.6317527038027</c:v>
                </c:pt>
                <c:pt idx="1029">
                  <c:v>8439.5556794807617</c:v>
                </c:pt>
                <c:pt idx="1030">
                  <c:v>8472.5850996488771</c:v>
                </c:pt>
                <c:pt idx="1031">
                  <c:v>8506.0206118593014</c:v>
                </c:pt>
                <c:pt idx="1032">
                  <c:v>8533.7923043140781</c:v>
                </c:pt>
                <c:pt idx="1033">
                  <c:v>8537.9105005962811</c:v>
                </c:pt>
                <c:pt idx="1034">
                  <c:v>8542.1397443156984</c:v>
                </c:pt>
                <c:pt idx="1035">
                  <c:v>8541.7262953227673</c:v>
                </c:pt>
                <c:pt idx="1036">
                  <c:v>8539.8708998162219</c:v>
                </c:pt>
                <c:pt idx="1037">
                  <c:v>8542.4333879427813</c:v>
                </c:pt>
                <c:pt idx="1038">
                  <c:v>8540.3966613956163</c:v>
                </c:pt>
                <c:pt idx="1039">
                  <c:v>8551.8221978430138</c:v>
                </c:pt>
                <c:pt idx="1040">
                  <c:v>8538.8825632163025</c:v>
                </c:pt>
                <c:pt idx="1041">
                  <c:v>8523.2599286312743</c:v>
                </c:pt>
                <c:pt idx="1042">
                  <c:v>8521.2430547320419</c:v>
                </c:pt>
                <c:pt idx="1043">
                  <c:v>8522.4104300447361</c:v>
                </c:pt>
                <c:pt idx="1044">
                  <c:v>8526.4595998479763</c:v>
                </c:pt>
                <c:pt idx="1045">
                  <c:v>8533.1687974176784</c:v>
                </c:pt>
                <c:pt idx="1046">
                  <c:v>8568.949454007392</c:v>
                </c:pt>
                <c:pt idx="1047">
                  <c:v>8606.5153681117263</c:v>
                </c:pt>
                <c:pt idx="1048">
                  <c:v>8611.1948960071022</c:v>
                </c:pt>
                <c:pt idx="1049">
                  <c:v>8596.3882722653361</c:v>
                </c:pt>
                <c:pt idx="1050">
                  <c:v>8589.2238785935187</c:v>
                </c:pt>
                <c:pt idx="1051">
                  <c:v>8577.1404502757505</c:v>
                </c:pt>
                <c:pt idx="1052">
                  <c:v>8557.5091867694427</c:v>
                </c:pt>
                <c:pt idx="1053">
                  <c:v>8529.3895533735467</c:v>
                </c:pt>
                <c:pt idx="1054">
                  <c:v>8499.2081125496316</c:v>
                </c:pt>
                <c:pt idx="1055">
                  <c:v>8472.0193000795643</c:v>
                </c:pt>
                <c:pt idx="1056">
                  <c:v>8444.9224253304437</c:v>
                </c:pt>
                <c:pt idx="1057">
                  <c:v>8376.1260726447781</c:v>
                </c:pt>
                <c:pt idx="1058">
                  <c:v>8320.6886162993396</c:v>
                </c:pt>
                <c:pt idx="1059">
                  <c:v>8300.4597919555472</c:v>
                </c:pt>
                <c:pt idx="1060">
                  <c:v>8294.0997281094424</c:v>
                </c:pt>
                <c:pt idx="1061">
                  <c:v>8312.6912844525614</c:v>
                </c:pt>
                <c:pt idx="1062">
                  <c:v>8330.6271465762056</c:v>
                </c:pt>
                <c:pt idx="1063">
                  <c:v>8358.8087284143621</c:v>
                </c:pt>
                <c:pt idx="1064">
                  <c:v>8361.6830445608211</c:v>
                </c:pt>
                <c:pt idx="1065">
                  <c:v>8356.7212070961541</c:v>
                </c:pt>
                <c:pt idx="1066">
                  <c:v>8351.6336220661979</c:v>
                </c:pt>
                <c:pt idx="1067">
                  <c:v>8345.3130377410471</c:v>
                </c:pt>
                <c:pt idx="1068">
                  <c:v>8345.1972501986238</c:v>
                </c:pt>
                <c:pt idx="1069">
                  <c:v>8343.9950368035788</c:v>
                </c:pt>
                <c:pt idx="1070">
                  <c:v>8326.143830128849</c:v>
                </c:pt>
                <c:pt idx="1071">
                  <c:v>8297.1486904555422</c:v>
                </c:pt>
                <c:pt idx="1072">
                  <c:v>8280.1519805925345</c:v>
                </c:pt>
                <c:pt idx="1073">
                  <c:v>8261.3364820779734</c:v>
                </c:pt>
                <c:pt idx="1074">
                  <c:v>8227.6753368913141</c:v>
                </c:pt>
                <c:pt idx="1075">
                  <c:v>8177.6901900114162</c:v>
                </c:pt>
                <c:pt idx="1076">
                  <c:v>8148.4175127463477</c:v>
                </c:pt>
                <c:pt idx="1077">
                  <c:v>8130.3242335420528</c:v>
                </c:pt>
                <c:pt idx="1078">
                  <c:v>8101.0030604494987</c:v>
                </c:pt>
                <c:pt idx="1079">
                  <c:v>8085.3437568504551</c:v>
                </c:pt>
                <c:pt idx="1080">
                  <c:v>8069.5837243290462</c:v>
                </c:pt>
                <c:pt idx="1081">
                  <c:v>8012.5068501255555</c:v>
                </c:pt>
                <c:pt idx="1082">
                  <c:v>7956.678392321749</c:v>
                </c:pt>
                <c:pt idx="1083">
                  <c:v>7933.0494870187986</c:v>
                </c:pt>
                <c:pt idx="1084">
                  <c:v>7933.4524833044325</c:v>
                </c:pt>
                <c:pt idx="1085">
                  <c:v>7923.158054094034</c:v>
                </c:pt>
                <c:pt idx="1086">
                  <c:v>7939.377136165951</c:v>
                </c:pt>
                <c:pt idx="1087">
                  <c:v>7983.41145127034</c:v>
                </c:pt>
                <c:pt idx="1088">
                  <c:v>8022.2858030607904</c:v>
                </c:pt>
                <c:pt idx="1089">
                  <c:v>8054.143704973324</c:v>
                </c:pt>
                <c:pt idx="1090">
                  <c:v>8061.2876929636659</c:v>
                </c:pt>
                <c:pt idx="1091">
                  <c:v>8057.517334051855</c:v>
                </c:pt>
                <c:pt idx="1092">
                  <c:v>8058.4327137968257</c:v>
                </c:pt>
                <c:pt idx="1093">
                  <c:v>8052.1092376654915</c:v>
                </c:pt>
                <c:pt idx="1094">
                  <c:v>8051.4244588002202</c:v>
                </c:pt>
                <c:pt idx="1095">
                  <c:v>8057.9464312845685</c:v>
                </c:pt>
                <c:pt idx="1096">
                  <c:v>8059.151446564767</c:v>
                </c:pt>
                <c:pt idx="1097">
                  <c:v>8063.6216241747452</c:v>
                </c:pt>
                <c:pt idx="1098">
                  <c:v>8073.1597600374225</c:v>
                </c:pt>
                <c:pt idx="1099">
                  <c:v>8070.9069239464297</c:v>
                </c:pt>
                <c:pt idx="1100">
                  <c:v>8064.6723572361961</c:v>
                </c:pt>
                <c:pt idx="1101">
                  <c:v>8072.9767808292036</c:v>
                </c:pt>
                <c:pt idx="1102">
                  <c:v>8091.2658729553859</c:v>
                </c:pt>
                <c:pt idx="1103">
                  <c:v>8076.3206807977313</c:v>
                </c:pt>
                <c:pt idx="1104">
                  <c:v>8034.847109611781</c:v>
                </c:pt>
                <c:pt idx="1105">
                  <c:v>8011.9000003803067</c:v>
                </c:pt>
                <c:pt idx="1106">
                  <c:v>7997.7918266790721</c:v>
                </c:pt>
                <c:pt idx="1107">
                  <c:v>7952.3327975851607</c:v>
                </c:pt>
                <c:pt idx="1108">
                  <c:v>7913.8040223563294</c:v>
                </c:pt>
                <c:pt idx="1109">
                  <c:v>7885.0689057572154</c:v>
                </c:pt>
                <c:pt idx="1110">
                  <c:v>7865.5107229791247</c:v>
                </c:pt>
                <c:pt idx="1111">
                  <c:v>7858.6108754094112</c:v>
                </c:pt>
                <c:pt idx="1112">
                  <c:v>7862.2717072855739</c:v>
                </c:pt>
                <c:pt idx="1113">
                  <c:v>7875.5531159948687</c:v>
                </c:pt>
                <c:pt idx="1114">
                  <c:v>7876.9221734825533</c:v>
                </c:pt>
                <c:pt idx="1115">
                  <c:v>7873.6367225301819</c:v>
                </c:pt>
                <c:pt idx="1116">
                  <c:v>7871.9000097958506</c:v>
                </c:pt>
                <c:pt idx="1117">
                  <c:v>7866.4229278081848</c:v>
                </c:pt>
                <c:pt idx="1118">
                  <c:v>7871.7555002026647</c:v>
                </c:pt>
                <c:pt idx="1119">
                  <c:v>7881.9218222451827</c:v>
                </c:pt>
                <c:pt idx="1120">
                  <c:v>7876.9827718537563</c:v>
                </c:pt>
                <c:pt idx="1121">
                  <c:v>7870.7382492848456</c:v>
                </c:pt>
                <c:pt idx="1122">
                  <c:v>7870.1868144332393</c:v>
                </c:pt>
                <c:pt idx="1123">
                  <c:v>7871.5739325457698</c:v>
                </c:pt>
                <c:pt idx="1124">
                  <c:v>7884.6289469851345</c:v>
                </c:pt>
                <c:pt idx="1125">
                  <c:v>7909.4107678043511</c:v>
                </c:pt>
                <c:pt idx="1126">
                  <c:v>7927.121658297965</c:v>
                </c:pt>
                <c:pt idx="1127">
                  <c:v>7979.1586958484368</c:v>
                </c:pt>
                <c:pt idx="1128">
                  <c:v>8035.7095708310553</c:v>
                </c:pt>
                <c:pt idx="1129">
                  <c:v>8093.2016053500975</c:v>
                </c:pt>
                <c:pt idx="1130">
                  <c:v>8153.3861890511034</c:v>
                </c:pt>
                <c:pt idx="1131">
                  <c:v>8208.8134880803864</c:v>
                </c:pt>
                <c:pt idx="1132">
                  <c:v>8236.9486416573964</c:v>
                </c:pt>
                <c:pt idx="1133">
                  <c:v>8259.5115139918889</c:v>
                </c:pt>
                <c:pt idx="1134">
                  <c:v>8260.9850121872023</c:v>
                </c:pt>
                <c:pt idx="1135">
                  <c:v>8267.5372159911567</c:v>
                </c:pt>
                <c:pt idx="1136">
                  <c:v>8270.3488377213052</c:v>
                </c:pt>
                <c:pt idx="1137">
                  <c:v>8275.6267778330803</c:v>
                </c:pt>
                <c:pt idx="1138">
                  <c:v>8287.0300473913849</c:v>
                </c:pt>
                <c:pt idx="1139">
                  <c:v>8295.8985271786605</c:v>
                </c:pt>
                <c:pt idx="1140">
                  <c:v>8289.7518516243308</c:v>
                </c:pt>
                <c:pt idx="1141">
                  <c:v>8280.1347277425448</c:v>
                </c:pt>
                <c:pt idx="1142">
                  <c:v>8277.8421529961561</c:v>
                </c:pt>
                <c:pt idx="1143">
                  <c:v>8278.8568144988967</c:v>
                </c:pt>
                <c:pt idx="1144">
                  <c:v>8278.8280728551454</c:v>
                </c:pt>
                <c:pt idx="1145">
                  <c:v>8278.9425805685878</c:v>
                </c:pt>
                <c:pt idx="1146">
                  <c:v>8294.1518693315829</c:v>
                </c:pt>
                <c:pt idx="1147">
                  <c:v>8318.9643020992808</c:v>
                </c:pt>
                <c:pt idx="1148">
                  <c:v>8340.8262478013094</c:v>
                </c:pt>
                <c:pt idx="1149">
                  <c:v>8346.1936380887964</c:v>
                </c:pt>
                <c:pt idx="1150">
                  <c:v>8347.229198307441</c:v>
                </c:pt>
                <c:pt idx="1151">
                  <c:v>8322.3809800407034</c:v>
                </c:pt>
                <c:pt idx="1152">
                  <c:v>8303.2122419418647</c:v>
                </c:pt>
                <c:pt idx="1153">
                  <c:v>8305.3217950555409</c:v>
                </c:pt>
                <c:pt idx="1154">
                  <c:v>8305.9500228039415</c:v>
                </c:pt>
                <c:pt idx="1155">
                  <c:v>8303.6012966494891</c:v>
                </c:pt>
                <c:pt idx="1156">
                  <c:v>8310.3829287270491</c:v>
                </c:pt>
                <c:pt idx="1157">
                  <c:v>8301.7600935848404</c:v>
                </c:pt>
                <c:pt idx="1158">
                  <c:v>8276.8070640968363</c:v>
                </c:pt>
                <c:pt idx="1159">
                  <c:v>8089.1703007313708</c:v>
                </c:pt>
                <c:pt idx="1160">
                  <c:v>7988.0912870660832</c:v>
                </c:pt>
                <c:pt idx="1161">
                  <c:v>7876.5516079877671</c:v>
                </c:pt>
                <c:pt idx="1162">
                  <c:v>7818.3322280000666</c:v>
                </c:pt>
                <c:pt idx="1163">
                  <c:v>7776.8052144457633</c:v>
                </c:pt>
                <c:pt idx="1164">
                  <c:v>7736.2280658814743</c:v>
                </c:pt>
                <c:pt idx="1165">
                  <c:v>7665.4954782692284</c:v>
                </c:pt>
                <c:pt idx="1166">
                  <c:v>7594.2047087411975</c:v>
                </c:pt>
                <c:pt idx="1167">
                  <c:v>7557.4196469751951</c:v>
                </c:pt>
                <c:pt idx="1168">
                  <c:v>7497.2737812527357</c:v>
                </c:pt>
                <c:pt idx="1169">
                  <c:v>7427.281106948818</c:v>
                </c:pt>
                <c:pt idx="1170">
                  <c:v>7390.4522557339005</c:v>
                </c:pt>
                <c:pt idx="1171">
                  <c:v>7372.275240361324</c:v>
                </c:pt>
                <c:pt idx="1172">
                  <c:v>7355.8388398214329</c:v>
                </c:pt>
                <c:pt idx="1173">
                  <c:v>7363.970720575353</c:v>
                </c:pt>
                <c:pt idx="1174">
                  <c:v>7386.0631628715282</c:v>
                </c:pt>
                <c:pt idx="1175">
                  <c:v>7416.6352013403421</c:v>
                </c:pt>
                <c:pt idx="1176">
                  <c:v>7478.9326012861848</c:v>
                </c:pt>
                <c:pt idx="1177">
                  <c:v>7535.5294006030381</c:v>
                </c:pt>
                <c:pt idx="1178">
                  <c:v>7594.5120433548545</c:v>
                </c:pt>
                <c:pt idx="1179">
                  <c:v>7594.7129709850969</c:v>
                </c:pt>
                <c:pt idx="1180">
                  <c:v>7594.0586490621254</c:v>
                </c:pt>
                <c:pt idx="1181">
                  <c:v>7597.8575704703035</c:v>
                </c:pt>
                <c:pt idx="1182">
                  <c:v>7596.4274003167075</c:v>
                </c:pt>
                <c:pt idx="1183">
                  <c:v>7604.0992279135962</c:v>
                </c:pt>
                <c:pt idx="1184">
                  <c:v>7606.22303450659</c:v>
                </c:pt>
                <c:pt idx="1185">
                  <c:v>7606.4120748725927</c:v>
                </c:pt>
                <c:pt idx="1186">
                  <c:v>7595.5445620200489</c:v>
                </c:pt>
                <c:pt idx="1187">
                  <c:v>7576.3541494297715</c:v>
                </c:pt>
                <c:pt idx="1188">
                  <c:v>7586.0986155664241</c:v>
                </c:pt>
                <c:pt idx="1189">
                  <c:v>7637.9996379555614</c:v>
                </c:pt>
                <c:pt idx="1190">
                  <c:v>7658.5106649779309</c:v>
                </c:pt>
                <c:pt idx="1191">
                  <c:v>7666.7164414877006</c:v>
                </c:pt>
                <c:pt idx="1192">
                  <c:v>7685.0023368371812</c:v>
                </c:pt>
                <c:pt idx="1193">
                  <c:v>7708.5501833808485</c:v>
                </c:pt>
                <c:pt idx="1194">
                  <c:v>7717.2159906956804</c:v>
                </c:pt>
                <c:pt idx="1195">
                  <c:v>7731.9617694980907</c:v>
                </c:pt>
                <c:pt idx="1196">
                  <c:v>7736.746254060703</c:v>
                </c:pt>
                <c:pt idx="1197">
                  <c:v>7737.3270238544173</c:v>
                </c:pt>
                <c:pt idx="1198">
                  <c:v>7742.1319584012199</c:v>
                </c:pt>
                <c:pt idx="1199">
                  <c:v>7775.5659706102251</c:v>
                </c:pt>
                <c:pt idx="1200">
                  <c:v>7810.9472207372592</c:v>
                </c:pt>
                <c:pt idx="1201">
                  <c:v>7848.5042845719472</c:v>
                </c:pt>
                <c:pt idx="1202">
                  <c:v>7915.7017673081655</c:v>
                </c:pt>
                <c:pt idx="1203">
                  <c:v>7977.4338285107551</c:v>
                </c:pt>
                <c:pt idx="1204">
                  <c:v>8005.7054570026394</c:v>
                </c:pt>
                <c:pt idx="1205">
                  <c:v>8034.33668249123</c:v>
                </c:pt>
                <c:pt idx="1206">
                  <c:v>8024.1816662806496</c:v>
                </c:pt>
                <c:pt idx="1207">
                  <c:v>8007.1304879987856</c:v>
                </c:pt>
                <c:pt idx="1208">
                  <c:v>7970.1293057325347</c:v>
                </c:pt>
                <c:pt idx="1209">
                  <c:v>7940.6223036941019</c:v>
                </c:pt>
                <c:pt idx="1210">
                  <c:v>7903.3686529878159</c:v>
                </c:pt>
                <c:pt idx="1211">
                  <c:v>7837.1403871860211</c:v>
                </c:pt>
                <c:pt idx="1212">
                  <c:v>7777.0538515118651</c:v>
                </c:pt>
                <c:pt idx="1213">
                  <c:v>7736.5833322246453</c:v>
                </c:pt>
                <c:pt idx="1214">
                  <c:v>7705.9443245105167</c:v>
                </c:pt>
                <c:pt idx="1215">
                  <c:v>7660.803852997411</c:v>
                </c:pt>
                <c:pt idx="1216">
                  <c:v>7646.0682881792873</c:v>
                </c:pt>
                <c:pt idx="1217">
                  <c:v>7637.3221104434369</c:v>
                </c:pt>
                <c:pt idx="1218">
                  <c:v>7631.8163288697697</c:v>
                </c:pt>
                <c:pt idx="1219">
                  <c:v>7636.7168881026901</c:v>
                </c:pt>
                <c:pt idx="1220">
                  <c:v>7650.7628214479828</c:v>
                </c:pt>
                <c:pt idx="1221">
                  <c:v>7672.1784117939424</c:v>
                </c:pt>
                <c:pt idx="1222">
                  <c:v>7689.0814587009618</c:v>
                </c:pt>
                <c:pt idx="1223">
                  <c:v>7700.9252475022722</c:v>
                </c:pt>
                <c:pt idx="1224">
                  <c:v>7708.5628370856211</c:v>
                </c:pt>
                <c:pt idx="1225">
                  <c:v>7713.5526707805093</c:v>
                </c:pt>
                <c:pt idx="1226">
                  <c:v>7714.1980836263647</c:v>
                </c:pt>
                <c:pt idx="1227">
                  <c:v>7714.4097614669117</c:v>
                </c:pt>
                <c:pt idx="1228">
                  <c:v>7692.9943055865479</c:v>
                </c:pt>
                <c:pt idx="1229">
                  <c:v>7652.1343581715473</c:v>
                </c:pt>
                <c:pt idx="1230">
                  <c:v>7633.9253943608164</c:v>
                </c:pt>
                <c:pt idx="1231">
                  <c:v>7603.4839897778211</c:v>
                </c:pt>
                <c:pt idx="1232">
                  <c:v>7586.6636304297663</c:v>
                </c:pt>
                <c:pt idx="1233">
                  <c:v>7576.5829921027998</c:v>
                </c:pt>
                <c:pt idx="1234">
                  <c:v>7572.0859622626595</c:v>
                </c:pt>
                <c:pt idx="1235">
                  <c:v>7578.6547040852402</c:v>
                </c:pt>
                <c:pt idx="1236">
                  <c:v>7574.9753781276213</c:v>
                </c:pt>
                <c:pt idx="1237">
                  <c:v>7574.9356849482574</c:v>
                </c:pt>
                <c:pt idx="1238">
                  <c:v>7573.2793103169442</c:v>
                </c:pt>
                <c:pt idx="1239">
                  <c:v>7573.1304237056011</c:v>
                </c:pt>
                <c:pt idx="1240">
                  <c:v>7573.7393316463194</c:v>
                </c:pt>
                <c:pt idx="1241">
                  <c:v>7575.286251084166</c:v>
                </c:pt>
                <c:pt idx="1242">
                  <c:v>7575.8406173321864</c:v>
                </c:pt>
                <c:pt idx="1243">
                  <c:v>7580.88445278374</c:v>
                </c:pt>
                <c:pt idx="1244">
                  <c:v>7579.3485654525293</c:v>
                </c:pt>
                <c:pt idx="1245">
                  <c:v>7578.7298864609984</c:v>
                </c:pt>
                <c:pt idx="1246">
                  <c:v>7578.8722753079965</c:v>
                </c:pt>
                <c:pt idx="1247">
                  <c:v>7576.8746751229155</c:v>
                </c:pt>
                <c:pt idx="1248">
                  <c:v>7551.3206602972068</c:v>
                </c:pt>
                <c:pt idx="1249">
                  <c:v>7549.0034251102843</c:v>
                </c:pt>
                <c:pt idx="1250">
                  <c:v>7527.0150570388323</c:v>
                </c:pt>
                <c:pt idx="1251">
                  <c:v>7504.6453225407768</c:v>
                </c:pt>
                <c:pt idx="1252">
                  <c:v>7489.3735787904579</c:v>
                </c:pt>
                <c:pt idx="1253">
                  <c:v>7464.1275178351834</c:v>
                </c:pt>
                <c:pt idx="1254">
                  <c:v>7415.88711244154</c:v>
                </c:pt>
                <c:pt idx="1255">
                  <c:v>7352.4062586219161</c:v>
                </c:pt>
                <c:pt idx="1256">
                  <c:v>7316.3514761579263</c:v>
                </c:pt>
                <c:pt idx="1257">
                  <c:v>7258.9622796785488</c:v>
                </c:pt>
                <c:pt idx="1258">
                  <c:v>7201.8670568908001</c:v>
                </c:pt>
                <c:pt idx="1259">
                  <c:v>7181.9338673545935</c:v>
                </c:pt>
                <c:pt idx="1260">
                  <c:v>7168.2075004992985</c:v>
                </c:pt>
                <c:pt idx="1261">
                  <c:v>7166.3077352321843</c:v>
                </c:pt>
                <c:pt idx="1262">
                  <c:v>7171.2977651025849</c:v>
                </c:pt>
                <c:pt idx="1263">
                  <c:v>7190.7208102257564</c:v>
                </c:pt>
                <c:pt idx="1264">
                  <c:v>7230.1639051391357</c:v>
                </c:pt>
                <c:pt idx="1265">
                  <c:v>7243.8057447746178</c:v>
                </c:pt>
                <c:pt idx="1266">
                  <c:v>7254.3337931536489</c:v>
                </c:pt>
                <c:pt idx="1267">
                  <c:v>7273.173585379277</c:v>
                </c:pt>
                <c:pt idx="1268">
                  <c:v>7275.5371740102473</c:v>
                </c:pt>
                <c:pt idx="1269">
                  <c:v>7275.8269794140242</c:v>
                </c:pt>
                <c:pt idx="1270">
                  <c:v>7259.8035671261077</c:v>
                </c:pt>
                <c:pt idx="1271">
                  <c:v>7223.9774850062859</c:v>
                </c:pt>
                <c:pt idx="1272">
                  <c:v>7122.7830559498534</c:v>
                </c:pt>
                <c:pt idx="1273">
                  <c:v>7048.0932373329078</c:v>
                </c:pt>
                <c:pt idx="1274">
                  <c:v>7024.5680827638653</c:v>
                </c:pt>
                <c:pt idx="1275">
                  <c:v>6982.8626834187689</c:v>
                </c:pt>
                <c:pt idx="1276">
                  <c:v>6956.4079914036629</c:v>
                </c:pt>
                <c:pt idx="1277">
                  <c:v>6946.2658146987324</c:v>
                </c:pt>
                <c:pt idx="1278">
                  <c:v>6940.5067970622995</c:v>
                </c:pt>
                <c:pt idx="1279">
                  <c:v>6933.9997504568</c:v>
                </c:pt>
                <c:pt idx="1280">
                  <c:v>6914.6216674911757</c:v>
                </c:pt>
                <c:pt idx="1281">
                  <c:v>6883.6524044989083</c:v>
                </c:pt>
                <c:pt idx="1282">
                  <c:v>6848.2273273701176</c:v>
                </c:pt>
                <c:pt idx="1283">
                  <c:v>6843.171123713003</c:v>
                </c:pt>
                <c:pt idx="1284">
                  <c:v>6840.1279138960881</c:v>
                </c:pt>
                <c:pt idx="1285">
                  <c:v>6852.6877951745655</c:v>
                </c:pt>
                <c:pt idx="1286">
                  <c:v>6852.1317916459375</c:v>
                </c:pt>
                <c:pt idx="1287">
                  <c:v>6843.3094295858236</c:v>
                </c:pt>
                <c:pt idx="1288">
                  <c:v>6843.8692299060694</c:v>
                </c:pt>
                <c:pt idx="1289">
                  <c:v>6832.9222410422035</c:v>
                </c:pt>
                <c:pt idx="1290">
                  <c:v>6813.3204938108602</c:v>
                </c:pt>
                <c:pt idx="1291">
                  <c:v>6804.3645211422463</c:v>
                </c:pt>
                <c:pt idx="1292">
                  <c:v>6823.9038432883135</c:v>
                </c:pt>
                <c:pt idx="1293">
                  <c:v>6847.4997421394501</c:v>
                </c:pt>
                <c:pt idx="1294">
                  <c:v>6855.507918226509</c:v>
                </c:pt>
                <c:pt idx="1295">
                  <c:v>6880.6439647695815</c:v>
                </c:pt>
                <c:pt idx="1296">
                  <c:v>6899.9987597007066</c:v>
                </c:pt>
                <c:pt idx="1297">
                  <c:v>6906.0153372706254</c:v>
                </c:pt>
                <c:pt idx="1298">
                  <c:v>6905.3818549289845</c:v>
                </c:pt>
                <c:pt idx="1299">
                  <c:v>6907.5494023420952</c:v>
                </c:pt>
                <c:pt idx="1300">
                  <c:v>6934.679005124106</c:v>
                </c:pt>
                <c:pt idx="1301">
                  <c:v>6995.2443345224929</c:v>
                </c:pt>
                <c:pt idx="1302">
                  <c:v>7081.9966799400045</c:v>
                </c:pt>
                <c:pt idx="1303">
                  <c:v>7162.0450056966429</c:v>
                </c:pt>
                <c:pt idx="1304">
                  <c:v>7286.4582565404507</c:v>
                </c:pt>
                <c:pt idx="1305">
                  <c:v>7351.1630235743114</c:v>
                </c:pt>
                <c:pt idx="1306">
                  <c:v>7378.3442501509589</c:v>
                </c:pt>
                <c:pt idx="1307">
                  <c:v>7392.059368578296</c:v>
                </c:pt>
                <c:pt idx="1308">
                  <c:v>7405.6521130911469</c:v>
                </c:pt>
                <c:pt idx="1309">
                  <c:v>7414.7221285386158</c:v>
                </c:pt>
                <c:pt idx="1310">
                  <c:v>7417.5922335111773</c:v>
                </c:pt>
                <c:pt idx="1311">
                  <c:v>7434.4669213848929</c:v>
                </c:pt>
                <c:pt idx="1312">
                  <c:v>7448.0037061124995</c:v>
                </c:pt>
                <c:pt idx="1313">
                  <c:v>7444.3080842872314</c:v>
                </c:pt>
                <c:pt idx="1314">
                  <c:v>7453.116149612536</c:v>
                </c:pt>
                <c:pt idx="1315">
                  <c:v>7462.9521262852213</c:v>
                </c:pt>
                <c:pt idx="1316">
                  <c:v>7478.2108789350332</c:v>
                </c:pt>
                <c:pt idx="1317">
                  <c:v>7483.7438590784768</c:v>
                </c:pt>
                <c:pt idx="1318">
                  <c:v>7484.5547323791552</c:v>
                </c:pt>
                <c:pt idx="1319">
                  <c:v>7476.5085941068783</c:v>
                </c:pt>
                <c:pt idx="1320">
                  <c:v>7470.1882053514437</c:v>
                </c:pt>
                <c:pt idx="1321">
                  <c:v>7487.2828268367084</c:v>
                </c:pt>
                <c:pt idx="1322">
                  <c:v>7509.893227338991</c:v>
                </c:pt>
                <c:pt idx="1323">
                  <c:v>7514.1283854416206</c:v>
                </c:pt>
                <c:pt idx="1324">
                  <c:v>7514.843167605788</c:v>
                </c:pt>
                <c:pt idx="1325">
                  <c:v>7514.1364872906734</c:v>
                </c:pt>
                <c:pt idx="1326">
                  <c:v>7512.2945549546039</c:v>
                </c:pt>
                <c:pt idx="1327">
                  <c:v>7531.0884957225326</c:v>
                </c:pt>
                <c:pt idx="1328">
                  <c:v>7555.5086476840643</c:v>
                </c:pt>
                <c:pt idx="1329">
                  <c:v>7601.7261681686905</c:v>
                </c:pt>
                <c:pt idx="1330">
                  <c:v>7655.4042739429215</c:v>
                </c:pt>
                <c:pt idx="1331">
                  <c:v>7682.203105369178</c:v>
                </c:pt>
                <c:pt idx="1332">
                  <c:v>7699.7907690332513</c:v>
                </c:pt>
                <c:pt idx="1333">
                  <c:v>7700.252529493333</c:v>
                </c:pt>
                <c:pt idx="1334">
                  <c:v>7700.7642135191663</c:v>
                </c:pt>
                <c:pt idx="1335">
                  <c:v>7701.2239610038905</c:v>
                </c:pt>
                <c:pt idx="1336">
                  <c:v>7695.2031713832457</c:v>
                </c:pt>
                <c:pt idx="1337">
                  <c:v>7684.7487310233137</c:v>
                </c:pt>
                <c:pt idx="1338">
                  <c:v>7671.9700618581401</c:v>
                </c:pt>
                <c:pt idx="1339">
                  <c:v>7670.9181489425628</c:v>
                </c:pt>
                <c:pt idx="1340">
                  <c:v>7678.0302671393219</c:v>
                </c:pt>
                <c:pt idx="1341">
                  <c:v>7648.4707188093416</c:v>
                </c:pt>
                <c:pt idx="1342">
                  <c:v>7610.6011779342971</c:v>
                </c:pt>
                <c:pt idx="1343">
                  <c:v>7585.6380075848874</c:v>
                </c:pt>
                <c:pt idx="1344">
                  <c:v>7581.349485689374</c:v>
                </c:pt>
                <c:pt idx="1345">
                  <c:v>7588.8419193021846</c:v>
                </c:pt>
                <c:pt idx="1346">
                  <c:v>7594.237586498477</c:v>
                </c:pt>
                <c:pt idx="1347">
                  <c:v>7607.8438156605071</c:v>
                </c:pt>
                <c:pt idx="1348">
                  <c:v>7610.2918294720994</c:v>
                </c:pt>
                <c:pt idx="1349">
                  <c:v>7608.2910702294093</c:v>
                </c:pt>
                <c:pt idx="1350">
                  <c:v>7615.4490553167434</c:v>
                </c:pt>
                <c:pt idx="1351">
                  <c:v>7625.1658503838971</c:v>
                </c:pt>
                <c:pt idx="1352">
                  <c:v>7650.8548008686776</c:v>
                </c:pt>
                <c:pt idx="1353">
                  <c:v>7672.0169698344698</c:v>
                </c:pt>
                <c:pt idx="1354">
                  <c:v>7690.3571961426223</c:v>
                </c:pt>
                <c:pt idx="1355">
                  <c:v>7714.1784362643639</c:v>
                </c:pt>
                <c:pt idx="1356">
                  <c:v>7759.6496064707508</c:v>
                </c:pt>
                <c:pt idx="1357">
                  <c:v>7822.6280199274643</c:v>
                </c:pt>
                <c:pt idx="1358">
                  <c:v>7907.4915802267369</c:v>
                </c:pt>
                <c:pt idx="1359">
                  <c:v>8019.7044156581105</c:v>
                </c:pt>
                <c:pt idx="1360">
                  <c:v>8081.4258235512589</c:v>
                </c:pt>
                <c:pt idx="1361">
                  <c:v>8099.927970894395</c:v>
                </c:pt>
                <c:pt idx="1362">
                  <c:v>8086.4161149083338</c:v>
                </c:pt>
                <c:pt idx="1363">
                  <c:v>8073.7037107481956</c:v>
                </c:pt>
                <c:pt idx="1364">
                  <c:v>8069.5761782116242</c:v>
                </c:pt>
                <c:pt idx="1365">
                  <c:v>8070.5329156245989</c:v>
                </c:pt>
                <c:pt idx="1366">
                  <c:v>8066.1829397776337</c:v>
                </c:pt>
                <c:pt idx="1367">
                  <c:v>8057.4954705951423</c:v>
                </c:pt>
                <c:pt idx="1368">
                  <c:v>8045.3327392108622</c:v>
                </c:pt>
                <c:pt idx="1369">
                  <c:v>8040.268348939655</c:v>
                </c:pt>
                <c:pt idx="1370">
                  <c:v>8035.8466508829142</c:v>
                </c:pt>
                <c:pt idx="1371">
                  <c:v>8034.8534307531327</c:v>
                </c:pt>
                <c:pt idx="1372">
                  <c:v>8019.6537865643395</c:v>
                </c:pt>
                <c:pt idx="1373">
                  <c:v>8012.0127931979987</c:v>
                </c:pt>
                <c:pt idx="1374">
                  <c:v>8014.6620795968302</c:v>
                </c:pt>
                <c:pt idx="1375">
                  <c:v>8003.8068235673982</c:v>
                </c:pt>
                <c:pt idx="1376">
                  <c:v>8012.2407922110688</c:v>
                </c:pt>
                <c:pt idx="1377">
                  <c:v>8024.3930087986409</c:v>
                </c:pt>
                <c:pt idx="1378">
                  <c:v>8029.2816434991801</c:v>
                </c:pt>
                <c:pt idx="1379">
                  <c:v>8036.96054508815</c:v>
                </c:pt>
                <c:pt idx="1380">
                  <c:v>8054.3497442348726</c:v>
                </c:pt>
                <c:pt idx="1381">
                  <c:v>8063.6154582444251</c:v>
                </c:pt>
                <c:pt idx="1382">
                  <c:v>8105.4618818370109</c:v>
                </c:pt>
                <c:pt idx="1383">
                  <c:v>8160.4978421384558</c:v>
                </c:pt>
                <c:pt idx="1384">
                  <c:v>8216.3485654303859</c:v>
                </c:pt>
                <c:pt idx="1385">
                  <c:v>8256.2230362226765</c:v>
                </c:pt>
                <c:pt idx="1386">
                  <c:v>8284.7605133799061</c:v>
                </c:pt>
                <c:pt idx="1387">
                  <c:v>8309.4334585294309</c:v>
                </c:pt>
                <c:pt idx="1388">
                  <c:v>8329.8477064562576</c:v>
                </c:pt>
                <c:pt idx="1389">
                  <c:v>8362.7811343538833</c:v>
                </c:pt>
                <c:pt idx="1390">
                  <c:v>8401.6001808128585</c:v>
                </c:pt>
                <c:pt idx="1391">
                  <c:v>8453.2672667187053</c:v>
                </c:pt>
                <c:pt idx="1392">
                  <c:v>8460.891422100045</c:v>
                </c:pt>
                <c:pt idx="1393">
                  <c:v>8465.8988474396174</c:v>
                </c:pt>
                <c:pt idx="1394">
                  <c:v>8473.0953151898757</c:v>
                </c:pt>
                <c:pt idx="1395">
                  <c:v>8475.2799496222106</c:v>
                </c:pt>
                <c:pt idx="1396">
                  <c:v>8481.6520552380662</c:v>
                </c:pt>
                <c:pt idx="1397">
                  <c:v>8495.4544340789016</c:v>
                </c:pt>
                <c:pt idx="1398">
                  <c:v>8505.5633673217708</c:v>
                </c:pt>
                <c:pt idx="1399">
                  <c:v>8510.8351069363216</c:v>
                </c:pt>
                <c:pt idx="1400">
                  <c:v>8529.8172588747766</c:v>
                </c:pt>
                <c:pt idx="1401">
                  <c:v>8543.0549434807235</c:v>
                </c:pt>
                <c:pt idx="1402">
                  <c:v>8543.3633824362205</c:v>
                </c:pt>
                <c:pt idx="1403">
                  <c:v>8543.5890543622736</c:v>
                </c:pt>
                <c:pt idx="1404">
                  <c:v>8537.7578460463737</c:v>
                </c:pt>
                <c:pt idx="1405">
                  <c:v>8536.0634755395222</c:v>
                </c:pt>
                <c:pt idx="1406">
                  <c:v>8527.0435151994989</c:v>
                </c:pt>
                <c:pt idx="1407">
                  <c:v>8513.6692063998271</c:v>
                </c:pt>
                <c:pt idx="1408">
                  <c:v>8507.7278109542749</c:v>
                </c:pt>
                <c:pt idx="1409">
                  <c:v>8511.6427579336996</c:v>
                </c:pt>
                <c:pt idx="1410">
                  <c:v>8493.0696512689228</c:v>
                </c:pt>
                <c:pt idx="1411">
                  <c:v>8476.4127549467139</c:v>
                </c:pt>
                <c:pt idx="1412">
                  <c:v>8458.6938319664805</c:v>
                </c:pt>
                <c:pt idx="1413">
                  <c:v>8457.865281876564</c:v>
                </c:pt>
                <c:pt idx="1414">
                  <c:v>8473.2155383380596</c:v>
                </c:pt>
                <c:pt idx="1415">
                  <c:v>8487.3621761004579</c:v>
                </c:pt>
                <c:pt idx="1416">
                  <c:v>8495.586111929897</c:v>
                </c:pt>
                <c:pt idx="1417">
                  <c:v>8508.0619329926176</c:v>
                </c:pt>
                <c:pt idx="1418">
                  <c:v>8515.035414290438</c:v>
                </c:pt>
                <c:pt idx="1419">
                  <c:v>8523.2126191047118</c:v>
                </c:pt>
                <c:pt idx="1420">
                  <c:v>8537.8207255842717</c:v>
                </c:pt>
                <c:pt idx="1421">
                  <c:v>8552.8665126702508</c:v>
                </c:pt>
                <c:pt idx="1422">
                  <c:v>8568.0010129330913</c:v>
                </c:pt>
                <c:pt idx="1423">
                  <c:v>8591.5313856672365</c:v>
                </c:pt>
                <c:pt idx="1424">
                  <c:v>8621.3157391472105</c:v>
                </c:pt>
                <c:pt idx="1425">
                  <c:v>8649.8450285779654</c:v>
                </c:pt>
                <c:pt idx="1426">
                  <c:v>8616.7940348487791</c:v>
                </c:pt>
                <c:pt idx="1427">
                  <c:v>8590.2292534837416</c:v>
                </c:pt>
                <c:pt idx="1428">
                  <c:v>8587.3669350138262</c:v>
                </c:pt>
                <c:pt idx="1429">
                  <c:v>8585.7338966452244</c:v>
                </c:pt>
                <c:pt idx="1430">
                  <c:v>8591.3248759021262</c:v>
                </c:pt>
                <c:pt idx="1431">
                  <c:v>8593.5244052731632</c:v>
                </c:pt>
                <c:pt idx="1432">
                  <c:v>8606.1651596601205</c:v>
                </c:pt>
                <c:pt idx="1433">
                  <c:v>8609.4691841868771</c:v>
                </c:pt>
                <c:pt idx="1434">
                  <c:v>8582.8387111265911</c:v>
                </c:pt>
                <c:pt idx="1435">
                  <c:v>8561.5765457108973</c:v>
                </c:pt>
                <c:pt idx="1436">
                  <c:v>8527.0831215858234</c:v>
                </c:pt>
                <c:pt idx="1437">
                  <c:v>8524.1145980504098</c:v>
                </c:pt>
                <c:pt idx="1438">
                  <c:v>8521.7636082296231</c:v>
                </c:pt>
                <c:pt idx="1439">
                  <c:v>8521.491802783099</c:v>
                </c:pt>
                <c:pt idx="1440">
                  <c:v>8521.4296052884711</c:v>
                </c:pt>
                <c:pt idx="1441">
                  <c:v>8534.2002677557011</c:v>
                </c:pt>
                <c:pt idx="1442">
                  <c:v>8543.898098617683</c:v>
                </c:pt>
                <c:pt idx="1443">
                  <c:v>8537.5428340400777</c:v>
                </c:pt>
                <c:pt idx="1444">
                  <c:v>8531.7005068518356</c:v>
                </c:pt>
                <c:pt idx="1445">
                  <c:v>8530.8412208876507</c:v>
                </c:pt>
                <c:pt idx="1446">
                  <c:v>8535.6762138000304</c:v>
                </c:pt>
                <c:pt idx="1447">
                  <c:v>8515.906959467764</c:v>
                </c:pt>
                <c:pt idx="1448">
                  <c:v>8488.6338929827325</c:v>
                </c:pt>
                <c:pt idx="1449">
                  <c:v>8456.2440781928417</c:v>
                </c:pt>
                <c:pt idx="1450">
                  <c:v>8442.9912479028426</c:v>
                </c:pt>
                <c:pt idx="1451">
                  <c:v>8437.3845642948909</c:v>
                </c:pt>
                <c:pt idx="1452">
                  <c:v>8412.2588604642606</c:v>
                </c:pt>
                <c:pt idx="1453">
                  <c:v>8408.6638808541102</c:v>
                </c:pt>
                <c:pt idx="1454">
                  <c:v>8352.3857451350013</c:v>
                </c:pt>
                <c:pt idx="1455">
                  <c:v>8246.4348846738994</c:v>
                </c:pt>
                <c:pt idx="1456">
                  <c:v>8168.1522034912496</c:v>
                </c:pt>
                <c:pt idx="1457">
                  <c:v>8093.9295380620497</c:v>
                </c:pt>
                <c:pt idx="1458">
                  <c:v>8030.3894368357587</c:v>
                </c:pt>
                <c:pt idx="1459">
                  <c:v>7944.2480906760311</c:v>
                </c:pt>
                <c:pt idx="1460">
                  <c:v>7890.3777584221189</c:v>
                </c:pt>
                <c:pt idx="1461">
                  <c:v>7854.2461053581501</c:v>
                </c:pt>
                <c:pt idx="1462">
                  <c:v>7813.1501167948727</c:v>
                </c:pt>
                <c:pt idx="1463">
                  <c:v>7798.6885834791265</c:v>
                </c:pt>
                <c:pt idx="1464">
                  <c:v>7791.3373782290655</c:v>
                </c:pt>
                <c:pt idx="1465">
                  <c:v>7794.3493403887478</c:v>
                </c:pt>
                <c:pt idx="1466">
                  <c:v>7809.4999434470901</c:v>
                </c:pt>
                <c:pt idx="1467">
                  <c:v>7814.7013419036412</c:v>
                </c:pt>
                <c:pt idx="1468">
                  <c:v>7811.85063335625</c:v>
                </c:pt>
                <c:pt idx="1469">
                  <c:v>7812.4489978142301</c:v>
                </c:pt>
                <c:pt idx="1470">
                  <c:v>7826.0604809597453</c:v>
                </c:pt>
                <c:pt idx="1471">
                  <c:v>7854.9356571807257</c:v>
                </c:pt>
                <c:pt idx="1472">
                  <c:v>7874.8336994700667</c:v>
                </c:pt>
                <c:pt idx="1473">
                  <c:v>7928.4308423024395</c:v>
                </c:pt>
                <c:pt idx="1474">
                  <c:v>7939.3549080170433</c:v>
                </c:pt>
                <c:pt idx="1475">
                  <c:v>7938.2500675908923</c:v>
                </c:pt>
                <c:pt idx="1476">
                  <c:v>7939.5382255361574</c:v>
                </c:pt>
                <c:pt idx="1477">
                  <c:v>7943.7786147372663</c:v>
                </c:pt>
                <c:pt idx="1478">
                  <c:v>7948.5704413488193</c:v>
                </c:pt>
                <c:pt idx="1479">
                  <c:v>7982.9726858138811</c:v>
                </c:pt>
                <c:pt idx="1480">
                  <c:v>7997.9577221389245</c:v>
                </c:pt>
                <c:pt idx="1481">
                  <c:v>8003.3049443257214</c:v>
                </c:pt>
                <c:pt idx="1482">
                  <c:v>8007.5377862440928</c:v>
                </c:pt>
                <c:pt idx="1483">
                  <c:v>7984.2114508044069</c:v>
                </c:pt>
                <c:pt idx="1484">
                  <c:v>7942.1355120852122</c:v>
                </c:pt>
                <c:pt idx="1485">
                  <c:v>7932.2565889975594</c:v>
                </c:pt>
                <c:pt idx="1486">
                  <c:v>7925.7625654485573</c:v>
                </c:pt>
                <c:pt idx="1487">
                  <c:v>7925.3540767875493</c:v>
                </c:pt>
                <c:pt idx="1488">
                  <c:v>7927.1863318001633</c:v>
                </c:pt>
                <c:pt idx="1489">
                  <c:v>7927.3380503199178</c:v>
                </c:pt>
                <c:pt idx="1490">
                  <c:v>7926.9083141272531</c:v>
                </c:pt>
                <c:pt idx="1491">
                  <c:v>7928.6357357894231</c:v>
                </c:pt>
                <c:pt idx="1492">
                  <c:v>7925.9294123075315</c:v>
                </c:pt>
                <c:pt idx="1493">
                  <c:v>7927.5708084492844</c:v>
                </c:pt>
                <c:pt idx="1494">
                  <c:v>7925.2083741437491</c:v>
                </c:pt>
                <c:pt idx="1495">
                  <c:v>7919.6503093625588</c:v>
                </c:pt>
                <c:pt idx="1496">
                  <c:v>7901.6422277239799</c:v>
                </c:pt>
                <c:pt idx="1497">
                  <c:v>7885.307404607529</c:v>
                </c:pt>
                <c:pt idx="1498">
                  <c:v>7875.922682310601</c:v>
                </c:pt>
                <c:pt idx="1499">
                  <c:v>7872.264737179813</c:v>
                </c:pt>
                <c:pt idx="1500">
                  <c:v>7876.699433867705</c:v>
                </c:pt>
                <c:pt idx="1501">
                  <c:v>7886.2313773644919</c:v>
                </c:pt>
                <c:pt idx="1502">
                  <c:v>7914.0224813638815</c:v>
                </c:pt>
                <c:pt idx="1503">
                  <c:v>7951.0706578485961</c:v>
                </c:pt>
                <c:pt idx="1504">
                  <c:v>8017.0506384506389</c:v>
                </c:pt>
                <c:pt idx="1505">
                  <c:v>8051.8215698706672</c:v>
                </c:pt>
                <c:pt idx="1506">
                  <c:v>8077.9239445304538</c:v>
                </c:pt>
                <c:pt idx="1507">
                  <c:v>8091.2608435659995</c:v>
                </c:pt>
                <c:pt idx="1508">
                  <c:v>8098.6950286628908</c:v>
                </c:pt>
                <c:pt idx="1509">
                  <c:v>8122.6119741405937</c:v>
                </c:pt>
                <c:pt idx="1510">
                  <c:v>8131.3756680340566</c:v>
                </c:pt>
                <c:pt idx="1511">
                  <c:v>8148.5085165990713</c:v>
                </c:pt>
                <c:pt idx="1512">
                  <c:v>8157.2878559908959</c:v>
                </c:pt>
                <c:pt idx="1513">
                  <c:v>8172.3416305354867</c:v>
                </c:pt>
                <c:pt idx="1514">
                  <c:v>8203.1680704099963</c:v>
                </c:pt>
                <c:pt idx="1515">
                  <c:v>8230.6220538849666</c:v>
                </c:pt>
                <c:pt idx="1516">
                  <c:v>8245.9038184002038</c:v>
                </c:pt>
                <c:pt idx="1517">
                  <c:v>8260.5020096742701</c:v>
                </c:pt>
                <c:pt idx="1518">
                  <c:v>8280.3280766130956</c:v>
                </c:pt>
                <c:pt idx="1519">
                  <c:v>8303.719032794821</c:v>
                </c:pt>
                <c:pt idx="1520">
                  <c:v>8336.7044931166856</c:v>
                </c:pt>
                <c:pt idx="1521">
                  <c:v>8369.340667213186</c:v>
                </c:pt>
                <c:pt idx="1522">
                  <c:v>8401.5941214579707</c:v>
                </c:pt>
                <c:pt idx="1523">
                  <c:v>8462.995353297616</c:v>
                </c:pt>
                <c:pt idx="1524">
                  <c:v>8523.6182539628553</c:v>
                </c:pt>
                <c:pt idx="1525">
                  <c:v>8567.9008967612717</c:v>
                </c:pt>
                <c:pt idx="1526">
                  <c:v>8583.28755409123</c:v>
                </c:pt>
                <c:pt idx="1527">
                  <c:v>8599.7396185928355</c:v>
                </c:pt>
                <c:pt idx="1528">
                  <c:v>8622.9719802793898</c:v>
                </c:pt>
                <c:pt idx="1529">
                  <c:v>8670.2797442325209</c:v>
                </c:pt>
                <c:pt idx="1530">
                  <c:v>8683.7567868082497</c:v>
                </c:pt>
                <c:pt idx="1531">
                  <c:v>8696.075316363509</c:v>
                </c:pt>
                <c:pt idx="1532">
                  <c:v>8704.1346404819287</c:v>
                </c:pt>
                <c:pt idx="1533">
                  <c:v>8706.8377314707141</c:v>
                </c:pt>
                <c:pt idx="1534">
                  <c:v>8717.604094345601</c:v>
                </c:pt>
                <c:pt idx="1535">
                  <c:v>8730.0005280580808</c:v>
                </c:pt>
                <c:pt idx="1536">
                  <c:v>8742.257432675895</c:v>
                </c:pt>
                <c:pt idx="1537">
                  <c:v>8734.5296017478922</c:v>
                </c:pt>
                <c:pt idx="1538">
                  <c:v>8732.9966529323046</c:v>
                </c:pt>
                <c:pt idx="1539">
                  <c:v>8728.1646419710014</c:v>
                </c:pt>
                <c:pt idx="1540">
                  <c:v>8747.379620359472</c:v>
                </c:pt>
                <c:pt idx="1541">
                  <c:v>8766.2981084558269</c:v>
                </c:pt>
                <c:pt idx="1542">
                  <c:v>8781.6223896787251</c:v>
                </c:pt>
                <c:pt idx="1543">
                  <c:v>8793.9091108836255</c:v>
                </c:pt>
                <c:pt idx="1544">
                  <c:v>8801.8833944199214</c:v>
                </c:pt>
                <c:pt idx="1545">
                  <c:v>8807.7749116753366</c:v>
                </c:pt>
                <c:pt idx="1546">
                  <c:v>8814.8648777769777</c:v>
                </c:pt>
                <c:pt idx="1547">
                  <c:v>8828.9033261168443</c:v>
                </c:pt>
                <c:pt idx="1548">
                  <c:v>8846.8234453314726</c:v>
                </c:pt>
                <c:pt idx="1549">
                  <c:v>8853.2493583549804</c:v>
                </c:pt>
                <c:pt idx="1550">
                  <c:v>8871.7688577567551</c:v>
                </c:pt>
                <c:pt idx="1551">
                  <c:v>8888.8956092531462</c:v>
                </c:pt>
                <c:pt idx="1552">
                  <c:v>8894.0018331491665</c:v>
                </c:pt>
                <c:pt idx="1553">
                  <c:v>8908.0949075695753</c:v>
                </c:pt>
                <c:pt idx="1554">
                  <c:v>8937.7452610853179</c:v>
                </c:pt>
                <c:pt idx="1555">
                  <c:v>8973.271856715055</c:v>
                </c:pt>
                <c:pt idx="1556">
                  <c:v>9012.1976134082997</c:v>
                </c:pt>
                <c:pt idx="1557">
                  <c:v>9019.2033957083531</c:v>
                </c:pt>
                <c:pt idx="1558">
                  <c:v>9026.516382336169</c:v>
                </c:pt>
                <c:pt idx="1559">
                  <c:v>9025.5396499095386</c:v>
                </c:pt>
                <c:pt idx="1560">
                  <c:v>9020.7651598750053</c:v>
                </c:pt>
                <c:pt idx="1561">
                  <c:v>9018.1801220683665</c:v>
                </c:pt>
                <c:pt idx="1562">
                  <c:v>9019.5016955032097</c:v>
                </c:pt>
                <c:pt idx="1563">
                  <c:v>9035.7962610409704</c:v>
                </c:pt>
                <c:pt idx="1564">
                  <c:v>9044.5957025167718</c:v>
                </c:pt>
                <c:pt idx="1565">
                  <c:v>9042.2529127884154</c:v>
                </c:pt>
                <c:pt idx="1566">
                  <c:v>9050.1246926658496</c:v>
                </c:pt>
                <c:pt idx="1567">
                  <c:v>9053.40143159953</c:v>
                </c:pt>
                <c:pt idx="1568">
                  <c:v>9057.5178343481584</c:v>
                </c:pt>
                <c:pt idx="1569">
                  <c:v>9058.8836206337528</c:v>
                </c:pt>
                <c:pt idx="1570">
                  <c:v>9061.8255224224213</c:v>
                </c:pt>
                <c:pt idx="1571">
                  <c:v>9057.0069303668752</c:v>
                </c:pt>
                <c:pt idx="1572">
                  <c:v>9056.936672394384</c:v>
                </c:pt>
                <c:pt idx="1573">
                  <c:v>9056.1082280460996</c:v>
                </c:pt>
                <c:pt idx="1574">
                  <c:v>9059.1852519911699</c:v>
                </c:pt>
                <c:pt idx="1575">
                  <c:v>9058.1023712978313</c:v>
                </c:pt>
                <c:pt idx="1576">
                  <c:v>9053.0135816237325</c:v>
                </c:pt>
                <c:pt idx="1577">
                  <c:v>9055.6762238650608</c:v>
                </c:pt>
                <c:pt idx="1578">
                  <c:v>9064.6354468396203</c:v>
                </c:pt>
                <c:pt idx="1579">
                  <c:v>9072.4293949805506</c:v>
                </c:pt>
                <c:pt idx="1580">
                  <c:v>9093.0474248941864</c:v>
                </c:pt>
                <c:pt idx="1581">
                  <c:v>9129.9628118312321</c:v>
                </c:pt>
                <c:pt idx="1582">
                  <c:v>9164.7766454222565</c:v>
                </c:pt>
                <c:pt idx="1583">
                  <c:v>9213.3491043797912</c:v>
                </c:pt>
                <c:pt idx="1584">
                  <c:v>9239.2397128724933</c:v>
                </c:pt>
                <c:pt idx="1585">
                  <c:v>9245.8525100717343</c:v>
                </c:pt>
                <c:pt idx="1586">
                  <c:v>9243.4451357517482</c:v>
                </c:pt>
                <c:pt idx="1587">
                  <c:v>9232.1484554417257</c:v>
                </c:pt>
                <c:pt idx="1588">
                  <c:v>9231.7564186444997</c:v>
                </c:pt>
                <c:pt idx="1589">
                  <c:v>9232.7817950911249</c:v>
                </c:pt>
                <c:pt idx="1590">
                  <c:v>9240.3306784739998</c:v>
                </c:pt>
                <c:pt idx="1591">
                  <c:v>9244.9928595885267</c:v>
                </c:pt>
                <c:pt idx="1592">
                  <c:v>9264.12229063015</c:v>
                </c:pt>
                <c:pt idx="1593">
                  <c:v>9280.4504202231583</c:v>
                </c:pt>
                <c:pt idx="1594">
                  <c:v>9305.8373219821824</c:v>
                </c:pt>
                <c:pt idx="1595">
                  <c:v>9314.9498182605657</c:v>
                </c:pt>
                <c:pt idx="1596">
                  <c:v>9325.816532225359</c:v>
                </c:pt>
                <c:pt idx="1597">
                  <c:v>9342.0757558894311</c:v>
                </c:pt>
                <c:pt idx="1598">
                  <c:v>9355.0425365741521</c:v>
                </c:pt>
                <c:pt idx="1599">
                  <c:v>9360.1112074899629</c:v>
                </c:pt>
                <c:pt idx="1600">
                  <c:v>9364.3305593165805</c:v>
                </c:pt>
                <c:pt idx="1601">
                  <c:v>9382.696294124933</c:v>
                </c:pt>
                <c:pt idx="1602">
                  <c:v>9403.8702120802882</c:v>
                </c:pt>
                <c:pt idx="1603">
                  <c:v>9426.1308738788557</c:v>
                </c:pt>
                <c:pt idx="1604">
                  <c:v>9469.7041381311356</c:v>
                </c:pt>
                <c:pt idx="1605">
                  <c:v>9546.757123034351</c:v>
                </c:pt>
                <c:pt idx="1606">
                  <c:v>9574.5352813352765</c:v>
                </c:pt>
                <c:pt idx="1607">
                  <c:v>9570.2336187168985</c:v>
                </c:pt>
                <c:pt idx="1608">
                  <c:v>9545.8987634613677</c:v>
                </c:pt>
                <c:pt idx="1609">
                  <c:v>9519.2577216842055</c:v>
                </c:pt>
                <c:pt idx="1610">
                  <c:v>9501.1805722473309</c:v>
                </c:pt>
                <c:pt idx="1611">
                  <c:v>9489.2993384768706</c:v>
                </c:pt>
                <c:pt idx="1612">
                  <c:v>9489.3773395636599</c:v>
                </c:pt>
                <c:pt idx="1613">
                  <c:v>9491.0352987316219</c:v>
                </c:pt>
                <c:pt idx="1614">
                  <c:v>9491.0270400614518</c:v>
                </c:pt>
                <c:pt idx="1615">
                  <c:v>9490.1990153371844</c:v>
                </c:pt>
                <c:pt idx="1616">
                  <c:v>9489.2557319967873</c:v>
                </c:pt>
                <c:pt idx="1617">
                  <c:v>9474.4294025817762</c:v>
                </c:pt>
                <c:pt idx="1618">
                  <c:v>9460.9664465843143</c:v>
                </c:pt>
                <c:pt idx="1619">
                  <c:v>9447.8338920576061</c:v>
                </c:pt>
                <c:pt idx="1620">
                  <c:v>9426.1121440345596</c:v>
                </c:pt>
                <c:pt idx="1621">
                  <c:v>9417.5345538615948</c:v>
                </c:pt>
                <c:pt idx="1622">
                  <c:v>9409.7888424235844</c:v>
                </c:pt>
                <c:pt idx="1623">
                  <c:v>9409.5038535924759</c:v>
                </c:pt>
                <c:pt idx="1624">
                  <c:v>9405.2571654039803</c:v>
                </c:pt>
                <c:pt idx="1625">
                  <c:v>9407.9095174931499</c:v>
                </c:pt>
                <c:pt idx="1626">
                  <c:v>9410.2568656671774</c:v>
                </c:pt>
                <c:pt idx="1627">
                  <c:v>9419.0091864291026</c:v>
                </c:pt>
                <c:pt idx="1628">
                  <c:v>9445.4116846624329</c:v>
                </c:pt>
                <c:pt idx="1629">
                  <c:v>9478.676739473316</c:v>
                </c:pt>
                <c:pt idx="1630">
                  <c:v>9518.4592709064582</c:v>
                </c:pt>
                <c:pt idx="1631">
                  <c:v>9564.5590373127343</c:v>
                </c:pt>
                <c:pt idx="1632">
                  <c:v>9589.1840601851291</c:v>
                </c:pt>
                <c:pt idx="1633">
                  <c:v>9618.3203526733923</c:v>
                </c:pt>
                <c:pt idx="1634">
                  <c:v>9654.2574680744128</c:v>
                </c:pt>
                <c:pt idx="1635">
                  <c:v>9692.7099357226907</c:v>
                </c:pt>
                <c:pt idx="1636">
                  <c:v>9739.5819827156065</c:v>
                </c:pt>
                <c:pt idx="1637">
                  <c:v>9765.6323437696647</c:v>
                </c:pt>
                <c:pt idx="1638">
                  <c:v>9793.3548221848487</c:v>
                </c:pt>
                <c:pt idx="1639">
                  <c:v>9810.4780106930521</c:v>
                </c:pt>
                <c:pt idx="1640">
                  <c:v>9796.5235693113336</c:v>
                </c:pt>
                <c:pt idx="1641">
                  <c:v>9755.1878330640793</c:v>
                </c:pt>
                <c:pt idx="1642">
                  <c:v>9736.5743416450659</c:v>
                </c:pt>
                <c:pt idx="1643">
                  <c:v>9746.6169727375946</c:v>
                </c:pt>
                <c:pt idx="1644">
                  <c:v>9747.1052727218394</c:v>
                </c:pt>
                <c:pt idx="1645">
                  <c:v>9741.6591739665946</c:v>
                </c:pt>
                <c:pt idx="1646">
                  <c:v>9715.6847683931101</c:v>
                </c:pt>
                <c:pt idx="1647">
                  <c:v>9691.7810334356182</c:v>
                </c:pt>
                <c:pt idx="1648">
                  <c:v>9683.462083447459</c:v>
                </c:pt>
                <c:pt idx="1649">
                  <c:v>9676.446625220171</c:v>
                </c:pt>
                <c:pt idx="1650">
                  <c:v>9675.0012177701956</c:v>
                </c:pt>
                <c:pt idx="1651">
                  <c:v>9662.1841993114886</c:v>
                </c:pt>
                <c:pt idx="1652">
                  <c:v>9665.2490529473853</c:v>
                </c:pt>
                <c:pt idx="1653">
                  <c:v>9677.7657940660156</c:v>
                </c:pt>
                <c:pt idx="1654">
                  <c:v>9687.8188735226486</c:v>
                </c:pt>
                <c:pt idx="1655">
                  <c:v>9691.6473142280556</c:v>
                </c:pt>
                <c:pt idx="1656">
                  <c:v>9703.6097693066167</c:v>
                </c:pt>
                <c:pt idx="1657">
                  <c:v>9718.0836748555812</c:v>
                </c:pt>
                <c:pt idx="1658">
                  <c:v>9721.8238095200122</c:v>
                </c:pt>
                <c:pt idx="1659">
                  <c:v>9720.9800879225422</c:v>
                </c:pt>
                <c:pt idx="1660">
                  <c:v>9719.3061683673586</c:v>
                </c:pt>
                <c:pt idx="1661">
                  <c:v>9729.978534818918</c:v>
                </c:pt>
                <c:pt idx="1662">
                  <c:v>9731.9552561292567</c:v>
                </c:pt>
                <c:pt idx="1663">
                  <c:v>9724.5852311322851</c:v>
                </c:pt>
                <c:pt idx="1664">
                  <c:v>9719.9785287877039</c:v>
                </c:pt>
                <c:pt idx="1665">
                  <c:v>9717.3814716567467</c:v>
                </c:pt>
                <c:pt idx="1666">
                  <c:v>9737.8135392497261</c:v>
                </c:pt>
                <c:pt idx="1667">
                  <c:v>9763.3427953236369</c:v>
                </c:pt>
                <c:pt idx="1668">
                  <c:v>9777.1240793757097</c:v>
                </c:pt>
                <c:pt idx="1669">
                  <c:v>9791.7151430776485</c:v>
                </c:pt>
                <c:pt idx="1670">
                  <c:v>9785.4201038383235</c:v>
                </c:pt>
                <c:pt idx="1671">
                  <c:v>9801.9974233772518</c:v>
                </c:pt>
                <c:pt idx="1672">
                  <c:v>9767.0089195204091</c:v>
                </c:pt>
                <c:pt idx="1673">
                  <c:v>9740.0681454941732</c:v>
                </c:pt>
                <c:pt idx="1674">
                  <c:v>9715.2533615493921</c:v>
                </c:pt>
                <c:pt idx="1675">
                  <c:v>9708.7431881658813</c:v>
                </c:pt>
                <c:pt idx="1676">
                  <c:v>9705.6753450706856</c:v>
                </c:pt>
                <c:pt idx="1677">
                  <c:v>9702.7826900731725</c:v>
                </c:pt>
                <c:pt idx="1678">
                  <c:v>9705.9986598294272</c:v>
                </c:pt>
                <c:pt idx="1679">
                  <c:v>9709.2991976398989</c:v>
                </c:pt>
                <c:pt idx="1680">
                  <c:v>9709.554560927525</c:v>
                </c:pt>
                <c:pt idx="1681">
                  <c:v>9709.6083055487343</c:v>
                </c:pt>
                <c:pt idx="1682">
                  <c:v>9708.8943290570132</c:v>
                </c:pt>
                <c:pt idx="1683">
                  <c:v>9703.3507202014735</c:v>
                </c:pt>
                <c:pt idx="1684">
                  <c:v>9691.5035998859603</c:v>
                </c:pt>
                <c:pt idx="1685">
                  <c:v>9683.7145334995294</c:v>
                </c:pt>
                <c:pt idx="1686">
                  <c:v>9678.7365312692145</c:v>
                </c:pt>
                <c:pt idx="1687">
                  <c:v>9678.4559691405921</c:v>
                </c:pt>
                <c:pt idx="1688">
                  <c:v>9674.9314297065412</c:v>
                </c:pt>
                <c:pt idx="1689">
                  <c:v>9673.8389459557675</c:v>
                </c:pt>
                <c:pt idx="1690">
                  <c:v>9677.8340410124529</c:v>
                </c:pt>
                <c:pt idx="1691">
                  <c:v>9682.8881665658246</c:v>
                </c:pt>
                <c:pt idx="1692">
                  <c:v>9725.0359432083405</c:v>
                </c:pt>
                <c:pt idx="1693">
                  <c:v>9765.5282077647971</c:v>
                </c:pt>
                <c:pt idx="1694">
                  <c:v>9814.5298484041286</c:v>
                </c:pt>
                <c:pt idx="1695">
                  <c:v>9844.7905560353902</c:v>
                </c:pt>
                <c:pt idx="1696">
                  <c:v>9873.9392318503578</c:v>
                </c:pt>
                <c:pt idx="1697">
                  <c:v>9916.0668360514464</c:v>
                </c:pt>
                <c:pt idx="1698">
                  <c:v>9945.39491665881</c:v>
                </c:pt>
                <c:pt idx="1699">
                  <c:v>9985.7695373345196</c:v>
                </c:pt>
                <c:pt idx="1700">
                  <c:v>10025.147586653198</c:v>
                </c:pt>
                <c:pt idx="1701">
                  <c:v>10082.151840083205</c:v>
                </c:pt>
                <c:pt idx="1702">
                  <c:v>10114.714723298694</c:v>
                </c:pt>
                <c:pt idx="1703">
                  <c:v>10124.732035103871</c:v>
                </c:pt>
                <c:pt idx="1704">
                  <c:v>10117.602667011488</c:v>
                </c:pt>
                <c:pt idx="1705">
                  <c:v>10095.971472078467</c:v>
                </c:pt>
                <c:pt idx="1706">
                  <c:v>10096.517360131589</c:v>
                </c:pt>
                <c:pt idx="1707">
                  <c:v>10116.297239521464</c:v>
                </c:pt>
                <c:pt idx="1708">
                  <c:v>10130.725586040653</c:v>
                </c:pt>
                <c:pt idx="1709">
                  <c:v>10143.453693572181</c:v>
                </c:pt>
                <c:pt idx="1710">
                  <c:v>10145.841698565078</c:v>
                </c:pt>
                <c:pt idx="1711">
                  <c:v>10145.937688787779</c:v>
                </c:pt>
                <c:pt idx="1712">
                  <c:v>10146.585379506814</c:v>
                </c:pt>
                <c:pt idx="1713">
                  <c:v>10145.997381996718</c:v>
                </c:pt>
                <c:pt idx="1714">
                  <c:v>10146.693410325886</c:v>
                </c:pt>
                <c:pt idx="1715">
                  <c:v>10149.777782441739</c:v>
                </c:pt>
                <c:pt idx="1716">
                  <c:v>10141.407314957803</c:v>
                </c:pt>
                <c:pt idx="1717">
                  <c:v>10117.527270891933</c:v>
                </c:pt>
                <c:pt idx="1718">
                  <c:v>10101.475032374481</c:v>
                </c:pt>
                <c:pt idx="1719">
                  <c:v>10079.00060012076</c:v>
                </c:pt>
                <c:pt idx="1720">
                  <c:v>10041.949678988485</c:v>
                </c:pt>
                <c:pt idx="1721">
                  <c:v>10032.707656623215</c:v>
                </c:pt>
                <c:pt idx="1722">
                  <c:v>10032.39358913322</c:v>
                </c:pt>
                <c:pt idx="1723">
                  <c:v>10034.944337152423</c:v>
                </c:pt>
                <c:pt idx="1724">
                  <c:v>10039.693804607539</c:v>
                </c:pt>
                <c:pt idx="1725">
                  <c:v>10050.970144743638</c:v>
                </c:pt>
                <c:pt idx="1726">
                  <c:v>10053.812085314124</c:v>
                </c:pt>
                <c:pt idx="1727">
                  <c:v>10053.914346059122</c:v>
                </c:pt>
                <c:pt idx="1728">
                  <c:v>10051.351535466234</c:v>
                </c:pt>
                <c:pt idx="1729">
                  <c:v>10042.164598019626</c:v>
                </c:pt>
                <c:pt idx="1730">
                  <c:v>10036.670011826558</c:v>
                </c:pt>
                <c:pt idx="1731">
                  <c:v>10032.3870311336</c:v>
                </c:pt>
                <c:pt idx="1732">
                  <c:v>10024.438966857617</c:v>
                </c:pt>
                <c:pt idx="1733">
                  <c:v>10013.369295095867</c:v>
                </c:pt>
                <c:pt idx="1734">
                  <c:v>10007.728158063395</c:v>
                </c:pt>
                <c:pt idx="1735">
                  <c:v>10004.055182562659</c:v>
                </c:pt>
                <c:pt idx="1736">
                  <c:v>10006.03378255696</c:v>
                </c:pt>
                <c:pt idx="1737">
                  <c:v>10032.523835868298</c:v>
                </c:pt>
                <c:pt idx="1738">
                  <c:v>10061.776113800637</c:v>
                </c:pt>
                <c:pt idx="1739">
                  <c:v>10096.016340036804</c:v>
                </c:pt>
                <c:pt idx="1740">
                  <c:v>10157.132902683321</c:v>
                </c:pt>
                <c:pt idx="1741">
                  <c:v>10186.175789882291</c:v>
                </c:pt>
                <c:pt idx="1742">
                  <c:v>10198.178082979568</c:v>
                </c:pt>
                <c:pt idx="1743">
                  <c:v>10206.004037523957</c:v>
                </c:pt>
                <c:pt idx="1744">
                  <c:v>10233.802128359623</c:v>
                </c:pt>
                <c:pt idx="1745">
                  <c:v>10281.191059386611</c:v>
                </c:pt>
                <c:pt idx="1746">
                  <c:v>10313.495430047069</c:v>
                </c:pt>
                <c:pt idx="1747">
                  <c:v>10338.449482321097</c:v>
                </c:pt>
                <c:pt idx="1748">
                  <c:v>10344.631798517277</c:v>
                </c:pt>
                <c:pt idx="1749">
                  <c:v>10340.493063229907</c:v>
                </c:pt>
                <c:pt idx="1750">
                  <c:v>10334.528581786151</c:v>
                </c:pt>
                <c:pt idx="1751">
                  <c:v>10327.523511875359</c:v>
                </c:pt>
                <c:pt idx="1752">
                  <c:v>10303.044393383569</c:v>
                </c:pt>
                <c:pt idx="1753">
                  <c:v>10289.036197499487</c:v>
                </c:pt>
                <c:pt idx="1754">
                  <c:v>10294.763766002628</c:v>
                </c:pt>
                <c:pt idx="1755">
                  <c:v>10304.772234399121</c:v>
                </c:pt>
                <c:pt idx="1756">
                  <c:v>10323.878412102611</c:v>
                </c:pt>
                <c:pt idx="1757">
                  <c:v>10368.378700010042</c:v>
                </c:pt>
                <c:pt idx="1758">
                  <c:v>10422.361755613343</c:v>
                </c:pt>
                <c:pt idx="1759">
                  <c:v>10463.222179486485</c:v>
                </c:pt>
                <c:pt idx="1760">
                  <c:v>10482.84791491893</c:v>
                </c:pt>
                <c:pt idx="1761">
                  <c:v>10456.552838293916</c:v>
                </c:pt>
                <c:pt idx="1762">
                  <c:v>10424.591019725329</c:v>
                </c:pt>
                <c:pt idx="1763">
                  <c:v>10415.345307477124</c:v>
                </c:pt>
                <c:pt idx="1764">
                  <c:v>10379.119706902286</c:v>
                </c:pt>
                <c:pt idx="1765">
                  <c:v>10358.187677483249</c:v>
                </c:pt>
                <c:pt idx="1766">
                  <c:v>10325.640248531225</c:v>
                </c:pt>
                <c:pt idx="1767">
                  <c:v>10305.907404996102</c:v>
                </c:pt>
                <c:pt idx="1768">
                  <c:v>10265.376318395323</c:v>
                </c:pt>
                <c:pt idx="1769">
                  <c:v>10213.489960170133</c:v>
                </c:pt>
                <c:pt idx="1770">
                  <c:v>10162.978718069777</c:v>
                </c:pt>
                <c:pt idx="1771">
                  <c:v>10127.011613496696</c:v>
                </c:pt>
                <c:pt idx="1772">
                  <c:v>10104.143745295743</c:v>
                </c:pt>
                <c:pt idx="1773">
                  <c:v>10105.151376721598</c:v>
                </c:pt>
                <c:pt idx="1774">
                  <c:v>10120.607797694227</c:v>
                </c:pt>
                <c:pt idx="1775">
                  <c:v>10155.393625282888</c:v>
                </c:pt>
                <c:pt idx="1776">
                  <c:v>10185.851116469286</c:v>
                </c:pt>
                <c:pt idx="1777">
                  <c:v>10228.427504532523</c:v>
                </c:pt>
                <c:pt idx="1778">
                  <c:v>10291.310523369835</c:v>
                </c:pt>
                <c:pt idx="1779">
                  <c:v>10277.210912324546</c:v>
                </c:pt>
                <c:pt idx="1780">
                  <c:v>10226.630543098165</c:v>
                </c:pt>
                <c:pt idx="1781">
                  <c:v>10197.610392027747</c:v>
                </c:pt>
                <c:pt idx="1782">
                  <c:v>10168.992890297181</c:v>
                </c:pt>
                <c:pt idx="1783">
                  <c:v>10172.285989393748</c:v>
                </c:pt>
                <c:pt idx="1784">
                  <c:v>10171.606105532201</c:v>
                </c:pt>
                <c:pt idx="1785">
                  <c:v>10172.969528400803</c:v>
                </c:pt>
                <c:pt idx="1786">
                  <c:v>10169.761047322423</c:v>
                </c:pt>
                <c:pt idx="1787">
                  <c:v>10146.398886014022</c:v>
                </c:pt>
                <c:pt idx="1788">
                  <c:v>10098.859346030034</c:v>
                </c:pt>
                <c:pt idx="1789">
                  <c:v>10065.761918472514</c:v>
                </c:pt>
                <c:pt idx="1790">
                  <c:v>10042.650950520152</c:v>
                </c:pt>
                <c:pt idx="1791">
                  <c:v>10013.663234198793</c:v>
                </c:pt>
                <c:pt idx="1792">
                  <c:v>9963.4806984366642</c:v>
                </c:pt>
                <c:pt idx="1793">
                  <c:v>9948.6374443603981</c:v>
                </c:pt>
                <c:pt idx="1794">
                  <c:v>9955.9844983982657</c:v>
                </c:pt>
                <c:pt idx="1795">
                  <c:v>9957.8956607547534</c:v>
                </c:pt>
                <c:pt idx="1796">
                  <c:v>9968.2646048532151</c:v>
                </c:pt>
                <c:pt idx="1797">
                  <c:v>9979.941063326316</c:v>
                </c:pt>
                <c:pt idx="1798">
                  <c:v>9974.2217452727964</c:v>
                </c:pt>
                <c:pt idx="1799">
                  <c:v>9972.9138572420325</c:v>
                </c:pt>
                <c:pt idx="1800">
                  <c:v>9977.8855846632869</c:v>
                </c:pt>
                <c:pt idx="1801">
                  <c:v>9974.8394822795672</c:v>
                </c:pt>
                <c:pt idx="1802">
                  <c:v>9972.0582988236583</c:v>
                </c:pt>
                <c:pt idx="1803">
                  <c:v>9972.4586884595738</c:v>
                </c:pt>
                <c:pt idx="1804">
                  <c:v>9968.9311849518745</c:v>
                </c:pt>
                <c:pt idx="1805">
                  <c:v>9961.5014526891464</c:v>
                </c:pt>
                <c:pt idx="1806">
                  <c:v>9946.0360767626116</c:v>
                </c:pt>
                <c:pt idx="1807">
                  <c:v>9937.463613372749</c:v>
                </c:pt>
                <c:pt idx="1808">
                  <c:v>9950.7033032007112</c:v>
                </c:pt>
                <c:pt idx="1809">
                  <c:v>9961.032405393813</c:v>
                </c:pt>
                <c:pt idx="1810">
                  <c:v>9972.4776175264324</c:v>
                </c:pt>
                <c:pt idx="1811">
                  <c:v>9994.5267831099936</c:v>
                </c:pt>
                <c:pt idx="1812">
                  <c:v>10049.618123550792</c:v>
                </c:pt>
                <c:pt idx="1813">
                  <c:v>10084.885806608605</c:v>
                </c:pt>
                <c:pt idx="1814">
                  <c:v>10111.926675578507</c:v>
                </c:pt>
                <c:pt idx="1815">
                  <c:v>10157.391910795803</c:v>
                </c:pt>
                <c:pt idx="1816">
                  <c:v>10182.751875638274</c:v>
                </c:pt>
                <c:pt idx="1817">
                  <c:v>10211.802801880669</c:v>
                </c:pt>
                <c:pt idx="1818">
                  <c:v>10290.232314971123</c:v>
                </c:pt>
                <c:pt idx="1819">
                  <c:v>10323.808992369326</c:v>
                </c:pt>
                <c:pt idx="1820">
                  <c:v>10356.859346561956</c:v>
                </c:pt>
                <c:pt idx="1821">
                  <c:v>10384.334561800461</c:v>
                </c:pt>
                <c:pt idx="1822">
                  <c:v>10410.090116415075</c:v>
                </c:pt>
                <c:pt idx="1823">
                  <c:v>10440.410039831815</c:v>
                </c:pt>
                <c:pt idx="1824">
                  <c:v>10456.194623988338</c:v>
                </c:pt>
                <c:pt idx="1825">
                  <c:v>10473.201879539001</c:v>
                </c:pt>
                <c:pt idx="1826">
                  <c:v>10485.398955301003</c:v>
                </c:pt>
                <c:pt idx="1827">
                  <c:v>10501.179938511465</c:v>
                </c:pt>
                <c:pt idx="1828">
                  <c:v>10523.959951871264</c:v>
                </c:pt>
                <c:pt idx="1829">
                  <c:v>10529.835322836254</c:v>
                </c:pt>
                <c:pt idx="1830">
                  <c:v>10518.503290574305</c:v>
                </c:pt>
                <c:pt idx="1831">
                  <c:v>10508.809919814372</c:v>
                </c:pt>
                <c:pt idx="1832">
                  <c:v>10467.859958998568</c:v>
                </c:pt>
                <c:pt idx="1833">
                  <c:v>10457.644182054668</c:v>
                </c:pt>
                <c:pt idx="1834">
                  <c:v>10456.287686818576</c:v>
                </c:pt>
                <c:pt idx="1835">
                  <c:v>10456.183713675278</c:v>
                </c:pt>
                <c:pt idx="1836">
                  <c:v>10453.025626387691</c:v>
                </c:pt>
                <c:pt idx="1837">
                  <c:v>10448.404411223259</c:v>
                </c:pt>
                <c:pt idx="1838">
                  <c:v>10448.508071255388</c:v>
                </c:pt>
                <c:pt idx="1839">
                  <c:v>10452.848637373039</c:v>
                </c:pt>
                <c:pt idx="1840">
                  <c:v>10449.300827391955</c:v>
                </c:pt>
                <c:pt idx="1841">
                  <c:v>10442.824573199867</c:v>
                </c:pt>
                <c:pt idx="1842">
                  <c:v>10443.423350685902</c:v>
                </c:pt>
                <c:pt idx="1843">
                  <c:v>10441.364266096585</c:v>
                </c:pt>
                <c:pt idx="1844">
                  <c:v>10444.637974709502</c:v>
                </c:pt>
                <c:pt idx="1845">
                  <c:v>10446.569940265343</c:v>
                </c:pt>
                <c:pt idx="1846">
                  <c:v>10441.560634864387</c:v>
                </c:pt>
                <c:pt idx="1847">
                  <c:v>10431.507965396449</c:v>
                </c:pt>
                <c:pt idx="1848">
                  <c:v>10428.310729817164</c:v>
                </c:pt>
                <c:pt idx="1849">
                  <c:v>10432.344747388121</c:v>
                </c:pt>
                <c:pt idx="1850">
                  <c:v>10452.714906632078</c:v>
                </c:pt>
                <c:pt idx="1851">
                  <c:v>10472.62586667737</c:v>
                </c:pt>
                <c:pt idx="1852">
                  <c:v>10526.518938022615</c:v>
                </c:pt>
                <c:pt idx="1853">
                  <c:v>10563.414848052749</c:v>
                </c:pt>
                <c:pt idx="1854">
                  <c:v>10579.763118534047</c:v>
                </c:pt>
                <c:pt idx="1855">
                  <c:v>10584.901127987538</c:v>
                </c:pt>
                <c:pt idx="1856">
                  <c:v>10599.967869389811</c:v>
                </c:pt>
                <c:pt idx="1857">
                  <c:v>10611.7539488564</c:v>
                </c:pt>
                <c:pt idx="1858">
                  <c:v>10586.632403292961</c:v>
                </c:pt>
                <c:pt idx="1859">
                  <c:v>10588.496927336542</c:v>
                </c:pt>
                <c:pt idx="1860">
                  <c:v>10593.976464934043</c:v>
                </c:pt>
                <c:pt idx="1861">
                  <c:v>10615.28496012773</c:v>
                </c:pt>
                <c:pt idx="1862">
                  <c:v>10623.129361250656</c:v>
                </c:pt>
                <c:pt idx="1863">
                  <c:v>10622.292360008758</c:v>
                </c:pt>
                <c:pt idx="1864">
                  <c:v>10622.426948180317</c:v>
                </c:pt>
                <c:pt idx="1865">
                  <c:v>10619.353402117429</c:v>
                </c:pt>
                <c:pt idx="1866">
                  <c:v>10604.942206573631</c:v>
                </c:pt>
                <c:pt idx="1867">
                  <c:v>10593.824527151552</c:v>
                </c:pt>
                <c:pt idx="1868">
                  <c:v>10571.147585823706</c:v>
                </c:pt>
                <c:pt idx="1869">
                  <c:v>10555.595372678996</c:v>
                </c:pt>
                <c:pt idx="1870">
                  <c:v>10553.336546500001</c:v>
                </c:pt>
                <c:pt idx="1871">
                  <c:v>10554.341754172736</c:v>
                </c:pt>
                <c:pt idx="1872">
                  <c:v>10554.759932542513</c:v>
                </c:pt>
                <c:pt idx="1873">
                  <c:v>10561.84503107373</c:v>
                </c:pt>
                <c:pt idx="1874">
                  <c:v>10559.958597135183</c:v>
                </c:pt>
                <c:pt idx="1875">
                  <c:v>10558.890818460426</c:v>
                </c:pt>
                <c:pt idx="1876">
                  <c:v>10556.165239582724</c:v>
                </c:pt>
                <c:pt idx="1877">
                  <c:v>10575.025270525028</c:v>
                </c:pt>
                <c:pt idx="1878">
                  <c:v>10617.58864258482</c:v>
                </c:pt>
                <c:pt idx="1879">
                  <c:v>10625.810653711034</c:v>
                </c:pt>
                <c:pt idx="1880">
                  <c:v>10652.492952453524</c:v>
                </c:pt>
                <c:pt idx="1881">
                  <c:v>10676.337945626836</c:v>
                </c:pt>
                <c:pt idx="1882">
                  <c:v>10697.788410478619</c:v>
                </c:pt>
                <c:pt idx="1883">
                  <c:v>10742.678752654252</c:v>
                </c:pt>
                <c:pt idx="1884">
                  <c:v>10781.107178358849</c:v>
                </c:pt>
                <c:pt idx="1885">
                  <c:v>10807.379565719137</c:v>
                </c:pt>
                <c:pt idx="1886">
                  <c:v>10822.342655401899</c:v>
                </c:pt>
                <c:pt idx="1887">
                  <c:v>10837.269598679066</c:v>
                </c:pt>
                <c:pt idx="1888">
                  <c:v>10844.426763803936</c:v>
                </c:pt>
                <c:pt idx="1889">
                  <c:v>10861.999289369398</c:v>
                </c:pt>
                <c:pt idx="1890">
                  <c:v>10904.749960886511</c:v>
                </c:pt>
                <c:pt idx="1891">
                  <c:v>10934.779179301535</c:v>
                </c:pt>
                <c:pt idx="1892">
                  <c:v>10979.660929306578</c:v>
                </c:pt>
                <c:pt idx="1893">
                  <c:v>11036.591141860954</c:v>
                </c:pt>
                <c:pt idx="1894">
                  <c:v>11082.185085549241</c:v>
                </c:pt>
                <c:pt idx="1895">
                  <c:v>11115.390676606057</c:v>
                </c:pt>
                <c:pt idx="1896">
                  <c:v>11143.422896255508</c:v>
                </c:pt>
                <c:pt idx="1897">
                  <c:v>11184.15642507279</c:v>
                </c:pt>
                <c:pt idx="1898">
                  <c:v>11204.944082721702</c:v>
                </c:pt>
                <c:pt idx="1899">
                  <c:v>11201.616057360632</c:v>
                </c:pt>
                <c:pt idx="1900">
                  <c:v>11207.628182952574</c:v>
                </c:pt>
                <c:pt idx="1901">
                  <c:v>11214.825523339163</c:v>
                </c:pt>
                <c:pt idx="1902">
                  <c:v>11227.555805701504</c:v>
                </c:pt>
                <c:pt idx="1903">
                  <c:v>11271.527224404606</c:v>
                </c:pt>
                <c:pt idx="1904">
                  <c:v>11291.316045625292</c:v>
                </c:pt>
                <c:pt idx="1905">
                  <c:v>11303.930544528592</c:v>
                </c:pt>
                <c:pt idx="1906">
                  <c:v>11321.717929029415</c:v>
                </c:pt>
                <c:pt idx="1907">
                  <c:v>11332.239063670882</c:v>
                </c:pt>
                <c:pt idx="1908">
                  <c:v>11327.646632249262</c:v>
                </c:pt>
                <c:pt idx="1909">
                  <c:v>11296.616043184311</c:v>
                </c:pt>
                <c:pt idx="1910">
                  <c:v>11299.509595030697</c:v>
                </c:pt>
                <c:pt idx="1911">
                  <c:v>11308.336184751806</c:v>
                </c:pt>
                <c:pt idx="1912">
                  <c:v>11306.910965426343</c:v>
                </c:pt>
                <c:pt idx="1913">
                  <c:v>11270.728358573255</c:v>
                </c:pt>
                <c:pt idx="1914">
                  <c:v>11222.815769257744</c:v>
                </c:pt>
                <c:pt idx="1915">
                  <c:v>11158.401445289748</c:v>
                </c:pt>
                <c:pt idx="1916">
                  <c:v>11055.945249852955</c:v>
                </c:pt>
                <c:pt idx="1917">
                  <c:v>10997.049729718039</c:v>
                </c:pt>
                <c:pt idx="1918">
                  <c:v>10949.047971508611</c:v>
                </c:pt>
                <c:pt idx="1919">
                  <c:v>10899.267041285357</c:v>
                </c:pt>
                <c:pt idx="1920">
                  <c:v>10846.843482601078</c:v>
                </c:pt>
                <c:pt idx="1921">
                  <c:v>10820.397448877533</c:v>
                </c:pt>
                <c:pt idx="1922">
                  <c:v>10775.038487927479</c:v>
                </c:pt>
                <c:pt idx="1923">
                  <c:v>10667.471904965598</c:v>
                </c:pt>
                <c:pt idx="1924">
                  <c:v>10496.098573220374</c:v>
                </c:pt>
                <c:pt idx="1925">
                  <c:v>10367.261195538425</c:v>
                </c:pt>
                <c:pt idx="1926">
                  <c:v>10255.34156076884</c:v>
                </c:pt>
                <c:pt idx="1927">
                  <c:v>10204.944562735267</c:v>
                </c:pt>
                <c:pt idx="1928">
                  <c:v>10109.407875274717</c:v>
                </c:pt>
                <c:pt idx="1929">
                  <c:v>10065.242829687721</c:v>
                </c:pt>
                <c:pt idx="1930">
                  <c:v>10041.966341914238</c:v>
                </c:pt>
                <c:pt idx="1931">
                  <c:v>10057.408809328968</c:v>
                </c:pt>
                <c:pt idx="1932">
                  <c:v>10053.019802281942</c:v>
                </c:pt>
                <c:pt idx="1933">
                  <c:v>10027.203431721618</c:v>
                </c:pt>
                <c:pt idx="1934">
                  <c:v>10001.110671957947</c:v>
                </c:pt>
                <c:pt idx="1935">
                  <c:v>9960.5226570307896</c:v>
                </c:pt>
                <c:pt idx="1936">
                  <c:v>9929.0061672195025</c:v>
                </c:pt>
                <c:pt idx="1937">
                  <c:v>9902.7751421495068</c:v>
                </c:pt>
                <c:pt idx="1938">
                  <c:v>9873.2396474270481</c:v>
                </c:pt>
                <c:pt idx="1939">
                  <c:v>9884.9788758800532</c:v>
                </c:pt>
                <c:pt idx="1940">
                  <c:v>9897.3925201750171</c:v>
                </c:pt>
                <c:pt idx="1941">
                  <c:v>9964.9516694236445</c:v>
                </c:pt>
                <c:pt idx="1942">
                  <c:v>10021.792737586642</c:v>
                </c:pt>
                <c:pt idx="1943">
                  <c:v>10027.470962073148</c:v>
                </c:pt>
                <c:pt idx="1944">
                  <c:v>10025.158454591907</c:v>
                </c:pt>
                <c:pt idx="1945">
                  <c:v>10022.466692734117</c:v>
                </c:pt>
                <c:pt idx="1946">
                  <c:v>10019.176850154521</c:v>
                </c:pt>
                <c:pt idx="1947">
                  <c:v>10013.398891122453</c:v>
                </c:pt>
                <c:pt idx="1948">
                  <c:v>10027.956201714827</c:v>
                </c:pt>
                <c:pt idx="1949">
                  <c:v>10024.001795344499</c:v>
                </c:pt>
                <c:pt idx="1950">
                  <c:v>10021.359895689884</c:v>
                </c:pt>
                <c:pt idx="1951">
                  <c:v>10019.091175128558</c:v>
                </c:pt>
                <c:pt idx="1952">
                  <c:v>10008.763778611519</c:v>
                </c:pt>
                <c:pt idx="1953">
                  <c:v>10002.984716888996</c:v>
                </c:pt>
                <c:pt idx="1954">
                  <c:v>10020.185181634766</c:v>
                </c:pt>
                <c:pt idx="1955">
                  <c:v>10061.829737224349</c:v>
                </c:pt>
                <c:pt idx="1956">
                  <c:v>10092.779284588712</c:v>
                </c:pt>
                <c:pt idx="1957">
                  <c:v>10151.598665786934</c:v>
                </c:pt>
                <c:pt idx="1958">
                  <c:v>10256.016109551714</c:v>
                </c:pt>
                <c:pt idx="1959">
                  <c:v>10302.957650832866</c:v>
                </c:pt>
                <c:pt idx="1960">
                  <c:v>10365.414590684875</c:v>
                </c:pt>
                <c:pt idx="1961">
                  <c:v>10380.271709283699</c:v>
                </c:pt>
                <c:pt idx="1962">
                  <c:v>10406.436805735544</c:v>
                </c:pt>
                <c:pt idx="1963">
                  <c:v>10407.119483451741</c:v>
                </c:pt>
                <c:pt idx="1964">
                  <c:v>10423.456470244235</c:v>
                </c:pt>
                <c:pt idx="1965">
                  <c:v>10433.750023383751</c:v>
                </c:pt>
                <c:pt idx="1966">
                  <c:v>10441.442820941234</c:v>
                </c:pt>
                <c:pt idx="1967">
                  <c:v>10424.738168174279</c:v>
                </c:pt>
                <c:pt idx="1968">
                  <c:v>10437.407075092568</c:v>
                </c:pt>
                <c:pt idx="1969">
                  <c:v>10448.702268107576</c:v>
                </c:pt>
                <c:pt idx="1970">
                  <c:v>10461.682754435171</c:v>
                </c:pt>
                <c:pt idx="1971">
                  <c:v>10470.245613177109</c:v>
                </c:pt>
                <c:pt idx="1972">
                  <c:v>10468.292923926596</c:v>
                </c:pt>
                <c:pt idx="1973">
                  <c:v>10462.383783808769</c:v>
                </c:pt>
                <c:pt idx="1974">
                  <c:v>10459.849263806747</c:v>
                </c:pt>
                <c:pt idx="1975">
                  <c:v>10471.38128236921</c:v>
                </c:pt>
                <c:pt idx="1976">
                  <c:v>10504.44138704643</c:v>
                </c:pt>
                <c:pt idx="1977">
                  <c:v>10509.700591242743</c:v>
                </c:pt>
                <c:pt idx="1978">
                  <c:v>10514.307654262635</c:v>
                </c:pt>
                <c:pt idx="1979">
                  <c:v>10517.817914734194</c:v>
                </c:pt>
                <c:pt idx="1980">
                  <c:v>10517.80039791703</c:v>
                </c:pt>
                <c:pt idx="1981">
                  <c:v>10518.131690711172</c:v>
                </c:pt>
                <c:pt idx="1982">
                  <c:v>10518.182901211796</c:v>
                </c:pt>
                <c:pt idx="1983">
                  <c:v>10508.633419351047</c:v>
                </c:pt>
                <c:pt idx="1984">
                  <c:v>10505.512488596565</c:v>
                </c:pt>
                <c:pt idx="1985">
                  <c:v>10525.399835417709</c:v>
                </c:pt>
                <c:pt idx="1986">
                  <c:v>10533.127701288315</c:v>
                </c:pt>
                <c:pt idx="1987">
                  <c:v>10590.510393667482</c:v>
                </c:pt>
                <c:pt idx="1988">
                  <c:v>10639.73514587813</c:v>
                </c:pt>
                <c:pt idx="1989">
                  <c:v>10645.682410316416</c:v>
                </c:pt>
                <c:pt idx="1990">
                  <c:v>10639.964986007551</c:v>
                </c:pt>
                <c:pt idx="1991">
                  <c:v>10640.311168651417</c:v>
                </c:pt>
                <c:pt idx="1992">
                  <c:v>10640.221863801784</c:v>
                </c:pt>
                <c:pt idx="1993">
                  <c:v>10640.458447614319</c:v>
                </c:pt>
                <c:pt idx="1994">
                  <c:v>10647.186899881726</c:v>
                </c:pt>
                <c:pt idx="1995">
                  <c:v>10645.740349351785</c:v>
                </c:pt>
                <c:pt idx="1996">
                  <c:v>10648.744538837438</c:v>
                </c:pt>
                <c:pt idx="1997">
                  <c:v>10673.454453508955</c:v>
                </c:pt>
                <c:pt idx="1998">
                  <c:v>10686.034879870866</c:v>
                </c:pt>
                <c:pt idx="1999">
                  <c:v>10686.128218173644</c:v>
                </c:pt>
                <c:pt idx="2000">
                  <c:v>10658.370869100941</c:v>
                </c:pt>
                <c:pt idx="2001">
                  <c:v>10632.54565761513</c:v>
                </c:pt>
                <c:pt idx="2002">
                  <c:v>10611.848098780232</c:v>
                </c:pt>
                <c:pt idx="2003">
                  <c:v>10629.873863197501</c:v>
                </c:pt>
                <c:pt idx="2004">
                  <c:v>10639.305934032403</c:v>
                </c:pt>
                <c:pt idx="2005">
                  <c:v>10643.404376881335</c:v>
                </c:pt>
                <c:pt idx="2006">
                  <c:v>10644.433925667587</c:v>
                </c:pt>
                <c:pt idx="2007">
                  <c:v>10629.042223826506</c:v>
                </c:pt>
                <c:pt idx="2008">
                  <c:v>10619.570047495126</c:v>
                </c:pt>
                <c:pt idx="2009">
                  <c:v>10625.855684318411</c:v>
                </c:pt>
                <c:pt idx="2010">
                  <c:v>10640.855559513668</c:v>
                </c:pt>
                <c:pt idx="2011">
                  <c:v>10637.513199247374</c:v>
                </c:pt>
                <c:pt idx="2012">
                  <c:v>10624.180218358813</c:v>
                </c:pt>
                <c:pt idx="2013">
                  <c:v>10608.423619026365</c:v>
                </c:pt>
                <c:pt idx="2014">
                  <c:v>10579.101856385836</c:v>
                </c:pt>
                <c:pt idx="2015">
                  <c:v>10547.849262466634</c:v>
                </c:pt>
                <c:pt idx="2016">
                  <c:v>10540.239056557954</c:v>
                </c:pt>
                <c:pt idx="2017">
                  <c:v>10538.138601590221</c:v>
                </c:pt>
                <c:pt idx="2018">
                  <c:v>10535.771150227507</c:v>
                </c:pt>
                <c:pt idx="2019">
                  <c:v>10539.166736786938</c:v>
                </c:pt>
                <c:pt idx="2020">
                  <c:v>10557.144350286719</c:v>
                </c:pt>
                <c:pt idx="2021">
                  <c:v>10576.89797720955</c:v>
                </c:pt>
                <c:pt idx="2022">
                  <c:v>10597.230100033577</c:v>
                </c:pt>
                <c:pt idx="2023">
                  <c:v>10598.55014167262</c:v>
                </c:pt>
                <c:pt idx="2024">
                  <c:v>10595.03878661104</c:v>
                </c:pt>
                <c:pt idx="2025">
                  <c:v>10586.143721097471</c:v>
                </c:pt>
                <c:pt idx="2026">
                  <c:v>10578.412481312707</c:v>
                </c:pt>
                <c:pt idx="2027">
                  <c:v>10581.087107814092</c:v>
                </c:pt>
                <c:pt idx="2028">
                  <c:v>10566.729125720329</c:v>
                </c:pt>
                <c:pt idx="2029">
                  <c:v>10525.05462381603</c:v>
                </c:pt>
                <c:pt idx="2030">
                  <c:v>10490.710988764231</c:v>
                </c:pt>
                <c:pt idx="2031">
                  <c:v>10472.463366217242</c:v>
                </c:pt>
                <c:pt idx="2032">
                  <c:v>10462.845239945702</c:v>
                </c:pt>
                <c:pt idx="2033">
                  <c:v>10464.698798683938</c:v>
                </c:pt>
                <c:pt idx="2034">
                  <c:v>10485.593834904892</c:v>
                </c:pt>
                <c:pt idx="2035">
                  <c:v>10531.662048553448</c:v>
                </c:pt>
                <c:pt idx="2036">
                  <c:v>10569.970536050918</c:v>
                </c:pt>
                <c:pt idx="2037">
                  <c:v>10612.22591322924</c:v>
                </c:pt>
                <c:pt idx="2038">
                  <c:v>10655.096906782783</c:v>
                </c:pt>
                <c:pt idx="2039">
                  <c:v>10691.646309319083</c:v>
                </c:pt>
                <c:pt idx="2040">
                  <c:v>10737.087986364375</c:v>
                </c:pt>
                <c:pt idx="2041">
                  <c:v>10792.319901107094</c:v>
                </c:pt>
                <c:pt idx="2042">
                  <c:v>10863.532514107303</c:v>
                </c:pt>
                <c:pt idx="2043">
                  <c:v>10940.348058761334</c:v>
                </c:pt>
                <c:pt idx="2044">
                  <c:v>11001.551126726568</c:v>
                </c:pt>
                <c:pt idx="2045">
                  <c:v>11053.240981052306</c:v>
                </c:pt>
                <c:pt idx="2046">
                  <c:v>11118.709030965771</c:v>
                </c:pt>
                <c:pt idx="2047">
                  <c:v>11204.382876666084</c:v>
                </c:pt>
                <c:pt idx="2048">
                  <c:v>11267.858474392213</c:v>
                </c:pt>
                <c:pt idx="2049">
                  <c:v>11302.693042833482</c:v>
                </c:pt>
                <c:pt idx="2050">
                  <c:v>11331.697305849075</c:v>
                </c:pt>
                <c:pt idx="2051">
                  <c:v>11363.355047555069</c:v>
                </c:pt>
                <c:pt idx="2052">
                  <c:v>11370.003137142039</c:v>
                </c:pt>
                <c:pt idx="2053">
                  <c:v>11380.147352779895</c:v>
                </c:pt>
                <c:pt idx="2054">
                  <c:v>11385.488064573972</c:v>
                </c:pt>
                <c:pt idx="2055">
                  <c:v>11391.195293857358</c:v>
                </c:pt>
                <c:pt idx="2056">
                  <c:v>11410.099654153893</c:v>
                </c:pt>
                <c:pt idx="2057">
                  <c:v>11465.626441988728</c:v>
                </c:pt>
                <c:pt idx="2058">
                  <c:v>11486.437243462358</c:v>
                </c:pt>
                <c:pt idx="2059">
                  <c:v>11526.426760697394</c:v>
                </c:pt>
                <c:pt idx="2060">
                  <c:v>11538.604342425999</c:v>
                </c:pt>
                <c:pt idx="2061">
                  <c:v>11539.361305902019</c:v>
                </c:pt>
                <c:pt idx="2062">
                  <c:v>11531.268144603107</c:v>
                </c:pt>
                <c:pt idx="2063">
                  <c:v>11504.523445998617</c:v>
                </c:pt>
                <c:pt idx="2064">
                  <c:v>11443.676841605704</c:v>
                </c:pt>
                <c:pt idx="2065">
                  <c:v>11373.973043807691</c:v>
                </c:pt>
                <c:pt idx="2066">
                  <c:v>11313.440215526271</c:v>
                </c:pt>
                <c:pt idx="2067">
                  <c:v>11224.16958421488</c:v>
                </c:pt>
                <c:pt idx="2068">
                  <c:v>11171.132098605498</c:v>
                </c:pt>
                <c:pt idx="2069">
                  <c:v>11109.171285338387</c:v>
                </c:pt>
                <c:pt idx="2070">
                  <c:v>11074.144927474088</c:v>
                </c:pt>
                <c:pt idx="2071">
                  <c:v>11063.873711772141</c:v>
                </c:pt>
                <c:pt idx="2072">
                  <c:v>11060.284034165164</c:v>
                </c:pt>
                <c:pt idx="2073">
                  <c:v>11062.531417909888</c:v>
                </c:pt>
                <c:pt idx="2074">
                  <c:v>11059.711601708943</c:v>
                </c:pt>
                <c:pt idx="2075">
                  <c:v>11060.246113830428</c:v>
                </c:pt>
                <c:pt idx="2076">
                  <c:v>11052.470809653089</c:v>
                </c:pt>
                <c:pt idx="2077">
                  <c:v>11036.710001163396</c:v>
                </c:pt>
                <c:pt idx="2078">
                  <c:v>11024.584077037742</c:v>
                </c:pt>
                <c:pt idx="2079">
                  <c:v>11019.096123114643</c:v>
                </c:pt>
                <c:pt idx="2080">
                  <c:v>11007.136532354811</c:v>
                </c:pt>
                <c:pt idx="2081">
                  <c:v>10998.773189325435</c:v>
                </c:pt>
                <c:pt idx="2082">
                  <c:v>10980.13215624095</c:v>
                </c:pt>
                <c:pt idx="2083">
                  <c:v>10981.569084645605</c:v>
                </c:pt>
                <c:pt idx="2084">
                  <c:v>11012.19649389792</c:v>
                </c:pt>
                <c:pt idx="2085">
                  <c:v>11056.174713092985</c:v>
                </c:pt>
                <c:pt idx="2086">
                  <c:v>11109.941910714533</c:v>
                </c:pt>
                <c:pt idx="2087">
                  <c:v>11203.903444007776</c:v>
                </c:pt>
                <c:pt idx="2088">
                  <c:v>11295.589502036983</c:v>
                </c:pt>
                <c:pt idx="2089">
                  <c:v>11431.251154016443</c:v>
                </c:pt>
                <c:pt idx="2090">
                  <c:v>11564.029747811954</c:v>
                </c:pt>
                <c:pt idx="2091">
                  <c:v>11647.407279711826</c:v>
                </c:pt>
                <c:pt idx="2092">
                  <c:v>11627.210175512013</c:v>
                </c:pt>
                <c:pt idx="2093">
                  <c:v>11623.786174963396</c:v>
                </c:pt>
                <c:pt idx="2094">
                  <c:v>11635.150941355254</c:v>
                </c:pt>
                <c:pt idx="2095">
                  <c:v>11649.604657030452</c:v>
                </c:pt>
                <c:pt idx="2096">
                  <c:v>11629.72546165243</c:v>
                </c:pt>
                <c:pt idx="2097">
                  <c:v>11623.460203501436</c:v>
                </c:pt>
                <c:pt idx="2098">
                  <c:v>11621.91785394782</c:v>
                </c:pt>
                <c:pt idx="2099">
                  <c:v>11620.936266769137</c:v>
                </c:pt>
                <c:pt idx="2100">
                  <c:v>11616.009731905202</c:v>
                </c:pt>
                <c:pt idx="2101">
                  <c:v>11615.945123255373</c:v>
                </c:pt>
                <c:pt idx="2102">
                  <c:v>11636.285135740443</c:v>
                </c:pt>
                <c:pt idx="2103">
                  <c:v>11647.63150505968</c:v>
                </c:pt>
                <c:pt idx="2104">
                  <c:v>11644.883057259867</c:v>
                </c:pt>
                <c:pt idx="2105">
                  <c:v>11642.651390719633</c:v>
                </c:pt>
                <c:pt idx="2106">
                  <c:v>11594.424599414</c:v>
                </c:pt>
                <c:pt idx="2107">
                  <c:v>11558.809155260193</c:v>
                </c:pt>
                <c:pt idx="2108">
                  <c:v>11511.444150327508</c:v>
                </c:pt>
                <c:pt idx="2109">
                  <c:v>11491.512827872566</c:v>
                </c:pt>
                <c:pt idx="2110">
                  <c:v>11465.59005267977</c:v>
                </c:pt>
                <c:pt idx="2111">
                  <c:v>11454.593998467446</c:v>
                </c:pt>
                <c:pt idx="2112">
                  <c:v>11451.909508156428</c:v>
                </c:pt>
                <c:pt idx="2113">
                  <c:v>11451.582095949632</c:v>
                </c:pt>
                <c:pt idx="2114">
                  <c:v>11437.535124987953</c:v>
                </c:pt>
                <c:pt idx="2115">
                  <c:v>11391.776010435886</c:v>
                </c:pt>
                <c:pt idx="2116">
                  <c:v>11335.205005064288</c:v>
                </c:pt>
                <c:pt idx="2117">
                  <c:v>11281.805910076851</c:v>
                </c:pt>
                <c:pt idx="2118">
                  <c:v>11225.038384391553</c:v>
                </c:pt>
                <c:pt idx="2119">
                  <c:v>11173.530609847543</c:v>
                </c:pt>
                <c:pt idx="2120">
                  <c:v>11134.324636560348</c:v>
                </c:pt>
                <c:pt idx="2121">
                  <c:v>11088.687203204736</c:v>
                </c:pt>
                <c:pt idx="2122">
                  <c:v>11036.366509723584</c:v>
                </c:pt>
                <c:pt idx="2123">
                  <c:v>11007.444486080238</c:v>
                </c:pt>
                <c:pt idx="2124">
                  <c:v>10968.323172022401</c:v>
                </c:pt>
                <c:pt idx="2125">
                  <c:v>10929.917060802416</c:v>
                </c:pt>
                <c:pt idx="2126">
                  <c:v>10848.508329174483</c:v>
                </c:pt>
                <c:pt idx="2127">
                  <c:v>10798.881946856976</c:v>
                </c:pt>
                <c:pt idx="2128">
                  <c:v>10736.134489001091</c:v>
                </c:pt>
                <c:pt idx="2129">
                  <c:v>10717.38229811921</c:v>
                </c:pt>
                <c:pt idx="2130">
                  <c:v>10710.979582318125</c:v>
                </c:pt>
                <c:pt idx="2131">
                  <c:v>10689.455353567946</c:v>
                </c:pt>
                <c:pt idx="2132">
                  <c:v>10702.811539994316</c:v>
                </c:pt>
                <c:pt idx="2133">
                  <c:v>10739.086120120912</c:v>
                </c:pt>
                <c:pt idx="2134">
                  <c:v>10776.487106967516</c:v>
                </c:pt>
                <c:pt idx="2135">
                  <c:v>10789.045581915341</c:v>
                </c:pt>
                <c:pt idx="2136">
                  <c:v>10785.190402071639</c:v>
                </c:pt>
                <c:pt idx="2137">
                  <c:v>10749.333399686042</c:v>
                </c:pt>
                <c:pt idx="2138">
                  <c:v>10735.590323867091</c:v>
                </c:pt>
                <c:pt idx="2139">
                  <c:v>10748.222790709277</c:v>
                </c:pt>
                <c:pt idx="2140">
                  <c:v>10769.811868791012</c:v>
                </c:pt>
                <c:pt idx="2141">
                  <c:v>10780.172852818365</c:v>
                </c:pt>
                <c:pt idx="2142">
                  <c:v>10777.834817825044</c:v>
                </c:pt>
                <c:pt idx="2143">
                  <c:v>10782.304083541996</c:v>
                </c:pt>
                <c:pt idx="2144">
                  <c:v>10757.452775698033</c:v>
                </c:pt>
                <c:pt idx="2145">
                  <c:v>10743.396387076387</c:v>
                </c:pt>
                <c:pt idx="2146">
                  <c:v>10741.177004990641</c:v>
                </c:pt>
                <c:pt idx="2147">
                  <c:v>10741.051242917183</c:v>
                </c:pt>
                <c:pt idx="2148">
                  <c:v>10753.234688666813</c:v>
                </c:pt>
                <c:pt idx="2149">
                  <c:v>10753.179915823555</c:v>
                </c:pt>
                <c:pt idx="2150">
                  <c:v>10757.48754734035</c:v>
                </c:pt>
                <c:pt idx="2151">
                  <c:v>10759.301196031442</c:v>
                </c:pt>
                <c:pt idx="2152">
                  <c:v>10759.305217055458</c:v>
                </c:pt>
                <c:pt idx="2153">
                  <c:v>10741.369993664244</c:v>
                </c:pt>
                <c:pt idx="2154">
                  <c:v>10730.242989842247</c:v>
                </c:pt>
                <c:pt idx="2155">
                  <c:v>10692.586379885526</c:v>
                </c:pt>
                <c:pt idx="2156">
                  <c:v>10664.39994817466</c:v>
                </c:pt>
                <c:pt idx="2157">
                  <c:v>10598.261072400013</c:v>
                </c:pt>
                <c:pt idx="2158">
                  <c:v>10561.417281835076</c:v>
                </c:pt>
                <c:pt idx="2159">
                  <c:v>10545.193750677643</c:v>
                </c:pt>
                <c:pt idx="2160">
                  <c:v>10516.341691656557</c:v>
                </c:pt>
                <c:pt idx="2161">
                  <c:v>10505.578637482084</c:v>
                </c:pt>
                <c:pt idx="2162">
                  <c:v>10512.354090733344</c:v>
                </c:pt>
                <c:pt idx="2163">
                  <c:v>10521.767036221441</c:v>
                </c:pt>
                <c:pt idx="2164">
                  <c:v>10564.251451928498</c:v>
                </c:pt>
                <c:pt idx="2165">
                  <c:v>10599.712362939987</c:v>
                </c:pt>
                <c:pt idx="2166">
                  <c:v>10634.079604739994</c:v>
                </c:pt>
                <c:pt idx="2167">
                  <c:v>10662.455630956687</c:v>
                </c:pt>
                <c:pt idx="2168">
                  <c:v>10682.781627539594</c:v>
                </c:pt>
                <c:pt idx="2169">
                  <c:v>10702.443825712893</c:v>
                </c:pt>
                <c:pt idx="2170">
                  <c:v>10732.190508525864</c:v>
                </c:pt>
                <c:pt idx="2171">
                  <c:v>10751.282316401057</c:v>
                </c:pt>
                <c:pt idx="2172">
                  <c:v>10783.525682480835</c:v>
                </c:pt>
                <c:pt idx="2173">
                  <c:v>10858.612972413111</c:v>
                </c:pt>
                <c:pt idx="2174">
                  <c:v>10938.448127438925</c:v>
                </c:pt>
                <c:pt idx="2175">
                  <c:v>11106.873281284421</c:v>
                </c:pt>
                <c:pt idx="2176">
                  <c:v>11120.487455116789</c:v>
                </c:pt>
                <c:pt idx="2177">
                  <c:v>11121.470736987172</c:v>
                </c:pt>
                <c:pt idx="2178">
                  <c:v>11121.698696111371</c:v>
                </c:pt>
                <c:pt idx="2179">
                  <c:v>11101.166010640687</c:v>
                </c:pt>
                <c:pt idx="2180">
                  <c:v>11075.860460930806</c:v>
                </c:pt>
                <c:pt idx="2181">
                  <c:v>11052.521447916408</c:v>
                </c:pt>
                <c:pt idx="2182">
                  <c:v>11036.306721446774</c:v>
                </c:pt>
                <c:pt idx="2183">
                  <c:v>11031.810835471262</c:v>
                </c:pt>
                <c:pt idx="2184">
                  <c:v>11044.991706035951</c:v>
                </c:pt>
                <c:pt idx="2185">
                  <c:v>11088.430039175804</c:v>
                </c:pt>
                <c:pt idx="2186">
                  <c:v>11153.110737680163</c:v>
                </c:pt>
                <c:pt idx="2187">
                  <c:v>11195.869664239979</c:v>
                </c:pt>
                <c:pt idx="2188">
                  <c:v>11266.690404441939</c:v>
                </c:pt>
                <c:pt idx="2189">
                  <c:v>11333.601546153543</c:v>
                </c:pt>
                <c:pt idx="2190">
                  <c:v>11402.121421627096</c:v>
                </c:pt>
                <c:pt idx="2191">
                  <c:v>11457.747341134487</c:v>
                </c:pt>
                <c:pt idx="2192">
                  <c:v>11513.74125190513</c:v>
                </c:pt>
                <c:pt idx="2193">
                  <c:v>11545.293336414567</c:v>
                </c:pt>
                <c:pt idx="2194">
                  <c:v>11563.040569540324</c:v>
                </c:pt>
                <c:pt idx="2195">
                  <c:v>11603.95972763781</c:v>
                </c:pt>
                <c:pt idx="2196">
                  <c:v>11649.063960648195</c:v>
                </c:pt>
                <c:pt idx="2197">
                  <c:v>11703.235011040175</c:v>
                </c:pt>
                <c:pt idx="2198">
                  <c:v>11783.429801740776</c:v>
                </c:pt>
                <c:pt idx="2199">
                  <c:v>11793.700048151155</c:v>
                </c:pt>
                <c:pt idx="2200">
                  <c:v>11788.358900465642</c:v>
                </c:pt>
                <c:pt idx="2201">
                  <c:v>11795.700336242859</c:v>
                </c:pt>
                <c:pt idx="2202">
                  <c:v>11803.319093027865</c:v>
                </c:pt>
                <c:pt idx="2203">
                  <c:v>11806.333234727044</c:v>
                </c:pt>
                <c:pt idx="2204">
                  <c:v>11812.256600858789</c:v>
                </c:pt>
                <c:pt idx="2205">
                  <c:v>11814.224777197829</c:v>
                </c:pt>
                <c:pt idx="2206">
                  <c:v>11808.068804251478</c:v>
                </c:pt>
                <c:pt idx="2207">
                  <c:v>11811.607117728052</c:v>
                </c:pt>
                <c:pt idx="2208">
                  <c:v>11802.264664755756</c:v>
                </c:pt>
                <c:pt idx="2209">
                  <c:v>11814.687417106165</c:v>
                </c:pt>
                <c:pt idx="2210">
                  <c:v>11827.643590408961</c:v>
                </c:pt>
                <c:pt idx="2211">
                  <c:v>11837.170188101591</c:v>
                </c:pt>
                <c:pt idx="2212">
                  <c:v>11852.714015836305</c:v>
                </c:pt>
                <c:pt idx="2213">
                  <c:v>11851.141785468577</c:v>
                </c:pt>
                <c:pt idx="2214">
                  <c:v>11838.499651952685</c:v>
                </c:pt>
                <c:pt idx="2215">
                  <c:v>11828.511823796305</c:v>
                </c:pt>
                <c:pt idx="2216">
                  <c:v>11831.660012786444</c:v>
                </c:pt>
                <c:pt idx="2217">
                  <c:v>11823.496902794403</c:v>
                </c:pt>
                <c:pt idx="2218">
                  <c:v>11824.373727569631</c:v>
                </c:pt>
                <c:pt idx="2219">
                  <c:v>11824.89939315453</c:v>
                </c:pt>
                <c:pt idx="2220">
                  <c:v>11820.5623018724</c:v>
                </c:pt>
                <c:pt idx="2221">
                  <c:v>11819.937997332003</c:v>
                </c:pt>
                <c:pt idx="2222">
                  <c:v>11824.839935857433</c:v>
                </c:pt>
                <c:pt idx="2223">
                  <c:v>11836.527886055643</c:v>
                </c:pt>
                <c:pt idx="2224">
                  <c:v>11839.746165041617</c:v>
                </c:pt>
                <c:pt idx="2225">
                  <c:v>11850.683650614672</c:v>
                </c:pt>
                <c:pt idx="2226">
                  <c:v>11863.858681811034</c:v>
                </c:pt>
                <c:pt idx="2227">
                  <c:v>11882.721797616967</c:v>
                </c:pt>
                <c:pt idx="2228">
                  <c:v>11920.896051806971</c:v>
                </c:pt>
                <c:pt idx="2229">
                  <c:v>11964.315753794113</c:v>
                </c:pt>
                <c:pt idx="2230">
                  <c:v>11996.476748116384</c:v>
                </c:pt>
                <c:pt idx="2231">
                  <c:v>12002.091272475851</c:v>
                </c:pt>
                <c:pt idx="2232">
                  <c:v>12014.140364495257</c:v>
                </c:pt>
                <c:pt idx="2233">
                  <c:v>12014.681995744566</c:v>
                </c:pt>
                <c:pt idx="2234">
                  <c:v>12011.706424790413</c:v>
                </c:pt>
                <c:pt idx="2235">
                  <c:v>12008.839398545153</c:v>
                </c:pt>
                <c:pt idx="2236">
                  <c:v>12007.538838734234</c:v>
                </c:pt>
                <c:pt idx="2237">
                  <c:v>12002.422115442316</c:v>
                </c:pt>
                <c:pt idx="2238">
                  <c:v>11991.284155938747</c:v>
                </c:pt>
                <c:pt idx="2239">
                  <c:v>11997.137623594506</c:v>
                </c:pt>
                <c:pt idx="2240">
                  <c:v>11997.188529652829</c:v>
                </c:pt>
                <c:pt idx="2241">
                  <c:v>11986.986599830007</c:v>
                </c:pt>
                <c:pt idx="2242">
                  <c:v>11971.477172634906</c:v>
                </c:pt>
                <c:pt idx="2243">
                  <c:v>11966.592210757864</c:v>
                </c:pt>
                <c:pt idx="2244">
                  <c:v>11946.379058818253</c:v>
                </c:pt>
                <c:pt idx="2245">
                  <c:v>11913.700183709623</c:v>
                </c:pt>
                <c:pt idx="2246">
                  <c:v>11834.589391797321</c:v>
                </c:pt>
                <c:pt idx="2247">
                  <c:v>11824.220279782825</c:v>
                </c:pt>
                <c:pt idx="2248">
                  <c:v>11831.555530767826</c:v>
                </c:pt>
                <c:pt idx="2249">
                  <c:v>11828.537746635493</c:v>
                </c:pt>
                <c:pt idx="2250">
                  <c:v>11823.080597791568</c:v>
                </c:pt>
                <c:pt idx="2251">
                  <c:v>11815.681034584819</c:v>
                </c:pt>
                <c:pt idx="2252">
                  <c:v>11821.465532144264</c:v>
                </c:pt>
                <c:pt idx="2253">
                  <c:v>11830.116375638321</c:v>
                </c:pt>
                <c:pt idx="2254">
                  <c:v>11842.617171170936</c:v>
                </c:pt>
                <c:pt idx="2255">
                  <c:v>11857.520314899679</c:v>
                </c:pt>
                <c:pt idx="2256">
                  <c:v>11856.022278955315</c:v>
                </c:pt>
                <c:pt idx="2257">
                  <c:v>11847.294571199061</c:v>
                </c:pt>
                <c:pt idx="2258">
                  <c:v>11847.544994295136</c:v>
                </c:pt>
                <c:pt idx="2259">
                  <c:v>11847.767959803086</c:v>
                </c:pt>
                <c:pt idx="2260">
                  <c:v>11818.116078875748</c:v>
                </c:pt>
                <c:pt idx="2261">
                  <c:v>11778.712646259146</c:v>
                </c:pt>
                <c:pt idx="2262">
                  <c:v>11714.737458995096</c:v>
                </c:pt>
                <c:pt idx="2263">
                  <c:v>11650.178862138509</c:v>
                </c:pt>
                <c:pt idx="2264">
                  <c:v>11459.844515955025</c:v>
                </c:pt>
                <c:pt idx="2265">
                  <c:v>11297.356442896993</c:v>
                </c:pt>
                <c:pt idx="2266">
                  <c:v>11224.659398168813</c:v>
                </c:pt>
                <c:pt idx="2267">
                  <c:v>11131.812329332317</c:v>
                </c:pt>
                <c:pt idx="2268">
                  <c:v>11055.262078859992</c:v>
                </c:pt>
                <c:pt idx="2269">
                  <c:v>10931.008455018451</c:v>
                </c:pt>
                <c:pt idx="2270">
                  <c:v>10681.401976640558</c:v>
                </c:pt>
                <c:pt idx="2271">
                  <c:v>10480.915354424196</c:v>
                </c:pt>
                <c:pt idx="2272">
                  <c:v>10067.764974469137</c:v>
                </c:pt>
                <c:pt idx="2273">
                  <c:v>9847.4719998235232</c:v>
                </c:pt>
                <c:pt idx="2274">
                  <c:v>9469.2027238301198</c:v>
                </c:pt>
                <c:pt idx="2275">
                  <c:v>9101.060026802028</c:v>
                </c:pt>
                <c:pt idx="2276">
                  <c:v>8667.7133323827402</c:v>
                </c:pt>
                <c:pt idx="2277">
                  <c:v>8261.2973111288247</c:v>
                </c:pt>
                <c:pt idx="2278">
                  <c:v>8045.093650008339</c:v>
                </c:pt>
                <c:pt idx="2279">
                  <c:v>7617.9730934059426</c:v>
                </c:pt>
                <c:pt idx="2280">
                  <c:v>7300.4367605670031</c:v>
                </c:pt>
                <c:pt idx="2281">
                  <c:v>7141.3475292593566</c:v>
                </c:pt>
                <c:pt idx="2282">
                  <c:v>7064.6737838167046</c:v>
                </c:pt>
                <c:pt idx="2283">
                  <c:v>7024.6247534269414</c:v>
                </c:pt>
                <c:pt idx="2284">
                  <c:v>6926.6940423751557</c:v>
                </c:pt>
                <c:pt idx="2285">
                  <c:v>6898.6590409743312</c:v>
                </c:pt>
                <c:pt idx="2286">
                  <c:v>6885.1989481320679</c:v>
                </c:pt>
                <c:pt idx="2287">
                  <c:v>6894.4927999361362</c:v>
                </c:pt>
                <c:pt idx="2288">
                  <c:v>7048.0492183502201</c:v>
                </c:pt>
                <c:pt idx="2289">
                  <c:v>7215.6857757618782</c:v>
                </c:pt>
                <c:pt idx="2290">
                  <c:v>7343.0482892256305</c:v>
                </c:pt>
                <c:pt idx="2291">
                  <c:v>7523.7409736940281</c:v>
                </c:pt>
                <c:pt idx="2292">
                  <c:v>7570.1098377122507</c:v>
                </c:pt>
                <c:pt idx="2293">
                  <c:v>7707.526436142276</c:v>
                </c:pt>
                <c:pt idx="2294">
                  <c:v>7699.9667730499068</c:v>
                </c:pt>
                <c:pt idx="2295">
                  <c:v>7677.8766100259536</c:v>
                </c:pt>
                <c:pt idx="2296">
                  <c:v>7689.2713593172421</c:v>
                </c:pt>
                <c:pt idx="2297">
                  <c:v>7717.6540127338576</c:v>
                </c:pt>
                <c:pt idx="2298">
                  <c:v>7702.4211305854524</c:v>
                </c:pt>
                <c:pt idx="2299">
                  <c:v>7901.3566260784246</c:v>
                </c:pt>
                <c:pt idx="2300">
                  <c:v>8076.1244156416687</c:v>
                </c:pt>
                <c:pt idx="2301">
                  <c:v>8135.0340287872277</c:v>
                </c:pt>
                <c:pt idx="2302">
                  <c:v>8136.7108714379201</c:v>
                </c:pt>
                <c:pt idx="2303">
                  <c:v>8110.6024677435298</c:v>
                </c:pt>
                <c:pt idx="2304">
                  <c:v>8220.4326725196115</c:v>
                </c:pt>
                <c:pt idx="2305">
                  <c:v>8276.6725444890708</c:v>
                </c:pt>
                <c:pt idx="2306">
                  <c:v>8425.2322439337186</c:v>
                </c:pt>
                <c:pt idx="2307">
                  <c:v>8681.8039153111877</c:v>
                </c:pt>
                <c:pt idx="2308">
                  <c:v>8740.0252282448855</c:v>
                </c:pt>
                <c:pt idx="2309">
                  <c:v>8817.9194087089581</c:v>
                </c:pt>
                <c:pt idx="2310">
                  <c:v>8825.7529908835004</c:v>
                </c:pt>
                <c:pt idx="2311">
                  <c:v>8857.5990769465807</c:v>
                </c:pt>
                <c:pt idx="2312">
                  <c:v>8895.7207333435563</c:v>
                </c:pt>
                <c:pt idx="2313">
                  <c:v>8920.2719234610704</c:v>
                </c:pt>
                <c:pt idx="2314">
                  <c:v>8844.2247845294187</c:v>
                </c:pt>
                <c:pt idx="2315">
                  <c:v>8791.9958133114324</c:v>
                </c:pt>
                <c:pt idx="2316">
                  <c:v>8804.9927707256556</c:v>
                </c:pt>
                <c:pt idx="2317">
                  <c:v>8797.346279611711</c:v>
                </c:pt>
                <c:pt idx="2318">
                  <c:v>8776.6292384933695</c:v>
                </c:pt>
                <c:pt idx="2319">
                  <c:v>8762.839411876339</c:v>
                </c:pt>
                <c:pt idx="2320">
                  <c:v>8763.249946350732</c:v>
                </c:pt>
                <c:pt idx="2321">
                  <c:v>8758.0224986893681</c:v>
                </c:pt>
                <c:pt idx="2322">
                  <c:v>8755.223700367229</c:v>
                </c:pt>
                <c:pt idx="2323">
                  <c:v>8762.9769724587441</c:v>
                </c:pt>
                <c:pt idx="2324">
                  <c:v>8686.65316789391</c:v>
                </c:pt>
                <c:pt idx="2325">
                  <c:v>8626.9412193815551</c:v>
                </c:pt>
                <c:pt idx="2326">
                  <c:v>8590.7026930923748</c:v>
                </c:pt>
                <c:pt idx="2327">
                  <c:v>8560.0649546609602</c:v>
                </c:pt>
                <c:pt idx="2328">
                  <c:v>8538.3986193477886</c:v>
                </c:pt>
                <c:pt idx="2329">
                  <c:v>8543.1198140514662</c:v>
                </c:pt>
                <c:pt idx="2330">
                  <c:v>8556.0640412845405</c:v>
                </c:pt>
                <c:pt idx="2331">
                  <c:v>8569.3835947970547</c:v>
                </c:pt>
                <c:pt idx="2332">
                  <c:v>8612.122744129796</c:v>
                </c:pt>
                <c:pt idx="2333">
                  <c:v>8664.752508870979</c:v>
                </c:pt>
                <c:pt idx="2334">
                  <c:v>8788.6728866094927</c:v>
                </c:pt>
                <c:pt idx="2335">
                  <c:v>8918.3168267480414</c:v>
                </c:pt>
                <c:pt idx="2336">
                  <c:v>9016.606619042881</c:v>
                </c:pt>
                <c:pt idx="2337">
                  <c:v>9115.1876960166082</c:v>
                </c:pt>
                <c:pt idx="2338">
                  <c:v>9253.1071519163161</c:v>
                </c:pt>
                <c:pt idx="2339">
                  <c:v>9417.7060680297091</c:v>
                </c:pt>
                <c:pt idx="2340">
                  <c:v>9541.3604597164813</c:v>
                </c:pt>
                <c:pt idx="2341">
                  <c:v>9636.7428648184032</c:v>
                </c:pt>
                <c:pt idx="2342">
                  <c:v>9717.2598405136705</c:v>
                </c:pt>
                <c:pt idx="2343">
                  <c:v>9752.5728156072746</c:v>
                </c:pt>
                <c:pt idx="2344">
                  <c:v>9766.7317515441719</c:v>
                </c:pt>
                <c:pt idx="2345">
                  <c:v>9765.0576179404561</c:v>
                </c:pt>
                <c:pt idx="2346">
                  <c:v>9758.5030734501925</c:v>
                </c:pt>
                <c:pt idx="2347">
                  <c:v>9741.8832262126853</c:v>
                </c:pt>
                <c:pt idx="2348">
                  <c:v>9709.5510775114435</c:v>
                </c:pt>
                <c:pt idx="2349">
                  <c:v>9698.5507648249804</c:v>
                </c:pt>
                <c:pt idx="2350">
                  <c:v>9702.025704380163</c:v>
                </c:pt>
                <c:pt idx="2351">
                  <c:v>9737.3508546002831</c:v>
                </c:pt>
                <c:pt idx="2352">
                  <c:v>9776.4423861077903</c:v>
                </c:pt>
                <c:pt idx="2353">
                  <c:v>9862.5561501016673</c:v>
                </c:pt>
                <c:pt idx="2354">
                  <c:v>9948.8106586918857</c:v>
                </c:pt>
                <c:pt idx="2355">
                  <c:v>10062.750532903185</c:v>
                </c:pt>
                <c:pt idx="2356">
                  <c:v>10129.959364122882</c:v>
                </c:pt>
                <c:pt idx="2357">
                  <c:v>10157.705788260251</c:v>
                </c:pt>
                <c:pt idx="2358">
                  <c:v>10167.203463482756</c:v>
                </c:pt>
                <c:pt idx="2359">
                  <c:v>10143.27318616194</c:v>
                </c:pt>
                <c:pt idx="2360">
                  <c:v>10166.211058447172</c:v>
                </c:pt>
                <c:pt idx="2361">
                  <c:v>10196.50268148342</c:v>
                </c:pt>
                <c:pt idx="2362">
                  <c:v>10225.600354653761</c:v>
                </c:pt>
                <c:pt idx="2363">
                  <c:v>10289.415857468755</c:v>
                </c:pt>
                <c:pt idx="2364">
                  <c:v>10354.45294449852</c:v>
                </c:pt>
                <c:pt idx="2365">
                  <c:v>10414.745737923653</c:v>
                </c:pt>
                <c:pt idx="2366">
                  <c:v>10463.888955516619</c:v>
                </c:pt>
                <c:pt idx="2367">
                  <c:v>10508.95043378542</c:v>
                </c:pt>
                <c:pt idx="2368">
                  <c:v>10523.212498334602</c:v>
                </c:pt>
                <c:pt idx="2369">
                  <c:v>10540.745749898824</c:v>
                </c:pt>
                <c:pt idx="2370">
                  <c:v>10576.265433508461</c:v>
                </c:pt>
                <c:pt idx="2371">
                  <c:v>10594.96437301482</c:v>
                </c:pt>
                <c:pt idx="2372">
                  <c:v>10624.808905501084</c:v>
                </c:pt>
                <c:pt idx="2373">
                  <c:v>10650.768719357378</c:v>
                </c:pt>
                <c:pt idx="2374">
                  <c:v>10730.109209876986</c:v>
                </c:pt>
                <c:pt idx="2375">
                  <c:v>10829.649274564092</c:v>
                </c:pt>
                <c:pt idx="2376">
                  <c:v>10910.836730570163</c:v>
                </c:pt>
                <c:pt idx="2377">
                  <c:v>10955.995215104889</c:v>
                </c:pt>
                <c:pt idx="2378">
                  <c:v>10976.691354816543</c:v>
                </c:pt>
                <c:pt idx="2379">
                  <c:v>10969.060086977253</c:v>
                </c:pt>
                <c:pt idx="2380">
                  <c:v>10965.36224550179</c:v>
                </c:pt>
                <c:pt idx="2381">
                  <c:v>10965.67583824324</c:v>
                </c:pt>
                <c:pt idx="2382">
                  <c:v>10964.675749944636</c:v>
                </c:pt>
                <c:pt idx="2383">
                  <c:v>10962.871004622333</c:v>
                </c:pt>
                <c:pt idx="2384">
                  <c:v>10953.065012192073</c:v>
                </c:pt>
                <c:pt idx="2385">
                  <c:v>10941.602738620955</c:v>
                </c:pt>
                <c:pt idx="2386">
                  <c:v>10948.214360737869</c:v>
                </c:pt>
                <c:pt idx="2387">
                  <c:v>10956.198735275209</c:v>
                </c:pt>
                <c:pt idx="2388">
                  <c:v>11040.621209526016</c:v>
                </c:pt>
                <c:pt idx="2389">
                  <c:v>11077.470312150885</c:v>
                </c:pt>
                <c:pt idx="2390">
                  <c:v>11116.262094869981</c:v>
                </c:pt>
                <c:pt idx="2391">
                  <c:v>11139.156750959855</c:v>
                </c:pt>
                <c:pt idx="2392">
                  <c:v>11157.77012332817</c:v>
                </c:pt>
                <c:pt idx="2393">
                  <c:v>11168.83945666046</c:v>
                </c:pt>
                <c:pt idx="2394">
                  <c:v>11168.186612468568</c:v>
                </c:pt>
                <c:pt idx="2395">
                  <c:v>11163.660718439609</c:v>
                </c:pt>
                <c:pt idx="2396">
                  <c:v>11175.555446869612</c:v>
                </c:pt>
                <c:pt idx="2397">
                  <c:v>11216.313111187048</c:v>
                </c:pt>
                <c:pt idx="2398">
                  <c:v>11243.711997995495</c:v>
                </c:pt>
                <c:pt idx="2399">
                  <c:v>11248.51631398984</c:v>
                </c:pt>
                <c:pt idx="2400">
                  <c:v>11246.356199785036</c:v>
                </c:pt>
                <c:pt idx="2401">
                  <c:v>11265.921259190955</c:v>
                </c:pt>
                <c:pt idx="2402">
                  <c:v>11276.673110382359</c:v>
                </c:pt>
                <c:pt idx="2403">
                  <c:v>11242.358907911492</c:v>
                </c:pt>
                <c:pt idx="2404">
                  <c:v>11187.197880363103</c:v>
                </c:pt>
                <c:pt idx="2405">
                  <c:v>11136.413887486258</c:v>
                </c:pt>
                <c:pt idx="2406">
                  <c:v>10994.875811798407</c:v>
                </c:pt>
                <c:pt idx="2407">
                  <c:v>10958.329871247148</c:v>
                </c:pt>
                <c:pt idx="2408">
                  <c:v>10946.668187238603</c:v>
                </c:pt>
                <c:pt idx="2409">
                  <c:v>10935.012578965298</c:v>
                </c:pt>
                <c:pt idx="2410">
                  <c:v>10930.45275157459</c:v>
                </c:pt>
                <c:pt idx="2411">
                  <c:v>10934.285065565844</c:v>
                </c:pt>
                <c:pt idx="2412">
                  <c:v>10933.510282053687</c:v>
                </c:pt>
                <c:pt idx="2413">
                  <c:v>10920.358514579477</c:v>
                </c:pt>
                <c:pt idx="2414">
                  <c:v>10904.999067387058</c:v>
                </c:pt>
                <c:pt idx="2415">
                  <c:v>10887.899528704</c:v>
                </c:pt>
                <c:pt idx="2416">
                  <c:v>10858.501619129001</c:v>
                </c:pt>
                <c:pt idx="2417">
                  <c:v>10834.825498695753</c:v>
                </c:pt>
                <c:pt idx="2418">
                  <c:v>10819.040336691809</c:v>
                </c:pt>
                <c:pt idx="2419">
                  <c:v>10801.835697163622</c:v>
                </c:pt>
                <c:pt idx="2420">
                  <c:v>10801.88962478969</c:v>
                </c:pt>
                <c:pt idx="2421">
                  <c:v>10803.042009101749</c:v>
                </c:pt>
                <c:pt idx="2422">
                  <c:v>10801.352592437921</c:v>
                </c:pt>
                <c:pt idx="2423">
                  <c:v>10825.724909715789</c:v>
                </c:pt>
                <c:pt idx="2424">
                  <c:v>10869.939343167307</c:v>
                </c:pt>
                <c:pt idx="2425">
                  <c:v>10929.143236890653</c:v>
                </c:pt>
                <c:pt idx="2426">
                  <c:v>11090.419289405128</c:v>
                </c:pt>
                <c:pt idx="2427">
                  <c:v>11205.885443697953</c:v>
                </c:pt>
                <c:pt idx="2428">
                  <c:v>11289.258075175792</c:v>
                </c:pt>
                <c:pt idx="2429">
                  <c:v>11386.744273861006</c:v>
                </c:pt>
                <c:pt idx="2430">
                  <c:v>11491.918929647964</c:v>
                </c:pt>
                <c:pt idx="2431">
                  <c:v>11549.114203781084</c:v>
                </c:pt>
                <c:pt idx="2432">
                  <c:v>11589.904837006852</c:v>
                </c:pt>
                <c:pt idx="2433">
                  <c:v>11609.340864214928</c:v>
                </c:pt>
                <c:pt idx="2434">
                  <c:v>11618.615947581267</c:v>
                </c:pt>
                <c:pt idx="2435">
                  <c:v>11597.204691912064</c:v>
                </c:pt>
                <c:pt idx="2436">
                  <c:v>11553.497570349544</c:v>
                </c:pt>
                <c:pt idx="2437">
                  <c:v>11481.388344740133</c:v>
                </c:pt>
                <c:pt idx="2438">
                  <c:v>11398.927398613518</c:v>
                </c:pt>
                <c:pt idx="2439">
                  <c:v>11321.643080737887</c:v>
                </c:pt>
                <c:pt idx="2440">
                  <c:v>11310.407408021638</c:v>
                </c:pt>
                <c:pt idx="2441">
                  <c:v>11302.679762624008</c:v>
                </c:pt>
                <c:pt idx="2442">
                  <c:v>11277.330859475125</c:v>
                </c:pt>
                <c:pt idx="2443">
                  <c:v>11259.318249729531</c:v>
                </c:pt>
                <c:pt idx="2444">
                  <c:v>11268.904080756505</c:v>
                </c:pt>
                <c:pt idx="2445">
                  <c:v>11285.8394821611</c:v>
                </c:pt>
                <c:pt idx="2446">
                  <c:v>11304.035202748566</c:v>
                </c:pt>
                <c:pt idx="2447">
                  <c:v>11348.446697765177</c:v>
                </c:pt>
                <c:pt idx="2448">
                  <c:v>11400.806724251774</c:v>
                </c:pt>
                <c:pt idx="2449">
                  <c:v>11487.592804160682</c:v>
                </c:pt>
                <c:pt idx="2450">
                  <c:v>11607.153830114752</c:v>
                </c:pt>
                <c:pt idx="2451">
                  <c:v>11751.052608949938</c:v>
                </c:pt>
                <c:pt idx="2452">
                  <c:v>11921.128769801051</c:v>
                </c:pt>
                <c:pt idx="2453">
                  <c:v>12083.564256118943</c:v>
                </c:pt>
                <c:pt idx="2454">
                  <c:v>12245.093510145209</c:v>
                </c:pt>
                <c:pt idx="2455">
                  <c:v>12362.196587990835</c:v>
                </c:pt>
                <c:pt idx="2456">
                  <c:v>12459.388619212046</c:v>
                </c:pt>
                <c:pt idx="2457">
                  <c:v>12501.018522216185</c:v>
                </c:pt>
                <c:pt idx="2458">
                  <c:v>12530.09906287285</c:v>
                </c:pt>
                <c:pt idx="2459">
                  <c:v>12545.460338179919</c:v>
                </c:pt>
                <c:pt idx="2460">
                  <c:v>12579.953591076357</c:v>
                </c:pt>
                <c:pt idx="2461">
                  <c:v>12621.496689295422</c:v>
                </c:pt>
                <c:pt idx="2462">
                  <c:v>12632.601658517513</c:v>
                </c:pt>
                <c:pt idx="2463">
                  <c:v>12639.209667138986</c:v>
                </c:pt>
                <c:pt idx="2464">
                  <c:v>12689.225144781212</c:v>
                </c:pt>
                <c:pt idx="2465">
                  <c:v>12748.218814668691</c:v>
                </c:pt>
                <c:pt idx="2466">
                  <c:v>12802.510614981855</c:v>
                </c:pt>
                <c:pt idx="2467">
                  <c:v>12835.901542013284</c:v>
                </c:pt>
                <c:pt idx="2468">
                  <c:v>12912.543329936263</c:v>
                </c:pt>
                <c:pt idx="2469">
                  <c:v>12959.408904928769</c:v>
                </c:pt>
                <c:pt idx="2470">
                  <c:v>13020.937191622848</c:v>
                </c:pt>
                <c:pt idx="2471">
                  <c:v>13058.432955013326</c:v>
                </c:pt>
                <c:pt idx="2472">
                  <c:v>13111.158020386716</c:v>
                </c:pt>
                <c:pt idx="2473">
                  <c:v>13155.017648113182</c:v>
                </c:pt>
                <c:pt idx="2474">
                  <c:v>13177.882115409584</c:v>
                </c:pt>
                <c:pt idx="2475">
                  <c:v>13204.635318014165</c:v>
                </c:pt>
                <c:pt idx="2476">
                  <c:v>13237.208442942687</c:v>
                </c:pt>
                <c:pt idx="2477">
                  <c:v>13231.605192160087</c:v>
                </c:pt>
                <c:pt idx="2478">
                  <c:v>13230.167927464701</c:v>
                </c:pt>
                <c:pt idx="2479">
                  <c:v>13230.999174941458</c:v>
                </c:pt>
                <c:pt idx="2480">
                  <c:v>13243.610762477329</c:v>
                </c:pt>
                <c:pt idx="2481">
                  <c:v>13267.258128403502</c:v>
                </c:pt>
                <c:pt idx="2482">
                  <c:v>13299.33980507492</c:v>
                </c:pt>
                <c:pt idx="2483">
                  <c:v>13334.526696224813</c:v>
                </c:pt>
                <c:pt idx="2484">
                  <c:v>13363.197388893781</c:v>
                </c:pt>
                <c:pt idx="2485">
                  <c:v>13491.400277588713</c:v>
                </c:pt>
                <c:pt idx="2486">
                  <c:v>13612.970632005039</c:v>
                </c:pt>
                <c:pt idx="2487">
                  <c:v>13726.305430104729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523200"/>
        <c:axId val="141524992"/>
      </c:lineChart>
      <c:catAx>
        <c:axId val="141523200"/>
        <c:scaling>
          <c:orientation val="minMax"/>
        </c:scaling>
        <c:delete val="0"/>
        <c:axPos val="b"/>
        <c:majorTickMark val="out"/>
        <c:minorTickMark val="none"/>
        <c:tickLblPos val="nextTo"/>
        <c:crossAx val="141524992"/>
        <c:crosses val="autoZero"/>
        <c:auto val="1"/>
        <c:lblAlgn val="ctr"/>
        <c:lblOffset val="100"/>
        <c:noMultiLvlLbl val="0"/>
      </c:catAx>
      <c:valAx>
        <c:axId val="141524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15232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1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5"/>
  <sheetViews>
    <sheetView zoomScale="20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4612" cy="626515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0.12713</cdr:x>
      <cdr:y>0.30275</cdr:y>
    </cdr:from>
    <cdr:to>
      <cdr:x>0.35104</cdr:x>
      <cdr:y>0.41678</cdr:y>
    </cdr:to>
    <cdr:sp macro="" textlink="">
      <cdr:nvSpPr>
        <cdr:cNvPr id="2" name="Oval 1"/>
        <cdr:cNvSpPr/>
      </cdr:nvSpPr>
      <cdr:spPr>
        <a:xfrm xmlns:a="http://schemas.openxmlformats.org/drawingml/2006/main">
          <a:off x="1100303" y="1896790"/>
          <a:ext cx="1937845" cy="714375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solidFill>
            <a:srgbClr val="FF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0.3055</cdr:x>
      <cdr:y>0.346</cdr:y>
    </cdr:from>
    <cdr:to>
      <cdr:x>0.33207</cdr:x>
      <cdr:y>0.39843</cdr:y>
    </cdr:to>
    <cdr:sp macro="" textlink="">
      <cdr:nvSpPr>
        <cdr:cNvPr id="3" name="Oval 2"/>
        <cdr:cNvSpPr/>
      </cdr:nvSpPr>
      <cdr:spPr>
        <a:xfrm xmlns:a="http://schemas.openxmlformats.org/drawingml/2006/main">
          <a:off x="2644008" y="2167759"/>
          <a:ext cx="229914" cy="328448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solidFill>
            <a:schemeClr val="accent2">
              <a:lumMod val="20000"/>
              <a:lumOff val="80000"/>
            </a:schemeClr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0.30948</cdr:x>
      <cdr:y>0.24009</cdr:y>
    </cdr:from>
    <cdr:to>
      <cdr:x>0.33604</cdr:x>
      <cdr:y>0.29251</cdr:y>
    </cdr:to>
    <cdr:sp macro="" textlink="">
      <cdr:nvSpPr>
        <cdr:cNvPr id="4" name="Oval 3"/>
        <cdr:cNvSpPr/>
      </cdr:nvSpPr>
      <cdr:spPr>
        <a:xfrm xmlns:a="http://schemas.openxmlformats.org/drawingml/2006/main">
          <a:off x="2678387" y="1504184"/>
          <a:ext cx="229914" cy="328448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solidFill>
            <a:srgbClr val="00B05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612" cy="626515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104"/>
  <sheetViews>
    <sheetView topLeftCell="P1" zoomScale="150" zoomScaleNormal="150" workbookViewId="0">
      <pane ySplit="1" topLeftCell="A2" activePane="bottomLeft" state="frozen"/>
      <selection pane="bottomLeft" activeCell="T10" sqref="T10"/>
    </sheetView>
  </sheetViews>
  <sheetFormatPr defaultRowHeight="15" x14ac:dyDescent="0.25"/>
  <cols>
    <col min="1" max="1" width="14.5703125" customWidth="1"/>
    <col min="2" max="2" width="9.5703125" customWidth="1"/>
    <col min="4" max="4" width="14.5703125" customWidth="1"/>
    <col min="5" max="5" width="16.140625" customWidth="1"/>
    <col min="6" max="6" width="19.28515625" customWidth="1"/>
    <col min="7" max="7" width="22.140625" customWidth="1"/>
    <col min="8" max="8" width="18.42578125" customWidth="1"/>
    <col min="10" max="10" width="12.7109375" customWidth="1"/>
    <col min="11" max="11" width="12.42578125" customWidth="1"/>
    <col min="12" max="12" width="43.5703125" customWidth="1"/>
    <col min="13" max="13" width="47.28515625" customWidth="1"/>
    <col min="15" max="15" width="46.42578125" customWidth="1"/>
    <col min="16" max="16" width="9.140625" style="8"/>
    <col min="17" max="17" width="14.42578125" customWidth="1"/>
    <col min="18" max="18" width="14.140625" customWidth="1"/>
    <col min="19" max="19" width="18" customWidth="1"/>
    <col min="20" max="20" width="45.85546875" customWidth="1"/>
  </cols>
  <sheetData>
    <row r="1" spans="1:24" x14ac:dyDescent="0.25">
      <c r="A1" s="3" t="s">
        <v>0</v>
      </c>
      <c r="B1" s="3" t="s">
        <v>1</v>
      </c>
      <c r="C1" s="3" t="s">
        <v>3</v>
      </c>
      <c r="D1" s="3" t="s">
        <v>4</v>
      </c>
      <c r="E1" s="3" t="s">
        <v>5</v>
      </c>
      <c r="F1" s="3" t="s">
        <v>8</v>
      </c>
      <c r="G1" s="3" t="s">
        <v>9</v>
      </c>
      <c r="H1" s="3" t="s">
        <v>13</v>
      </c>
      <c r="I1" s="3" t="s">
        <v>14</v>
      </c>
      <c r="J1" s="3" t="s">
        <v>17</v>
      </c>
      <c r="K1" s="3" t="s">
        <v>18</v>
      </c>
      <c r="L1" s="3" t="s">
        <v>21</v>
      </c>
      <c r="M1" s="3" t="s">
        <v>22</v>
      </c>
      <c r="N1" s="3" t="s">
        <v>25</v>
      </c>
      <c r="O1" s="3" t="s">
        <v>27</v>
      </c>
      <c r="Q1" s="3" t="s">
        <v>29</v>
      </c>
      <c r="R1" s="3" t="s">
        <v>30</v>
      </c>
      <c r="S1" s="3" t="s">
        <v>33</v>
      </c>
      <c r="T1" s="18" t="s">
        <v>35</v>
      </c>
    </row>
    <row r="2" spans="1:24" x14ac:dyDescent="0.25">
      <c r="A2" s="1">
        <v>44130</v>
      </c>
      <c r="B2">
        <v>196.699997</v>
      </c>
      <c r="C2" s="2">
        <v>404.45001200000002</v>
      </c>
      <c r="D2" s="4" t="s">
        <v>6</v>
      </c>
      <c r="E2" s="4" t="s">
        <v>7</v>
      </c>
      <c r="F2" s="4" t="s">
        <v>11</v>
      </c>
      <c r="G2" s="4" t="s">
        <v>12</v>
      </c>
      <c r="H2" s="4" t="s">
        <v>15</v>
      </c>
      <c r="I2" s="4" t="s">
        <v>16</v>
      </c>
      <c r="J2" s="4" t="s">
        <v>19</v>
      </c>
      <c r="K2" s="4" t="s">
        <v>20</v>
      </c>
      <c r="L2" s="4" t="s">
        <v>23</v>
      </c>
      <c r="M2" s="4" t="s">
        <v>24</v>
      </c>
      <c r="N2" s="4" t="s">
        <v>26</v>
      </c>
      <c r="O2" s="4" t="s">
        <v>28</v>
      </c>
      <c r="P2" s="8" t="s">
        <v>32</v>
      </c>
      <c r="Q2" s="7" t="s">
        <v>31</v>
      </c>
      <c r="R2" s="7"/>
      <c r="S2" s="4" t="s">
        <v>36</v>
      </c>
      <c r="T2" s="4" t="s">
        <v>37</v>
      </c>
      <c r="U2" s="17" t="s">
        <v>38</v>
      </c>
    </row>
    <row r="3" spans="1:24" x14ac:dyDescent="0.25">
      <c r="A3" s="1">
        <v>44131</v>
      </c>
      <c r="B3">
        <v>194.64999399999999</v>
      </c>
      <c r="C3" s="2">
        <v>409.95001200000002</v>
      </c>
      <c r="D3">
        <f>LN(B3/B2)</f>
        <v>-1.0476666911453672E-2</v>
      </c>
      <c r="E3" s="2">
        <f>LN(C3/C2)</f>
        <v>1.3507081180165321E-2</v>
      </c>
      <c r="F3">
        <f>AVERAGE($D$3:$D$63)</f>
        <v>6.0038962945843516E-3</v>
      </c>
      <c r="G3">
        <f>AVERAGE($E$3:$E$63)</f>
        <v>4.5490666451837797E-3</v>
      </c>
      <c r="H3">
        <f>D3-F3</f>
        <v>-1.6480563206038024E-2</v>
      </c>
      <c r="I3" s="2">
        <f>E3-G3</f>
        <v>8.958014534981542E-3</v>
      </c>
      <c r="J3">
        <f>H3^2</f>
        <v>2.7160896358821433E-4</v>
      </c>
      <c r="K3" s="2">
        <f>I3^2</f>
        <v>8.0246024408940571E-5</v>
      </c>
      <c r="L3">
        <f>SQRT(SUM($J$3:$J$63)/(COUNT($J$3:$J$63)-1))</f>
        <v>2.3892756381468316E-2</v>
      </c>
      <c r="M3">
        <f>SQRT(SUM($K$3:$K$63)/(COUNT($K$3:$K$63)-1))</f>
        <v>2.1317198767456684E-2</v>
      </c>
      <c r="N3">
        <f>H3*I3</f>
        <v>-1.4763312474437061E-4</v>
      </c>
      <c r="O3">
        <f>SUM($N$3:$N$63)/(COUNT($N$3:$N$63)-1)</f>
        <v>3.5265555214074985E-4</v>
      </c>
      <c r="P3" s="8">
        <v>1</v>
      </c>
      <c r="Q3">
        <v>0</v>
      </c>
      <c r="R3">
        <f>1-Q3</f>
        <v>1</v>
      </c>
      <c r="S3" s="3">
        <f>Q3*$F$3+R3*$G$3</f>
        <v>4.5490666451837797E-3</v>
      </c>
      <c r="T3" s="9">
        <f>SQRT((Q3*$L$3)^2+(R3*$M$3)^2+2*Q3*R3*$O$3)</f>
        <v>2.1317198767456684E-2</v>
      </c>
      <c r="U3" s="9">
        <f>S3</f>
        <v>4.5490666451837797E-3</v>
      </c>
      <c r="X3" s="16" t="s">
        <v>34</v>
      </c>
    </row>
    <row r="4" spans="1:24" x14ac:dyDescent="0.25">
      <c r="A4" s="1">
        <v>44132</v>
      </c>
      <c r="B4">
        <v>190.449997</v>
      </c>
      <c r="C4" s="2">
        <v>396.04998799999998</v>
      </c>
      <c r="D4" s="2">
        <f t="shared" ref="D4:D63" si="0">LN(B4/B3)</f>
        <v>-2.1813366059460378E-2</v>
      </c>
      <c r="E4" s="2">
        <f t="shared" ref="E4:E63" si="1">LN(C4/C3)</f>
        <v>-3.4494794702965244E-2</v>
      </c>
      <c r="F4" s="2">
        <f t="shared" ref="F4:F63" si="2">AVERAGE($D$3:$D$63)</f>
        <v>6.0038962945843516E-3</v>
      </c>
      <c r="G4" s="2">
        <f t="shared" ref="G4:G63" si="3">AVERAGE($E$3:$E$63)</f>
        <v>4.5490666451837797E-3</v>
      </c>
      <c r="H4" s="2">
        <f t="shared" ref="H4:H63" si="4">D4-F4</f>
        <v>-2.781726235404473E-2</v>
      </c>
      <c r="I4" s="2">
        <f t="shared" ref="I4:I63" si="5">E4-G4</f>
        <v>-3.9043861348149023E-2</v>
      </c>
      <c r="J4" s="2">
        <f t="shared" ref="J4:J64" si="6">H4^2</f>
        <v>7.7380008487375413E-4</v>
      </c>
      <c r="K4" s="2">
        <f t="shared" ref="K4:K63" si="7">I4^2</f>
        <v>1.5244231089734852E-3</v>
      </c>
      <c r="L4" s="2">
        <f t="shared" ref="L4:L63" si="8">SQRT(SUM($J$3:$J$63)/(COUNT($J$3:$J$63)-1))</f>
        <v>2.3892756381468316E-2</v>
      </c>
      <c r="M4" s="2">
        <f t="shared" ref="M4:M63" si="9">SQRT(SUM($K$3:$K$63)/(COUNT($K$3:$K$63)-1))</f>
        <v>2.1317198767456684E-2</v>
      </c>
      <c r="N4" s="2">
        <f t="shared" ref="N4:N64" si="10">H4*I4</f>
        <v>1.0860933344364078E-3</v>
      </c>
      <c r="O4" s="2">
        <f t="shared" ref="O4:O63" si="11">SUM($N$3:$N$63)/(COUNT($N$3:$N$63)-1)</f>
        <v>3.5265555214074985E-4</v>
      </c>
      <c r="P4" s="8">
        <f>P3+1</f>
        <v>2</v>
      </c>
      <c r="Q4">
        <f>Q3+0.01</f>
        <v>0.01</v>
      </c>
      <c r="R4" s="2">
        <f>1-Q4</f>
        <v>0.99</v>
      </c>
      <c r="S4" s="2">
        <f t="shared" ref="S4:S67" si="12">Q4*$F$3+R4*$G$3</f>
        <v>4.5636149416777858E-3</v>
      </c>
      <c r="T4" s="9">
        <f t="shared" ref="T4:T67" si="13">SQRT((Q4*$L$3)^2+(R4*$M$3)^2+2*Q4*R4*$O$3)</f>
        <v>2.1270157795251494E-2</v>
      </c>
      <c r="U4" s="9">
        <f t="shared" ref="U4:U67" si="14">S4</f>
        <v>4.5636149416777858E-3</v>
      </c>
    </row>
    <row r="5" spans="1:24" x14ac:dyDescent="0.25">
      <c r="A5" s="1">
        <v>44133</v>
      </c>
      <c r="B5">
        <v>188.699997</v>
      </c>
      <c r="C5" s="2">
        <v>399.89999399999999</v>
      </c>
      <c r="D5" s="2">
        <f t="shared" si="0"/>
        <v>-9.2312406961937866E-3</v>
      </c>
      <c r="E5" s="2">
        <f t="shared" si="1"/>
        <v>9.6740652379381578E-3</v>
      </c>
      <c r="F5" s="2">
        <f t="shared" si="2"/>
        <v>6.0038962945843516E-3</v>
      </c>
      <c r="G5" s="2">
        <f t="shared" si="3"/>
        <v>4.5490666451837797E-3</v>
      </c>
      <c r="H5" s="2">
        <f t="shared" si="4"/>
        <v>-1.5235136990778138E-2</v>
      </c>
      <c r="I5" s="2">
        <f t="shared" si="5"/>
        <v>5.1249985927543781E-3</v>
      </c>
      <c r="J5" s="2">
        <f t="shared" si="6"/>
        <v>2.3210939912777633E-4</v>
      </c>
      <c r="K5" s="2">
        <f t="shared" si="7"/>
        <v>2.6265610575734354E-5</v>
      </c>
      <c r="L5" s="2">
        <f t="shared" si="8"/>
        <v>2.3892756381468316E-2</v>
      </c>
      <c r="M5" s="2">
        <f t="shared" si="9"/>
        <v>2.1317198767456684E-2</v>
      </c>
      <c r="N5" s="2">
        <f t="shared" si="10"/>
        <v>-7.8080055638158127E-5</v>
      </c>
      <c r="O5" s="2">
        <f t="shared" si="11"/>
        <v>3.5265555214074985E-4</v>
      </c>
      <c r="P5" s="8">
        <f t="shared" ref="P5:P68" si="15">P4+1</f>
        <v>3</v>
      </c>
      <c r="Q5" s="2">
        <f t="shared" ref="Q5:Q68" si="16">Q4+0.01</f>
        <v>0.02</v>
      </c>
      <c r="R5" s="2">
        <f t="shared" ref="R5:R68" si="17">1-Q5</f>
        <v>0.98</v>
      </c>
      <c r="S5" s="2">
        <f t="shared" si="12"/>
        <v>4.578163238171791E-3</v>
      </c>
      <c r="T5" s="9">
        <f t="shared" si="13"/>
        <v>2.1224520185668321E-2</v>
      </c>
      <c r="U5" s="9">
        <f t="shared" si="14"/>
        <v>4.578163238171791E-3</v>
      </c>
    </row>
    <row r="6" spans="1:24" x14ac:dyDescent="0.25">
      <c r="A6" s="1">
        <v>44134</v>
      </c>
      <c r="B6">
        <v>189.25</v>
      </c>
      <c r="C6" s="2">
        <v>392.60000600000001</v>
      </c>
      <c r="D6" s="2">
        <f t="shared" si="0"/>
        <v>2.9104558413049035E-3</v>
      </c>
      <c r="E6" s="2">
        <f t="shared" si="1"/>
        <v>-1.8423203723930519E-2</v>
      </c>
      <c r="F6" s="2">
        <f t="shared" si="2"/>
        <v>6.0038962945843516E-3</v>
      </c>
      <c r="G6" s="2">
        <f t="shared" si="3"/>
        <v>4.5490666451837797E-3</v>
      </c>
      <c r="H6" s="2">
        <f t="shared" si="4"/>
        <v>-3.0934404532794481E-3</v>
      </c>
      <c r="I6" s="2">
        <f t="shared" si="5"/>
        <v>-2.2972270369114298E-2</v>
      </c>
      <c r="J6" s="2">
        <f t="shared" si="6"/>
        <v>9.5693738379857575E-6</v>
      </c>
      <c r="K6" s="2">
        <f t="shared" si="7"/>
        <v>5.2772520591168673E-4</v>
      </c>
      <c r="L6" s="2">
        <f t="shared" si="8"/>
        <v>2.3892756381468316E-2</v>
      </c>
      <c r="M6" s="2">
        <f t="shared" si="9"/>
        <v>2.1317198767456684E-2</v>
      </c>
      <c r="N6" s="2">
        <f t="shared" si="10"/>
        <v>7.1063350463490972E-5</v>
      </c>
      <c r="O6" s="2">
        <f t="shared" si="11"/>
        <v>3.5265555214074985E-4</v>
      </c>
      <c r="P6" s="8">
        <f t="shared" si="15"/>
        <v>4</v>
      </c>
      <c r="Q6" s="2">
        <f t="shared" si="16"/>
        <v>0.03</v>
      </c>
      <c r="R6" s="2">
        <f t="shared" si="17"/>
        <v>0.97</v>
      </c>
      <c r="S6" s="2">
        <f t="shared" si="12"/>
        <v>4.5927115346657971E-3</v>
      </c>
      <c r="T6" s="9">
        <f t="shared" si="13"/>
        <v>2.1180295010270484E-2</v>
      </c>
      <c r="U6" s="9">
        <f t="shared" si="14"/>
        <v>4.5927115346657971E-3</v>
      </c>
    </row>
    <row r="7" spans="1:24" x14ac:dyDescent="0.25">
      <c r="A7" s="1">
        <v>44137</v>
      </c>
      <c r="B7">
        <v>196.050003</v>
      </c>
      <c r="C7" s="2">
        <v>417.45001200000002</v>
      </c>
      <c r="D7" s="2">
        <f t="shared" si="0"/>
        <v>3.5300851723001105E-2</v>
      </c>
      <c r="E7" s="2">
        <f t="shared" si="1"/>
        <v>6.1373508260875537E-2</v>
      </c>
      <c r="F7" s="2">
        <f t="shared" si="2"/>
        <v>6.0038962945843516E-3</v>
      </c>
      <c r="G7" s="2">
        <f t="shared" si="3"/>
        <v>4.5490666451837797E-3</v>
      </c>
      <c r="H7" s="2">
        <f t="shared" si="4"/>
        <v>2.9296955428416753E-2</v>
      </c>
      <c r="I7" s="2">
        <f t="shared" si="5"/>
        <v>5.6824441615691758E-2</v>
      </c>
      <c r="J7" s="2">
        <f t="shared" si="6"/>
        <v>8.5831159737463788E-4</v>
      </c>
      <c r="K7" s="2">
        <f t="shared" si="7"/>
        <v>3.2290171649351613E-3</v>
      </c>
      <c r="L7" s="2">
        <f t="shared" si="8"/>
        <v>2.3892756381468316E-2</v>
      </c>
      <c r="M7" s="2">
        <f t="shared" si="9"/>
        <v>2.1317198767456684E-2</v>
      </c>
      <c r="N7" s="2">
        <f t="shared" si="10"/>
        <v>1.6647831332595915E-3</v>
      </c>
      <c r="O7" s="2">
        <f t="shared" si="11"/>
        <v>3.5265555214074985E-4</v>
      </c>
      <c r="P7" s="8">
        <f t="shared" si="15"/>
        <v>5</v>
      </c>
      <c r="Q7" s="2">
        <f t="shared" si="16"/>
        <v>0.04</v>
      </c>
      <c r="R7" s="2">
        <f t="shared" si="17"/>
        <v>0.96</v>
      </c>
      <c r="S7" s="2">
        <f t="shared" si="12"/>
        <v>4.6072598311598031E-3</v>
      </c>
      <c r="T7" s="9">
        <f t="shared" si="13"/>
        <v>2.1137491134608159E-2</v>
      </c>
      <c r="U7" s="9">
        <f t="shared" si="14"/>
        <v>4.6072598311598031E-3</v>
      </c>
    </row>
    <row r="8" spans="1:24" x14ac:dyDescent="0.25">
      <c r="A8" s="1">
        <v>44138</v>
      </c>
      <c r="B8">
        <v>204.75</v>
      </c>
      <c r="C8" s="2">
        <v>443.85000600000001</v>
      </c>
      <c r="D8" s="2">
        <f t="shared" si="0"/>
        <v>4.3419978692619536E-2</v>
      </c>
      <c r="E8" s="2">
        <f t="shared" si="1"/>
        <v>6.1321875646441995E-2</v>
      </c>
      <c r="F8" s="2">
        <f t="shared" si="2"/>
        <v>6.0038962945843516E-3</v>
      </c>
      <c r="G8" s="2">
        <f t="shared" si="3"/>
        <v>4.5490666451837797E-3</v>
      </c>
      <c r="H8" s="2">
        <f t="shared" si="4"/>
        <v>3.7416082398035184E-2</v>
      </c>
      <c r="I8" s="2">
        <f t="shared" si="5"/>
        <v>5.6772809001258216E-2</v>
      </c>
      <c r="J8" s="2">
        <f t="shared" si="6"/>
        <v>1.3999632220165583E-3</v>
      </c>
      <c r="K8" s="2">
        <f t="shared" si="7"/>
        <v>3.2231518418933459E-3</v>
      </c>
      <c r="L8" s="2">
        <f t="shared" si="8"/>
        <v>2.3892756381468316E-2</v>
      </c>
      <c r="M8" s="2">
        <f t="shared" si="9"/>
        <v>2.1317198767456684E-2</v>
      </c>
      <c r="N8" s="2">
        <f t="shared" si="10"/>
        <v>2.1242160995589912E-3</v>
      </c>
      <c r="O8" s="2">
        <f t="shared" si="11"/>
        <v>3.5265555214074985E-4</v>
      </c>
      <c r="P8" s="8">
        <f t="shared" si="15"/>
        <v>6</v>
      </c>
      <c r="Q8" s="2">
        <f t="shared" si="16"/>
        <v>0.05</v>
      </c>
      <c r="R8" s="2">
        <f t="shared" si="17"/>
        <v>0.95</v>
      </c>
      <c r="S8" s="2">
        <f t="shared" si="12"/>
        <v>4.6218081276538083E-3</v>
      </c>
      <c r="T8" s="9">
        <f t="shared" si="13"/>
        <v>2.1096117210105059E-2</v>
      </c>
      <c r="U8" s="9">
        <f t="shared" si="14"/>
        <v>4.6218081276538083E-3</v>
      </c>
    </row>
    <row r="9" spans="1:24" x14ac:dyDescent="0.25">
      <c r="A9" s="1">
        <v>44139</v>
      </c>
      <c r="B9">
        <v>207</v>
      </c>
      <c r="C9" s="2">
        <v>437.04998799999998</v>
      </c>
      <c r="D9" s="2">
        <f t="shared" si="0"/>
        <v>1.092907053219023E-2</v>
      </c>
      <c r="E9" s="2">
        <f t="shared" si="1"/>
        <v>-1.5439103462724885E-2</v>
      </c>
      <c r="F9" s="2">
        <f t="shared" si="2"/>
        <v>6.0038962945843516E-3</v>
      </c>
      <c r="G9" s="2">
        <f t="shared" si="3"/>
        <v>4.5490666451837797E-3</v>
      </c>
      <c r="H9" s="2">
        <f t="shared" si="4"/>
        <v>4.9251742376058786E-3</v>
      </c>
      <c r="I9" s="2">
        <f t="shared" si="5"/>
        <v>-1.9988170107908664E-2</v>
      </c>
      <c r="J9" s="2">
        <f t="shared" si="6"/>
        <v>2.4257341270776648E-5</v>
      </c>
      <c r="K9" s="2">
        <f t="shared" si="7"/>
        <v>3.9952694426269346E-4</v>
      </c>
      <c r="L9" s="2">
        <f t="shared" si="8"/>
        <v>2.3892756381468316E-2</v>
      </c>
      <c r="M9" s="2">
        <f t="shared" si="9"/>
        <v>2.1317198767456684E-2</v>
      </c>
      <c r="N9" s="2">
        <f t="shared" si="10"/>
        <v>-9.8445220472355674E-5</v>
      </c>
      <c r="O9" s="2">
        <f t="shared" si="11"/>
        <v>3.5265555214074985E-4</v>
      </c>
      <c r="P9" s="8">
        <f t="shared" si="15"/>
        <v>7</v>
      </c>
      <c r="Q9" s="2">
        <f t="shared" si="16"/>
        <v>6.0000000000000005E-2</v>
      </c>
      <c r="R9" s="2">
        <f t="shared" si="17"/>
        <v>0.94</v>
      </c>
      <c r="S9" s="2">
        <f t="shared" si="12"/>
        <v>4.6363564241478136E-3</v>
      </c>
      <c r="T9" s="9">
        <f t="shared" si="13"/>
        <v>2.1056181666024971E-2</v>
      </c>
      <c r="U9" s="9">
        <f t="shared" si="14"/>
        <v>4.6363564241478136E-3</v>
      </c>
    </row>
    <row r="10" spans="1:24" x14ac:dyDescent="0.25">
      <c r="A10" s="1">
        <v>44140</v>
      </c>
      <c r="B10">
        <v>218.64999399999999</v>
      </c>
      <c r="C10" s="2">
        <v>438.5</v>
      </c>
      <c r="D10" s="2">
        <f t="shared" si="0"/>
        <v>5.4753457152444125E-2</v>
      </c>
      <c r="E10" s="2">
        <f t="shared" si="1"/>
        <v>3.3122342425539607E-3</v>
      </c>
      <c r="F10" s="2">
        <f t="shared" si="2"/>
        <v>6.0038962945843516E-3</v>
      </c>
      <c r="G10" s="2">
        <f t="shared" si="3"/>
        <v>4.5490666451837797E-3</v>
      </c>
      <c r="H10" s="2">
        <f t="shared" si="4"/>
        <v>4.8749560857859774E-2</v>
      </c>
      <c r="I10" s="2">
        <f t="shared" si="5"/>
        <v>-1.236832402629819E-3</v>
      </c>
      <c r="J10" s="2">
        <f t="shared" si="6"/>
        <v>2.3765196838341739E-3</v>
      </c>
      <c r="K10" s="2">
        <f t="shared" si="7"/>
        <v>1.5297543921950508E-6</v>
      </c>
      <c r="L10" s="2">
        <f t="shared" si="8"/>
        <v>2.3892756381468316E-2</v>
      </c>
      <c r="M10" s="2">
        <f t="shared" si="9"/>
        <v>2.1317198767456684E-2</v>
      </c>
      <c r="N10" s="2">
        <f t="shared" si="10"/>
        <v>-6.0295036482975283E-5</v>
      </c>
      <c r="O10" s="2">
        <f t="shared" si="11"/>
        <v>3.5265555214074985E-4</v>
      </c>
      <c r="P10" s="8">
        <f t="shared" si="15"/>
        <v>8</v>
      </c>
      <c r="Q10" s="2">
        <f t="shared" si="16"/>
        <v>7.0000000000000007E-2</v>
      </c>
      <c r="R10" s="2">
        <f t="shared" si="17"/>
        <v>0.92999999999999994</v>
      </c>
      <c r="S10" s="2">
        <f t="shared" si="12"/>
        <v>4.6509047206418196E-3</v>
      </c>
      <c r="T10" s="9">
        <f t="shared" si="13"/>
        <v>2.1017692701533724E-2</v>
      </c>
      <c r="U10" s="9">
        <f t="shared" si="14"/>
        <v>4.6509047206418196E-3</v>
      </c>
    </row>
    <row r="11" spans="1:24" x14ac:dyDescent="0.25">
      <c r="A11" s="1">
        <v>44141</v>
      </c>
      <c r="B11">
        <v>219.199997</v>
      </c>
      <c r="C11" s="2">
        <v>442.79998799999998</v>
      </c>
      <c r="D11" s="2">
        <f t="shared" si="0"/>
        <v>2.5122909699157731E-3</v>
      </c>
      <c r="E11" s="2">
        <f t="shared" si="1"/>
        <v>9.7583619219726442E-3</v>
      </c>
      <c r="F11" s="2">
        <f t="shared" si="2"/>
        <v>6.0038962945843516E-3</v>
      </c>
      <c r="G11" s="2">
        <f t="shared" si="3"/>
        <v>4.5490666451837797E-3</v>
      </c>
      <c r="H11" s="2">
        <f t="shared" si="4"/>
        <v>-3.4916053246685785E-3</v>
      </c>
      <c r="I11" s="2">
        <f t="shared" si="5"/>
        <v>5.2092952767888645E-3</v>
      </c>
      <c r="J11" s="2">
        <f t="shared" si="6"/>
        <v>1.219130774325397E-5</v>
      </c>
      <c r="K11" s="2">
        <f t="shared" si="7"/>
        <v>2.7136757280774773E-5</v>
      </c>
      <c r="L11" s="2">
        <f t="shared" si="8"/>
        <v>2.3892756381468316E-2</v>
      </c>
      <c r="M11" s="2">
        <f t="shared" si="9"/>
        <v>2.1317198767456684E-2</v>
      </c>
      <c r="N11" s="2">
        <f t="shared" si="10"/>
        <v>-1.8188803126206875E-5</v>
      </c>
      <c r="O11" s="2">
        <f t="shared" si="11"/>
        <v>3.5265555214074985E-4</v>
      </c>
      <c r="P11" s="8">
        <f t="shared" si="15"/>
        <v>9</v>
      </c>
      <c r="Q11" s="2">
        <f t="shared" si="16"/>
        <v>0.08</v>
      </c>
      <c r="R11" s="2">
        <f t="shared" si="17"/>
        <v>0.92</v>
      </c>
      <c r="S11" s="2">
        <f t="shared" si="12"/>
        <v>4.6654530171358257E-3</v>
      </c>
      <c r="T11" s="9">
        <f t="shared" si="13"/>
        <v>2.0980658277872623E-2</v>
      </c>
      <c r="U11" s="9">
        <f t="shared" si="14"/>
        <v>4.6654530171358257E-3</v>
      </c>
    </row>
    <row r="12" spans="1:24" x14ac:dyDescent="0.25">
      <c r="A12" s="1">
        <v>44144</v>
      </c>
      <c r="B12">
        <v>219.5</v>
      </c>
      <c r="C12" s="2">
        <v>462.70001200000002</v>
      </c>
      <c r="D12" s="2">
        <f t="shared" si="0"/>
        <v>1.3676911274969864E-3</v>
      </c>
      <c r="E12" s="2">
        <f t="shared" si="1"/>
        <v>4.396074811347412E-2</v>
      </c>
      <c r="F12" s="2">
        <f t="shared" si="2"/>
        <v>6.0038962945843516E-3</v>
      </c>
      <c r="G12" s="2">
        <f t="shared" si="3"/>
        <v>4.5490666451837797E-3</v>
      </c>
      <c r="H12" s="2">
        <f t="shared" si="4"/>
        <v>-4.6362051670873657E-3</v>
      </c>
      <c r="I12" s="2">
        <f t="shared" si="5"/>
        <v>3.9411681468290341E-2</v>
      </c>
      <c r="J12" s="2">
        <f t="shared" si="6"/>
        <v>2.1494398351327589E-5</v>
      </c>
      <c r="K12" s="2">
        <f t="shared" si="7"/>
        <v>1.5532806361579802E-3</v>
      </c>
      <c r="L12" s="2">
        <f t="shared" si="8"/>
        <v>2.3892756381468316E-2</v>
      </c>
      <c r="M12" s="2">
        <f t="shared" si="9"/>
        <v>2.1317198767456684E-2</v>
      </c>
      <c r="N12" s="2">
        <f t="shared" si="10"/>
        <v>-1.8272064126688905E-4</v>
      </c>
      <c r="O12" s="2">
        <f t="shared" si="11"/>
        <v>3.5265555214074985E-4</v>
      </c>
      <c r="P12" s="8">
        <f t="shared" si="15"/>
        <v>10</v>
      </c>
      <c r="Q12" s="2">
        <f t="shared" si="16"/>
        <v>0.09</v>
      </c>
      <c r="R12" s="2">
        <f t="shared" si="17"/>
        <v>0.91</v>
      </c>
      <c r="S12" s="2">
        <f t="shared" si="12"/>
        <v>4.6800013136298318E-3</v>
      </c>
      <c r="T12" s="9">
        <f t="shared" si="13"/>
        <v>2.0945086110659192E-2</v>
      </c>
      <c r="U12" s="9">
        <f t="shared" si="14"/>
        <v>4.6800013136298318E-3</v>
      </c>
    </row>
    <row r="13" spans="1:24" x14ac:dyDescent="0.25">
      <c r="A13" s="1">
        <v>44145</v>
      </c>
      <c r="B13">
        <v>231.699997</v>
      </c>
      <c r="C13" s="2">
        <v>483.85000600000001</v>
      </c>
      <c r="D13" s="2">
        <f t="shared" si="0"/>
        <v>5.4091185975327069E-2</v>
      </c>
      <c r="E13" s="2">
        <f t="shared" si="1"/>
        <v>4.4696031879804268E-2</v>
      </c>
      <c r="F13" s="2">
        <f t="shared" si="2"/>
        <v>6.0038962945843516E-3</v>
      </c>
      <c r="G13" s="2">
        <f t="shared" si="3"/>
        <v>4.5490666451837797E-3</v>
      </c>
      <c r="H13" s="2">
        <f t="shared" si="4"/>
        <v>4.8087289680742717E-2</v>
      </c>
      <c r="I13" s="2">
        <f t="shared" si="5"/>
        <v>4.0146965234620489E-2</v>
      </c>
      <c r="J13" s="2">
        <f t="shared" si="6"/>
        <v>2.3123874288396651E-3</v>
      </c>
      <c r="K13" s="2">
        <f t="shared" si="7"/>
        <v>1.6117788175498261E-3</v>
      </c>
      <c r="L13" s="2">
        <f t="shared" si="8"/>
        <v>2.3892756381468316E-2</v>
      </c>
      <c r="M13" s="2">
        <f t="shared" si="9"/>
        <v>2.1317198767456684E-2</v>
      </c>
      <c r="N13" s="2">
        <f t="shared" si="10"/>
        <v>1.9305587470399026E-3</v>
      </c>
      <c r="O13" s="2">
        <f t="shared" si="11"/>
        <v>3.5265555214074985E-4</v>
      </c>
      <c r="P13" s="8">
        <f t="shared" si="15"/>
        <v>11</v>
      </c>
      <c r="Q13" s="2">
        <f t="shared" si="16"/>
        <v>9.9999999999999992E-2</v>
      </c>
      <c r="R13" s="2">
        <f t="shared" si="17"/>
        <v>0.9</v>
      </c>
      <c r="S13" s="2">
        <f t="shared" si="12"/>
        <v>4.694549610123837E-3</v>
      </c>
      <c r="T13" s="9">
        <f t="shared" si="13"/>
        <v>2.0910983662331503E-2</v>
      </c>
      <c r="U13" s="9">
        <f t="shared" si="14"/>
        <v>4.694549610123837E-3</v>
      </c>
    </row>
    <row r="14" spans="1:24" x14ac:dyDescent="0.25">
      <c r="A14" s="1">
        <v>44146</v>
      </c>
      <c r="B14">
        <v>234.199997</v>
      </c>
      <c r="C14" s="2">
        <v>486.54998799999998</v>
      </c>
      <c r="D14" s="2">
        <f t="shared" si="0"/>
        <v>1.0732019863499235E-2</v>
      </c>
      <c r="E14" s="2">
        <f t="shared" si="1"/>
        <v>5.5646928770622245E-3</v>
      </c>
      <c r="F14" s="2">
        <f t="shared" si="2"/>
        <v>6.0038962945843516E-3</v>
      </c>
      <c r="G14" s="2">
        <f t="shared" si="3"/>
        <v>4.5490666451837797E-3</v>
      </c>
      <c r="H14" s="2">
        <f t="shared" si="4"/>
        <v>4.728123568914883E-3</v>
      </c>
      <c r="I14" s="2">
        <f t="shared" si="5"/>
        <v>1.0156262318784448E-3</v>
      </c>
      <c r="J14" s="2">
        <f t="shared" si="6"/>
        <v>2.2355152482928409E-5</v>
      </c>
      <c r="K14" s="2">
        <f t="shared" si="7"/>
        <v>1.0314966428796084E-6</v>
      </c>
      <c r="L14" s="2">
        <f t="shared" si="8"/>
        <v>2.3892756381468316E-2</v>
      </c>
      <c r="M14" s="2">
        <f t="shared" si="9"/>
        <v>2.1317198767456684E-2</v>
      </c>
      <c r="N14" s="2">
        <f t="shared" si="10"/>
        <v>4.8020063241526866E-6</v>
      </c>
      <c r="O14" s="2">
        <f t="shared" si="11"/>
        <v>3.5265555214074985E-4</v>
      </c>
      <c r="P14" s="8">
        <f t="shared" si="15"/>
        <v>12</v>
      </c>
      <c r="Q14" s="2">
        <f t="shared" si="16"/>
        <v>0.10999999999999999</v>
      </c>
      <c r="R14" s="2">
        <f t="shared" si="17"/>
        <v>0.89</v>
      </c>
      <c r="S14" s="2">
        <f t="shared" si="12"/>
        <v>4.7090979066178431E-3</v>
      </c>
      <c r="T14" s="9">
        <f t="shared" si="13"/>
        <v>2.0878358134751977E-2</v>
      </c>
      <c r="U14" s="9">
        <f t="shared" si="14"/>
        <v>4.7090979066178431E-3</v>
      </c>
    </row>
    <row r="15" spans="1:24" x14ac:dyDescent="0.25">
      <c r="A15" s="1">
        <v>44147</v>
      </c>
      <c r="B15">
        <v>226.800003</v>
      </c>
      <c r="C15" s="2">
        <v>476.70001200000002</v>
      </c>
      <c r="D15" s="2">
        <f t="shared" si="0"/>
        <v>-3.2106853272942271E-2</v>
      </c>
      <c r="E15" s="2">
        <f t="shared" si="1"/>
        <v>-2.0452259220706374E-2</v>
      </c>
      <c r="F15" s="2">
        <f t="shared" si="2"/>
        <v>6.0038962945843516E-3</v>
      </c>
      <c r="G15" s="2">
        <f t="shared" si="3"/>
        <v>4.5490666451837797E-3</v>
      </c>
      <c r="H15" s="2">
        <f t="shared" si="4"/>
        <v>-3.8110749567526622E-2</v>
      </c>
      <c r="I15" s="2">
        <f t="shared" si="5"/>
        <v>-2.5001325865890153E-2</v>
      </c>
      <c r="J15" s="2">
        <f t="shared" si="6"/>
        <v>1.4524292325987307E-3</v>
      </c>
      <c r="K15" s="2">
        <f t="shared" si="7"/>
        <v>6.2506629505242799E-4</v>
      </c>
      <c r="L15" s="2">
        <f t="shared" si="8"/>
        <v>2.3892756381468316E-2</v>
      </c>
      <c r="M15" s="2">
        <f t="shared" si="9"/>
        <v>2.1317198767456684E-2</v>
      </c>
      <c r="N15" s="2">
        <f t="shared" si="10"/>
        <v>9.5281926893106528E-4</v>
      </c>
      <c r="O15" s="2">
        <f t="shared" si="11"/>
        <v>3.5265555214074985E-4</v>
      </c>
      <c r="P15" s="8">
        <f t="shared" si="15"/>
        <v>13</v>
      </c>
      <c r="Q15" s="2">
        <f t="shared" si="16"/>
        <v>0.11999999999999998</v>
      </c>
      <c r="R15" s="2">
        <f t="shared" si="17"/>
        <v>0.88</v>
      </c>
      <c r="S15" s="2">
        <f t="shared" si="12"/>
        <v>4.7236462031118483E-3</v>
      </c>
      <c r="T15" s="9">
        <f t="shared" si="13"/>
        <v>2.0847216461986864E-2</v>
      </c>
      <c r="U15" s="9">
        <f t="shared" si="14"/>
        <v>4.7236462031118483E-3</v>
      </c>
    </row>
    <row r="16" spans="1:24" x14ac:dyDescent="0.25">
      <c r="A16" s="1">
        <v>44148</v>
      </c>
      <c r="B16">
        <v>229.449997</v>
      </c>
      <c r="C16" s="2">
        <v>485.54998799999998</v>
      </c>
      <c r="D16" s="2">
        <f t="shared" si="0"/>
        <v>1.1616542684988299E-2</v>
      </c>
      <c r="E16" s="2">
        <f t="shared" si="1"/>
        <v>1.8394856942276515E-2</v>
      </c>
      <c r="F16" s="2">
        <f t="shared" si="2"/>
        <v>6.0038962945843516E-3</v>
      </c>
      <c r="G16" s="2">
        <f t="shared" si="3"/>
        <v>4.5490666451837797E-3</v>
      </c>
      <c r="H16" s="2">
        <f t="shared" si="4"/>
        <v>5.6126463904039477E-3</v>
      </c>
      <c r="I16" s="2">
        <f t="shared" si="5"/>
        <v>1.3845790297092736E-2</v>
      </c>
      <c r="J16" s="2">
        <f t="shared" si="6"/>
        <v>3.1501799503714462E-5</v>
      </c>
      <c r="K16" s="2">
        <f t="shared" si="7"/>
        <v>1.9170590895106735E-4</v>
      </c>
      <c r="L16" s="2">
        <f t="shared" si="8"/>
        <v>2.3892756381468316E-2</v>
      </c>
      <c r="M16" s="2">
        <f t="shared" si="9"/>
        <v>2.1317198767456684E-2</v>
      </c>
      <c r="N16" s="2">
        <f t="shared" si="10"/>
        <v>7.7711524933267551E-5</v>
      </c>
      <c r="O16" s="2">
        <f t="shared" si="11"/>
        <v>3.5265555214074985E-4</v>
      </c>
      <c r="P16" s="8">
        <f t="shared" si="15"/>
        <v>14</v>
      </c>
      <c r="Q16" s="2">
        <f t="shared" si="16"/>
        <v>0.12999999999999998</v>
      </c>
      <c r="R16" s="2">
        <f t="shared" si="17"/>
        <v>0.87</v>
      </c>
      <c r="S16" s="2">
        <f t="shared" si="12"/>
        <v>4.7381944996058535E-3</v>
      </c>
      <c r="T16" s="9">
        <f t="shared" si="13"/>
        <v>2.0817565303277198E-2</v>
      </c>
      <c r="U16" s="9">
        <f t="shared" si="14"/>
        <v>4.7381944996058535E-3</v>
      </c>
    </row>
    <row r="17" spans="1:21" x14ac:dyDescent="0.25">
      <c r="A17" s="1">
        <v>44152</v>
      </c>
      <c r="B17">
        <v>240.199997</v>
      </c>
      <c r="C17" s="2">
        <v>486.39999399999999</v>
      </c>
      <c r="D17" s="2">
        <f t="shared" si="0"/>
        <v>4.5786769390192661E-2</v>
      </c>
      <c r="E17" s="2">
        <f t="shared" si="1"/>
        <v>1.7490739903097412E-3</v>
      </c>
      <c r="F17" s="2">
        <f t="shared" si="2"/>
        <v>6.0038962945843516E-3</v>
      </c>
      <c r="G17" s="2">
        <f t="shared" si="3"/>
        <v>4.5490666451837797E-3</v>
      </c>
      <c r="H17" s="2">
        <f t="shared" si="4"/>
        <v>3.9782873095608309E-2</v>
      </c>
      <c r="I17" s="2">
        <f t="shared" si="5"/>
        <v>-2.7999926548740385E-3</v>
      </c>
      <c r="J17" s="2">
        <f t="shared" si="6"/>
        <v>1.5826769917412756E-3</v>
      </c>
      <c r="K17" s="2">
        <f t="shared" si="7"/>
        <v>7.8399588673485662E-6</v>
      </c>
      <c r="L17" s="2">
        <f t="shared" si="8"/>
        <v>2.3892756381468316E-2</v>
      </c>
      <c r="M17" s="2">
        <f t="shared" si="9"/>
        <v>2.1317198767456684E-2</v>
      </c>
      <c r="N17" s="2">
        <f t="shared" si="10"/>
        <v>-1.1139175245748927E-4</v>
      </c>
      <c r="O17" s="2">
        <f t="shared" si="11"/>
        <v>3.5265555214074985E-4</v>
      </c>
      <c r="P17" s="8">
        <f t="shared" si="15"/>
        <v>15</v>
      </c>
      <c r="Q17" s="2">
        <f t="shared" si="16"/>
        <v>0.13999999999999999</v>
      </c>
      <c r="R17" s="2">
        <f t="shared" si="17"/>
        <v>0.86</v>
      </c>
      <c r="S17" s="2">
        <f t="shared" si="12"/>
        <v>4.7527427960998595E-3</v>
      </c>
      <c r="T17" s="9">
        <f t="shared" si="13"/>
        <v>2.0789411036217169E-2</v>
      </c>
      <c r="U17" s="9">
        <f t="shared" si="14"/>
        <v>4.7527427960998595E-3</v>
      </c>
    </row>
    <row r="18" spans="1:21" x14ac:dyDescent="0.25">
      <c r="A18" s="1">
        <v>44153</v>
      </c>
      <c r="B18">
        <v>252</v>
      </c>
      <c r="C18" s="2">
        <v>497.64999399999999</v>
      </c>
      <c r="D18" s="2">
        <f t="shared" si="0"/>
        <v>4.7957190355132261E-2</v>
      </c>
      <c r="E18" s="2">
        <f t="shared" si="1"/>
        <v>2.2865688318975345E-2</v>
      </c>
      <c r="F18" s="2">
        <f t="shared" si="2"/>
        <v>6.0038962945843516E-3</v>
      </c>
      <c r="G18" s="2">
        <f t="shared" si="3"/>
        <v>4.5490666451837797E-3</v>
      </c>
      <c r="H18" s="2">
        <f t="shared" si="4"/>
        <v>4.1953294060547909E-2</v>
      </c>
      <c r="I18" s="2">
        <f t="shared" si="5"/>
        <v>1.8316621673791566E-2</v>
      </c>
      <c r="J18" s="2">
        <f t="shared" si="6"/>
        <v>1.7600788825308045E-3</v>
      </c>
      <c r="K18" s="2">
        <f t="shared" si="7"/>
        <v>3.3549862954081097E-4</v>
      </c>
      <c r="L18" s="2">
        <f t="shared" si="8"/>
        <v>2.3892756381468316E-2</v>
      </c>
      <c r="M18" s="2">
        <f t="shared" si="9"/>
        <v>2.1317198767456684E-2</v>
      </c>
      <c r="N18" s="2">
        <f t="shared" si="10"/>
        <v>7.6844261527638283E-4</v>
      </c>
      <c r="O18" s="2">
        <f t="shared" si="11"/>
        <v>3.5265555214074985E-4</v>
      </c>
      <c r="P18" s="8">
        <f t="shared" si="15"/>
        <v>16</v>
      </c>
      <c r="Q18" s="2">
        <f t="shared" si="16"/>
        <v>0.15</v>
      </c>
      <c r="R18" s="2">
        <f t="shared" si="17"/>
        <v>0.85</v>
      </c>
      <c r="S18" s="2">
        <f t="shared" si="12"/>
        <v>4.7672910925938648E-3</v>
      </c>
      <c r="T18" s="9">
        <f t="shared" si="13"/>
        <v>2.0762759750155291E-2</v>
      </c>
      <c r="U18" s="9">
        <f t="shared" si="14"/>
        <v>4.7672910925938648E-3</v>
      </c>
    </row>
    <row r="19" spans="1:21" x14ac:dyDescent="0.25">
      <c r="A19" s="1">
        <v>44154</v>
      </c>
      <c r="B19">
        <v>239.75</v>
      </c>
      <c r="C19" s="2">
        <v>478.75</v>
      </c>
      <c r="D19" s="2">
        <f t="shared" si="0"/>
        <v>-4.9832373747875754E-2</v>
      </c>
      <c r="E19" s="2">
        <f t="shared" si="1"/>
        <v>-3.8718466140550391E-2</v>
      </c>
      <c r="F19" s="2">
        <f t="shared" si="2"/>
        <v>6.0038962945843516E-3</v>
      </c>
      <c r="G19" s="2">
        <f t="shared" si="3"/>
        <v>4.5490666451837797E-3</v>
      </c>
      <c r="H19" s="2">
        <f t="shared" si="4"/>
        <v>-5.5836270042460105E-2</v>
      </c>
      <c r="I19" s="2">
        <f t="shared" si="5"/>
        <v>-4.326753278573417E-2</v>
      </c>
      <c r="J19" s="2">
        <f t="shared" si="6"/>
        <v>3.1176890522545278E-3</v>
      </c>
      <c r="K19" s="2">
        <f t="shared" si="7"/>
        <v>1.8720793933645814E-3</v>
      </c>
      <c r="L19" s="2">
        <f t="shared" si="8"/>
        <v>2.3892756381468316E-2</v>
      </c>
      <c r="M19" s="2">
        <f t="shared" si="9"/>
        <v>2.1317198767456684E-2</v>
      </c>
      <c r="N19" s="2">
        <f t="shared" si="10"/>
        <v>2.4158976446952492E-3</v>
      </c>
      <c r="O19" s="2">
        <f t="shared" si="11"/>
        <v>3.5265555214074985E-4</v>
      </c>
      <c r="P19" s="8">
        <f t="shared" si="15"/>
        <v>17</v>
      </c>
      <c r="Q19" s="2">
        <f t="shared" si="16"/>
        <v>0.16</v>
      </c>
      <c r="R19" s="2">
        <f t="shared" si="17"/>
        <v>0.84</v>
      </c>
      <c r="S19" s="2">
        <f t="shared" si="12"/>
        <v>4.7818393890878708E-3</v>
      </c>
      <c r="T19" s="9">
        <f t="shared" si="13"/>
        <v>2.0737617239833792E-2</v>
      </c>
      <c r="U19" s="9">
        <f t="shared" si="14"/>
        <v>4.7818393890878708E-3</v>
      </c>
    </row>
    <row r="20" spans="1:21" x14ac:dyDescent="0.25">
      <c r="A20" s="1">
        <v>44155</v>
      </c>
      <c r="B20">
        <v>242.75</v>
      </c>
      <c r="C20" s="2">
        <v>480.20001200000002</v>
      </c>
      <c r="D20" s="2">
        <f t="shared" si="0"/>
        <v>1.2435393407886675E-2</v>
      </c>
      <c r="E20" s="2">
        <f t="shared" si="1"/>
        <v>3.0241682818844861E-3</v>
      </c>
      <c r="F20" s="2">
        <f t="shared" si="2"/>
        <v>6.0038962945843516E-3</v>
      </c>
      <c r="G20" s="2">
        <f t="shared" si="3"/>
        <v>4.5490666451837797E-3</v>
      </c>
      <c r="H20" s="2">
        <f t="shared" si="4"/>
        <v>6.4314971133023237E-3</v>
      </c>
      <c r="I20" s="2">
        <f t="shared" si="5"/>
        <v>-1.5248983632992937E-3</v>
      </c>
      <c r="J20" s="2">
        <f t="shared" si="6"/>
        <v>4.1364155118416124E-5</v>
      </c>
      <c r="K20" s="2">
        <f t="shared" si="7"/>
        <v>2.3253150183928645E-6</v>
      </c>
      <c r="L20" s="2">
        <f t="shared" si="8"/>
        <v>2.3892756381468316E-2</v>
      </c>
      <c r="M20" s="2">
        <f t="shared" si="9"/>
        <v>2.1317198767456684E-2</v>
      </c>
      <c r="N20" s="2">
        <f t="shared" si="10"/>
        <v>-9.8073794216388451E-6</v>
      </c>
      <c r="O20" s="2">
        <f t="shared" si="11"/>
        <v>3.5265555214074985E-4</v>
      </c>
      <c r="P20" s="8">
        <f t="shared" si="15"/>
        <v>18</v>
      </c>
      <c r="Q20" s="2">
        <f t="shared" si="16"/>
        <v>0.17</v>
      </c>
      <c r="R20" s="2">
        <f t="shared" si="17"/>
        <v>0.83</v>
      </c>
      <c r="S20" s="2">
        <f t="shared" si="12"/>
        <v>4.7963876855818769E-3</v>
      </c>
      <c r="T20" s="9">
        <f t="shared" si="13"/>
        <v>2.0713988999281081E-2</v>
      </c>
      <c r="U20" s="9">
        <f t="shared" si="14"/>
        <v>4.7963876855818769E-3</v>
      </c>
    </row>
    <row r="21" spans="1:21" x14ac:dyDescent="0.25">
      <c r="A21" s="1">
        <v>44158</v>
      </c>
      <c r="B21">
        <v>238.699997</v>
      </c>
      <c r="C21" s="2">
        <v>468.25</v>
      </c>
      <c r="D21" s="2">
        <f t="shared" si="0"/>
        <v>-1.6824586394727014E-2</v>
      </c>
      <c r="E21" s="2">
        <f t="shared" si="1"/>
        <v>-2.5200367452542321E-2</v>
      </c>
      <c r="F21" s="2">
        <f t="shared" si="2"/>
        <v>6.0038962945843516E-3</v>
      </c>
      <c r="G21" s="2">
        <f t="shared" si="3"/>
        <v>4.5490666451837797E-3</v>
      </c>
      <c r="H21" s="2">
        <f t="shared" si="4"/>
        <v>-2.2828482689311366E-2</v>
      </c>
      <c r="I21" s="2">
        <f t="shared" si="5"/>
        <v>-2.97494340977261E-2</v>
      </c>
      <c r="J21" s="2">
        <f t="shared" si="6"/>
        <v>5.2113962189618862E-4</v>
      </c>
      <c r="K21" s="2">
        <f t="shared" si="7"/>
        <v>8.8502882913494836E-4</v>
      </c>
      <c r="L21" s="2">
        <f t="shared" si="8"/>
        <v>2.3892756381468316E-2</v>
      </c>
      <c r="M21" s="2">
        <f t="shared" si="9"/>
        <v>2.1317198767456684E-2</v>
      </c>
      <c r="N21" s="2">
        <f t="shared" si="10"/>
        <v>6.791344413167496E-4</v>
      </c>
      <c r="O21" s="2">
        <f t="shared" si="11"/>
        <v>3.5265555214074985E-4</v>
      </c>
      <c r="P21" s="8">
        <f t="shared" si="15"/>
        <v>19</v>
      </c>
      <c r="Q21" s="2">
        <f t="shared" si="16"/>
        <v>0.18000000000000002</v>
      </c>
      <c r="R21" s="2">
        <f t="shared" si="17"/>
        <v>0.82</v>
      </c>
      <c r="S21" s="2">
        <f t="shared" si="12"/>
        <v>4.810935982075883E-3</v>
      </c>
      <c r="T21" s="9">
        <f t="shared" si="13"/>
        <v>2.0691880215971827E-2</v>
      </c>
      <c r="U21" s="9">
        <f t="shared" si="14"/>
        <v>4.810935982075883E-3</v>
      </c>
    </row>
    <row r="22" spans="1:21" x14ac:dyDescent="0.25">
      <c r="A22" s="1">
        <v>44159</v>
      </c>
      <c r="B22">
        <v>243.85000600000001</v>
      </c>
      <c r="C22" s="2">
        <v>478.20001200000002</v>
      </c>
      <c r="D22" s="2">
        <f t="shared" si="0"/>
        <v>2.134578598464432E-2</v>
      </c>
      <c r="E22" s="2">
        <f t="shared" si="1"/>
        <v>2.1026738794129016E-2</v>
      </c>
      <c r="F22" s="2">
        <f t="shared" si="2"/>
        <v>6.0038962945843516E-3</v>
      </c>
      <c r="G22" s="2">
        <f t="shared" si="3"/>
        <v>4.5490666451837797E-3</v>
      </c>
      <c r="H22" s="2">
        <f t="shared" si="4"/>
        <v>1.5341889690059968E-2</v>
      </c>
      <c r="I22" s="2">
        <f t="shared" si="5"/>
        <v>1.6477672148945237E-2</v>
      </c>
      <c r="J22" s="2">
        <f t="shared" si="6"/>
        <v>2.3537357926196835E-4</v>
      </c>
      <c r="K22" s="2">
        <f t="shared" si="7"/>
        <v>2.7151367944812556E-4</v>
      </c>
      <c r="L22" s="2">
        <f t="shared" si="8"/>
        <v>2.3892756381468316E-2</v>
      </c>
      <c r="M22" s="2">
        <f t="shared" si="9"/>
        <v>2.1317198767456684E-2</v>
      </c>
      <c r="N22" s="2">
        <f t="shared" si="10"/>
        <v>2.5279862845809122E-4</v>
      </c>
      <c r="O22" s="2">
        <f t="shared" si="11"/>
        <v>3.5265555214074985E-4</v>
      </c>
      <c r="P22" s="8">
        <f t="shared" si="15"/>
        <v>20</v>
      </c>
      <c r="Q22" s="2">
        <f t="shared" si="16"/>
        <v>0.19000000000000003</v>
      </c>
      <c r="R22" s="2">
        <f t="shared" si="17"/>
        <v>0.80999999999999994</v>
      </c>
      <c r="S22" s="2">
        <f t="shared" si="12"/>
        <v>4.8254842785698882E-3</v>
      </c>
      <c r="T22" s="9">
        <f t="shared" si="13"/>
        <v>2.067129576526875E-2</v>
      </c>
      <c r="U22" s="9">
        <f t="shared" si="14"/>
        <v>4.8254842785698882E-3</v>
      </c>
    </row>
    <row r="23" spans="1:21" x14ac:dyDescent="0.25">
      <c r="A23" s="1">
        <v>44160</v>
      </c>
      <c r="B23">
        <v>243</v>
      </c>
      <c r="C23" s="2">
        <v>472.70001200000002</v>
      </c>
      <c r="D23" s="2">
        <f t="shared" si="0"/>
        <v>-3.4918634208029758E-3</v>
      </c>
      <c r="E23" s="2">
        <f t="shared" si="1"/>
        <v>-1.1568116933056637E-2</v>
      </c>
      <c r="F23" s="2">
        <f t="shared" si="2"/>
        <v>6.0038962945843516E-3</v>
      </c>
      <c r="G23" s="2">
        <f t="shared" si="3"/>
        <v>4.5490666451837797E-3</v>
      </c>
      <c r="H23" s="2">
        <f t="shared" si="4"/>
        <v>-9.495759715387327E-3</v>
      </c>
      <c r="I23" s="2">
        <f t="shared" si="5"/>
        <v>-1.6117183578240418E-2</v>
      </c>
      <c r="J23" s="2">
        <f t="shared" si="6"/>
        <v>9.0169452572372804E-5</v>
      </c>
      <c r="K23" s="2">
        <f t="shared" si="7"/>
        <v>2.5976360649470259E-4</v>
      </c>
      <c r="L23" s="2">
        <f t="shared" si="8"/>
        <v>2.3892756381468316E-2</v>
      </c>
      <c r="M23" s="2">
        <f t="shared" si="9"/>
        <v>2.1317198767456684E-2</v>
      </c>
      <c r="N23" s="2">
        <f t="shared" si="10"/>
        <v>1.5304490254775753E-4</v>
      </c>
      <c r="O23" s="2">
        <f t="shared" si="11"/>
        <v>3.5265555214074985E-4</v>
      </c>
      <c r="P23" s="8">
        <f t="shared" si="15"/>
        <v>21</v>
      </c>
      <c r="Q23" s="2">
        <f t="shared" si="16"/>
        <v>0.20000000000000004</v>
      </c>
      <c r="R23" s="2">
        <f t="shared" si="17"/>
        <v>0.79999999999999993</v>
      </c>
      <c r="S23" s="2">
        <f t="shared" si="12"/>
        <v>4.8400325750638934E-3</v>
      </c>
      <c r="T23" s="9">
        <f t="shared" si="13"/>
        <v>2.0652240205159635E-2</v>
      </c>
      <c r="U23" s="9">
        <f t="shared" si="14"/>
        <v>4.8400325750638934E-3</v>
      </c>
    </row>
    <row r="24" spans="1:21" x14ac:dyDescent="0.25">
      <c r="A24" s="1">
        <v>44161</v>
      </c>
      <c r="B24">
        <v>245.449997</v>
      </c>
      <c r="C24" s="2">
        <v>475.29998799999998</v>
      </c>
      <c r="D24" s="2">
        <f t="shared" si="0"/>
        <v>1.0031804941064374E-2</v>
      </c>
      <c r="E24" s="2">
        <f t="shared" si="1"/>
        <v>5.4851951874808009E-3</v>
      </c>
      <c r="F24" s="2">
        <f t="shared" si="2"/>
        <v>6.0038962945843516E-3</v>
      </c>
      <c r="G24" s="2">
        <f t="shared" si="3"/>
        <v>4.5490666451837797E-3</v>
      </c>
      <c r="H24" s="2">
        <f t="shared" si="4"/>
        <v>4.0279086464800225E-3</v>
      </c>
      <c r="I24" s="2">
        <f t="shared" si="5"/>
        <v>9.3612854229702114E-4</v>
      </c>
      <c r="J24" s="2">
        <f t="shared" si="6"/>
        <v>1.6224048064388528E-5</v>
      </c>
      <c r="K24" s="2">
        <f t="shared" si="7"/>
        <v>8.763366477031457E-7</v>
      </c>
      <c r="L24" s="2">
        <f t="shared" si="8"/>
        <v>2.3892756381468316E-2</v>
      </c>
      <c r="M24" s="2">
        <f t="shared" si="9"/>
        <v>2.1317198767456684E-2</v>
      </c>
      <c r="N24" s="2">
        <f t="shared" si="10"/>
        <v>3.7706402497349109E-6</v>
      </c>
      <c r="O24" s="2">
        <f t="shared" si="11"/>
        <v>3.5265555214074985E-4</v>
      </c>
      <c r="P24" s="8">
        <f t="shared" si="15"/>
        <v>22</v>
      </c>
      <c r="Q24" s="2">
        <f t="shared" si="16"/>
        <v>0.21000000000000005</v>
      </c>
      <c r="R24" s="2">
        <f t="shared" si="17"/>
        <v>0.78999999999999992</v>
      </c>
      <c r="S24" s="2">
        <f t="shared" si="12"/>
        <v>4.8545808715578995E-3</v>
      </c>
      <c r="T24" s="9">
        <f t="shared" si="13"/>
        <v>2.0634717771302546E-2</v>
      </c>
      <c r="U24" s="9">
        <f t="shared" si="14"/>
        <v>4.8545808715578995E-3</v>
      </c>
    </row>
    <row r="25" spans="1:21" x14ac:dyDescent="0.25">
      <c r="A25" s="1">
        <v>44162</v>
      </c>
      <c r="B25">
        <v>244.25</v>
      </c>
      <c r="C25" s="2">
        <v>473.35000600000001</v>
      </c>
      <c r="D25" s="2">
        <f t="shared" si="0"/>
        <v>-4.900957358720719E-3</v>
      </c>
      <c r="E25" s="2">
        <f t="shared" si="1"/>
        <v>-4.1110731222409056E-3</v>
      </c>
      <c r="F25" s="2">
        <f t="shared" si="2"/>
        <v>6.0038962945843516E-3</v>
      </c>
      <c r="G25" s="2">
        <f t="shared" si="3"/>
        <v>4.5490666451837797E-3</v>
      </c>
      <c r="H25" s="2">
        <f t="shared" si="4"/>
        <v>-1.0904853653305071E-2</v>
      </c>
      <c r="I25" s="2">
        <f t="shared" si="5"/>
        <v>-8.6601397674246853E-3</v>
      </c>
      <c r="J25" s="2">
        <f t="shared" si="6"/>
        <v>1.1891583320000095E-4</v>
      </c>
      <c r="K25" s="2">
        <f t="shared" si="7"/>
        <v>7.4998020791330479E-5</v>
      </c>
      <c r="L25" s="2">
        <f t="shared" si="8"/>
        <v>2.3892756381468316E-2</v>
      </c>
      <c r="M25" s="2">
        <f t="shared" si="9"/>
        <v>2.1317198767456684E-2</v>
      </c>
      <c r="N25" s="2">
        <f t="shared" si="10"/>
        <v>9.4437556780933605E-5</v>
      </c>
      <c r="O25" s="2">
        <f t="shared" si="11"/>
        <v>3.5265555214074985E-4</v>
      </c>
      <c r="P25" s="8">
        <f t="shared" si="15"/>
        <v>23</v>
      </c>
      <c r="Q25" s="2">
        <f t="shared" si="16"/>
        <v>0.22000000000000006</v>
      </c>
      <c r="R25" s="2">
        <f t="shared" si="17"/>
        <v>0.77999999999999992</v>
      </c>
      <c r="S25" s="2">
        <f t="shared" si="12"/>
        <v>4.8691291680519055E-3</v>
      </c>
      <c r="T25" s="9">
        <f t="shared" si="13"/>
        <v>2.0618732372391591E-2</v>
      </c>
      <c r="U25" s="9">
        <f t="shared" si="14"/>
        <v>4.8691291680519055E-3</v>
      </c>
    </row>
    <row r="26" spans="1:21" x14ac:dyDescent="0.25">
      <c r="A26" s="1">
        <v>44166</v>
      </c>
      <c r="B26">
        <v>248.050003</v>
      </c>
      <c r="C26" s="2">
        <v>485.10000600000001</v>
      </c>
      <c r="D26" s="2">
        <f t="shared" si="0"/>
        <v>1.5438059918501456E-2</v>
      </c>
      <c r="E26" s="2">
        <f t="shared" si="1"/>
        <v>2.4519982369244506E-2</v>
      </c>
      <c r="F26" s="2">
        <f t="shared" si="2"/>
        <v>6.0038962945843516E-3</v>
      </c>
      <c r="G26" s="2">
        <f t="shared" si="3"/>
        <v>4.5490666451837797E-3</v>
      </c>
      <c r="H26" s="2">
        <f t="shared" si="4"/>
        <v>9.4341636239171044E-3</v>
      </c>
      <c r="I26" s="2">
        <f t="shared" si="5"/>
        <v>1.9970915724060727E-2</v>
      </c>
      <c r="J26" s="2">
        <f t="shared" si="6"/>
        <v>8.9003443282840706E-5</v>
      </c>
      <c r="K26" s="2">
        <f t="shared" si="7"/>
        <v>3.9883747485753597E-4</v>
      </c>
      <c r="L26" s="2">
        <f t="shared" si="8"/>
        <v>2.3892756381468316E-2</v>
      </c>
      <c r="M26" s="2">
        <f t="shared" si="9"/>
        <v>2.1317198767456684E-2</v>
      </c>
      <c r="N26" s="2">
        <f t="shared" si="10"/>
        <v>1.8840888666024782E-4</v>
      </c>
      <c r="O26" s="2">
        <f t="shared" si="11"/>
        <v>3.5265555214074985E-4</v>
      </c>
      <c r="P26" s="8">
        <f t="shared" si="15"/>
        <v>24</v>
      </c>
      <c r="Q26" s="2">
        <f t="shared" si="16"/>
        <v>0.23000000000000007</v>
      </c>
      <c r="R26" s="2">
        <f t="shared" si="17"/>
        <v>0.76999999999999991</v>
      </c>
      <c r="S26" s="2">
        <f t="shared" si="12"/>
        <v>4.8836774645459116E-3</v>
      </c>
      <c r="T26" s="9">
        <f t="shared" si="13"/>
        <v>2.0604287585854836E-2</v>
      </c>
      <c r="U26" s="9">
        <f t="shared" si="14"/>
        <v>4.8836774645459116E-3</v>
      </c>
    </row>
    <row r="27" spans="1:21" x14ac:dyDescent="0.25">
      <c r="A27" s="1">
        <v>44167</v>
      </c>
      <c r="B27">
        <v>246.949997</v>
      </c>
      <c r="C27" s="2">
        <v>480.45001200000002</v>
      </c>
      <c r="D27" s="2">
        <f t="shared" si="0"/>
        <v>-4.4444760029680175E-3</v>
      </c>
      <c r="E27" s="2">
        <f t="shared" si="1"/>
        <v>-9.6318779198935282E-3</v>
      </c>
      <c r="F27" s="2">
        <f t="shared" si="2"/>
        <v>6.0038962945843516E-3</v>
      </c>
      <c r="G27" s="2">
        <f t="shared" si="3"/>
        <v>4.5490666451837797E-3</v>
      </c>
      <c r="H27" s="2">
        <f t="shared" si="4"/>
        <v>-1.0448372297552369E-2</v>
      </c>
      <c r="I27" s="2">
        <f t="shared" si="5"/>
        <v>-1.4180944565077309E-2</v>
      </c>
      <c r="J27" s="2">
        <f t="shared" si="6"/>
        <v>1.0916848366825978E-4</v>
      </c>
      <c r="K27" s="2">
        <f t="shared" si="7"/>
        <v>2.0109918875779566E-4</v>
      </c>
      <c r="L27" s="2">
        <f t="shared" si="8"/>
        <v>2.3892756381468316E-2</v>
      </c>
      <c r="M27" s="2">
        <f t="shared" si="9"/>
        <v>2.1317198767456684E-2</v>
      </c>
      <c r="N27" s="2">
        <f t="shared" si="10"/>
        <v>1.4816778834687958E-4</v>
      </c>
      <c r="O27" s="2">
        <f t="shared" si="11"/>
        <v>3.5265555214074985E-4</v>
      </c>
      <c r="P27" s="8">
        <f t="shared" si="15"/>
        <v>25</v>
      </c>
      <c r="Q27" s="2">
        <f t="shared" si="16"/>
        <v>0.24000000000000007</v>
      </c>
      <c r="R27" s="2">
        <f t="shared" si="17"/>
        <v>0.7599999999999999</v>
      </c>
      <c r="S27" s="2">
        <f t="shared" si="12"/>
        <v>4.8982257610399168E-3</v>
      </c>
      <c r="T27" s="9">
        <f t="shared" si="13"/>
        <v>2.0591386653895288E-2</v>
      </c>
      <c r="U27" s="9">
        <f t="shared" si="14"/>
        <v>4.8982257610399168E-3</v>
      </c>
    </row>
    <row r="28" spans="1:21" x14ac:dyDescent="0.25">
      <c r="A28" s="1">
        <v>44168</v>
      </c>
      <c r="B28">
        <v>256.29998799999998</v>
      </c>
      <c r="C28" s="2">
        <v>481.85000600000001</v>
      </c>
      <c r="D28" s="2">
        <f t="shared" si="0"/>
        <v>3.7162711711465887E-2</v>
      </c>
      <c r="E28" s="2">
        <f t="shared" si="1"/>
        <v>2.9096850494431769E-3</v>
      </c>
      <c r="F28" s="2">
        <f t="shared" si="2"/>
        <v>6.0038962945843516E-3</v>
      </c>
      <c r="G28" s="2">
        <f t="shared" si="3"/>
        <v>4.5490666451837797E-3</v>
      </c>
      <c r="H28" s="2">
        <f t="shared" si="4"/>
        <v>3.1158815416881536E-2</v>
      </c>
      <c r="I28" s="2">
        <f t="shared" si="5"/>
        <v>-1.6393815957406028E-3</v>
      </c>
      <c r="J28" s="2">
        <f t="shared" si="6"/>
        <v>9.7087177818329449E-4</v>
      </c>
      <c r="K28" s="2">
        <f t="shared" si="7"/>
        <v>2.6875720164530051E-6</v>
      </c>
      <c r="L28" s="2">
        <f t="shared" si="8"/>
        <v>2.3892756381468316E-2</v>
      </c>
      <c r="M28" s="2">
        <f t="shared" si="9"/>
        <v>2.1317198767456684E-2</v>
      </c>
      <c r="N28" s="2">
        <f t="shared" si="10"/>
        <v>-5.1081188539514148E-5</v>
      </c>
      <c r="O28" s="2">
        <f t="shared" si="11"/>
        <v>3.5265555214074985E-4</v>
      </c>
      <c r="P28" s="8">
        <f t="shared" si="15"/>
        <v>26</v>
      </c>
      <c r="Q28" s="2">
        <f t="shared" si="16"/>
        <v>0.25000000000000006</v>
      </c>
      <c r="R28" s="2">
        <f t="shared" si="17"/>
        <v>0.75</v>
      </c>
      <c r="S28" s="2">
        <f t="shared" si="12"/>
        <v>4.9127740575339238E-3</v>
      </c>
      <c r="T28" s="9">
        <f t="shared" si="13"/>
        <v>2.0580032479885092E-2</v>
      </c>
      <c r="U28" s="9">
        <f t="shared" si="14"/>
        <v>4.9127740575339238E-3</v>
      </c>
    </row>
    <row r="29" spans="1:21" x14ac:dyDescent="0.25">
      <c r="A29" s="1">
        <v>44169</v>
      </c>
      <c r="B29">
        <v>263.5</v>
      </c>
      <c r="C29" s="2">
        <v>502.04998799999998</v>
      </c>
      <c r="D29" s="2">
        <f t="shared" si="0"/>
        <v>2.7704781431525341E-2</v>
      </c>
      <c r="E29" s="2">
        <f t="shared" si="1"/>
        <v>4.1066817674138958E-2</v>
      </c>
      <c r="F29" s="2">
        <f t="shared" si="2"/>
        <v>6.0038962945843516E-3</v>
      </c>
      <c r="G29" s="2">
        <f t="shared" si="3"/>
        <v>4.5490666451837797E-3</v>
      </c>
      <c r="H29" s="2">
        <f t="shared" si="4"/>
        <v>2.1700885136940989E-2</v>
      </c>
      <c r="I29" s="2">
        <f t="shared" si="5"/>
        <v>3.651775102895518E-2</v>
      </c>
      <c r="J29" s="2">
        <f t="shared" si="6"/>
        <v>4.7092841572670633E-4</v>
      </c>
      <c r="K29" s="2">
        <f t="shared" si="7"/>
        <v>1.3335461402127571E-3</v>
      </c>
      <c r="L29" s="2">
        <f t="shared" si="8"/>
        <v>2.3892756381468316E-2</v>
      </c>
      <c r="M29" s="2">
        <f t="shared" si="9"/>
        <v>2.1317198767456684E-2</v>
      </c>
      <c r="N29" s="2">
        <f t="shared" si="10"/>
        <v>7.9246752053876502E-4</v>
      </c>
      <c r="O29" s="2">
        <f t="shared" si="11"/>
        <v>3.5265555214074985E-4</v>
      </c>
      <c r="P29" s="8">
        <f t="shared" si="15"/>
        <v>27</v>
      </c>
      <c r="Q29" s="2">
        <f t="shared" si="16"/>
        <v>0.26000000000000006</v>
      </c>
      <c r="R29" s="2">
        <f t="shared" si="17"/>
        <v>0.74</v>
      </c>
      <c r="S29" s="2">
        <f t="shared" si="12"/>
        <v>4.9273223540279281E-3</v>
      </c>
      <c r="T29" s="9">
        <f t="shared" si="13"/>
        <v>2.05702276251221E-2</v>
      </c>
      <c r="U29" s="9">
        <f t="shared" si="14"/>
        <v>4.9273223540279281E-3</v>
      </c>
    </row>
    <row r="30" spans="1:21" x14ac:dyDescent="0.25">
      <c r="A30" s="1">
        <v>44172</v>
      </c>
      <c r="B30">
        <v>269.60000600000001</v>
      </c>
      <c r="C30" s="2">
        <v>510.45001200000002</v>
      </c>
      <c r="D30" s="2">
        <f t="shared" si="0"/>
        <v>2.2886033311927595E-2</v>
      </c>
      <c r="E30" s="2">
        <f t="shared" si="1"/>
        <v>1.6593020700249733E-2</v>
      </c>
      <c r="F30" s="2">
        <f t="shared" si="2"/>
        <v>6.0038962945843516E-3</v>
      </c>
      <c r="G30" s="2">
        <f t="shared" si="3"/>
        <v>4.5490666451837797E-3</v>
      </c>
      <c r="H30" s="2">
        <f t="shared" si="4"/>
        <v>1.6882137017343243E-2</v>
      </c>
      <c r="I30" s="2">
        <f t="shared" si="5"/>
        <v>1.2043954055065954E-2</v>
      </c>
      <c r="J30" s="2">
        <f t="shared" si="6"/>
        <v>2.8500655027235104E-4</v>
      </c>
      <c r="K30" s="2">
        <f t="shared" si="7"/>
        <v>1.4505682928053965E-4</v>
      </c>
      <c r="L30" s="2">
        <f t="shared" si="8"/>
        <v>2.3892756381468316E-2</v>
      </c>
      <c r="M30" s="2">
        <f t="shared" si="9"/>
        <v>2.1317198767456684E-2</v>
      </c>
      <c r="N30" s="2">
        <f t="shared" si="10"/>
        <v>2.0332768258821021E-4</v>
      </c>
      <c r="O30" s="2">
        <f t="shared" si="11"/>
        <v>3.5265555214074985E-4</v>
      </c>
      <c r="P30" s="8">
        <f t="shared" si="15"/>
        <v>28</v>
      </c>
      <c r="Q30" s="2">
        <f t="shared" si="16"/>
        <v>0.27000000000000007</v>
      </c>
      <c r="R30" s="2">
        <f t="shared" si="17"/>
        <v>0.73</v>
      </c>
      <c r="S30" s="2">
        <f t="shared" si="12"/>
        <v>4.9418706505219342E-3</v>
      </c>
      <c r="T30" s="9">
        <f t="shared" si="13"/>
        <v>2.0561974305957346E-2</v>
      </c>
      <c r="U30" s="9">
        <f t="shared" si="14"/>
        <v>4.9418706505219342E-3</v>
      </c>
    </row>
    <row r="31" spans="1:21" x14ac:dyDescent="0.25">
      <c r="A31" s="1">
        <v>44173</v>
      </c>
      <c r="B31">
        <v>271.89999399999999</v>
      </c>
      <c r="C31" s="2">
        <v>508.39999399999999</v>
      </c>
      <c r="D31" s="2">
        <f t="shared" si="0"/>
        <v>8.4949282781436805E-3</v>
      </c>
      <c r="E31" s="2">
        <f t="shared" si="1"/>
        <v>-4.0241856101249848E-3</v>
      </c>
      <c r="F31" s="2">
        <f t="shared" si="2"/>
        <v>6.0038962945843516E-3</v>
      </c>
      <c r="G31" s="2">
        <f t="shared" si="3"/>
        <v>4.5490666451837797E-3</v>
      </c>
      <c r="H31" s="2">
        <f t="shared" si="4"/>
        <v>2.4910319835593289E-3</v>
      </c>
      <c r="I31" s="2">
        <f t="shared" si="5"/>
        <v>-8.5732522553087637E-3</v>
      </c>
      <c r="J31" s="2">
        <f t="shared" si="6"/>
        <v>6.2052403431155249E-6</v>
      </c>
      <c r="K31" s="2">
        <f t="shared" si="7"/>
        <v>7.3500654233156796E-5</v>
      </c>
      <c r="L31" s="2">
        <f t="shared" si="8"/>
        <v>2.3892756381468316E-2</v>
      </c>
      <c r="M31" s="2">
        <f t="shared" si="9"/>
        <v>2.1317198767456684E-2</v>
      </c>
      <c r="N31" s="2">
        <f t="shared" si="10"/>
        <v>-2.1356245571096281E-5</v>
      </c>
      <c r="O31" s="2">
        <f t="shared" si="11"/>
        <v>3.5265555214074985E-4</v>
      </c>
      <c r="P31" s="8">
        <f t="shared" si="15"/>
        <v>29</v>
      </c>
      <c r="Q31" s="2">
        <f t="shared" si="16"/>
        <v>0.28000000000000008</v>
      </c>
      <c r="R31" s="2">
        <f t="shared" si="17"/>
        <v>0.72</v>
      </c>
      <c r="S31" s="2">
        <f t="shared" si="12"/>
        <v>4.9564189470159403E-3</v>
      </c>
      <c r="T31" s="9">
        <f t="shared" si="13"/>
        <v>2.0555274391300806E-2</v>
      </c>
      <c r="U31" s="9">
        <f t="shared" si="14"/>
        <v>4.9564189470159403E-3</v>
      </c>
    </row>
    <row r="32" spans="1:21" x14ac:dyDescent="0.25">
      <c r="A32" s="1">
        <v>44174</v>
      </c>
      <c r="B32">
        <v>270.35000600000001</v>
      </c>
      <c r="C32" s="2">
        <v>511.5</v>
      </c>
      <c r="D32" s="2">
        <f t="shared" si="0"/>
        <v>-5.7168915500218501E-3</v>
      </c>
      <c r="E32" s="2">
        <f t="shared" si="1"/>
        <v>6.0790578781132658E-3</v>
      </c>
      <c r="F32" s="2">
        <f t="shared" si="2"/>
        <v>6.0038962945843516E-3</v>
      </c>
      <c r="G32" s="2">
        <f t="shared" si="3"/>
        <v>4.5490666451837797E-3</v>
      </c>
      <c r="H32" s="2">
        <f t="shared" si="4"/>
        <v>-1.1720787844606201E-2</v>
      </c>
      <c r="I32" s="2">
        <f t="shared" si="5"/>
        <v>1.5299912329294861E-3</v>
      </c>
      <c r="J32" s="2">
        <f t="shared" si="6"/>
        <v>1.3737686769826847E-4</v>
      </c>
      <c r="K32" s="2">
        <f t="shared" si="7"/>
        <v>2.3408731728410889E-6</v>
      </c>
      <c r="L32" s="2">
        <f t="shared" si="8"/>
        <v>2.3892756381468316E-2</v>
      </c>
      <c r="M32" s="2">
        <f t="shared" si="9"/>
        <v>2.1317198767456684E-2</v>
      </c>
      <c r="N32" s="2">
        <f t="shared" si="10"/>
        <v>-1.7932702645273976E-5</v>
      </c>
      <c r="O32" s="2">
        <f t="shared" si="11"/>
        <v>3.5265555214074985E-4</v>
      </c>
      <c r="P32" s="8">
        <f t="shared" si="15"/>
        <v>30</v>
      </c>
      <c r="Q32" s="2">
        <f t="shared" si="16"/>
        <v>0.29000000000000009</v>
      </c>
      <c r="R32" s="2">
        <f t="shared" si="17"/>
        <v>0.71</v>
      </c>
      <c r="S32" s="2">
        <f t="shared" si="12"/>
        <v>4.9709672435099463E-3</v>
      </c>
      <c r="T32" s="9">
        <f t="shared" si="13"/>
        <v>2.0550129400511961E-2</v>
      </c>
      <c r="U32" s="9">
        <f t="shared" si="14"/>
        <v>4.9709672435099463E-3</v>
      </c>
    </row>
    <row r="33" spans="1:21" x14ac:dyDescent="0.25">
      <c r="A33" s="1">
        <v>44175</v>
      </c>
      <c r="B33">
        <v>269.54998799999998</v>
      </c>
      <c r="C33" s="2">
        <v>506.95001200000002</v>
      </c>
      <c r="D33" s="2">
        <f t="shared" si="0"/>
        <v>-2.9635806424320749E-3</v>
      </c>
      <c r="E33" s="2">
        <f t="shared" si="1"/>
        <v>-8.935182322119142E-3</v>
      </c>
      <c r="F33" s="2">
        <f t="shared" si="2"/>
        <v>6.0038962945843516E-3</v>
      </c>
      <c r="G33" s="2">
        <f t="shared" si="3"/>
        <v>4.5490666451837797E-3</v>
      </c>
      <c r="H33" s="2">
        <f t="shared" si="4"/>
        <v>-8.9674769370164265E-3</v>
      </c>
      <c r="I33" s="2">
        <f t="shared" si="5"/>
        <v>-1.3484248967302923E-2</v>
      </c>
      <c r="J33" s="2">
        <f t="shared" si="6"/>
        <v>8.0415642615921517E-5</v>
      </c>
      <c r="K33" s="2">
        <f t="shared" si="7"/>
        <v>1.8182497021220994E-4</v>
      </c>
      <c r="L33" s="2">
        <f t="shared" si="8"/>
        <v>2.3892756381468316E-2</v>
      </c>
      <c r="M33" s="2">
        <f t="shared" si="9"/>
        <v>2.1317198767456684E-2</v>
      </c>
      <c r="N33" s="2">
        <f t="shared" si="10"/>
        <v>1.2091969162727653E-4</v>
      </c>
      <c r="O33" s="2">
        <f t="shared" si="11"/>
        <v>3.5265555214074985E-4</v>
      </c>
      <c r="P33" s="8">
        <f t="shared" si="15"/>
        <v>31</v>
      </c>
      <c r="Q33" s="2">
        <f t="shared" si="16"/>
        <v>0.3000000000000001</v>
      </c>
      <c r="R33" s="2">
        <f t="shared" si="17"/>
        <v>0.7</v>
      </c>
      <c r="S33" s="2">
        <f t="shared" si="12"/>
        <v>4.9855155400039524E-3</v>
      </c>
      <c r="T33" s="9">
        <f t="shared" si="13"/>
        <v>2.0546540501680772E-2</v>
      </c>
      <c r="U33" s="9">
        <f t="shared" si="14"/>
        <v>4.9855155400039524E-3</v>
      </c>
    </row>
    <row r="34" spans="1:21" x14ac:dyDescent="0.25">
      <c r="A34" s="1">
        <v>44176</v>
      </c>
      <c r="B34">
        <v>272.45001200000002</v>
      </c>
      <c r="C34" s="2">
        <v>515.45001200000002</v>
      </c>
      <c r="D34" s="2">
        <f t="shared" si="0"/>
        <v>1.0701297694850738E-2</v>
      </c>
      <c r="E34" s="2">
        <f t="shared" si="1"/>
        <v>1.6627925753460025E-2</v>
      </c>
      <c r="F34" s="2">
        <f t="shared" si="2"/>
        <v>6.0038962945843516E-3</v>
      </c>
      <c r="G34" s="2">
        <f t="shared" si="3"/>
        <v>4.5490666451837797E-3</v>
      </c>
      <c r="H34" s="2">
        <f t="shared" si="4"/>
        <v>4.6974014002663864E-3</v>
      </c>
      <c r="I34" s="2">
        <f t="shared" si="5"/>
        <v>1.2078859108276246E-2</v>
      </c>
      <c r="J34" s="2">
        <f t="shared" si="6"/>
        <v>2.2065579915224609E-5</v>
      </c>
      <c r="K34" s="2">
        <f t="shared" si="7"/>
        <v>1.4589883735758804E-4</v>
      </c>
      <c r="L34" s="2">
        <f t="shared" si="8"/>
        <v>2.3892756381468316E-2</v>
      </c>
      <c r="M34" s="2">
        <f t="shared" si="9"/>
        <v>2.1317198767456684E-2</v>
      </c>
      <c r="N34" s="2">
        <f t="shared" si="10"/>
        <v>5.6739249688837233E-5</v>
      </c>
      <c r="O34" s="2">
        <f t="shared" si="11"/>
        <v>3.5265555214074985E-4</v>
      </c>
      <c r="P34" s="8">
        <f t="shared" si="15"/>
        <v>32</v>
      </c>
      <c r="Q34" s="2">
        <f t="shared" si="16"/>
        <v>0.31000000000000011</v>
      </c>
      <c r="R34" s="2">
        <f t="shared" si="17"/>
        <v>0.69</v>
      </c>
      <c r="S34" s="2">
        <f t="shared" si="12"/>
        <v>5.0000638364979567E-3</v>
      </c>
      <c r="T34" s="9">
        <f t="shared" si="13"/>
        <v>2.0544508510303511E-2</v>
      </c>
      <c r="U34" s="9">
        <f t="shared" si="14"/>
        <v>5.0000638364979567E-3</v>
      </c>
    </row>
    <row r="35" spans="1:21" x14ac:dyDescent="0.25">
      <c r="A35" s="1">
        <v>44179</v>
      </c>
      <c r="B35">
        <v>274.20001200000002</v>
      </c>
      <c r="C35" s="2">
        <v>525.79998799999998</v>
      </c>
      <c r="D35" s="2">
        <f t="shared" si="0"/>
        <v>6.4026558180039477E-3</v>
      </c>
      <c r="E35" s="2">
        <f t="shared" si="1"/>
        <v>1.9880560650392658E-2</v>
      </c>
      <c r="F35" s="2">
        <f t="shared" si="2"/>
        <v>6.0038962945843516E-3</v>
      </c>
      <c r="G35" s="2">
        <f t="shared" si="3"/>
        <v>4.5490666451837797E-3</v>
      </c>
      <c r="H35" s="2">
        <f t="shared" si="4"/>
        <v>3.9875952341959613E-4</v>
      </c>
      <c r="I35" s="2">
        <f t="shared" si="5"/>
        <v>1.533149400520888E-2</v>
      </c>
      <c r="J35" s="2">
        <f t="shared" si="6"/>
        <v>1.5900915751782343E-7</v>
      </c>
      <c r="K35" s="2">
        <f t="shared" si="7"/>
        <v>2.3505470843175581E-4</v>
      </c>
      <c r="L35" s="2">
        <f t="shared" si="8"/>
        <v>2.3892756381468316E-2</v>
      </c>
      <c r="M35" s="2">
        <f t="shared" si="9"/>
        <v>2.1317198767456684E-2</v>
      </c>
      <c r="N35" s="2">
        <f t="shared" si="10"/>
        <v>6.1135792428274878E-6</v>
      </c>
      <c r="O35" s="2">
        <f t="shared" si="11"/>
        <v>3.5265555214074985E-4</v>
      </c>
      <c r="P35" s="8">
        <f t="shared" si="15"/>
        <v>33</v>
      </c>
      <c r="Q35" s="2">
        <f t="shared" si="16"/>
        <v>0.32000000000000012</v>
      </c>
      <c r="R35" s="2">
        <f t="shared" si="17"/>
        <v>0.67999999999999994</v>
      </c>
      <c r="S35" s="2">
        <f t="shared" si="12"/>
        <v>5.0146121329919628E-3</v>
      </c>
      <c r="T35" s="9">
        <f t="shared" si="13"/>
        <v>2.0544033888357006E-2</v>
      </c>
      <c r="U35" s="9">
        <f t="shared" si="14"/>
        <v>5.0146121329919628E-3</v>
      </c>
    </row>
    <row r="36" spans="1:21" x14ac:dyDescent="0.25">
      <c r="A36" s="1">
        <v>44180</v>
      </c>
      <c r="B36">
        <v>270.64999399999999</v>
      </c>
      <c r="C36" s="2">
        <v>518.04998799999998</v>
      </c>
      <c r="D36" s="2">
        <f t="shared" si="0"/>
        <v>-1.3031359817755375E-2</v>
      </c>
      <c r="E36" s="2">
        <f t="shared" si="1"/>
        <v>-1.4849149939441397E-2</v>
      </c>
      <c r="F36" s="2">
        <f t="shared" si="2"/>
        <v>6.0038962945843516E-3</v>
      </c>
      <c r="G36" s="2">
        <f t="shared" si="3"/>
        <v>4.5490666451837797E-3</v>
      </c>
      <c r="H36" s="2">
        <f t="shared" si="4"/>
        <v>-1.9035256112339728E-2</v>
      </c>
      <c r="I36" s="2">
        <f t="shared" si="5"/>
        <v>-1.9398216584625178E-2</v>
      </c>
      <c r="J36" s="2">
        <f t="shared" si="6"/>
        <v>3.6234097526236696E-4</v>
      </c>
      <c r="K36" s="2">
        <f t="shared" si="7"/>
        <v>3.7629080666402729E-4</v>
      </c>
      <c r="L36" s="2">
        <f t="shared" si="8"/>
        <v>2.3892756381468316E-2</v>
      </c>
      <c r="M36" s="2">
        <f t="shared" si="9"/>
        <v>2.1317198767456684E-2</v>
      </c>
      <c r="N36" s="2">
        <f t="shared" si="10"/>
        <v>3.6925002081097632E-4</v>
      </c>
      <c r="O36" s="2">
        <f t="shared" si="11"/>
        <v>3.5265555214074985E-4</v>
      </c>
      <c r="P36" s="8">
        <f t="shared" si="15"/>
        <v>34</v>
      </c>
      <c r="Q36" s="2">
        <f t="shared" si="16"/>
        <v>0.33000000000000013</v>
      </c>
      <c r="R36" s="2">
        <f t="shared" si="17"/>
        <v>0.66999999999999993</v>
      </c>
      <c r="S36" s="2">
        <f t="shared" si="12"/>
        <v>5.0291604294859689E-3</v>
      </c>
      <c r="T36" s="9">
        <f t="shared" si="13"/>
        <v>2.0545116743773729E-2</v>
      </c>
      <c r="U36" s="9">
        <f t="shared" si="14"/>
        <v>5.0291604294859689E-3</v>
      </c>
    </row>
    <row r="37" spans="1:21" x14ac:dyDescent="0.25">
      <c r="A37" s="1">
        <v>44181</v>
      </c>
      <c r="B37">
        <v>269.39999399999999</v>
      </c>
      <c r="C37" s="2">
        <v>512.45001200000002</v>
      </c>
      <c r="D37" s="2">
        <f t="shared" si="0"/>
        <v>-4.6292093695854217E-3</v>
      </c>
      <c r="E37" s="2">
        <f t="shared" si="1"/>
        <v>-1.0868570839482759E-2</v>
      </c>
      <c r="F37" s="2">
        <f t="shared" si="2"/>
        <v>6.0038962945843516E-3</v>
      </c>
      <c r="G37" s="2">
        <f t="shared" si="3"/>
        <v>4.5490666451837797E-3</v>
      </c>
      <c r="H37" s="2">
        <f t="shared" si="4"/>
        <v>-1.0633105664169773E-2</v>
      </c>
      <c r="I37" s="2">
        <f t="shared" si="5"/>
        <v>-1.5417637484666537E-2</v>
      </c>
      <c r="J37" s="2">
        <f t="shared" si="6"/>
        <v>1.1306293606539932E-4</v>
      </c>
      <c r="K37" s="2">
        <f t="shared" si="7"/>
        <v>2.3770354560859471E-4</v>
      </c>
      <c r="L37" s="2">
        <f t="shared" si="8"/>
        <v>2.3892756381468316E-2</v>
      </c>
      <c r="M37" s="2">
        <f t="shared" si="9"/>
        <v>2.1317198767456684E-2</v>
      </c>
      <c r="N37" s="2">
        <f t="shared" si="10"/>
        <v>1.6393736846632398E-4</v>
      </c>
      <c r="O37" s="2">
        <f t="shared" si="11"/>
        <v>3.5265555214074985E-4</v>
      </c>
      <c r="P37" s="8">
        <f t="shared" si="15"/>
        <v>35</v>
      </c>
      <c r="Q37" s="2">
        <f t="shared" si="16"/>
        <v>0.34000000000000014</v>
      </c>
      <c r="R37" s="2">
        <f t="shared" si="17"/>
        <v>0.65999999999999992</v>
      </c>
      <c r="S37" s="2">
        <f t="shared" si="12"/>
        <v>5.043708725979975E-3</v>
      </c>
      <c r="T37" s="9">
        <f t="shared" si="13"/>
        <v>2.0547756830319092E-2</v>
      </c>
      <c r="U37" s="9">
        <f t="shared" si="14"/>
        <v>5.043708725979975E-3</v>
      </c>
    </row>
    <row r="38" spans="1:21" x14ac:dyDescent="0.25">
      <c r="A38" s="1">
        <v>44182</v>
      </c>
      <c r="B38">
        <v>267.70001200000002</v>
      </c>
      <c r="C38" s="2">
        <v>510.39999399999999</v>
      </c>
      <c r="D38" s="2">
        <f t="shared" si="0"/>
        <v>-6.3302463519444548E-3</v>
      </c>
      <c r="E38" s="2">
        <f t="shared" si="1"/>
        <v>-4.0084484193963366E-3</v>
      </c>
      <c r="F38" s="2">
        <f t="shared" si="2"/>
        <v>6.0038962945843516E-3</v>
      </c>
      <c r="G38" s="2">
        <f t="shared" si="3"/>
        <v>4.5490666451837797E-3</v>
      </c>
      <c r="H38" s="2">
        <f t="shared" si="4"/>
        <v>-1.2334142646528806E-2</v>
      </c>
      <c r="I38" s="2">
        <f t="shared" si="5"/>
        <v>-8.5575150645801172E-3</v>
      </c>
      <c r="J38" s="2">
        <f t="shared" si="6"/>
        <v>1.521310748249206E-4</v>
      </c>
      <c r="K38" s="2">
        <f t="shared" si="7"/>
        <v>7.3231064080515651E-5</v>
      </c>
      <c r="L38" s="2">
        <f t="shared" si="8"/>
        <v>2.3892756381468316E-2</v>
      </c>
      <c r="M38" s="2">
        <f t="shared" si="9"/>
        <v>2.1317198767456684E-2</v>
      </c>
      <c r="N38" s="2">
        <f t="shared" si="10"/>
        <v>1.0554961150635033E-4</v>
      </c>
      <c r="O38" s="2">
        <f t="shared" si="11"/>
        <v>3.5265555214074985E-4</v>
      </c>
      <c r="P38" s="8">
        <f t="shared" si="15"/>
        <v>36</v>
      </c>
      <c r="Q38" s="2">
        <f t="shared" si="16"/>
        <v>0.35000000000000014</v>
      </c>
      <c r="R38" s="2">
        <f t="shared" si="17"/>
        <v>0.64999999999999991</v>
      </c>
      <c r="S38" s="2">
        <f t="shared" si="12"/>
        <v>5.058257022473981E-3</v>
      </c>
      <c r="T38" s="9">
        <f t="shared" si="13"/>
        <v>2.0551953547871333E-2</v>
      </c>
      <c r="U38" s="9">
        <f t="shared" si="14"/>
        <v>5.058257022473981E-3</v>
      </c>
    </row>
    <row r="39" spans="1:21" x14ac:dyDescent="0.25">
      <c r="A39" s="1">
        <v>44183</v>
      </c>
      <c r="B39">
        <v>271.45001200000002</v>
      </c>
      <c r="C39" s="2">
        <v>517.15002400000003</v>
      </c>
      <c r="D39" s="2">
        <f t="shared" si="0"/>
        <v>1.3911009205891512E-2</v>
      </c>
      <c r="E39" s="2">
        <f t="shared" si="1"/>
        <v>1.3138293956916193E-2</v>
      </c>
      <c r="F39" s="2">
        <f t="shared" si="2"/>
        <v>6.0038962945843516E-3</v>
      </c>
      <c r="G39" s="2">
        <f t="shared" si="3"/>
        <v>4.5490666451837797E-3</v>
      </c>
      <c r="H39" s="2">
        <f t="shared" si="4"/>
        <v>7.9071129113071608E-3</v>
      </c>
      <c r="I39" s="2">
        <f t="shared" si="5"/>
        <v>8.5892273117324121E-3</v>
      </c>
      <c r="J39" s="2">
        <f t="shared" si="6"/>
        <v>6.2522434592160404E-5</v>
      </c>
      <c r="K39" s="2">
        <f t="shared" si="7"/>
        <v>7.3774825812610001E-5</v>
      </c>
      <c r="L39" s="2">
        <f t="shared" si="8"/>
        <v>2.3892756381468316E-2</v>
      </c>
      <c r="M39" s="2">
        <f t="shared" si="9"/>
        <v>2.1317198767456684E-2</v>
      </c>
      <c r="N39" s="2">
        <f t="shared" si="10"/>
        <v>6.7915990174751453E-5</v>
      </c>
      <c r="O39" s="2">
        <f t="shared" si="11"/>
        <v>3.5265555214074985E-4</v>
      </c>
      <c r="P39" s="8">
        <f t="shared" si="15"/>
        <v>37</v>
      </c>
      <c r="Q39" s="2">
        <f t="shared" si="16"/>
        <v>0.36000000000000015</v>
      </c>
      <c r="R39" s="2">
        <f t="shared" si="17"/>
        <v>0.6399999999999999</v>
      </c>
      <c r="S39" s="2">
        <f t="shared" si="12"/>
        <v>5.0728053189679854E-3</v>
      </c>
      <c r="T39" s="9">
        <f t="shared" si="13"/>
        <v>2.0557705943103185E-2</v>
      </c>
      <c r="U39" s="9">
        <f t="shared" si="14"/>
        <v>5.0728053189679854E-3</v>
      </c>
    </row>
    <row r="40" spans="1:21" x14ac:dyDescent="0.25">
      <c r="A40" s="1">
        <v>44186</v>
      </c>
      <c r="B40">
        <v>254.699997</v>
      </c>
      <c r="C40" s="2">
        <v>494.5</v>
      </c>
      <c r="D40" s="2">
        <f t="shared" si="0"/>
        <v>-6.3691634351647236E-2</v>
      </c>
      <c r="E40" s="2">
        <f t="shared" si="1"/>
        <v>-4.4785863169243635E-2</v>
      </c>
      <c r="F40" s="2">
        <f t="shared" si="2"/>
        <v>6.0038962945843516E-3</v>
      </c>
      <c r="G40" s="2">
        <f t="shared" si="3"/>
        <v>4.5490666451837797E-3</v>
      </c>
      <c r="H40" s="2">
        <f t="shared" si="4"/>
        <v>-6.9695530646231588E-2</v>
      </c>
      <c r="I40" s="2">
        <f t="shared" si="5"/>
        <v>-4.9334929814427414E-2</v>
      </c>
      <c r="J40" s="2">
        <f t="shared" si="6"/>
        <v>4.8574669920598062E-3</v>
      </c>
      <c r="K40" s="2">
        <f t="shared" si="7"/>
        <v>2.4339352997944791E-3</v>
      </c>
      <c r="L40" s="2">
        <f t="shared" si="8"/>
        <v>2.3892756381468316E-2</v>
      </c>
      <c r="M40" s="2">
        <f t="shared" si="9"/>
        <v>2.1317198767456684E-2</v>
      </c>
      <c r="N40" s="2">
        <f t="shared" si="10"/>
        <v>3.4384241128111101E-3</v>
      </c>
      <c r="O40" s="2">
        <f t="shared" si="11"/>
        <v>3.5265555214074985E-4</v>
      </c>
      <c r="P40" s="8">
        <f t="shared" si="15"/>
        <v>38</v>
      </c>
      <c r="Q40" s="2">
        <f t="shared" si="16"/>
        <v>0.37000000000000016</v>
      </c>
      <c r="R40" s="2">
        <f t="shared" si="17"/>
        <v>0.62999999999999989</v>
      </c>
      <c r="S40" s="2">
        <f t="shared" si="12"/>
        <v>5.0873536154619915E-3</v>
      </c>
      <c r="T40" s="9">
        <f t="shared" si="13"/>
        <v>2.0565012710563584E-2</v>
      </c>
      <c r="U40" s="9">
        <f t="shared" si="14"/>
        <v>5.0873536154619915E-3</v>
      </c>
    </row>
    <row r="41" spans="1:21" x14ac:dyDescent="0.25">
      <c r="A41" s="1">
        <v>44187</v>
      </c>
      <c r="B41">
        <v>257.45001200000002</v>
      </c>
      <c r="C41" s="2">
        <v>500.29998799999998</v>
      </c>
      <c r="D41" s="2">
        <f t="shared" si="0"/>
        <v>1.0739202896293628E-2</v>
      </c>
      <c r="E41" s="2">
        <f t="shared" si="1"/>
        <v>1.1660743445783533E-2</v>
      </c>
      <c r="F41" s="2">
        <f t="shared" si="2"/>
        <v>6.0038962945843516E-3</v>
      </c>
      <c r="G41" s="2">
        <f t="shared" si="3"/>
        <v>4.5490666451837797E-3</v>
      </c>
      <c r="H41" s="2">
        <f t="shared" si="4"/>
        <v>4.735306601709276E-3</v>
      </c>
      <c r="I41" s="2">
        <f t="shared" si="5"/>
        <v>7.1116768005997531E-3</v>
      </c>
      <c r="J41" s="2">
        <f t="shared" si="6"/>
        <v>2.2423128612191452E-5</v>
      </c>
      <c r="K41" s="2">
        <f t="shared" si="7"/>
        <v>5.0575946916188739E-5</v>
      </c>
      <c r="L41" s="2">
        <f t="shared" si="8"/>
        <v>2.3892756381468316E-2</v>
      </c>
      <c r="M41" s="2">
        <f t="shared" si="9"/>
        <v>2.1317198767456684E-2</v>
      </c>
      <c r="N41" s="2">
        <f t="shared" si="10"/>
        <v>3.3675970103102713E-5</v>
      </c>
      <c r="O41" s="2">
        <f t="shared" si="11"/>
        <v>3.5265555214074985E-4</v>
      </c>
      <c r="P41" s="8">
        <f t="shared" si="15"/>
        <v>39</v>
      </c>
      <c r="Q41" s="2">
        <f t="shared" si="16"/>
        <v>0.38000000000000017</v>
      </c>
      <c r="R41" s="2">
        <f t="shared" si="17"/>
        <v>0.61999999999999988</v>
      </c>
      <c r="S41" s="2">
        <f t="shared" si="12"/>
        <v>5.1019019119559975E-3</v>
      </c>
      <c r="T41" s="9">
        <f t="shared" si="13"/>
        <v>2.0573872194156507E-2</v>
      </c>
      <c r="U41" s="9">
        <f t="shared" si="14"/>
        <v>5.1019019119559975E-3</v>
      </c>
    </row>
    <row r="42" spans="1:21" x14ac:dyDescent="0.25">
      <c r="A42" s="1">
        <v>44188</v>
      </c>
      <c r="B42">
        <v>263</v>
      </c>
      <c r="C42" s="2">
        <v>503.60000600000001</v>
      </c>
      <c r="D42" s="2">
        <f t="shared" si="0"/>
        <v>2.1328459074622878E-2</v>
      </c>
      <c r="E42" s="2">
        <f t="shared" si="1"/>
        <v>6.5744195758592064E-3</v>
      </c>
      <c r="F42" s="2">
        <f t="shared" si="2"/>
        <v>6.0038962945843516E-3</v>
      </c>
      <c r="G42" s="2">
        <f t="shared" si="3"/>
        <v>4.5490666451837797E-3</v>
      </c>
      <c r="H42" s="2">
        <f t="shared" si="4"/>
        <v>1.5324562780038527E-2</v>
      </c>
      <c r="I42" s="2">
        <f t="shared" si="5"/>
        <v>2.0253529306754267E-3</v>
      </c>
      <c r="J42" s="2">
        <f t="shared" si="6"/>
        <v>2.3484222439934215E-4</v>
      </c>
      <c r="K42" s="2">
        <f t="shared" si="7"/>
        <v>4.1020544937955402E-6</v>
      </c>
      <c r="L42" s="2">
        <f t="shared" si="8"/>
        <v>2.3892756381468316E-2</v>
      </c>
      <c r="M42" s="2">
        <f t="shared" si="9"/>
        <v>2.1317198767456684E-2</v>
      </c>
      <c r="N42" s="2">
        <f t="shared" si="10"/>
        <v>3.1037648137870598E-5</v>
      </c>
      <c r="O42" s="2">
        <f t="shared" si="11"/>
        <v>3.5265555214074985E-4</v>
      </c>
      <c r="P42" s="8">
        <f t="shared" si="15"/>
        <v>40</v>
      </c>
      <c r="Q42" s="2">
        <f t="shared" si="16"/>
        <v>0.39000000000000018</v>
      </c>
      <c r="R42" s="2">
        <f t="shared" si="17"/>
        <v>0.60999999999999988</v>
      </c>
      <c r="S42" s="2">
        <f t="shared" si="12"/>
        <v>5.1164502084500036E-3</v>
      </c>
      <c r="T42" s="9">
        <f t="shared" si="13"/>
        <v>2.0584282389013067E-2</v>
      </c>
      <c r="U42" s="9">
        <f t="shared" si="14"/>
        <v>5.1164502084500036E-3</v>
      </c>
    </row>
    <row r="43" spans="1:21" x14ac:dyDescent="0.25">
      <c r="A43" s="1">
        <v>44189</v>
      </c>
      <c r="B43">
        <v>266.85000600000001</v>
      </c>
      <c r="C43" s="2">
        <v>513.54998799999998</v>
      </c>
      <c r="D43" s="2">
        <f t="shared" si="0"/>
        <v>1.4532693086730927E-2</v>
      </c>
      <c r="E43" s="2">
        <f t="shared" si="1"/>
        <v>1.9565058160642527E-2</v>
      </c>
      <c r="F43" s="2">
        <f t="shared" si="2"/>
        <v>6.0038962945843516E-3</v>
      </c>
      <c r="G43" s="2">
        <f t="shared" si="3"/>
        <v>4.5490666451837797E-3</v>
      </c>
      <c r="H43" s="2">
        <f t="shared" si="4"/>
        <v>8.5287967921465757E-3</v>
      </c>
      <c r="I43" s="2">
        <f t="shared" si="5"/>
        <v>1.5015991515458748E-2</v>
      </c>
      <c r="J43" s="2">
        <f t="shared" si="6"/>
        <v>7.2740374721729718E-5</v>
      </c>
      <c r="K43" s="2">
        <f t="shared" si="7"/>
        <v>2.254800011923291E-4</v>
      </c>
      <c r="L43" s="2">
        <f t="shared" si="8"/>
        <v>2.3892756381468316E-2</v>
      </c>
      <c r="M43" s="2">
        <f t="shared" si="9"/>
        <v>2.1317198767456684E-2</v>
      </c>
      <c r="N43" s="2">
        <f t="shared" si="10"/>
        <v>1.2806834026794477E-4</v>
      </c>
      <c r="O43" s="2">
        <f t="shared" si="11"/>
        <v>3.5265555214074985E-4</v>
      </c>
      <c r="P43" s="8">
        <f t="shared" si="15"/>
        <v>41</v>
      </c>
      <c r="Q43" s="2">
        <f t="shared" si="16"/>
        <v>0.40000000000000019</v>
      </c>
      <c r="R43" s="2">
        <f t="shared" si="17"/>
        <v>0.59999999999999987</v>
      </c>
      <c r="S43" s="2">
        <f t="shared" si="12"/>
        <v>5.1309985049440097E-3</v>
      </c>
      <c r="T43" s="9">
        <f t="shared" si="13"/>
        <v>2.0596240943751936E-2</v>
      </c>
      <c r="U43" s="9">
        <f t="shared" si="14"/>
        <v>5.1309985049440097E-3</v>
      </c>
    </row>
    <row r="44" spans="1:21" x14ac:dyDescent="0.25">
      <c r="A44" s="1">
        <v>44193</v>
      </c>
      <c r="B44">
        <v>275.20001200000002</v>
      </c>
      <c r="C44" s="2">
        <v>520.09997599999997</v>
      </c>
      <c r="D44" s="2">
        <f t="shared" si="0"/>
        <v>3.0811424399343278E-2</v>
      </c>
      <c r="E44" s="2">
        <f t="shared" si="1"/>
        <v>1.26736823890013E-2</v>
      </c>
      <c r="F44" s="2">
        <f t="shared" si="2"/>
        <v>6.0038962945843516E-3</v>
      </c>
      <c r="G44" s="2">
        <f t="shared" si="3"/>
        <v>4.5490666451837797E-3</v>
      </c>
      <c r="H44" s="2">
        <f t="shared" si="4"/>
        <v>2.4807528104758926E-2</v>
      </c>
      <c r="I44" s="2">
        <f t="shared" si="5"/>
        <v>8.1246157438175197E-3</v>
      </c>
      <c r="J44" s="2">
        <f t="shared" si="6"/>
        <v>6.1541345066840395E-4</v>
      </c>
      <c r="K44" s="2">
        <f t="shared" si="7"/>
        <v>6.6009380984687508E-5</v>
      </c>
      <c r="L44" s="2">
        <f t="shared" si="8"/>
        <v>2.3892756381468316E-2</v>
      </c>
      <c r="M44" s="2">
        <f t="shared" si="9"/>
        <v>2.1317198767456684E-2</v>
      </c>
      <c r="N44" s="2">
        <f t="shared" si="10"/>
        <v>2.0155163340511998E-4</v>
      </c>
      <c r="O44" s="2">
        <f t="shared" si="11"/>
        <v>3.5265555214074985E-4</v>
      </c>
      <c r="P44" s="8">
        <f t="shared" si="15"/>
        <v>42</v>
      </c>
      <c r="Q44" s="2">
        <f t="shared" si="16"/>
        <v>0.4100000000000002</v>
      </c>
      <c r="R44" s="2">
        <f t="shared" si="17"/>
        <v>0.58999999999999986</v>
      </c>
      <c r="S44" s="2">
        <f t="shared" si="12"/>
        <v>5.145546801438014E-3</v>
      </c>
      <c r="T44" s="9">
        <f t="shared" si="13"/>
        <v>2.0609745163122143E-2</v>
      </c>
      <c r="U44" s="9">
        <f t="shared" si="14"/>
        <v>5.145546801438014E-3</v>
      </c>
    </row>
    <row r="45" spans="1:21" x14ac:dyDescent="0.25">
      <c r="A45" s="1">
        <v>44194</v>
      </c>
      <c r="B45">
        <v>277.89999399999999</v>
      </c>
      <c r="C45" s="2">
        <v>528.79998799999998</v>
      </c>
      <c r="D45" s="2">
        <f t="shared" si="0"/>
        <v>9.7631654941187553E-3</v>
      </c>
      <c r="E45" s="2">
        <f t="shared" si="1"/>
        <v>1.6589211210533104E-2</v>
      </c>
      <c r="F45" s="2">
        <f t="shared" si="2"/>
        <v>6.0038962945843516E-3</v>
      </c>
      <c r="G45" s="2">
        <f t="shared" si="3"/>
        <v>4.5490666451837797E-3</v>
      </c>
      <c r="H45" s="2">
        <f t="shared" si="4"/>
        <v>3.7592691995344037E-3</v>
      </c>
      <c r="I45" s="2">
        <f t="shared" si="5"/>
        <v>1.2040144565349326E-2</v>
      </c>
      <c r="J45" s="2">
        <f t="shared" si="6"/>
        <v>1.4132104914568037E-5</v>
      </c>
      <c r="K45" s="2">
        <f t="shared" si="7"/>
        <v>1.4496508115451089E-4</v>
      </c>
      <c r="L45" s="2">
        <f t="shared" si="8"/>
        <v>2.3892756381468316E-2</v>
      </c>
      <c r="M45" s="2">
        <f t="shared" si="9"/>
        <v>2.1317198767456684E-2</v>
      </c>
      <c r="N45" s="2">
        <f t="shared" si="10"/>
        <v>4.526214462245926E-5</v>
      </c>
      <c r="O45" s="2">
        <f t="shared" si="11"/>
        <v>3.5265555214074985E-4</v>
      </c>
      <c r="P45" s="8">
        <f t="shared" si="15"/>
        <v>43</v>
      </c>
      <c r="Q45" s="2">
        <f t="shared" si="16"/>
        <v>0.42000000000000021</v>
      </c>
      <c r="R45" s="2">
        <f t="shared" si="17"/>
        <v>0.57999999999999985</v>
      </c>
      <c r="S45" s="2">
        <f t="shared" si="12"/>
        <v>5.1600950979320201E-3</v>
      </c>
      <c r="T45" s="9">
        <f t="shared" si="13"/>
        <v>2.0624792011021399E-2</v>
      </c>
      <c r="U45" s="9">
        <f t="shared" si="14"/>
        <v>5.1600950979320201E-3</v>
      </c>
    </row>
    <row r="46" spans="1:21" x14ac:dyDescent="0.25">
      <c r="A46" s="1">
        <v>44195</v>
      </c>
      <c r="B46">
        <v>276.89999399999999</v>
      </c>
      <c r="C46" s="2">
        <v>528.75</v>
      </c>
      <c r="D46" s="2">
        <f t="shared" si="0"/>
        <v>-3.6049066495141102E-3</v>
      </c>
      <c r="E46" s="2">
        <f t="shared" si="1"/>
        <v>-9.4535484098916175E-5</v>
      </c>
      <c r="F46" s="2">
        <f t="shared" si="2"/>
        <v>6.0038962945843516E-3</v>
      </c>
      <c r="G46" s="2">
        <f t="shared" si="3"/>
        <v>4.5490666451837797E-3</v>
      </c>
      <c r="H46" s="2">
        <f t="shared" si="4"/>
        <v>-9.6088029440984622E-3</v>
      </c>
      <c r="I46" s="2">
        <f t="shared" si="5"/>
        <v>-4.6436021292826958E-3</v>
      </c>
      <c r="J46" s="2">
        <f t="shared" si="6"/>
        <v>9.232909401851528E-5</v>
      </c>
      <c r="K46" s="2">
        <f t="shared" si="7"/>
        <v>2.1563040735078786E-5</v>
      </c>
      <c r="L46" s="2">
        <f t="shared" si="8"/>
        <v>2.3892756381468316E-2</v>
      </c>
      <c r="M46" s="2">
        <f t="shared" si="9"/>
        <v>2.1317198767456684E-2</v>
      </c>
      <c r="N46" s="2">
        <f t="shared" si="10"/>
        <v>4.4619457811073455E-5</v>
      </c>
      <c r="O46" s="2">
        <f t="shared" si="11"/>
        <v>3.5265555214074985E-4</v>
      </c>
      <c r="P46" s="8">
        <f t="shared" si="15"/>
        <v>44</v>
      </c>
      <c r="Q46" s="2">
        <f t="shared" si="16"/>
        <v>0.43000000000000022</v>
      </c>
      <c r="R46" s="2">
        <f t="shared" si="17"/>
        <v>0.56999999999999984</v>
      </c>
      <c r="S46" s="2">
        <f t="shared" si="12"/>
        <v>5.1746433944260262E-3</v>
      </c>
      <c r="T46" s="9">
        <f t="shared" si="13"/>
        <v>2.064137811388209E-2</v>
      </c>
      <c r="U46" s="9">
        <f t="shared" si="14"/>
        <v>5.1746433944260262E-3</v>
      </c>
    </row>
    <row r="47" spans="1:21" x14ac:dyDescent="0.25">
      <c r="A47" s="1">
        <v>44196</v>
      </c>
      <c r="B47">
        <v>274.95001200000002</v>
      </c>
      <c r="C47" s="2">
        <v>535.04998799999998</v>
      </c>
      <c r="D47" s="2">
        <f t="shared" si="0"/>
        <v>-7.067101910321805E-3</v>
      </c>
      <c r="E47" s="2">
        <f t="shared" si="1"/>
        <v>1.1844447684711785E-2</v>
      </c>
      <c r="F47" s="2">
        <f t="shared" si="2"/>
        <v>6.0038962945843516E-3</v>
      </c>
      <c r="G47" s="2">
        <f t="shared" si="3"/>
        <v>4.5490666451837797E-3</v>
      </c>
      <c r="H47" s="2">
        <f t="shared" si="4"/>
        <v>-1.3070998204906157E-2</v>
      </c>
      <c r="I47" s="2">
        <f t="shared" si="5"/>
        <v>7.2953810395280051E-3</v>
      </c>
      <c r="J47" s="2">
        <f t="shared" si="6"/>
        <v>1.7085099407265997E-4</v>
      </c>
      <c r="K47" s="2">
        <f t="shared" si="7"/>
        <v>5.3222584511904718E-5</v>
      </c>
      <c r="L47" s="2">
        <f t="shared" si="8"/>
        <v>2.3892756381468316E-2</v>
      </c>
      <c r="M47" s="2">
        <f t="shared" si="9"/>
        <v>2.1317198767456684E-2</v>
      </c>
      <c r="N47" s="2">
        <f t="shared" si="10"/>
        <v>-9.5357912471776972E-5</v>
      </c>
      <c r="O47" s="2">
        <f t="shared" si="11"/>
        <v>3.5265555214074985E-4</v>
      </c>
      <c r="P47" s="8">
        <f t="shared" si="15"/>
        <v>45</v>
      </c>
      <c r="Q47" s="2">
        <f t="shared" si="16"/>
        <v>0.44000000000000022</v>
      </c>
      <c r="R47" s="2">
        <f t="shared" si="17"/>
        <v>0.55999999999999983</v>
      </c>
      <c r="S47" s="2">
        <f t="shared" si="12"/>
        <v>5.1891916909200322E-3</v>
      </c>
      <c r="T47" s="9">
        <f t="shared" si="13"/>
        <v>2.0659499764416171E-2</v>
      </c>
      <c r="U47" s="9">
        <f t="shared" si="14"/>
        <v>5.1891916909200322E-3</v>
      </c>
    </row>
    <row r="48" spans="1:21" x14ac:dyDescent="0.25">
      <c r="A48" s="1">
        <v>44197</v>
      </c>
      <c r="B48">
        <v>279.39999399999999</v>
      </c>
      <c r="C48" s="2">
        <v>527.5</v>
      </c>
      <c r="D48" s="2">
        <f t="shared" si="0"/>
        <v>1.6055118750150966E-2</v>
      </c>
      <c r="E48" s="2">
        <f t="shared" si="1"/>
        <v>-1.4211312694977909E-2</v>
      </c>
      <c r="F48" s="2">
        <f t="shared" si="2"/>
        <v>6.0038962945843516E-3</v>
      </c>
      <c r="G48" s="2">
        <f t="shared" si="3"/>
        <v>4.5490666451837797E-3</v>
      </c>
      <c r="H48" s="2">
        <f t="shared" si="4"/>
        <v>1.0051222455566614E-2</v>
      </c>
      <c r="I48" s="2">
        <f t="shared" si="5"/>
        <v>-1.8760379340161688E-2</v>
      </c>
      <c r="J48" s="2">
        <f t="shared" si="6"/>
        <v>1.0102707285128656E-4</v>
      </c>
      <c r="K48" s="2">
        <f t="shared" si="7"/>
        <v>3.5195183298676548E-4</v>
      </c>
      <c r="L48" s="2">
        <f t="shared" si="8"/>
        <v>2.3892756381468316E-2</v>
      </c>
      <c r="M48" s="2">
        <f t="shared" si="9"/>
        <v>2.1317198767456684E-2</v>
      </c>
      <c r="N48" s="2">
        <f t="shared" si="10"/>
        <v>-1.8856474609878112E-4</v>
      </c>
      <c r="O48" s="2">
        <f t="shared" si="11"/>
        <v>3.5265555214074985E-4</v>
      </c>
      <c r="P48" s="8">
        <f t="shared" si="15"/>
        <v>46</v>
      </c>
      <c r="Q48" s="2">
        <f t="shared" si="16"/>
        <v>0.45000000000000023</v>
      </c>
      <c r="R48" s="2">
        <f t="shared" si="17"/>
        <v>0.54999999999999982</v>
      </c>
      <c r="S48" s="2">
        <f t="shared" si="12"/>
        <v>5.2037399874140383E-3</v>
      </c>
      <c r="T48" s="9">
        <f t="shared" si="13"/>
        <v>2.0679152925709408E-2</v>
      </c>
      <c r="U48" s="9">
        <f t="shared" si="14"/>
        <v>5.2037399874140383E-3</v>
      </c>
    </row>
    <row r="49" spans="1:21" x14ac:dyDescent="0.25">
      <c r="A49" s="1">
        <v>44200</v>
      </c>
      <c r="B49">
        <v>281.04998799999998</v>
      </c>
      <c r="C49" s="2">
        <v>531.70001200000002</v>
      </c>
      <c r="D49" s="2">
        <f t="shared" si="0"/>
        <v>5.8881214027812429E-3</v>
      </c>
      <c r="E49" s="2">
        <f t="shared" si="1"/>
        <v>7.9305777291890089E-3</v>
      </c>
      <c r="F49" s="2">
        <f t="shared" si="2"/>
        <v>6.0038962945843516E-3</v>
      </c>
      <c r="G49" s="2">
        <f t="shared" si="3"/>
        <v>4.5490666451837797E-3</v>
      </c>
      <c r="H49" s="2">
        <f t="shared" si="4"/>
        <v>-1.157748918031087E-4</v>
      </c>
      <c r="I49" s="2">
        <f t="shared" si="5"/>
        <v>3.3815110840052292E-3</v>
      </c>
      <c r="J49" s="2">
        <f t="shared" si="6"/>
        <v>1.3403825572021527E-8</v>
      </c>
      <c r="K49" s="2">
        <f t="shared" si="7"/>
        <v>1.1434617211250221E-5</v>
      </c>
      <c r="L49" s="2">
        <f t="shared" si="8"/>
        <v>2.3892756381468316E-2</v>
      </c>
      <c r="M49" s="2">
        <f t="shared" si="9"/>
        <v>2.1317198767456684E-2</v>
      </c>
      <c r="N49" s="2">
        <f t="shared" si="10"/>
        <v>-3.9149407988171825E-7</v>
      </c>
      <c r="O49" s="2">
        <f t="shared" si="11"/>
        <v>3.5265555214074985E-4</v>
      </c>
      <c r="P49" s="8">
        <f t="shared" si="15"/>
        <v>47</v>
      </c>
      <c r="Q49" s="2">
        <f t="shared" si="16"/>
        <v>0.46000000000000024</v>
      </c>
      <c r="R49" s="2">
        <f t="shared" si="17"/>
        <v>0.53999999999999981</v>
      </c>
      <c r="S49" s="2">
        <f t="shared" si="12"/>
        <v>5.2182882839080427E-3</v>
      </c>
      <c r="T49" s="9">
        <f t="shared" si="13"/>
        <v>2.0700333235654511E-2</v>
      </c>
      <c r="U49" s="9">
        <f t="shared" si="14"/>
        <v>5.2182882839080427E-3</v>
      </c>
    </row>
    <row r="50" spans="1:21" x14ac:dyDescent="0.25">
      <c r="A50" s="1">
        <v>44201</v>
      </c>
      <c r="B50">
        <v>281.75</v>
      </c>
      <c r="C50" s="2">
        <v>537.25</v>
      </c>
      <c r="D50" s="2">
        <f t="shared" si="0"/>
        <v>2.4876061688316304E-3</v>
      </c>
      <c r="E50" s="2">
        <f t="shared" si="1"/>
        <v>1.0384092443209257E-2</v>
      </c>
      <c r="F50" s="2">
        <f t="shared" si="2"/>
        <v>6.0038962945843516E-3</v>
      </c>
      <c r="G50" s="2">
        <f t="shared" si="3"/>
        <v>4.5490666451837797E-3</v>
      </c>
      <c r="H50" s="2">
        <f t="shared" si="4"/>
        <v>-3.5162901257527212E-3</v>
      </c>
      <c r="I50" s="2">
        <f t="shared" si="5"/>
        <v>5.8350257980254771E-3</v>
      </c>
      <c r="J50" s="2">
        <f t="shared" si="6"/>
        <v>1.2364296248466089E-5</v>
      </c>
      <c r="K50" s="2">
        <f t="shared" si="7"/>
        <v>3.4047526063622854E-5</v>
      </c>
      <c r="L50" s="2">
        <f t="shared" si="8"/>
        <v>2.3892756381468316E-2</v>
      </c>
      <c r="M50" s="2">
        <f t="shared" si="9"/>
        <v>2.1317198767456684E-2</v>
      </c>
      <c r="N50" s="2">
        <f t="shared" si="10"/>
        <v>-2.0517643597109377E-5</v>
      </c>
      <c r="O50" s="2">
        <f t="shared" si="11"/>
        <v>3.5265555214074985E-4</v>
      </c>
      <c r="P50" s="8">
        <f t="shared" si="15"/>
        <v>48</v>
      </c>
      <c r="Q50" s="2">
        <f t="shared" si="16"/>
        <v>0.47000000000000025</v>
      </c>
      <c r="R50" s="2">
        <f t="shared" si="17"/>
        <v>0.5299999999999998</v>
      </c>
      <c r="S50" s="2">
        <f t="shared" si="12"/>
        <v>5.2328365804020487E-3</v>
      </c>
      <c r="T50" s="9">
        <f t="shared" si="13"/>
        <v>2.0723036011711996E-2</v>
      </c>
      <c r="U50" s="9">
        <f t="shared" si="14"/>
        <v>5.2328365804020487E-3</v>
      </c>
    </row>
    <row r="51" spans="1:21" x14ac:dyDescent="0.25">
      <c r="A51" s="1">
        <v>44202</v>
      </c>
      <c r="B51">
        <v>285.04998799999998</v>
      </c>
      <c r="C51" s="2">
        <v>546.70001200000002</v>
      </c>
      <c r="D51" s="2">
        <f t="shared" si="0"/>
        <v>1.164440845982658E-2</v>
      </c>
      <c r="E51" s="2">
        <f t="shared" si="1"/>
        <v>1.7436692328214671E-2</v>
      </c>
      <c r="F51" s="2">
        <f t="shared" si="2"/>
        <v>6.0038962945843516E-3</v>
      </c>
      <c r="G51" s="2">
        <f t="shared" si="3"/>
        <v>4.5490666451837797E-3</v>
      </c>
      <c r="H51" s="2">
        <f t="shared" si="4"/>
        <v>5.6405121652422282E-3</v>
      </c>
      <c r="I51" s="2">
        <f t="shared" si="5"/>
        <v>1.2887625683030892E-2</v>
      </c>
      <c r="J51" s="2">
        <f t="shared" si="6"/>
        <v>3.1815377486245569E-5</v>
      </c>
      <c r="K51" s="2">
        <f t="shared" si="7"/>
        <v>1.6609089574591747E-4</v>
      </c>
      <c r="L51" s="2">
        <f t="shared" si="8"/>
        <v>2.3892756381468316E-2</v>
      </c>
      <c r="M51" s="2">
        <f t="shared" si="9"/>
        <v>2.1317198767456684E-2</v>
      </c>
      <c r="N51" s="2">
        <f t="shared" si="10"/>
        <v>7.269280944622393E-5</v>
      </c>
      <c r="O51" s="2">
        <f t="shared" si="11"/>
        <v>3.5265555214074985E-4</v>
      </c>
      <c r="P51" s="8">
        <f t="shared" si="15"/>
        <v>49</v>
      </c>
      <c r="Q51" s="2">
        <f t="shared" si="16"/>
        <v>0.48000000000000026</v>
      </c>
      <c r="R51" s="2">
        <f t="shared" si="17"/>
        <v>0.5199999999999998</v>
      </c>
      <c r="S51" s="2">
        <f t="shared" si="12"/>
        <v>5.2473848768960548E-3</v>
      </c>
      <c r="T51" s="9">
        <f t="shared" si="13"/>
        <v>2.0747256255986835E-2</v>
      </c>
      <c r="U51" s="9">
        <f t="shared" si="14"/>
        <v>5.2473848768960548E-3</v>
      </c>
    </row>
    <row r="52" spans="1:21" x14ac:dyDescent="0.25">
      <c r="A52" s="1">
        <v>44203</v>
      </c>
      <c r="B52">
        <v>287.70001200000002</v>
      </c>
      <c r="C52" s="2">
        <v>541.09997599999997</v>
      </c>
      <c r="D52" s="2">
        <f t="shared" si="0"/>
        <v>9.2537508879037087E-3</v>
      </c>
      <c r="E52" s="2">
        <f t="shared" si="1"/>
        <v>-1.0296167556239487E-2</v>
      </c>
      <c r="F52" s="2">
        <f t="shared" si="2"/>
        <v>6.0038962945843516E-3</v>
      </c>
      <c r="G52" s="2">
        <f t="shared" si="3"/>
        <v>4.5490666451837797E-3</v>
      </c>
      <c r="H52" s="2">
        <f t="shared" si="4"/>
        <v>3.2498545933193571E-3</v>
      </c>
      <c r="I52" s="2">
        <f t="shared" si="5"/>
        <v>-1.4845234201423266E-2</v>
      </c>
      <c r="J52" s="2">
        <f t="shared" si="6"/>
        <v>1.0561554877718925E-5</v>
      </c>
      <c r="K52" s="2">
        <f t="shared" si="7"/>
        <v>2.2038097849510707E-4</v>
      </c>
      <c r="L52" s="2">
        <f t="shared" si="8"/>
        <v>2.3892756381468316E-2</v>
      </c>
      <c r="M52" s="2">
        <f t="shared" si="9"/>
        <v>2.1317198767456684E-2</v>
      </c>
      <c r="N52" s="2">
        <f t="shared" si="10"/>
        <v>-4.8244852558397016E-5</v>
      </c>
      <c r="O52" s="2">
        <f t="shared" si="11"/>
        <v>3.5265555214074985E-4</v>
      </c>
      <c r="P52" s="8">
        <f t="shared" si="15"/>
        <v>50</v>
      </c>
      <c r="Q52" s="2">
        <f t="shared" si="16"/>
        <v>0.49000000000000027</v>
      </c>
      <c r="R52" s="2">
        <f t="shared" si="17"/>
        <v>0.50999999999999979</v>
      </c>
      <c r="S52" s="2">
        <f t="shared" si="12"/>
        <v>5.2619331733900609E-3</v>
      </c>
      <c r="T52" s="9">
        <f t="shared" si="13"/>
        <v>2.0772988660608276E-2</v>
      </c>
      <c r="U52" s="9">
        <f t="shared" si="14"/>
        <v>5.2619331733900609E-3</v>
      </c>
    </row>
    <row r="53" spans="1:21" x14ac:dyDescent="0.25">
      <c r="A53" s="1">
        <v>44204</v>
      </c>
      <c r="B53">
        <v>286</v>
      </c>
      <c r="C53" s="2">
        <v>542.04998799999998</v>
      </c>
      <c r="D53" s="2">
        <f t="shared" si="0"/>
        <v>-5.9265014477634954E-3</v>
      </c>
      <c r="E53" s="2">
        <f t="shared" si="1"/>
        <v>1.7541656745263749E-3</v>
      </c>
      <c r="F53" s="2">
        <f t="shared" si="2"/>
        <v>6.0038962945843516E-3</v>
      </c>
      <c r="G53" s="2">
        <f t="shared" si="3"/>
        <v>4.5490666451837797E-3</v>
      </c>
      <c r="H53" s="2">
        <f t="shared" si="4"/>
        <v>-1.1930397742347847E-2</v>
      </c>
      <c r="I53" s="2">
        <f t="shared" si="5"/>
        <v>-2.7949009706574046E-3</v>
      </c>
      <c r="J53" s="2">
        <f t="shared" si="6"/>
        <v>1.423343902906186E-4</v>
      </c>
      <c r="K53" s="2">
        <f t="shared" si="7"/>
        <v>7.8114714357817025E-6</v>
      </c>
      <c r="L53" s="2">
        <f t="shared" si="8"/>
        <v>2.3892756381468316E-2</v>
      </c>
      <c r="M53" s="2">
        <f t="shared" si="9"/>
        <v>2.1317198767456684E-2</v>
      </c>
      <c r="N53" s="2">
        <f t="shared" si="10"/>
        <v>3.3344280230416906E-5</v>
      </c>
      <c r="O53" s="2">
        <f t="shared" si="11"/>
        <v>3.5265555214074985E-4</v>
      </c>
      <c r="P53" s="8">
        <f t="shared" si="15"/>
        <v>51</v>
      </c>
      <c r="Q53" s="2">
        <f t="shared" si="16"/>
        <v>0.50000000000000022</v>
      </c>
      <c r="R53" s="2">
        <f t="shared" si="17"/>
        <v>0.49999999999999978</v>
      </c>
      <c r="S53" s="2">
        <f t="shared" si="12"/>
        <v>5.2764814698840661E-3</v>
      </c>
      <c r="T53" s="9">
        <f t="shared" si="13"/>
        <v>2.0800227613399759E-2</v>
      </c>
      <c r="U53" s="9">
        <f t="shared" si="14"/>
        <v>5.2764814698840661E-3</v>
      </c>
    </row>
    <row r="54" spans="1:21" x14ac:dyDescent="0.25">
      <c r="A54" s="1">
        <v>44207</v>
      </c>
      <c r="B54">
        <v>282.5</v>
      </c>
      <c r="C54" s="2">
        <v>544.70001200000002</v>
      </c>
      <c r="D54" s="2">
        <f t="shared" si="0"/>
        <v>-1.2313260233356901E-2</v>
      </c>
      <c r="E54" s="2">
        <f t="shared" si="1"/>
        <v>4.8769804509827593E-3</v>
      </c>
      <c r="F54" s="2">
        <f t="shared" si="2"/>
        <v>6.0038962945843516E-3</v>
      </c>
      <c r="G54" s="2">
        <f t="shared" si="3"/>
        <v>4.5490666451837797E-3</v>
      </c>
      <c r="H54" s="2">
        <f t="shared" si="4"/>
        <v>-1.8317156527941254E-2</v>
      </c>
      <c r="I54" s="2">
        <f t="shared" si="5"/>
        <v>3.2791380579897961E-4</v>
      </c>
      <c r="J54" s="2">
        <f t="shared" si="6"/>
        <v>3.3551822326910089E-4</v>
      </c>
      <c r="K54" s="2">
        <f t="shared" si="7"/>
        <v>1.0752746403357092E-7</v>
      </c>
      <c r="L54" s="2">
        <f t="shared" si="8"/>
        <v>2.3892756381468316E-2</v>
      </c>
      <c r="M54" s="2">
        <f t="shared" si="9"/>
        <v>2.1317198767456684E-2</v>
      </c>
      <c r="N54" s="2">
        <f t="shared" si="10"/>
        <v>-6.0064485084928402E-6</v>
      </c>
      <c r="O54" s="2">
        <f t="shared" si="11"/>
        <v>3.5265555214074985E-4</v>
      </c>
      <c r="P54" s="8">
        <f t="shared" si="15"/>
        <v>52</v>
      </c>
      <c r="Q54" s="2">
        <f t="shared" si="16"/>
        <v>0.51000000000000023</v>
      </c>
      <c r="R54" s="2">
        <f t="shared" si="17"/>
        <v>0.48999999999999977</v>
      </c>
      <c r="S54" s="2">
        <f t="shared" si="12"/>
        <v>5.2910297663780713E-3</v>
      </c>
      <c r="T54" s="9">
        <f t="shared" si="13"/>
        <v>2.082896720382503E-2</v>
      </c>
      <c r="U54" s="9">
        <f t="shared" si="14"/>
        <v>5.2910297663780713E-3</v>
      </c>
    </row>
    <row r="55" spans="1:21" x14ac:dyDescent="0.25">
      <c r="A55" s="1">
        <v>44208</v>
      </c>
      <c r="B55">
        <v>292.5</v>
      </c>
      <c r="C55" s="2">
        <v>548</v>
      </c>
      <c r="D55" s="2">
        <f t="shared" si="0"/>
        <v>3.4786116085415604E-2</v>
      </c>
      <c r="E55" s="2">
        <f t="shared" si="1"/>
        <v>6.0400805279114816E-3</v>
      </c>
      <c r="F55" s="2">
        <f t="shared" si="2"/>
        <v>6.0038962945843516E-3</v>
      </c>
      <c r="G55" s="2">
        <f t="shared" si="3"/>
        <v>4.5490666451837797E-3</v>
      </c>
      <c r="H55" s="2">
        <f t="shared" si="4"/>
        <v>2.8782219790831252E-2</v>
      </c>
      <c r="I55" s="2">
        <f t="shared" si="5"/>
        <v>1.4910138827277019E-3</v>
      </c>
      <c r="J55" s="2">
        <f t="shared" si="6"/>
        <v>8.284161760877182E-4</v>
      </c>
      <c r="K55" s="2">
        <f t="shared" si="7"/>
        <v>2.2231223984867374E-6</v>
      </c>
      <c r="L55" s="2">
        <f t="shared" si="8"/>
        <v>2.3892756381468316E-2</v>
      </c>
      <c r="M55" s="2">
        <f t="shared" si="9"/>
        <v>2.1317198767456684E-2</v>
      </c>
      <c r="N55" s="2">
        <f t="shared" si="10"/>
        <v>4.2914689283849408E-5</v>
      </c>
      <c r="O55" s="2">
        <f t="shared" si="11"/>
        <v>3.5265555214074985E-4</v>
      </c>
      <c r="P55" s="8">
        <f t="shared" si="15"/>
        <v>53</v>
      </c>
      <c r="Q55" s="2">
        <f t="shared" si="16"/>
        <v>0.52000000000000024</v>
      </c>
      <c r="R55" s="2">
        <f t="shared" si="17"/>
        <v>0.47999999999999976</v>
      </c>
      <c r="S55" s="2">
        <f t="shared" si="12"/>
        <v>5.3055780628720774E-3</v>
      </c>
      <c r="T55" s="9">
        <f t="shared" si="13"/>
        <v>2.0859201229196246E-2</v>
      </c>
      <c r="U55" s="9">
        <f t="shared" si="14"/>
        <v>5.3055780628720774E-3</v>
      </c>
    </row>
    <row r="56" spans="1:21" x14ac:dyDescent="0.25">
      <c r="A56" s="1">
        <v>44209</v>
      </c>
      <c r="B56">
        <v>306.79998799999998</v>
      </c>
      <c r="C56" s="2">
        <v>556.5</v>
      </c>
      <c r="D56" s="2">
        <f t="shared" si="0"/>
        <v>4.7731363707760238E-2</v>
      </c>
      <c r="E56" s="2">
        <f t="shared" si="1"/>
        <v>1.5391883767584009E-2</v>
      </c>
      <c r="F56" s="2">
        <f t="shared" si="2"/>
        <v>6.0038962945843516E-3</v>
      </c>
      <c r="G56" s="2">
        <f t="shared" si="3"/>
        <v>4.5490666451837797E-3</v>
      </c>
      <c r="H56" s="2">
        <f t="shared" si="4"/>
        <v>4.1727467413175887E-2</v>
      </c>
      <c r="I56" s="2">
        <f t="shared" si="5"/>
        <v>1.084281712240023E-2</v>
      </c>
      <c r="J56" s="2">
        <f t="shared" si="6"/>
        <v>1.7411815367176554E-3</v>
      </c>
      <c r="K56" s="2">
        <f t="shared" si="7"/>
        <v>1.175666831498156E-4</v>
      </c>
      <c r="L56" s="2">
        <f t="shared" si="8"/>
        <v>2.3892756381468316E-2</v>
      </c>
      <c r="M56" s="2">
        <f t="shared" si="9"/>
        <v>2.1317198767456684E-2</v>
      </c>
      <c r="N56" s="2">
        <f t="shared" si="10"/>
        <v>4.5244329814198112E-4</v>
      </c>
      <c r="O56" s="2">
        <f t="shared" si="11"/>
        <v>3.5265555214074985E-4</v>
      </c>
      <c r="P56" s="8">
        <f t="shared" si="15"/>
        <v>54</v>
      </c>
      <c r="Q56" s="2">
        <f t="shared" si="16"/>
        <v>0.53000000000000025</v>
      </c>
      <c r="R56" s="2">
        <f t="shared" si="17"/>
        <v>0.46999999999999975</v>
      </c>
      <c r="S56" s="2">
        <f t="shared" si="12"/>
        <v>5.3201263593660834E-3</v>
      </c>
      <c r="T56" s="9">
        <f t="shared" si="13"/>
        <v>2.0890923201129449E-2</v>
      </c>
      <c r="U56" s="9">
        <f t="shared" si="14"/>
        <v>5.3201263593660834E-3</v>
      </c>
    </row>
    <row r="57" spans="1:21" x14ac:dyDescent="0.25">
      <c r="A57" s="1">
        <v>44210</v>
      </c>
      <c r="B57">
        <v>307.25</v>
      </c>
      <c r="C57" s="2">
        <v>553.29998799999998</v>
      </c>
      <c r="D57" s="2">
        <f t="shared" si="0"/>
        <v>1.4657180664728858E-3</v>
      </c>
      <c r="E57" s="2">
        <f t="shared" si="1"/>
        <v>-5.7668424995891698E-3</v>
      </c>
      <c r="F57" s="2">
        <f t="shared" si="2"/>
        <v>6.0038962945843516E-3</v>
      </c>
      <c r="G57" s="2">
        <f t="shared" si="3"/>
        <v>4.5490666451837797E-3</v>
      </c>
      <c r="H57" s="2">
        <f t="shared" si="4"/>
        <v>-4.5381782281114658E-3</v>
      </c>
      <c r="I57" s="2">
        <f t="shared" si="5"/>
        <v>-1.0315909144772949E-2</v>
      </c>
      <c r="J57" s="2">
        <f t="shared" si="6"/>
        <v>2.0595061630104925E-5</v>
      </c>
      <c r="K57" s="2">
        <f t="shared" si="7"/>
        <v>1.0641798148321014E-4</v>
      </c>
      <c r="L57" s="2">
        <f t="shared" si="8"/>
        <v>2.3892756381468316E-2</v>
      </c>
      <c r="M57" s="2">
        <f t="shared" si="9"/>
        <v>2.1317198767456684E-2</v>
      </c>
      <c r="N57" s="2">
        <f t="shared" si="10"/>
        <v>4.6815434283984566E-5</v>
      </c>
      <c r="O57" s="2">
        <f t="shared" si="11"/>
        <v>3.5265555214074985E-4</v>
      </c>
      <c r="P57" s="8">
        <f t="shared" si="15"/>
        <v>55</v>
      </c>
      <c r="Q57" s="2">
        <f t="shared" si="16"/>
        <v>0.54000000000000026</v>
      </c>
      <c r="R57" s="2">
        <f t="shared" si="17"/>
        <v>0.45999999999999974</v>
      </c>
      <c r="S57" s="2">
        <f t="shared" si="12"/>
        <v>5.3346746558600895E-3</v>
      </c>
      <c r="T57" s="9">
        <f t="shared" si="13"/>
        <v>2.0924126352232193E-2</v>
      </c>
      <c r="U57" s="9">
        <f t="shared" si="14"/>
        <v>5.3346746558600895E-3</v>
      </c>
    </row>
    <row r="58" spans="1:21" x14ac:dyDescent="0.25">
      <c r="A58" s="1">
        <v>44211</v>
      </c>
      <c r="B58">
        <v>303.85000600000001</v>
      </c>
      <c r="C58" s="2">
        <v>543</v>
      </c>
      <c r="D58" s="2">
        <f t="shared" si="0"/>
        <v>-1.1127570118194695E-2</v>
      </c>
      <c r="E58" s="2">
        <f t="shared" si="1"/>
        <v>-1.8791008282074872E-2</v>
      </c>
      <c r="F58" s="2">
        <f t="shared" si="2"/>
        <v>6.0038962945843516E-3</v>
      </c>
      <c r="G58" s="2">
        <f t="shared" si="3"/>
        <v>4.5490666451837797E-3</v>
      </c>
      <c r="H58" s="2">
        <f t="shared" si="4"/>
        <v>-1.7131466412779045E-2</v>
      </c>
      <c r="I58" s="2">
        <f t="shared" si="5"/>
        <v>-2.3340074927258651E-2</v>
      </c>
      <c r="J58" s="2">
        <f t="shared" si="6"/>
        <v>2.9348714145217651E-4</v>
      </c>
      <c r="K58" s="2">
        <f t="shared" si="7"/>
        <v>5.4475909761004789E-4</v>
      </c>
      <c r="L58" s="2">
        <f t="shared" si="8"/>
        <v>2.3892756381468316E-2</v>
      </c>
      <c r="M58" s="2">
        <f t="shared" si="9"/>
        <v>2.1317198767456684E-2</v>
      </c>
      <c r="N58" s="2">
        <f t="shared" si="10"/>
        <v>3.9984970968807786E-4</v>
      </c>
      <c r="O58" s="2">
        <f t="shared" si="11"/>
        <v>3.5265555214074985E-4</v>
      </c>
      <c r="P58" s="8">
        <f t="shared" si="15"/>
        <v>56</v>
      </c>
      <c r="Q58" s="2">
        <f t="shared" si="16"/>
        <v>0.55000000000000027</v>
      </c>
      <c r="R58" s="2">
        <f t="shared" si="17"/>
        <v>0.44999999999999973</v>
      </c>
      <c r="S58" s="2">
        <f t="shared" si="12"/>
        <v>5.3492229523540947E-3</v>
      </c>
      <c r="T58" s="9">
        <f t="shared" si="13"/>
        <v>2.09588036430081E-2</v>
      </c>
      <c r="U58" s="9">
        <f t="shared" si="14"/>
        <v>5.3492229523540947E-3</v>
      </c>
    </row>
    <row r="59" spans="1:21" x14ac:dyDescent="0.25">
      <c r="A59" s="1">
        <v>44214</v>
      </c>
      <c r="B59">
        <v>294.45001200000002</v>
      </c>
      <c r="C59" s="2">
        <v>533.15002400000003</v>
      </c>
      <c r="D59" s="2">
        <f t="shared" si="0"/>
        <v>-3.1424928183422532E-2</v>
      </c>
      <c r="E59" s="2">
        <f t="shared" si="1"/>
        <v>-1.8306464454273773E-2</v>
      </c>
      <c r="F59" s="2">
        <f t="shared" si="2"/>
        <v>6.0038962945843516E-3</v>
      </c>
      <c r="G59" s="2">
        <f t="shared" si="3"/>
        <v>4.5490666451837797E-3</v>
      </c>
      <c r="H59" s="2">
        <f t="shared" si="4"/>
        <v>-3.7428824478006884E-2</v>
      </c>
      <c r="I59" s="2">
        <f t="shared" si="5"/>
        <v>-2.2855531099457552E-2</v>
      </c>
      <c r="J59" s="2">
        <f t="shared" si="6"/>
        <v>1.4009169018054473E-3</v>
      </c>
      <c r="K59" s="2">
        <f t="shared" si="7"/>
        <v>5.2237530183827134E-4</v>
      </c>
      <c r="L59" s="2">
        <f t="shared" si="8"/>
        <v>2.3892756381468316E-2</v>
      </c>
      <c r="M59" s="2">
        <f t="shared" si="9"/>
        <v>2.1317198767456684E-2</v>
      </c>
      <c r="N59" s="2">
        <f t="shared" si="10"/>
        <v>8.5545566187322439E-4</v>
      </c>
      <c r="O59" s="2">
        <f t="shared" si="11"/>
        <v>3.5265555214074985E-4</v>
      </c>
      <c r="P59" s="8">
        <f t="shared" si="15"/>
        <v>57</v>
      </c>
      <c r="Q59" s="2">
        <f t="shared" si="16"/>
        <v>0.56000000000000028</v>
      </c>
      <c r="R59" s="2">
        <f t="shared" si="17"/>
        <v>0.43999999999999972</v>
      </c>
      <c r="S59" s="2">
        <f t="shared" si="12"/>
        <v>5.3637712488480999E-3</v>
      </c>
      <c r="T59" s="9">
        <f t="shared" si="13"/>
        <v>2.0994947768962526E-2</v>
      </c>
      <c r="U59" s="9">
        <f t="shared" si="14"/>
        <v>5.3637712488480999E-3</v>
      </c>
    </row>
    <row r="60" spans="1:21" x14ac:dyDescent="0.25">
      <c r="A60" s="1">
        <v>44215</v>
      </c>
      <c r="B60">
        <v>298.60000600000001</v>
      </c>
      <c r="C60" s="2">
        <v>546.45001200000002</v>
      </c>
      <c r="D60" s="2">
        <f t="shared" si="0"/>
        <v>1.3995655054333731E-2</v>
      </c>
      <c r="E60" s="2">
        <f t="shared" si="1"/>
        <v>2.4639978602943747E-2</v>
      </c>
      <c r="F60" s="2">
        <f t="shared" si="2"/>
        <v>6.0038962945843516E-3</v>
      </c>
      <c r="G60" s="2">
        <f t="shared" si="3"/>
        <v>4.5490666451837797E-3</v>
      </c>
      <c r="H60" s="2">
        <f t="shared" si="4"/>
        <v>7.9917587597493796E-3</v>
      </c>
      <c r="I60" s="2">
        <f t="shared" si="5"/>
        <v>2.0090911957759968E-2</v>
      </c>
      <c r="J60" s="2">
        <f t="shared" si="6"/>
        <v>6.3868208074030938E-5</v>
      </c>
      <c r="K60" s="2">
        <f t="shared" si="7"/>
        <v>4.0364474329446248E-4</v>
      </c>
      <c r="L60" s="2">
        <f t="shared" si="8"/>
        <v>2.3892756381468316E-2</v>
      </c>
      <c r="M60" s="2">
        <f t="shared" si="9"/>
        <v>2.1317198767456684E-2</v>
      </c>
      <c r="N60" s="2">
        <f t="shared" si="10"/>
        <v>1.6056172162978179E-4</v>
      </c>
      <c r="O60" s="2">
        <f t="shared" si="11"/>
        <v>3.5265555214074985E-4</v>
      </c>
      <c r="P60" s="8">
        <f t="shared" si="15"/>
        <v>58</v>
      </c>
      <c r="Q60" s="2">
        <f t="shared" si="16"/>
        <v>0.57000000000000028</v>
      </c>
      <c r="R60" s="2">
        <f t="shared" si="17"/>
        <v>0.42999999999999972</v>
      </c>
      <c r="S60" s="2">
        <f t="shared" si="12"/>
        <v>5.378319545342106E-3</v>
      </c>
      <c r="T60" s="9">
        <f t="shared" si="13"/>
        <v>2.1032551167893588E-2</v>
      </c>
      <c r="U60" s="9">
        <f t="shared" si="14"/>
        <v>5.378319545342106E-3</v>
      </c>
    </row>
    <row r="61" spans="1:21" x14ac:dyDescent="0.25">
      <c r="A61" s="1">
        <v>44216</v>
      </c>
      <c r="B61">
        <v>302.54998799999998</v>
      </c>
      <c r="C61" s="2">
        <v>551</v>
      </c>
      <c r="D61" s="2">
        <f t="shared" si="0"/>
        <v>1.3141608206603119E-2</v>
      </c>
      <c r="E61" s="2">
        <f t="shared" si="1"/>
        <v>8.2919750703090676E-3</v>
      </c>
      <c r="F61" s="2">
        <f t="shared" si="2"/>
        <v>6.0038962945843516E-3</v>
      </c>
      <c r="G61" s="2">
        <f t="shared" si="3"/>
        <v>4.5490666451837797E-3</v>
      </c>
      <c r="H61" s="2">
        <f t="shared" si="4"/>
        <v>7.1377119120187675E-3</v>
      </c>
      <c r="I61" s="2">
        <f t="shared" si="5"/>
        <v>3.7429084251252879E-3</v>
      </c>
      <c r="J61" s="2">
        <f t="shared" si="6"/>
        <v>5.0946931338974613E-5</v>
      </c>
      <c r="K61" s="2">
        <f t="shared" si="7"/>
        <v>1.4009363478873864E-5</v>
      </c>
      <c r="L61" s="2">
        <f t="shared" si="8"/>
        <v>2.3892756381468316E-2</v>
      </c>
      <c r="M61" s="2">
        <f t="shared" si="9"/>
        <v>2.1317198767456684E-2</v>
      </c>
      <c r="N61" s="2">
        <f t="shared" si="10"/>
        <v>2.6715802051612172E-5</v>
      </c>
      <c r="O61" s="2">
        <f t="shared" si="11"/>
        <v>3.5265555214074985E-4</v>
      </c>
      <c r="P61" s="8">
        <f t="shared" si="15"/>
        <v>59</v>
      </c>
      <c r="Q61" s="2">
        <f t="shared" si="16"/>
        <v>0.58000000000000029</v>
      </c>
      <c r="R61" s="2">
        <f t="shared" si="17"/>
        <v>0.41999999999999971</v>
      </c>
      <c r="S61" s="2">
        <f t="shared" si="12"/>
        <v>5.3928678418361121E-3</v>
      </c>
      <c r="T61" s="9">
        <f t="shared" si="13"/>
        <v>2.1071606027352596E-2</v>
      </c>
      <c r="U61" s="9">
        <f t="shared" si="14"/>
        <v>5.3928678418361121E-3</v>
      </c>
    </row>
    <row r="62" spans="1:21" x14ac:dyDescent="0.25">
      <c r="A62" s="1">
        <v>44217</v>
      </c>
      <c r="B62">
        <v>294.85000600000001</v>
      </c>
      <c r="C62" s="2">
        <v>552.70001200000002</v>
      </c>
      <c r="D62" s="2">
        <f t="shared" si="0"/>
        <v>-2.5779740609620821E-2</v>
      </c>
      <c r="E62" s="2">
        <f t="shared" si="1"/>
        <v>3.0805713979001285E-3</v>
      </c>
      <c r="F62" s="2">
        <f t="shared" si="2"/>
        <v>6.0038962945843516E-3</v>
      </c>
      <c r="G62" s="2">
        <f t="shared" si="3"/>
        <v>4.5490666451837797E-3</v>
      </c>
      <c r="H62" s="2">
        <f t="shared" si="4"/>
        <v>-3.1783636904205173E-2</v>
      </c>
      <c r="I62" s="2">
        <f t="shared" si="5"/>
        <v>-1.4684952472836512E-3</v>
      </c>
      <c r="J62" s="2">
        <f t="shared" si="6"/>
        <v>1.010199574858353E-3</v>
      </c>
      <c r="K62" s="2">
        <f t="shared" si="7"/>
        <v>2.1564782912946719E-6</v>
      </c>
      <c r="L62" s="2">
        <f t="shared" si="8"/>
        <v>2.3892756381468316E-2</v>
      </c>
      <c r="M62" s="2">
        <f t="shared" si="9"/>
        <v>2.1317198767456684E-2</v>
      </c>
      <c r="N62" s="2">
        <f t="shared" si="10"/>
        <v>4.6674119735214562E-5</v>
      </c>
      <c r="O62" s="2">
        <f t="shared" si="11"/>
        <v>3.5265555214074985E-4</v>
      </c>
      <c r="P62" s="8">
        <f t="shared" si="15"/>
        <v>60</v>
      </c>
      <c r="Q62" s="2">
        <f t="shared" si="16"/>
        <v>0.5900000000000003</v>
      </c>
      <c r="R62" s="2">
        <f t="shared" si="17"/>
        <v>0.4099999999999997</v>
      </c>
      <c r="S62" s="2">
        <f t="shared" si="12"/>
        <v>5.4074161383301182E-3</v>
      </c>
      <c r="T62" s="9">
        <f t="shared" si="13"/>
        <v>2.1112104292257683E-2</v>
      </c>
      <c r="U62" s="9">
        <f t="shared" si="14"/>
        <v>5.4074161383301182E-3</v>
      </c>
    </row>
    <row r="63" spans="1:21" x14ac:dyDescent="0.25">
      <c r="A63" s="1">
        <v>44218</v>
      </c>
      <c r="B63">
        <v>283.70001200000002</v>
      </c>
      <c r="C63" s="2">
        <v>533.79998799999998</v>
      </c>
      <c r="D63" s="2">
        <f t="shared" si="0"/>
        <v>-3.8549388682835958E-2</v>
      </c>
      <c r="E63" s="2">
        <f t="shared" si="1"/>
        <v>-3.4794166060720916E-2</v>
      </c>
      <c r="F63" s="2">
        <f t="shared" si="2"/>
        <v>6.0038962945843516E-3</v>
      </c>
      <c r="G63" s="2">
        <f t="shared" si="3"/>
        <v>4.5490666451837797E-3</v>
      </c>
      <c r="H63" s="2">
        <f t="shared" si="4"/>
        <v>-4.455328497742031E-2</v>
      </c>
      <c r="I63" s="2">
        <f t="shared" si="5"/>
        <v>-3.9343232705904695E-2</v>
      </c>
      <c r="J63" s="2">
        <f t="shared" si="6"/>
        <v>1.9849952022792262E-3</v>
      </c>
      <c r="K63" s="2">
        <f t="shared" si="7"/>
        <v>1.5478899597509688E-3</v>
      </c>
      <c r="L63" s="2">
        <f t="shared" si="8"/>
        <v>2.3892756381468316E-2</v>
      </c>
      <c r="M63" s="2">
        <f t="shared" si="9"/>
        <v>2.1317198767456684E-2</v>
      </c>
      <c r="N63" s="2">
        <f t="shared" si="10"/>
        <v>1.7528702586791351E-3</v>
      </c>
      <c r="O63" s="2">
        <f t="shared" si="11"/>
        <v>3.5265555214074985E-4</v>
      </c>
      <c r="P63" s="8">
        <f t="shared" si="15"/>
        <v>61</v>
      </c>
      <c r="Q63" s="2">
        <f t="shared" si="16"/>
        <v>0.60000000000000031</v>
      </c>
      <c r="R63" s="2">
        <f t="shared" si="17"/>
        <v>0.39999999999999969</v>
      </c>
      <c r="S63" s="2">
        <f t="shared" si="12"/>
        <v>5.4219644348241234E-3</v>
      </c>
      <c r="T63" s="9">
        <f t="shared" si="13"/>
        <v>2.1154037672644701E-2</v>
      </c>
      <c r="U63" s="9">
        <f t="shared" si="14"/>
        <v>5.4219644348241234E-3</v>
      </c>
    </row>
    <row r="64" spans="1:21" x14ac:dyDescent="0.25">
      <c r="H64" s="6"/>
      <c r="I64" s="6"/>
      <c r="J64">
        <f t="shared" si="6"/>
        <v>0</v>
      </c>
      <c r="K64" t="s">
        <v>10</v>
      </c>
      <c r="L64" s="5">
        <f>_xlfn.STDEV.S(D3:D63)</f>
        <v>2.3892756381468313E-2</v>
      </c>
      <c r="M64" s="3">
        <f>_xlfn.STDEV.S(E3:E63)</f>
        <v>2.1317198767456684E-2</v>
      </c>
      <c r="N64" s="2"/>
      <c r="O64" s="3">
        <f>_xlfn.COVARIANCE.S(D3:D63,E3:E63)</f>
        <v>3.5265555214074985E-4</v>
      </c>
      <c r="P64" s="8">
        <f t="shared" si="15"/>
        <v>62</v>
      </c>
      <c r="Q64" s="2">
        <f t="shared" si="16"/>
        <v>0.61000000000000032</v>
      </c>
      <c r="R64" s="2">
        <f t="shared" si="17"/>
        <v>0.38999999999999968</v>
      </c>
      <c r="S64" s="2">
        <f t="shared" si="12"/>
        <v>5.4365127313181294E-3</v>
      </c>
      <c r="T64" s="9">
        <f t="shared" si="13"/>
        <v>2.1197397651539208E-2</v>
      </c>
      <c r="U64" s="9">
        <f t="shared" si="14"/>
        <v>5.4365127313181294E-3</v>
      </c>
    </row>
    <row r="65" spans="16:21" x14ac:dyDescent="0.25">
      <c r="P65" s="8">
        <f t="shared" si="15"/>
        <v>63</v>
      </c>
      <c r="Q65" s="2">
        <f t="shared" si="16"/>
        <v>0.62000000000000033</v>
      </c>
      <c r="R65" s="2">
        <f t="shared" si="17"/>
        <v>0.37999999999999967</v>
      </c>
      <c r="S65" s="2">
        <f t="shared" si="12"/>
        <v>5.4510610278121346E-3</v>
      </c>
      <c r="T65" s="9">
        <f t="shared" si="13"/>
        <v>2.1242175492933661E-2</v>
      </c>
      <c r="U65" s="9">
        <f t="shared" si="14"/>
        <v>5.4510610278121346E-3</v>
      </c>
    </row>
    <row r="66" spans="16:21" x14ac:dyDescent="0.25">
      <c r="P66" s="8">
        <f t="shared" si="15"/>
        <v>64</v>
      </c>
      <c r="Q66" s="2">
        <f t="shared" si="16"/>
        <v>0.63000000000000034</v>
      </c>
      <c r="R66" s="2">
        <f t="shared" si="17"/>
        <v>0.36999999999999966</v>
      </c>
      <c r="S66" s="2">
        <f t="shared" si="12"/>
        <v>5.4656093243061407E-3</v>
      </c>
      <c r="T66" s="9">
        <f t="shared" si="13"/>
        <v>2.1288362249853927E-2</v>
      </c>
      <c r="U66" s="9">
        <f t="shared" si="14"/>
        <v>5.4656093243061407E-3</v>
      </c>
    </row>
    <row r="67" spans="16:21" x14ac:dyDescent="0.25">
      <c r="P67" s="8">
        <f t="shared" si="15"/>
        <v>65</v>
      </c>
      <c r="Q67" s="2">
        <f t="shared" si="16"/>
        <v>0.64000000000000035</v>
      </c>
      <c r="R67" s="2">
        <f t="shared" si="17"/>
        <v>0.35999999999999965</v>
      </c>
      <c r="S67" s="2">
        <f t="shared" si="12"/>
        <v>5.4801576208001468E-3</v>
      </c>
      <c r="T67" s="9">
        <f t="shared" si="13"/>
        <v>2.1335948772499495E-2</v>
      </c>
      <c r="U67" s="9">
        <f t="shared" si="14"/>
        <v>5.4801576208001468E-3</v>
      </c>
    </row>
    <row r="68" spans="16:21" x14ac:dyDescent="0.25">
      <c r="P68" s="8">
        <f t="shared" si="15"/>
        <v>66</v>
      </c>
      <c r="Q68" s="2">
        <f t="shared" si="16"/>
        <v>0.65000000000000036</v>
      </c>
      <c r="R68" s="2">
        <f t="shared" si="17"/>
        <v>0.34999999999999964</v>
      </c>
      <c r="S68" s="2">
        <f t="shared" ref="S68:S103" si="18">Q68*$F$3+R68*$G$3</f>
        <v>5.494705917294152E-3</v>
      </c>
      <c r="T68" s="9">
        <f t="shared" ref="T68:T103" si="19">SQRT((Q68*$L$3)^2+(R68*$M$3)^2+2*Q68*R68*$O$3)</f>
        <v>2.1384925716442002E-2</v>
      </c>
      <c r="U68" s="9">
        <f t="shared" ref="U68:U103" si="20">S68</f>
        <v>5.494705917294152E-3</v>
      </c>
    </row>
    <row r="69" spans="16:21" x14ac:dyDescent="0.25">
      <c r="P69" s="8">
        <f t="shared" ref="P69:P103" si="21">P68+1</f>
        <v>67</v>
      </c>
      <c r="Q69" s="2">
        <f t="shared" ref="Q69:Q104" si="22">Q68+0.01</f>
        <v>0.66000000000000036</v>
      </c>
      <c r="R69" s="2">
        <f t="shared" ref="R69:R104" si="23">1-Q69</f>
        <v>0.33999999999999964</v>
      </c>
      <c r="S69" s="2">
        <f t="shared" si="18"/>
        <v>5.5092542137881581E-3</v>
      </c>
      <c r="T69" s="9">
        <f t="shared" si="19"/>
        <v>2.1435283550866904E-2</v>
      </c>
      <c r="U69" s="9">
        <f t="shared" si="20"/>
        <v>5.5092542137881581E-3</v>
      </c>
    </row>
    <row r="70" spans="16:21" x14ac:dyDescent="0.25">
      <c r="P70" s="8">
        <f t="shared" si="21"/>
        <v>68</v>
      </c>
      <c r="Q70" s="2">
        <f t="shared" si="22"/>
        <v>0.67000000000000037</v>
      </c>
      <c r="R70" s="2">
        <f t="shared" si="23"/>
        <v>0.32999999999999963</v>
      </c>
      <c r="S70" s="2">
        <f t="shared" si="18"/>
        <v>5.5238025102821633E-3</v>
      </c>
      <c r="T70" s="9">
        <f t="shared" si="19"/>
        <v>2.1487012566843506E-2</v>
      </c>
      <c r="U70" s="9">
        <f t="shared" si="20"/>
        <v>5.5238025102821633E-3</v>
      </c>
    </row>
    <row r="71" spans="16:21" x14ac:dyDescent="0.25">
      <c r="P71" s="8">
        <f t="shared" si="21"/>
        <v>69</v>
      </c>
      <c r="Q71" s="2">
        <f t="shared" si="22"/>
        <v>0.68000000000000038</v>
      </c>
      <c r="R71" s="2">
        <f t="shared" si="23"/>
        <v>0.31999999999999962</v>
      </c>
      <c r="S71" s="2">
        <f t="shared" si="18"/>
        <v>5.5383508067761694E-3</v>
      </c>
      <c r="T71" s="9">
        <f t="shared" si="19"/>
        <v>2.1540102885608949E-2</v>
      </c>
      <c r="U71" s="9">
        <f t="shared" si="20"/>
        <v>5.5383508067761694E-3</v>
      </c>
    </row>
    <row r="72" spans="16:21" x14ac:dyDescent="0.25">
      <c r="P72" s="8">
        <f t="shared" si="21"/>
        <v>70</v>
      </c>
      <c r="Q72" s="2">
        <f t="shared" si="22"/>
        <v>0.69000000000000039</v>
      </c>
      <c r="R72" s="2">
        <f t="shared" si="23"/>
        <v>0.30999999999999961</v>
      </c>
      <c r="S72" s="2">
        <f t="shared" si="18"/>
        <v>5.5528991032701754E-3</v>
      </c>
      <c r="T72" s="9">
        <f t="shared" si="19"/>
        <v>2.1594544466852033E-2</v>
      </c>
      <c r="U72" s="9">
        <f t="shared" si="20"/>
        <v>5.5528991032701754E-3</v>
      </c>
    </row>
    <row r="73" spans="16:21" x14ac:dyDescent="0.25">
      <c r="P73" s="8">
        <f t="shared" si="21"/>
        <v>71</v>
      </c>
      <c r="Q73" s="2">
        <f t="shared" si="22"/>
        <v>0.7000000000000004</v>
      </c>
      <c r="R73" s="2">
        <f t="shared" si="23"/>
        <v>0.2999999999999996</v>
      </c>
      <c r="S73" s="2">
        <f t="shared" si="18"/>
        <v>5.5674473997641815E-3</v>
      </c>
      <c r="T73" s="9">
        <f t="shared" si="19"/>
        <v>2.165032711698333E-2</v>
      </c>
      <c r="U73" s="9">
        <f t="shared" si="20"/>
        <v>5.5674473997641815E-3</v>
      </c>
    </row>
    <row r="74" spans="16:21" x14ac:dyDescent="0.25">
      <c r="P74" s="8">
        <f t="shared" si="21"/>
        <v>72</v>
      </c>
      <c r="Q74" s="2">
        <f t="shared" si="22"/>
        <v>0.71000000000000041</v>
      </c>
      <c r="R74" s="2">
        <f t="shared" si="23"/>
        <v>0.28999999999999959</v>
      </c>
      <c r="S74" s="2">
        <f t="shared" si="18"/>
        <v>5.5819956962581858E-3</v>
      </c>
      <c r="T74" s="9">
        <f t="shared" si="19"/>
        <v>2.1707440497378321E-2</v>
      </c>
      <c r="U74" s="9">
        <f t="shared" si="20"/>
        <v>5.5819956962581858E-3</v>
      </c>
    </row>
    <row r="75" spans="16:21" x14ac:dyDescent="0.25">
      <c r="P75" s="8">
        <f t="shared" si="21"/>
        <v>73</v>
      </c>
      <c r="Q75" s="2">
        <f t="shared" si="22"/>
        <v>0.72000000000000042</v>
      </c>
      <c r="R75" s="2">
        <f t="shared" si="23"/>
        <v>0.27999999999999958</v>
      </c>
      <c r="S75" s="2">
        <f t="shared" si="18"/>
        <v>5.5965439927521919E-3</v>
      </c>
      <c r="T75" s="9">
        <f t="shared" si="19"/>
        <v>2.1765874132581024E-2</v>
      </c>
      <c r="U75" s="9">
        <f t="shared" si="20"/>
        <v>5.5965439927521919E-3</v>
      </c>
    </row>
    <row r="76" spans="16:21" x14ac:dyDescent="0.25">
      <c r="P76" s="8">
        <f t="shared" si="21"/>
        <v>74</v>
      </c>
      <c r="Q76" s="2">
        <f t="shared" si="22"/>
        <v>0.73000000000000043</v>
      </c>
      <c r="R76" s="2">
        <f t="shared" si="23"/>
        <v>0.26999999999999957</v>
      </c>
      <c r="S76" s="2">
        <f t="shared" si="18"/>
        <v>5.611092289246198E-3</v>
      </c>
      <c r="T76" s="9">
        <f t="shared" si="19"/>
        <v>2.1825617418455814E-2</v>
      </c>
      <c r="U76" s="9">
        <f t="shared" si="20"/>
        <v>5.611092289246198E-3</v>
      </c>
    </row>
    <row r="77" spans="16:21" x14ac:dyDescent="0.25">
      <c r="P77" s="8">
        <f t="shared" si="21"/>
        <v>75</v>
      </c>
      <c r="Q77" s="2">
        <f t="shared" si="22"/>
        <v>0.74000000000000044</v>
      </c>
      <c r="R77" s="2">
        <f t="shared" si="23"/>
        <v>0.25999999999999956</v>
      </c>
      <c r="S77" s="2">
        <f t="shared" si="18"/>
        <v>5.6256405857402032E-3</v>
      </c>
      <c r="T77" s="9">
        <f t="shared" si="19"/>
        <v>2.1886659630275855E-2</v>
      </c>
      <c r="U77" s="9">
        <f t="shared" si="20"/>
        <v>5.6256405857402032E-3</v>
      </c>
    </row>
    <row r="78" spans="16:21" x14ac:dyDescent="0.25">
      <c r="P78" s="8">
        <f t="shared" si="21"/>
        <v>76</v>
      </c>
      <c r="Q78" s="2">
        <f t="shared" si="22"/>
        <v>0.75000000000000044</v>
      </c>
      <c r="R78" s="2">
        <f t="shared" si="23"/>
        <v>0.24999999999999956</v>
      </c>
      <c r="S78" s="2">
        <f t="shared" si="18"/>
        <v>5.6401888822342093E-3</v>
      </c>
      <c r="T78" s="9">
        <f t="shared" si="19"/>
        <v>2.1948989930737007E-2</v>
      </c>
      <c r="U78" s="9">
        <f t="shared" si="20"/>
        <v>5.6401888822342093E-3</v>
      </c>
    </row>
    <row r="79" spans="16:21" x14ac:dyDescent="0.25">
      <c r="P79" s="8">
        <f t="shared" si="21"/>
        <v>77</v>
      </c>
      <c r="Q79" s="2">
        <f t="shared" si="22"/>
        <v>0.76000000000000045</v>
      </c>
      <c r="R79" s="2">
        <f t="shared" si="23"/>
        <v>0.23999999999999955</v>
      </c>
      <c r="S79" s="2">
        <f t="shared" si="18"/>
        <v>5.6547371787282153E-3</v>
      </c>
      <c r="T79" s="9">
        <f t="shared" si="19"/>
        <v>2.2012597377886713E-2</v>
      </c>
      <c r="U79" s="9">
        <f t="shared" si="20"/>
        <v>5.6547371787282153E-3</v>
      </c>
    </row>
    <row r="80" spans="16:21" x14ac:dyDescent="0.25">
      <c r="P80" s="8">
        <f t="shared" si="21"/>
        <v>78</v>
      </c>
      <c r="Q80" s="2">
        <f t="shared" si="22"/>
        <v>0.77000000000000046</v>
      </c>
      <c r="R80" s="2">
        <f t="shared" si="23"/>
        <v>0.22999999999999954</v>
      </c>
      <c r="S80" s="2">
        <f t="shared" si="18"/>
        <v>5.6692854752222206E-3</v>
      </c>
      <c r="T80" s="9">
        <f t="shared" si="19"/>
        <v>2.2077470932957845E-2</v>
      </c>
      <c r="U80" s="9">
        <f t="shared" si="20"/>
        <v>5.6692854752222206E-3</v>
      </c>
    </row>
    <row r="81" spans="16:21" x14ac:dyDescent="0.25">
      <c r="P81" s="8">
        <f t="shared" si="21"/>
        <v>79</v>
      </c>
      <c r="Q81" s="2">
        <f t="shared" si="22"/>
        <v>0.78000000000000047</v>
      </c>
      <c r="R81" s="2">
        <f t="shared" si="23"/>
        <v>0.21999999999999953</v>
      </c>
      <c r="S81" s="2">
        <f t="shared" si="18"/>
        <v>5.6838337717162266E-3</v>
      </c>
      <c r="T81" s="9">
        <f t="shared" si="19"/>
        <v>2.2143599468098102E-2</v>
      </c>
      <c r="U81" s="9">
        <f t="shared" si="20"/>
        <v>5.6838337717162266E-3</v>
      </c>
    </row>
    <row r="82" spans="16:21" x14ac:dyDescent="0.25">
      <c r="P82" s="8">
        <f t="shared" si="21"/>
        <v>80</v>
      </c>
      <c r="Q82" s="2">
        <f t="shared" si="22"/>
        <v>0.79000000000000048</v>
      </c>
      <c r="R82" s="2">
        <f t="shared" si="23"/>
        <v>0.20999999999999952</v>
      </c>
      <c r="S82" s="2">
        <f t="shared" si="18"/>
        <v>5.6983820682102327E-3</v>
      </c>
      <c r="T82" s="9">
        <f t="shared" si="19"/>
        <v>2.2210971773986236E-2</v>
      </c>
      <c r="U82" s="9">
        <f t="shared" si="20"/>
        <v>5.6983820682102327E-3</v>
      </c>
    </row>
    <row r="83" spans="16:21" x14ac:dyDescent="0.25">
      <c r="P83" s="8">
        <f t="shared" si="21"/>
        <v>81</v>
      </c>
      <c r="Q83" s="2">
        <f t="shared" si="22"/>
        <v>0.80000000000000049</v>
      </c>
      <c r="R83" s="2">
        <f t="shared" si="23"/>
        <v>0.19999999999999951</v>
      </c>
      <c r="S83" s="2">
        <f t="shared" si="18"/>
        <v>5.7129303647042388E-3</v>
      </c>
      <c r="T83" s="9">
        <f t="shared" si="19"/>
        <v>2.227957656732675E-2</v>
      </c>
      <c r="U83" s="9">
        <f t="shared" si="20"/>
        <v>5.7129303647042388E-3</v>
      </c>
    </row>
    <row r="84" spans="16:21" x14ac:dyDescent="0.25">
      <c r="P84" s="8">
        <f t="shared" si="21"/>
        <v>82</v>
      </c>
      <c r="Q84" s="2">
        <f t="shared" si="22"/>
        <v>0.8100000000000005</v>
      </c>
      <c r="R84" s="2">
        <f t="shared" si="23"/>
        <v>0.1899999999999995</v>
      </c>
      <c r="S84" s="2">
        <f t="shared" si="18"/>
        <v>5.7274786611982431E-3</v>
      </c>
      <c r="T84" s="9">
        <f t="shared" si="19"/>
        <v>2.2349402498215466E-2</v>
      </c>
      <c r="U84" s="9">
        <f t="shared" si="20"/>
        <v>5.7274786611982431E-3</v>
      </c>
    </row>
    <row r="85" spans="16:21" x14ac:dyDescent="0.25">
      <c r="P85" s="8">
        <f t="shared" si="21"/>
        <v>83</v>
      </c>
      <c r="Q85" s="2">
        <f t="shared" si="22"/>
        <v>0.82000000000000051</v>
      </c>
      <c r="R85" s="2">
        <f t="shared" si="23"/>
        <v>0.17999999999999949</v>
      </c>
      <c r="S85" s="2">
        <f t="shared" si="18"/>
        <v>5.7420269576922492E-3</v>
      </c>
      <c r="T85" s="9">
        <f t="shared" si="19"/>
        <v>2.2420438157368976E-2</v>
      </c>
      <c r="U85" s="9">
        <f t="shared" si="20"/>
        <v>5.7420269576922492E-3</v>
      </c>
    </row>
    <row r="86" spans="16:21" x14ac:dyDescent="0.25">
      <c r="P86" s="8">
        <f t="shared" si="21"/>
        <v>84</v>
      </c>
      <c r="Q86" s="2">
        <f t="shared" si="22"/>
        <v>0.83000000000000052</v>
      </c>
      <c r="R86" s="2">
        <f t="shared" si="23"/>
        <v>0.16999999999999948</v>
      </c>
      <c r="S86" s="2">
        <f t="shared" si="18"/>
        <v>5.7565752541862553E-3</v>
      </c>
      <c r="T86" s="9">
        <f t="shared" si="19"/>
        <v>2.2492672083211387E-2</v>
      </c>
      <c r="U86" s="9">
        <f t="shared" si="20"/>
        <v>5.7565752541862553E-3</v>
      </c>
    </row>
    <row r="87" spans="16:21" x14ac:dyDescent="0.25">
      <c r="P87" s="8">
        <f t="shared" si="21"/>
        <v>85</v>
      </c>
      <c r="Q87" s="2">
        <f t="shared" si="22"/>
        <v>0.84000000000000052</v>
      </c>
      <c r="R87" s="2">
        <f t="shared" si="23"/>
        <v>0.15999999999999948</v>
      </c>
      <c r="S87" s="2">
        <f t="shared" si="18"/>
        <v>5.7711235506802605E-3</v>
      </c>
      <c r="T87" s="9">
        <f t="shared" si="19"/>
        <v>2.2566092768812458E-2</v>
      </c>
      <c r="U87" s="9">
        <f t="shared" si="20"/>
        <v>5.7711235506802605E-3</v>
      </c>
    </row>
    <row r="88" spans="16:21" x14ac:dyDescent="0.25">
      <c r="P88" s="8">
        <f t="shared" si="21"/>
        <v>86</v>
      </c>
      <c r="Q88" s="2">
        <f t="shared" si="22"/>
        <v>0.85000000000000053</v>
      </c>
      <c r="R88" s="2">
        <f t="shared" si="23"/>
        <v>0.14999999999999947</v>
      </c>
      <c r="S88" s="2">
        <f t="shared" si="18"/>
        <v>5.7856718471742665E-3</v>
      </c>
      <c r="T88" s="9">
        <f t="shared" si="19"/>
        <v>2.2640688668671843E-2</v>
      </c>
      <c r="U88" s="9">
        <f t="shared" si="20"/>
        <v>5.7856718471742665E-3</v>
      </c>
    </row>
    <row r="89" spans="16:21" x14ac:dyDescent="0.25">
      <c r="P89" s="8">
        <f t="shared" si="21"/>
        <v>87</v>
      </c>
      <c r="Q89" s="2">
        <f t="shared" si="22"/>
        <v>0.86000000000000054</v>
      </c>
      <c r="R89" s="2">
        <f t="shared" si="23"/>
        <v>0.13999999999999946</v>
      </c>
      <c r="S89" s="2">
        <f t="shared" si="18"/>
        <v>5.8002201436682726E-3</v>
      </c>
      <c r="T89" s="9">
        <f t="shared" si="19"/>
        <v>2.2716448205344603E-2</v>
      </c>
      <c r="U89" s="9">
        <f t="shared" si="20"/>
        <v>5.8002201436682726E-3</v>
      </c>
    </row>
    <row r="90" spans="16:21" x14ac:dyDescent="0.25">
      <c r="P90" s="8">
        <f t="shared" si="21"/>
        <v>88</v>
      </c>
      <c r="Q90" s="2">
        <f t="shared" si="22"/>
        <v>0.87000000000000055</v>
      </c>
      <c r="R90" s="2">
        <f t="shared" si="23"/>
        <v>0.12999999999999945</v>
      </c>
      <c r="S90" s="2">
        <f t="shared" si="18"/>
        <v>5.8147684401622778E-3</v>
      </c>
      <c r="T90" s="9">
        <f t="shared" si="19"/>
        <v>2.2793359775903708E-2</v>
      </c>
      <c r="U90" s="9">
        <f t="shared" si="20"/>
        <v>5.8147684401622778E-3</v>
      </c>
    </row>
    <row r="91" spans="16:21" x14ac:dyDescent="0.25">
      <c r="P91" s="8">
        <f t="shared" si="21"/>
        <v>89</v>
      </c>
      <c r="Q91" s="2">
        <f t="shared" si="22"/>
        <v>0.88000000000000056</v>
      </c>
      <c r="R91" s="2">
        <f t="shared" si="23"/>
        <v>0.11999999999999944</v>
      </c>
      <c r="S91" s="2">
        <f t="shared" si="18"/>
        <v>5.8293167366562839E-3</v>
      </c>
      <c r="T91" s="9">
        <f t="shared" si="19"/>
        <v>2.2871411758235854E-2</v>
      </c>
      <c r="U91" s="9">
        <f t="shared" si="20"/>
        <v>5.8293167366562839E-3</v>
      </c>
    </row>
    <row r="92" spans="16:21" x14ac:dyDescent="0.25">
      <c r="P92" s="8">
        <f t="shared" si="21"/>
        <v>90</v>
      </c>
      <c r="Q92" s="18">
        <f t="shared" si="22"/>
        <v>0.89000000000000057</v>
      </c>
      <c r="R92" s="18">
        <f t="shared" si="23"/>
        <v>0.10999999999999943</v>
      </c>
      <c r="S92" s="2">
        <f t="shared" si="18"/>
        <v>5.84386503315029E-3</v>
      </c>
      <c r="T92" s="10">
        <f t="shared" si="19"/>
        <v>2.2950592517167308E-2</v>
      </c>
      <c r="U92" s="10">
        <f t="shared" si="20"/>
        <v>5.84386503315029E-3</v>
      </c>
    </row>
    <row r="93" spans="16:21" x14ac:dyDescent="0.25">
      <c r="P93" s="8">
        <f t="shared" si="21"/>
        <v>91</v>
      </c>
      <c r="Q93" s="2">
        <f t="shared" si="22"/>
        <v>0.90000000000000058</v>
      </c>
      <c r="R93" s="2">
        <f t="shared" si="23"/>
        <v>9.9999999999999423E-2</v>
      </c>
      <c r="S93" s="2">
        <f t="shared" si="18"/>
        <v>5.858413329644296E-3</v>
      </c>
      <c r="T93" s="9">
        <f t="shared" si="19"/>
        <v>2.3030890410417174E-2</v>
      </c>
      <c r="U93" s="9">
        <f t="shared" si="20"/>
        <v>5.858413329644296E-3</v>
      </c>
    </row>
    <row r="94" spans="16:21" x14ac:dyDescent="0.25">
      <c r="P94" s="8">
        <f t="shared" si="21"/>
        <v>92</v>
      </c>
      <c r="Q94" s="2">
        <f t="shared" si="22"/>
        <v>0.91000000000000059</v>
      </c>
      <c r="R94" s="2">
        <f t="shared" si="23"/>
        <v>8.9999999999999414E-2</v>
      </c>
      <c r="S94" s="2">
        <f t="shared" si="18"/>
        <v>5.8729616261383004E-3</v>
      </c>
      <c r="T94" s="9">
        <f t="shared" si="19"/>
        <v>2.3112293794375714E-2</v>
      </c>
      <c r="U94" s="9">
        <f t="shared" si="20"/>
        <v>5.8729616261383004E-3</v>
      </c>
    </row>
    <row r="95" spans="16:21" x14ac:dyDescent="0.25">
      <c r="P95" s="8">
        <f t="shared" si="21"/>
        <v>93</v>
      </c>
      <c r="Q95" s="2">
        <f t="shared" si="22"/>
        <v>0.9200000000000006</v>
      </c>
      <c r="R95" s="2">
        <f t="shared" si="23"/>
        <v>7.9999999999999405E-2</v>
      </c>
      <c r="S95" s="2">
        <f t="shared" si="18"/>
        <v>5.8875099226323065E-3</v>
      </c>
      <c r="T95" s="9">
        <f t="shared" si="19"/>
        <v>2.3194791029706074E-2</v>
      </c>
      <c r="U95" s="9">
        <f t="shared" si="20"/>
        <v>5.8875099226323065E-3</v>
      </c>
    </row>
    <row r="96" spans="16:21" x14ac:dyDescent="0.25">
      <c r="P96" s="8">
        <f t="shared" si="21"/>
        <v>94</v>
      </c>
      <c r="Q96" s="2">
        <f t="shared" si="22"/>
        <v>0.9300000000000006</v>
      </c>
      <c r="R96" s="2">
        <f t="shared" si="23"/>
        <v>6.9999999999999396E-2</v>
      </c>
      <c r="S96" s="2">
        <f t="shared" si="18"/>
        <v>5.9020582191263125E-3</v>
      </c>
      <c r="T96" s="9">
        <f t="shared" si="19"/>
        <v>2.3278370486767994E-2</v>
      </c>
      <c r="U96" s="9">
        <f t="shared" si="20"/>
        <v>5.9020582191263125E-3</v>
      </c>
    </row>
    <row r="97" spans="16:21" x14ac:dyDescent="0.25">
      <c r="P97" s="8">
        <f t="shared" si="21"/>
        <v>95</v>
      </c>
      <c r="Q97" s="2">
        <f t="shared" si="22"/>
        <v>0.94000000000000061</v>
      </c>
      <c r="R97" s="2">
        <f t="shared" si="23"/>
        <v>5.9999999999999387E-2</v>
      </c>
      <c r="S97" s="2">
        <f t="shared" si="18"/>
        <v>5.9166065156203177E-3</v>
      </c>
      <c r="T97" s="9">
        <f t="shared" si="19"/>
        <v>2.3363020550862684E-2</v>
      </c>
      <c r="U97" s="9">
        <f t="shared" si="20"/>
        <v>5.9166065156203177E-3</v>
      </c>
    </row>
    <row r="98" spans="16:21" x14ac:dyDescent="0.25">
      <c r="P98" s="8">
        <f t="shared" si="21"/>
        <v>96</v>
      </c>
      <c r="Q98" s="2">
        <f t="shared" si="22"/>
        <v>0.95000000000000062</v>
      </c>
      <c r="R98" s="2">
        <f t="shared" si="23"/>
        <v>4.9999999999999378E-2</v>
      </c>
      <c r="S98" s="2">
        <f t="shared" si="18"/>
        <v>5.9311548121143238E-3</v>
      </c>
      <c r="T98" s="9">
        <f t="shared" si="19"/>
        <v>2.3448729627298267E-2</v>
      </c>
      <c r="U98" s="9">
        <f t="shared" si="20"/>
        <v>5.9311548121143238E-3</v>
      </c>
    </row>
    <row r="99" spans="16:21" x14ac:dyDescent="0.25">
      <c r="P99" s="8">
        <f t="shared" si="21"/>
        <v>97</v>
      </c>
      <c r="Q99" s="2">
        <f t="shared" si="22"/>
        <v>0.96000000000000063</v>
      </c>
      <c r="R99" s="2">
        <f t="shared" si="23"/>
        <v>3.9999999999999369E-2</v>
      </c>
      <c r="S99" s="2">
        <f t="shared" si="18"/>
        <v>5.9457031086083299E-3</v>
      </c>
      <c r="T99" s="9">
        <f t="shared" si="19"/>
        <v>2.3535486146275836E-2</v>
      </c>
      <c r="U99" s="9">
        <f t="shared" si="20"/>
        <v>5.9457031086083299E-3</v>
      </c>
    </row>
    <row r="100" spans="16:21" x14ac:dyDescent="0.25">
      <c r="P100" s="8">
        <f t="shared" si="21"/>
        <v>98</v>
      </c>
      <c r="Q100" s="2">
        <f t="shared" si="22"/>
        <v>0.97000000000000064</v>
      </c>
      <c r="R100" s="2">
        <f t="shared" si="23"/>
        <v>2.9999999999999361E-2</v>
      </c>
      <c r="S100" s="2">
        <f t="shared" si="18"/>
        <v>5.960251405102336E-3</v>
      </c>
      <c r="T100" s="9">
        <f t="shared" si="19"/>
        <v>2.3623278567596228E-2</v>
      </c>
      <c r="U100" s="9">
        <f t="shared" si="20"/>
        <v>5.960251405102336E-3</v>
      </c>
    </row>
    <row r="101" spans="16:21" x14ac:dyDescent="0.25">
      <c r="P101" s="8">
        <f t="shared" si="21"/>
        <v>99</v>
      </c>
      <c r="Q101" s="2">
        <f t="shared" si="22"/>
        <v>0.98000000000000065</v>
      </c>
      <c r="R101" s="2">
        <f t="shared" si="23"/>
        <v>1.9999999999999352E-2</v>
      </c>
      <c r="S101" s="2">
        <f t="shared" si="18"/>
        <v>5.9747997015963412E-3</v>
      </c>
      <c r="T101" s="9">
        <f t="shared" si="19"/>
        <v>2.3712095385188189E-2</v>
      </c>
      <c r="U101" s="9">
        <f t="shared" si="20"/>
        <v>5.9747997015963412E-3</v>
      </c>
    </row>
    <row r="102" spans="16:21" x14ac:dyDescent="0.25">
      <c r="P102" s="8">
        <f t="shared" si="21"/>
        <v>100</v>
      </c>
      <c r="Q102" s="2">
        <f t="shared" si="22"/>
        <v>0.99000000000000066</v>
      </c>
      <c r="R102" s="2">
        <f t="shared" si="23"/>
        <v>9.9999999999993427E-3</v>
      </c>
      <c r="S102" s="2">
        <f t="shared" si="18"/>
        <v>5.9893479980903472E-3</v>
      </c>
      <c r="T102" s="9">
        <f t="shared" si="19"/>
        <v>2.380192513145896E-2</v>
      </c>
      <c r="U102" s="9">
        <f t="shared" si="20"/>
        <v>5.9893479980903472E-3</v>
      </c>
    </row>
    <row r="103" spans="16:21" x14ac:dyDescent="0.25">
      <c r="P103" s="8">
        <f t="shared" si="21"/>
        <v>101</v>
      </c>
      <c r="Q103" s="2">
        <f t="shared" si="22"/>
        <v>1.0000000000000007</v>
      </c>
      <c r="R103" s="2">
        <f t="shared" si="23"/>
        <v>0</v>
      </c>
      <c r="S103" s="3">
        <f t="shared" si="18"/>
        <v>6.0038962945843559E-3</v>
      </c>
      <c r="T103" s="9">
        <f t="shared" si="19"/>
        <v>2.3892756381468334E-2</v>
      </c>
      <c r="U103" s="9">
        <f t="shared" si="20"/>
        <v>6.0038962945843559E-3</v>
      </c>
    </row>
    <row r="104" spans="16:21" x14ac:dyDescent="0.25">
      <c r="Q104" s="2"/>
      <c r="R104" s="2"/>
    </row>
  </sheetData>
  <mergeCells count="1">
    <mergeCell ref="Q2:R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VJ2510"/>
  <sheetViews>
    <sheetView zoomScale="150" zoomScaleNormal="150" workbookViewId="0">
      <selection activeCell="K10" sqref="K10"/>
    </sheetView>
  </sheetViews>
  <sheetFormatPr defaultRowHeight="15" x14ac:dyDescent="0.25"/>
  <cols>
    <col min="1" max="1" width="10.42578125" bestFit="1" customWidth="1"/>
    <col min="2" max="2" width="16.7109375" customWidth="1"/>
    <col min="5" max="5" width="31.28515625" customWidth="1"/>
    <col min="6" max="6" width="14.42578125" customWidth="1"/>
    <col min="8" max="8" width="13.28515625" customWidth="1"/>
    <col min="10" max="10" width="16.140625" customWidth="1"/>
  </cols>
  <sheetData>
    <row r="1" spans="1:1258" x14ac:dyDescent="0.25">
      <c r="A1" s="3" t="s">
        <v>0</v>
      </c>
      <c r="B1" s="3" t="s">
        <v>2</v>
      </c>
      <c r="C1" s="18" t="s">
        <v>39</v>
      </c>
      <c r="E1" s="18" t="s">
        <v>42</v>
      </c>
      <c r="G1" s="18" t="s">
        <v>43</v>
      </c>
      <c r="H1" s="18" t="s">
        <v>44</v>
      </c>
      <c r="J1" s="30" t="s">
        <v>61</v>
      </c>
      <c r="K1" s="30" t="s">
        <v>63</v>
      </c>
      <c r="L1" s="30" t="s">
        <v>64</v>
      </c>
    </row>
    <row r="2" spans="1:1258" x14ac:dyDescent="0.25">
      <c r="A2" s="1">
        <v>40476</v>
      </c>
      <c r="B2" s="2">
        <v>6105.7998049999997</v>
      </c>
      <c r="E2" s="21">
        <f>AVERAGE(C3:C2508)</f>
        <v>3.4159450570121134E-4</v>
      </c>
      <c r="F2" s="21"/>
      <c r="G2" s="21">
        <f>_xlfn.STDEV.S(C3:C2508)</f>
        <v>1.1166910795992848E-2</v>
      </c>
      <c r="H2" s="21">
        <f>G2^2</f>
        <v>1.2469989672566164E-4</v>
      </c>
      <c r="J2" t="s">
        <v>62</v>
      </c>
      <c r="K2">
        <v>1</v>
      </c>
      <c r="L2">
        <f>K2+1</f>
        <v>2</v>
      </c>
      <c r="M2" s="29">
        <f t="shared" ref="M2:BX2" si="0">L2+1</f>
        <v>3</v>
      </c>
      <c r="N2" s="29">
        <f t="shared" si="0"/>
        <v>4</v>
      </c>
      <c r="O2" s="29">
        <f t="shared" si="0"/>
        <v>5</v>
      </c>
      <c r="P2" s="29">
        <f t="shared" si="0"/>
        <v>6</v>
      </c>
      <c r="Q2" s="29">
        <f t="shared" si="0"/>
        <v>7</v>
      </c>
      <c r="R2" s="29">
        <f t="shared" si="0"/>
        <v>8</v>
      </c>
      <c r="S2" s="29">
        <f t="shared" si="0"/>
        <v>9</v>
      </c>
      <c r="T2" s="29">
        <f t="shared" si="0"/>
        <v>10</v>
      </c>
      <c r="U2" s="29">
        <f t="shared" si="0"/>
        <v>11</v>
      </c>
      <c r="V2" s="29">
        <f t="shared" si="0"/>
        <v>12</v>
      </c>
      <c r="W2" s="29">
        <f t="shared" si="0"/>
        <v>13</v>
      </c>
      <c r="X2" s="29">
        <f t="shared" si="0"/>
        <v>14</v>
      </c>
      <c r="Y2" s="29">
        <f t="shared" si="0"/>
        <v>15</v>
      </c>
      <c r="Z2" s="29">
        <f t="shared" si="0"/>
        <v>16</v>
      </c>
      <c r="AA2" s="29">
        <f t="shared" si="0"/>
        <v>17</v>
      </c>
      <c r="AB2" s="29">
        <f t="shared" si="0"/>
        <v>18</v>
      </c>
      <c r="AC2" s="29">
        <f t="shared" si="0"/>
        <v>19</v>
      </c>
      <c r="AD2" s="29">
        <f t="shared" si="0"/>
        <v>20</v>
      </c>
      <c r="AE2" s="29">
        <f t="shared" si="0"/>
        <v>21</v>
      </c>
      <c r="AF2" s="29">
        <f t="shared" si="0"/>
        <v>22</v>
      </c>
      <c r="AG2" s="29">
        <f t="shared" si="0"/>
        <v>23</v>
      </c>
      <c r="AH2" s="29">
        <f t="shared" si="0"/>
        <v>24</v>
      </c>
      <c r="AI2" s="29">
        <f t="shared" si="0"/>
        <v>25</v>
      </c>
      <c r="AJ2" s="29">
        <f t="shared" si="0"/>
        <v>26</v>
      </c>
      <c r="AK2" s="29">
        <f t="shared" si="0"/>
        <v>27</v>
      </c>
      <c r="AL2" s="29">
        <f t="shared" si="0"/>
        <v>28</v>
      </c>
      <c r="AM2" s="29">
        <f t="shared" si="0"/>
        <v>29</v>
      </c>
      <c r="AN2" s="29">
        <f t="shared" si="0"/>
        <v>30</v>
      </c>
      <c r="AO2" s="29">
        <f t="shared" si="0"/>
        <v>31</v>
      </c>
      <c r="AP2" s="29">
        <f t="shared" si="0"/>
        <v>32</v>
      </c>
      <c r="AQ2" s="29">
        <f t="shared" si="0"/>
        <v>33</v>
      </c>
      <c r="AR2" s="29">
        <f t="shared" si="0"/>
        <v>34</v>
      </c>
      <c r="AS2" s="29">
        <f t="shared" si="0"/>
        <v>35</v>
      </c>
      <c r="AT2" s="29">
        <f t="shared" si="0"/>
        <v>36</v>
      </c>
      <c r="AU2" s="29">
        <f t="shared" si="0"/>
        <v>37</v>
      </c>
      <c r="AV2" s="29">
        <f t="shared" si="0"/>
        <v>38</v>
      </c>
      <c r="AW2" s="29">
        <f t="shared" si="0"/>
        <v>39</v>
      </c>
      <c r="AX2" s="29">
        <f t="shared" si="0"/>
        <v>40</v>
      </c>
      <c r="AY2" s="29">
        <f t="shared" si="0"/>
        <v>41</v>
      </c>
      <c r="AZ2" s="29">
        <f t="shared" si="0"/>
        <v>42</v>
      </c>
      <c r="BA2" s="29">
        <f t="shared" si="0"/>
        <v>43</v>
      </c>
      <c r="BB2" s="29">
        <f t="shared" si="0"/>
        <v>44</v>
      </c>
      <c r="BC2" s="29">
        <f t="shared" si="0"/>
        <v>45</v>
      </c>
      <c r="BD2" s="29">
        <f t="shared" si="0"/>
        <v>46</v>
      </c>
      <c r="BE2" s="29">
        <f t="shared" si="0"/>
        <v>47</v>
      </c>
      <c r="BF2" s="29">
        <f t="shared" si="0"/>
        <v>48</v>
      </c>
      <c r="BG2" s="29">
        <f t="shared" si="0"/>
        <v>49</v>
      </c>
      <c r="BH2" s="29">
        <f t="shared" si="0"/>
        <v>50</v>
      </c>
      <c r="BI2" s="29">
        <f t="shared" si="0"/>
        <v>51</v>
      </c>
      <c r="BJ2" s="29">
        <f t="shared" si="0"/>
        <v>52</v>
      </c>
      <c r="BK2" s="29">
        <f t="shared" si="0"/>
        <v>53</v>
      </c>
      <c r="BL2" s="29">
        <f t="shared" si="0"/>
        <v>54</v>
      </c>
      <c r="BM2" s="29">
        <f t="shared" si="0"/>
        <v>55</v>
      </c>
      <c r="BN2" s="29">
        <f t="shared" si="0"/>
        <v>56</v>
      </c>
      <c r="BO2" s="29">
        <f t="shared" si="0"/>
        <v>57</v>
      </c>
      <c r="BP2" s="29">
        <f t="shared" si="0"/>
        <v>58</v>
      </c>
      <c r="BQ2" s="29">
        <f t="shared" si="0"/>
        <v>59</v>
      </c>
      <c r="BR2" s="29">
        <f t="shared" si="0"/>
        <v>60</v>
      </c>
      <c r="BS2" s="29">
        <f t="shared" si="0"/>
        <v>61</v>
      </c>
      <c r="BT2" s="29">
        <f t="shared" si="0"/>
        <v>62</v>
      </c>
      <c r="BU2" s="29">
        <f t="shared" si="0"/>
        <v>63</v>
      </c>
      <c r="BV2" s="29">
        <f t="shared" si="0"/>
        <v>64</v>
      </c>
      <c r="BW2" s="29">
        <f t="shared" si="0"/>
        <v>65</v>
      </c>
      <c r="BX2" s="29">
        <f t="shared" si="0"/>
        <v>66</v>
      </c>
      <c r="BY2" s="29">
        <f t="shared" ref="BY2:EJ2" si="1">BX2+1</f>
        <v>67</v>
      </c>
      <c r="BZ2" s="29">
        <f t="shared" si="1"/>
        <v>68</v>
      </c>
      <c r="CA2" s="29">
        <f t="shared" si="1"/>
        <v>69</v>
      </c>
      <c r="CB2" s="29">
        <f t="shared" si="1"/>
        <v>70</v>
      </c>
      <c r="CC2" s="29">
        <f t="shared" si="1"/>
        <v>71</v>
      </c>
      <c r="CD2" s="29">
        <f t="shared" si="1"/>
        <v>72</v>
      </c>
      <c r="CE2" s="29">
        <f t="shared" si="1"/>
        <v>73</v>
      </c>
      <c r="CF2" s="29">
        <f t="shared" si="1"/>
        <v>74</v>
      </c>
      <c r="CG2" s="29">
        <f t="shared" si="1"/>
        <v>75</v>
      </c>
      <c r="CH2" s="29">
        <f t="shared" si="1"/>
        <v>76</v>
      </c>
      <c r="CI2" s="29">
        <f t="shared" si="1"/>
        <v>77</v>
      </c>
      <c r="CJ2" s="29">
        <f t="shared" si="1"/>
        <v>78</v>
      </c>
      <c r="CK2" s="29">
        <f t="shared" si="1"/>
        <v>79</v>
      </c>
      <c r="CL2" s="29">
        <f t="shared" si="1"/>
        <v>80</v>
      </c>
      <c r="CM2" s="29">
        <f t="shared" si="1"/>
        <v>81</v>
      </c>
      <c r="CN2" s="29">
        <f t="shared" si="1"/>
        <v>82</v>
      </c>
      <c r="CO2" s="29">
        <f t="shared" si="1"/>
        <v>83</v>
      </c>
      <c r="CP2" s="29">
        <f t="shared" si="1"/>
        <v>84</v>
      </c>
      <c r="CQ2" s="29">
        <f t="shared" si="1"/>
        <v>85</v>
      </c>
      <c r="CR2" s="29">
        <f t="shared" si="1"/>
        <v>86</v>
      </c>
      <c r="CS2" s="29">
        <f t="shared" si="1"/>
        <v>87</v>
      </c>
      <c r="CT2" s="29">
        <f t="shared" si="1"/>
        <v>88</v>
      </c>
      <c r="CU2" s="29">
        <f t="shared" si="1"/>
        <v>89</v>
      </c>
      <c r="CV2" s="29">
        <f t="shared" si="1"/>
        <v>90</v>
      </c>
      <c r="CW2" s="29">
        <f t="shared" si="1"/>
        <v>91</v>
      </c>
      <c r="CX2" s="29">
        <f t="shared" si="1"/>
        <v>92</v>
      </c>
      <c r="CY2" s="29">
        <f t="shared" si="1"/>
        <v>93</v>
      </c>
      <c r="CZ2" s="29">
        <f t="shared" si="1"/>
        <v>94</v>
      </c>
      <c r="DA2" s="29">
        <f t="shared" si="1"/>
        <v>95</v>
      </c>
      <c r="DB2" s="29">
        <f t="shared" si="1"/>
        <v>96</v>
      </c>
      <c r="DC2" s="29">
        <f t="shared" si="1"/>
        <v>97</v>
      </c>
      <c r="DD2" s="29">
        <f t="shared" si="1"/>
        <v>98</v>
      </c>
      <c r="DE2" s="29">
        <f t="shared" si="1"/>
        <v>99</v>
      </c>
      <c r="DF2" s="29">
        <f t="shared" si="1"/>
        <v>100</v>
      </c>
      <c r="DG2" s="29">
        <f t="shared" si="1"/>
        <v>101</v>
      </c>
      <c r="DH2" s="29">
        <f t="shared" si="1"/>
        <v>102</v>
      </c>
      <c r="DI2" s="29">
        <f t="shared" si="1"/>
        <v>103</v>
      </c>
      <c r="DJ2" s="29">
        <f t="shared" si="1"/>
        <v>104</v>
      </c>
      <c r="DK2" s="29">
        <f t="shared" si="1"/>
        <v>105</v>
      </c>
      <c r="DL2" s="29">
        <f t="shared" si="1"/>
        <v>106</v>
      </c>
      <c r="DM2" s="29">
        <f t="shared" si="1"/>
        <v>107</v>
      </c>
      <c r="DN2" s="29">
        <f t="shared" si="1"/>
        <v>108</v>
      </c>
      <c r="DO2" s="29">
        <f t="shared" si="1"/>
        <v>109</v>
      </c>
      <c r="DP2" s="29">
        <f t="shared" si="1"/>
        <v>110</v>
      </c>
      <c r="DQ2" s="29">
        <f t="shared" si="1"/>
        <v>111</v>
      </c>
      <c r="DR2" s="29">
        <f t="shared" si="1"/>
        <v>112</v>
      </c>
      <c r="DS2" s="29">
        <f t="shared" si="1"/>
        <v>113</v>
      </c>
      <c r="DT2" s="29">
        <f t="shared" si="1"/>
        <v>114</v>
      </c>
      <c r="DU2" s="29">
        <f t="shared" si="1"/>
        <v>115</v>
      </c>
      <c r="DV2" s="29">
        <f t="shared" si="1"/>
        <v>116</v>
      </c>
      <c r="DW2" s="29">
        <f t="shared" si="1"/>
        <v>117</v>
      </c>
      <c r="DX2" s="29">
        <f t="shared" si="1"/>
        <v>118</v>
      </c>
      <c r="DY2" s="29">
        <f t="shared" si="1"/>
        <v>119</v>
      </c>
      <c r="DZ2" s="29">
        <f t="shared" si="1"/>
        <v>120</v>
      </c>
      <c r="EA2" s="29">
        <f t="shared" si="1"/>
        <v>121</v>
      </c>
      <c r="EB2" s="29">
        <f t="shared" si="1"/>
        <v>122</v>
      </c>
      <c r="EC2" s="29">
        <f t="shared" si="1"/>
        <v>123</v>
      </c>
      <c r="ED2" s="29">
        <f t="shared" si="1"/>
        <v>124</v>
      </c>
      <c r="EE2" s="29">
        <f t="shared" si="1"/>
        <v>125</v>
      </c>
      <c r="EF2" s="29">
        <f t="shared" si="1"/>
        <v>126</v>
      </c>
      <c r="EG2" s="29">
        <f t="shared" si="1"/>
        <v>127</v>
      </c>
      <c r="EH2" s="29">
        <f t="shared" si="1"/>
        <v>128</v>
      </c>
      <c r="EI2" s="29">
        <f t="shared" si="1"/>
        <v>129</v>
      </c>
      <c r="EJ2" s="29">
        <f t="shared" si="1"/>
        <v>130</v>
      </c>
      <c r="EK2" s="29">
        <f t="shared" ref="EK2:GV2" si="2">EJ2+1</f>
        <v>131</v>
      </c>
      <c r="EL2" s="29">
        <f t="shared" si="2"/>
        <v>132</v>
      </c>
      <c r="EM2" s="29">
        <f t="shared" si="2"/>
        <v>133</v>
      </c>
      <c r="EN2" s="29">
        <f t="shared" si="2"/>
        <v>134</v>
      </c>
      <c r="EO2" s="29">
        <f t="shared" si="2"/>
        <v>135</v>
      </c>
      <c r="EP2" s="29">
        <f t="shared" si="2"/>
        <v>136</v>
      </c>
      <c r="EQ2" s="29">
        <f t="shared" si="2"/>
        <v>137</v>
      </c>
      <c r="ER2" s="29">
        <f t="shared" si="2"/>
        <v>138</v>
      </c>
      <c r="ES2" s="29">
        <f t="shared" si="2"/>
        <v>139</v>
      </c>
      <c r="ET2" s="29">
        <f t="shared" si="2"/>
        <v>140</v>
      </c>
      <c r="EU2" s="29">
        <f t="shared" si="2"/>
        <v>141</v>
      </c>
      <c r="EV2" s="29">
        <f t="shared" si="2"/>
        <v>142</v>
      </c>
      <c r="EW2" s="29">
        <f t="shared" si="2"/>
        <v>143</v>
      </c>
      <c r="EX2" s="29">
        <f t="shared" si="2"/>
        <v>144</v>
      </c>
      <c r="EY2" s="29">
        <f t="shared" si="2"/>
        <v>145</v>
      </c>
      <c r="EZ2" s="29">
        <f t="shared" si="2"/>
        <v>146</v>
      </c>
      <c r="FA2" s="29">
        <f t="shared" si="2"/>
        <v>147</v>
      </c>
      <c r="FB2" s="29">
        <f t="shared" si="2"/>
        <v>148</v>
      </c>
      <c r="FC2" s="29">
        <f t="shared" si="2"/>
        <v>149</v>
      </c>
      <c r="FD2" s="29">
        <f t="shared" si="2"/>
        <v>150</v>
      </c>
      <c r="FE2" s="29">
        <f t="shared" si="2"/>
        <v>151</v>
      </c>
      <c r="FF2" s="29">
        <f t="shared" si="2"/>
        <v>152</v>
      </c>
      <c r="FG2" s="29">
        <f t="shared" si="2"/>
        <v>153</v>
      </c>
      <c r="FH2" s="29">
        <f t="shared" si="2"/>
        <v>154</v>
      </c>
      <c r="FI2" s="29">
        <f t="shared" si="2"/>
        <v>155</v>
      </c>
      <c r="FJ2" s="29">
        <f t="shared" si="2"/>
        <v>156</v>
      </c>
      <c r="FK2" s="29">
        <f t="shared" si="2"/>
        <v>157</v>
      </c>
      <c r="FL2" s="29">
        <f t="shared" si="2"/>
        <v>158</v>
      </c>
      <c r="FM2" s="29">
        <f t="shared" si="2"/>
        <v>159</v>
      </c>
      <c r="FN2" s="29">
        <f t="shared" si="2"/>
        <v>160</v>
      </c>
      <c r="FO2" s="29">
        <f t="shared" si="2"/>
        <v>161</v>
      </c>
      <c r="FP2" s="29">
        <f t="shared" si="2"/>
        <v>162</v>
      </c>
      <c r="FQ2" s="29">
        <f t="shared" si="2"/>
        <v>163</v>
      </c>
      <c r="FR2" s="29">
        <f t="shared" si="2"/>
        <v>164</v>
      </c>
      <c r="FS2" s="29">
        <f t="shared" si="2"/>
        <v>165</v>
      </c>
      <c r="FT2" s="29">
        <f t="shared" si="2"/>
        <v>166</v>
      </c>
      <c r="FU2" s="29">
        <f t="shared" si="2"/>
        <v>167</v>
      </c>
      <c r="FV2" s="29">
        <f t="shared" si="2"/>
        <v>168</v>
      </c>
      <c r="FW2" s="29">
        <f t="shared" si="2"/>
        <v>169</v>
      </c>
      <c r="FX2" s="29">
        <f t="shared" si="2"/>
        <v>170</v>
      </c>
      <c r="FY2" s="29">
        <f t="shared" si="2"/>
        <v>171</v>
      </c>
      <c r="FZ2" s="29">
        <f t="shared" si="2"/>
        <v>172</v>
      </c>
      <c r="GA2" s="29">
        <f t="shared" si="2"/>
        <v>173</v>
      </c>
      <c r="GB2" s="29">
        <f t="shared" si="2"/>
        <v>174</v>
      </c>
      <c r="GC2" s="29">
        <f t="shared" si="2"/>
        <v>175</v>
      </c>
      <c r="GD2" s="29">
        <f t="shared" si="2"/>
        <v>176</v>
      </c>
      <c r="GE2" s="29">
        <f t="shared" si="2"/>
        <v>177</v>
      </c>
      <c r="GF2" s="29">
        <f t="shared" si="2"/>
        <v>178</v>
      </c>
      <c r="GG2" s="29">
        <f t="shared" si="2"/>
        <v>179</v>
      </c>
      <c r="GH2" s="29">
        <f t="shared" si="2"/>
        <v>180</v>
      </c>
      <c r="GI2" s="29">
        <f t="shared" si="2"/>
        <v>181</v>
      </c>
      <c r="GJ2" s="29">
        <f t="shared" si="2"/>
        <v>182</v>
      </c>
      <c r="GK2" s="29">
        <f t="shared" si="2"/>
        <v>183</v>
      </c>
      <c r="GL2" s="29">
        <f t="shared" si="2"/>
        <v>184</v>
      </c>
      <c r="GM2" s="29">
        <f t="shared" si="2"/>
        <v>185</v>
      </c>
      <c r="GN2" s="29">
        <f t="shared" si="2"/>
        <v>186</v>
      </c>
      <c r="GO2" s="29">
        <f t="shared" si="2"/>
        <v>187</v>
      </c>
      <c r="GP2" s="29">
        <f t="shared" si="2"/>
        <v>188</v>
      </c>
      <c r="GQ2" s="29">
        <f t="shared" si="2"/>
        <v>189</v>
      </c>
      <c r="GR2" s="29">
        <f t="shared" si="2"/>
        <v>190</v>
      </c>
      <c r="GS2" s="29">
        <f t="shared" si="2"/>
        <v>191</v>
      </c>
      <c r="GT2" s="29">
        <f t="shared" si="2"/>
        <v>192</v>
      </c>
      <c r="GU2" s="29">
        <f t="shared" si="2"/>
        <v>193</v>
      </c>
      <c r="GV2" s="29">
        <f t="shared" si="2"/>
        <v>194</v>
      </c>
      <c r="GW2" s="29">
        <f t="shared" ref="GW2:JH2" si="3">GV2+1</f>
        <v>195</v>
      </c>
      <c r="GX2" s="29">
        <f t="shared" si="3"/>
        <v>196</v>
      </c>
      <c r="GY2" s="29">
        <f t="shared" si="3"/>
        <v>197</v>
      </c>
      <c r="GZ2" s="29">
        <f t="shared" si="3"/>
        <v>198</v>
      </c>
      <c r="HA2" s="29">
        <f t="shared" si="3"/>
        <v>199</v>
      </c>
      <c r="HB2" s="29">
        <f t="shared" si="3"/>
        <v>200</v>
      </c>
      <c r="HC2" s="29">
        <f t="shared" si="3"/>
        <v>201</v>
      </c>
      <c r="HD2" s="29">
        <f t="shared" si="3"/>
        <v>202</v>
      </c>
      <c r="HE2" s="29">
        <f t="shared" si="3"/>
        <v>203</v>
      </c>
      <c r="HF2" s="29">
        <f t="shared" si="3"/>
        <v>204</v>
      </c>
      <c r="HG2" s="29">
        <f t="shared" si="3"/>
        <v>205</v>
      </c>
      <c r="HH2" s="29">
        <f t="shared" si="3"/>
        <v>206</v>
      </c>
      <c r="HI2" s="29">
        <f t="shared" si="3"/>
        <v>207</v>
      </c>
      <c r="HJ2" s="29">
        <f t="shared" si="3"/>
        <v>208</v>
      </c>
      <c r="HK2" s="29">
        <f t="shared" si="3"/>
        <v>209</v>
      </c>
      <c r="HL2" s="29">
        <f t="shared" si="3"/>
        <v>210</v>
      </c>
      <c r="HM2" s="29">
        <f t="shared" si="3"/>
        <v>211</v>
      </c>
      <c r="HN2" s="29">
        <f t="shared" si="3"/>
        <v>212</v>
      </c>
      <c r="HO2" s="29">
        <f t="shared" si="3"/>
        <v>213</v>
      </c>
      <c r="HP2" s="29">
        <f t="shared" si="3"/>
        <v>214</v>
      </c>
      <c r="HQ2" s="29">
        <f t="shared" si="3"/>
        <v>215</v>
      </c>
      <c r="HR2" s="29">
        <f t="shared" si="3"/>
        <v>216</v>
      </c>
      <c r="HS2" s="29">
        <f t="shared" si="3"/>
        <v>217</v>
      </c>
      <c r="HT2" s="29">
        <f t="shared" si="3"/>
        <v>218</v>
      </c>
      <c r="HU2" s="29">
        <f t="shared" si="3"/>
        <v>219</v>
      </c>
      <c r="HV2" s="29">
        <f t="shared" si="3"/>
        <v>220</v>
      </c>
      <c r="HW2" s="29">
        <f t="shared" si="3"/>
        <v>221</v>
      </c>
      <c r="HX2" s="29">
        <f t="shared" si="3"/>
        <v>222</v>
      </c>
      <c r="HY2" s="29">
        <f t="shared" si="3"/>
        <v>223</v>
      </c>
      <c r="HZ2" s="29">
        <f t="shared" si="3"/>
        <v>224</v>
      </c>
      <c r="IA2" s="29">
        <f t="shared" si="3"/>
        <v>225</v>
      </c>
      <c r="IB2" s="29">
        <f t="shared" si="3"/>
        <v>226</v>
      </c>
      <c r="IC2" s="29">
        <f t="shared" si="3"/>
        <v>227</v>
      </c>
      <c r="ID2" s="29">
        <f t="shared" si="3"/>
        <v>228</v>
      </c>
      <c r="IE2" s="29">
        <f t="shared" si="3"/>
        <v>229</v>
      </c>
      <c r="IF2" s="29">
        <f t="shared" si="3"/>
        <v>230</v>
      </c>
      <c r="IG2" s="29">
        <f t="shared" si="3"/>
        <v>231</v>
      </c>
      <c r="IH2" s="29">
        <f t="shared" si="3"/>
        <v>232</v>
      </c>
      <c r="II2" s="29">
        <f t="shared" si="3"/>
        <v>233</v>
      </c>
      <c r="IJ2" s="29">
        <f t="shared" si="3"/>
        <v>234</v>
      </c>
      <c r="IK2" s="29">
        <f t="shared" si="3"/>
        <v>235</v>
      </c>
      <c r="IL2" s="29">
        <f t="shared" si="3"/>
        <v>236</v>
      </c>
      <c r="IM2" s="29">
        <f t="shared" si="3"/>
        <v>237</v>
      </c>
      <c r="IN2" s="29">
        <f t="shared" si="3"/>
        <v>238</v>
      </c>
      <c r="IO2" s="29">
        <f t="shared" si="3"/>
        <v>239</v>
      </c>
      <c r="IP2" s="29">
        <f t="shared" si="3"/>
        <v>240</v>
      </c>
      <c r="IQ2" s="29">
        <f t="shared" si="3"/>
        <v>241</v>
      </c>
      <c r="IR2" s="29">
        <f t="shared" si="3"/>
        <v>242</v>
      </c>
      <c r="IS2" s="29">
        <f t="shared" si="3"/>
        <v>243</v>
      </c>
      <c r="IT2" s="29">
        <f t="shared" si="3"/>
        <v>244</v>
      </c>
      <c r="IU2" s="29">
        <f t="shared" si="3"/>
        <v>245</v>
      </c>
      <c r="IV2" s="29">
        <f t="shared" si="3"/>
        <v>246</v>
      </c>
      <c r="IW2" s="29">
        <f t="shared" si="3"/>
        <v>247</v>
      </c>
      <c r="IX2" s="29">
        <f t="shared" si="3"/>
        <v>248</v>
      </c>
      <c r="IY2" s="29">
        <f t="shared" si="3"/>
        <v>249</v>
      </c>
      <c r="IZ2" s="29">
        <f t="shared" si="3"/>
        <v>250</v>
      </c>
      <c r="JA2" s="29">
        <f t="shared" si="3"/>
        <v>251</v>
      </c>
      <c r="JB2" s="29">
        <f t="shared" si="3"/>
        <v>252</v>
      </c>
      <c r="JC2" s="29">
        <f t="shared" si="3"/>
        <v>253</v>
      </c>
      <c r="JD2" s="29">
        <f t="shared" si="3"/>
        <v>254</v>
      </c>
      <c r="JE2" s="29">
        <f t="shared" si="3"/>
        <v>255</v>
      </c>
      <c r="JF2" s="29">
        <f t="shared" si="3"/>
        <v>256</v>
      </c>
      <c r="JG2" s="29">
        <f t="shared" si="3"/>
        <v>257</v>
      </c>
      <c r="JH2" s="29">
        <f t="shared" si="3"/>
        <v>258</v>
      </c>
      <c r="JI2" s="29">
        <f t="shared" ref="JI2:LT2" si="4">JH2+1</f>
        <v>259</v>
      </c>
      <c r="JJ2" s="29">
        <f t="shared" si="4"/>
        <v>260</v>
      </c>
      <c r="JK2" s="29">
        <f t="shared" si="4"/>
        <v>261</v>
      </c>
      <c r="JL2" s="29">
        <f t="shared" si="4"/>
        <v>262</v>
      </c>
      <c r="JM2" s="29">
        <f t="shared" si="4"/>
        <v>263</v>
      </c>
      <c r="JN2" s="29">
        <f t="shared" si="4"/>
        <v>264</v>
      </c>
      <c r="JO2" s="29">
        <f t="shared" si="4"/>
        <v>265</v>
      </c>
      <c r="JP2" s="29">
        <f t="shared" si="4"/>
        <v>266</v>
      </c>
      <c r="JQ2" s="29">
        <f t="shared" si="4"/>
        <v>267</v>
      </c>
      <c r="JR2" s="29">
        <f t="shared" si="4"/>
        <v>268</v>
      </c>
      <c r="JS2" s="29">
        <f t="shared" si="4"/>
        <v>269</v>
      </c>
      <c r="JT2" s="29">
        <f t="shared" si="4"/>
        <v>270</v>
      </c>
      <c r="JU2" s="29">
        <f t="shared" si="4"/>
        <v>271</v>
      </c>
      <c r="JV2" s="29">
        <f t="shared" si="4"/>
        <v>272</v>
      </c>
      <c r="JW2" s="29">
        <f t="shared" si="4"/>
        <v>273</v>
      </c>
      <c r="JX2" s="29">
        <f t="shared" si="4"/>
        <v>274</v>
      </c>
      <c r="JY2" s="29">
        <f t="shared" si="4"/>
        <v>275</v>
      </c>
      <c r="JZ2" s="29">
        <f t="shared" si="4"/>
        <v>276</v>
      </c>
      <c r="KA2" s="29">
        <f t="shared" si="4"/>
        <v>277</v>
      </c>
      <c r="KB2" s="29">
        <f t="shared" si="4"/>
        <v>278</v>
      </c>
      <c r="KC2" s="29">
        <f t="shared" si="4"/>
        <v>279</v>
      </c>
      <c r="KD2" s="29">
        <f t="shared" si="4"/>
        <v>280</v>
      </c>
      <c r="KE2" s="29">
        <f t="shared" si="4"/>
        <v>281</v>
      </c>
      <c r="KF2" s="29">
        <f t="shared" si="4"/>
        <v>282</v>
      </c>
      <c r="KG2" s="29">
        <f t="shared" si="4"/>
        <v>283</v>
      </c>
      <c r="KH2" s="29">
        <f t="shared" si="4"/>
        <v>284</v>
      </c>
      <c r="KI2" s="29">
        <f t="shared" si="4"/>
        <v>285</v>
      </c>
      <c r="KJ2" s="29">
        <f t="shared" si="4"/>
        <v>286</v>
      </c>
      <c r="KK2" s="29">
        <f t="shared" si="4"/>
        <v>287</v>
      </c>
      <c r="KL2" s="29">
        <f t="shared" si="4"/>
        <v>288</v>
      </c>
      <c r="KM2" s="29">
        <f t="shared" si="4"/>
        <v>289</v>
      </c>
      <c r="KN2" s="29">
        <f t="shared" si="4"/>
        <v>290</v>
      </c>
      <c r="KO2" s="29">
        <f t="shared" si="4"/>
        <v>291</v>
      </c>
      <c r="KP2" s="29">
        <f t="shared" si="4"/>
        <v>292</v>
      </c>
      <c r="KQ2" s="29">
        <f t="shared" si="4"/>
        <v>293</v>
      </c>
      <c r="KR2" s="29">
        <f t="shared" si="4"/>
        <v>294</v>
      </c>
      <c r="KS2" s="29">
        <f t="shared" si="4"/>
        <v>295</v>
      </c>
      <c r="KT2" s="29">
        <f t="shared" si="4"/>
        <v>296</v>
      </c>
      <c r="KU2" s="29">
        <f t="shared" si="4"/>
        <v>297</v>
      </c>
      <c r="KV2" s="29">
        <f t="shared" si="4"/>
        <v>298</v>
      </c>
      <c r="KW2" s="29">
        <f t="shared" si="4"/>
        <v>299</v>
      </c>
      <c r="KX2" s="29">
        <f t="shared" si="4"/>
        <v>300</v>
      </c>
      <c r="KY2" s="29">
        <f t="shared" si="4"/>
        <v>301</v>
      </c>
      <c r="KZ2" s="29">
        <f t="shared" si="4"/>
        <v>302</v>
      </c>
      <c r="LA2" s="29">
        <f t="shared" si="4"/>
        <v>303</v>
      </c>
      <c r="LB2" s="29">
        <f t="shared" si="4"/>
        <v>304</v>
      </c>
      <c r="LC2" s="29">
        <f t="shared" si="4"/>
        <v>305</v>
      </c>
      <c r="LD2" s="29">
        <f t="shared" si="4"/>
        <v>306</v>
      </c>
      <c r="LE2" s="29">
        <f t="shared" si="4"/>
        <v>307</v>
      </c>
      <c r="LF2" s="29">
        <f t="shared" si="4"/>
        <v>308</v>
      </c>
      <c r="LG2" s="29">
        <f t="shared" si="4"/>
        <v>309</v>
      </c>
      <c r="LH2" s="29">
        <f t="shared" si="4"/>
        <v>310</v>
      </c>
      <c r="LI2" s="29">
        <f t="shared" si="4"/>
        <v>311</v>
      </c>
      <c r="LJ2" s="29">
        <f t="shared" si="4"/>
        <v>312</v>
      </c>
      <c r="LK2" s="29">
        <f t="shared" si="4"/>
        <v>313</v>
      </c>
      <c r="LL2" s="29">
        <f t="shared" si="4"/>
        <v>314</v>
      </c>
      <c r="LM2" s="29">
        <f t="shared" si="4"/>
        <v>315</v>
      </c>
      <c r="LN2" s="29">
        <f t="shared" si="4"/>
        <v>316</v>
      </c>
      <c r="LO2" s="29">
        <f t="shared" si="4"/>
        <v>317</v>
      </c>
      <c r="LP2" s="29">
        <f t="shared" si="4"/>
        <v>318</v>
      </c>
      <c r="LQ2" s="29">
        <f t="shared" si="4"/>
        <v>319</v>
      </c>
      <c r="LR2" s="29">
        <f t="shared" si="4"/>
        <v>320</v>
      </c>
      <c r="LS2" s="29">
        <f t="shared" si="4"/>
        <v>321</v>
      </c>
      <c r="LT2" s="29">
        <f t="shared" si="4"/>
        <v>322</v>
      </c>
      <c r="LU2" s="29">
        <f t="shared" ref="LU2:OF2" si="5">LT2+1</f>
        <v>323</v>
      </c>
      <c r="LV2" s="29">
        <f t="shared" si="5"/>
        <v>324</v>
      </c>
      <c r="LW2" s="29">
        <f t="shared" si="5"/>
        <v>325</v>
      </c>
      <c r="LX2" s="29">
        <f t="shared" si="5"/>
        <v>326</v>
      </c>
      <c r="LY2" s="29">
        <f t="shared" si="5"/>
        <v>327</v>
      </c>
      <c r="LZ2" s="29">
        <f t="shared" si="5"/>
        <v>328</v>
      </c>
      <c r="MA2" s="29">
        <f t="shared" si="5"/>
        <v>329</v>
      </c>
      <c r="MB2" s="29">
        <f t="shared" si="5"/>
        <v>330</v>
      </c>
      <c r="MC2" s="29">
        <f t="shared" si="5"/>
        <v>331</v>
      </c>
      <c r="MD2" s="29">
        <f t="shared" si="5"/>
        <v>332</v>
      </c>
      <c r="ME2" s="29">
        <f t="shared" si="5"/>
        <v>333</v>
      </c>
      <c r="MF2" s="29">
        <f t="shared" si="5"/>
        <v>334</v>
      </c>
      <c r="MG2" s="29">
        <f t="shared" si="5"/>
        <v>335</v>
      </c>
      <c r="MH2" s="29">
        <f t="shared" si="5"/>
        <v>336</v>
      </c>
      <c r="MI2" s="29">
        <f t="shared" si="5"/>
        <v>337</v>
      </c>
      <c r="MJ2" s="29">
        <f t="shared" si="5"/>
        <v>338</v>
      </c>
      <c r="MK2" s="29">
        <f t="shared" si="5"/>
        <v>339</v>
      </c>
      <c r="ML2" s="29">
        <f t="shared" si="5"/>
        <v>340</v>
      </c>
      <c r="MM2" s="29">
        <f t="shared" si="5"/>
        <v>341</v>
      </c>
      <c r="MN2" s="29">
        <f t="shared" si="5"/>
        <v>342</v>
      </c>
      <c r="MO2" s="29">
        <f t="shared" si="5"/>
        <v>343</v>
      </c>
      <c r="MP2" s="29">
        <f t="shared" si="5"/>
        <v>344</v>
      </c>
      <c r="MQ2" s="29">
        <f t="shared" si="5"/>
        <v>345</v>
      </c>
      <c r="MR2" s="29">
        <f t="shared" si="5"/>
        <v>346</v>
      </c>
      <c r="MS2" s="29">
        <f t="shared" si="5"/>
        <v>347</v>
      </c>
      <c r="MT2" s="29">
        <f t="shared" si="5"/>
        <v>348</v>
      </c>
      <c r="MU2" s="29">
        <f t="shared" si="5"/>
        <v>349</v>
      </c>
      <c r="MV2" s="29">
        <f t="shared" si="5"/>
        <v>350</v>
      </c>
      <c r="MW2" s="29">
        <f t="shared" si="5"/>
        <v>351</v>
      </c>
      <c r="MX2" s="29">
        <f t="shared" si="5"/>
        <v>352</v>
      </c>
      <c r="MY2" s="29">
        <f t="shared" si="5"/>
        <v>353</v>
      </c>
      <c r="MZ2" s="29">
        <f t="shared" si="5"/>
        <v>354</v>
      </c>
      <c r="NA2" s="29">
        <f t="shared" si="5"/>
        <v>355</v>
      </c>
      <c r="NB2" s="29">
        <f t="shared" si="5"/>
        <v>356</v>
      </c>
      <c r="NC2" s="29">
        <f t="shared" si="5"/>
        <v>357</v>
      </c>
      <c r="ND2" s="29">
        <f t="shared" si="5"/>
        <v>358</v>
      </c>
      <c r="NE2" s="29">
        <f t="shared" si="5"/>
        <v>359</v>
      </c>
      <c r="NF2" s="29">
        <f t="shared" si="5"/>
        <v>360</v>
      </c>
      <c r="NG2" s="29">
        <f t="shared" si="5"/>
        <v>361</v>
      </c>
      <c r="NH2" s="29">
        <f t="shared" si="5"/>
        <v>362</v>
      </c>
      <c r="NI2" s="29">
        <f t="shared" si="5"/>
        <v>363</v>
      </c>
      <c r="NJ2" s="29">
        <f t="shared" si="5"/>
        <v>364</v>
      </c>
      <c r="NK2" s="29">
        <f t="shared" si="5"/>
        <v>365</v>
      </c>
      <c r="NL2" s="29">
        <f t="shared" si="5"/>
        <v>366</v>
      </c>
      <c r="NM2" s="29">
        <f t="shared" si="5"/>
        <v>367</v>
      </c>
      <c r="NN2" s="29">
        <f t="shared" si="5"/>
        <v>368</v>
      </c>
      <c r="NO2" s="29">
        <f t="shared" si="5"/>
        <v>369</v>
      </c>
      <c r="NP2" s="29">
        <f t="shared" si="5"/>
        <v>370</v>
      </c>
      <c r="NQ2" s="29">
        <f t="shared" si="5"/>
        <v>371</v>
      </c>
      <c r="NR2" s="29">
        <f t="shared" si="5"/>
        <v>372</v>
      </c>
      <c r="NS2" s="29">
        <f t="shared" si="5"/>
        <v>373</v>
      </c>
      <c r="NT2" s="29">
        <f t="shared" si="5"/>
        <v>374</v>
      </c>
      <c r="NU2" s="29">
        <f t="shared" si="5"/>
        <v>375</v>
      </c>
      <c r="NV2" s="29">
        <f t="shared" si="5"/>
        <v>376</v>
      </c>
      <c r="NW2" s="29">
        <f t="shared" si="5"/>
        <v>377</v>
      </c>
      <c r="NX2" s="29">
        <f t="shared" si="5"/>
        <v>378</v>
      </c>
      <c r="NY2" s="29">
        <f t="shared" si="5"/>
        <v>379</v>
      </c>
      <c r="NZ2" s="29">
        <f t="shared" si="5"/>
        <v>380</v>
      </c>
      <c r="OA2" s="29">
        <f t="shared" si="5"/>
        <v>381</v>
      </c>
      <c r="OB2" s="29">
        <f t="shared" si="5"/>
        <v>382</v>
      </c>
      <c r="OC2" s="29">
        <f t="shared" si="5"/>
        <v>383</v>
      </c>
      <c r="OD2" s="29">
        <f t="shared" si="5"/>
        <v>384</v>
      </c>
      <c r="OE2" s="29">
        <f t="shared" si="5"/>
        <v>385</v>
      </c>
      <c r="OF2" s="29">
        <f t="shared" si="5"/>
        <v>386</v>
      </c>
      <c r="OG2" s="29">
        <f t="shared" ref="OG2:QR2" si="6">OF2+1</f>
        <v>387</v>
      </c>
      <c r="OH2" s="29">
        <f t="shared" si="6"/>
        <v>388</v>
      </c>
      <c r="OI2" s="29">
        <f t="shared" si="6"/>
        <v>389</v>
      </c>
      <c r="OJ2" s="29">
        <f t="shared" si="6"/>
        <v>390</v>
      </c>
      <c r="OK2" s="29">
        <f t="shared" si="6"/>
        <v>391</v>
      </c>
      <c r="OL2" s="29">
        <f t="shared" si="6"/>
        <v>392</v>
      </c>
      <c r="OM2" s="29">
        <f t="shared" si="6"/>
        <v>393</v>
      </c>
      <c r="ON2" s="29">
        <f t="shared" si="6"/>
        <v>394</v>
      </c>
      <c r="OO2" s="29">
        <f t="shared" si="6"/>
        <v>395</v>
      </c>
      <c r="OP2" s="29">
        <f t="shared" si="6"/>
        <v>396</v>
      </c>
      <c r="OQ2" s="29">
        <f t="shared" si="6"/>
        <v>397</v>
      </c>
      <c r="OR2" s="29">
        <f t="shared" si="6"/>
        <v>398</v>
      </c>
      <c r="OS2" s="29">
        <f t="shared" si="6"/>
        <v>399</v>
      </c>
      <c r="OT2" s="29">
        <f t="shared" si="6"/>
        <v>400</v>
      </c>
      <c r="OU2" s="29">
        <f t="shared" si="6"/>
        <v>401</v>
      </c>
      <c r="OV2" s="29">
        <f t="shared" si="6"/>
        <v>402</v>
      </c>
      <c r="OW2" s="29">
        <f t="shared" si="6"/>
        <v>403</v>
      </c>
      <c r="OX2" s="29">
        <f t="shared" si="6"/>
        <v>404</v>
      </c>
      <c r="OY2" s="29">
        <f t="shared" si="6"/>
        <v>405</v>
      </c>
      <c r="OZ2" s="29">
        <f t="shared" si="6"/>
        <v>406</v>
      </c>
      <c r="PA2" s="29">
        <f t="shared" si="6"/>
        <v>407</v>
      </c>
      <c r="PB2" s="29">
        <f t="shared" si="6"/>
        <v>408</v>
      </c>
      <c r="PC2" s="29">
        <f t="shared" si="6"/>
        <v>409</v>
      </c>
      <c r="PD2" s="29">
        <f t="shared" si="6"/>
        <v>410</v>
      </c>
      <c r="PE2" s="29">
        <f t="shared" si="6"/>
        <v>411</v>
      </c>
      <c r="PF2" s="29">
        <f t="shared" si="6"/>
        <v>412</v>
      </c>
      <c r="PG2" s="29">
        <f t="shared" si="6"/>
        <v>413</v>
      </c>
      <c r="PH2" s="29">
        <f t="shared" si="6"/>
        <v>414</v>
      </c>
      <c r="PI2" s="29">
        <f t="shared" si="6"/>
        <v>415</v>
      </c>
      <c r="PJ2" s="29">
        <f t="shared" si="6"/>
        <v>416</v>
      </c>
      <c r="PK2" s="29">
        <f t="shared" si="6"/>
        <v>417</v>
      </c>
      <c r="PL2" s="29">
        <f t="shared" si="6"/>
        <v>418</v>
      </c>
      <c r="PM2" s="29">
        <f t="shared" si="6"/>
        <v>419</v>
      </c>
      <c r="PN2" s="29">
        <f t="shared" si="6"/>
        <v>420</v>
      </c>
      <c r="PO2" s="29">
        <f t="shared" si="6"/>
        <v>421</v>
      </c>
      <c r="PP2" s="29">
        <f t="shared" si="6"/>
        <v>422</v>
      </c>
      <c r="PQ2" s="29">
        <f t="shared" si="6"/>
        <v>423</v>
      </c>
      <c r="PR2" s="29">
        <f t="shared" si="6"/>
        <v>424</v>
      </c>
      <c r="PS2" s="29">
        <f t="shared" si="6"/>
        <v>425</v>
      </c>
      <c r="PT2" s="29">
        <f t="shared" si="6"/>
        <v>426</v>
      </c>
      <c r="PU2" s="29">
        <f t="shared" si="6"/>
        <v>427</v>
      </c>
      <c r="PV2" s="29">
        <f t="shared" si="6"/>
        <v>428</v>
      </c>
      <c r="PW2" s="29">
        <f t="shared" si="6"/>
        <v>429</v>
      </c>
      <c r="PX2" s="29">
        <f t="shared" si="6"/>
        <v>430</v>
      </c>
      <c r="PY2" s="29">
        <f t="shared" si="6"/>
        <v>431</v>
      </c>
      <c r="PZ2" s="29">
        <f t="shared" si="6"/>
        <v>432</v>
      </c>
      <c r="QA2" s="29">
        <f t="shared" si="6"/>
        <v>433</v>
      </c>
      <c r="QB2" s="29">
        <f t="shared" si="6"/>
        <v>434</v>
      </c>
      <c r="QC2" s="29">
        <f t="shared" si="6"/>
        <v>435</v>
      </c>
      <c r="QD2" s="29">
        <f t="shared" si="6"/>
        <v>436</v>
      </c>
      <c r="QE2" s="29">
        <f t="shared" si="6"/>
        <v>437</v>
      </c>
      <c r="QF2" s="29">
        <f t="shared" si="6"/>
        <v>438</v>
      </c>
      <c r="QG2" s="29">
        <f t="shared" si="6"/>
        <v>439</v>
      </c>
      <c r="QH2" s="29">
        <f t="shared" si="6"/>
        <v>440</v>
      </c>
      <c r="QI2" s="29">
        <f t="shared" si="6"/>
        <v>441</v>
      </c>
      <c r="QJ2" s="29">
        <f t="shared" si="6"/>
        <v>442</v>
      </c>
      <c r="QK2" s="29">
        <f t="shared" si="6"/>
        <v>443</v>
      </c>
      <c r="QL2" s="29">
        <f t="shared" si="6"/>
        <v>444</v>
      </c>
      <c r="QM2" s="29">
        <f t="shared" si="6"/>
        <v>445</v>
      </c>
      <c r="QN2" s="29">
        <f t="shared" si="6"/>
        <v>446</v>
      </c>
      <c r="QO2" s="29">
        <f t="shared" si="6"/>
        <v>447</v>
      </c>
      <c r="QP2" s="29">
        <f t="shared" si="6"/>
        <v>448</v>
      </c>
      <c r="QQ2" s="29">
        <f t="shared" si="6"/>
        <v>449</v>
      </c>
      <c r="QR2" s="29">
        <f t="shared" si="6"/>
        <v>450</v>
      </c>
      <c r="QS2" s="29">
        <f t="shared" ref="QS2:TD2" si="7">QR2+1</f>
        <v>451</v>
      </c>
      <c r="QT2" s="29">
        <f t="shared" si="7"/>
        <v>452</v>
      </c>
      <c r="QU2" s="29">
        <f t="shared" si="7"/>
        <v>453</v>
      </c>
      <c r="QV2" s="29">
        <f t="shared" si="7"/>
        <v>454</v>
      </c>
      <c r="QW2" s="29">
        <f t="shared" si="7"/>
        <v>455</v>
      </c>
      <c r="QX2" s="29">
        <f t="shared" si="7"/>
        <v>456</v>
      </c>
      <c r="QY2" s="29">
        <f t="shared" si="7"/>
        <v>457</v>
      </c>
      <c r="QZ2" s="29">
        <f t="shared" si="7"/>
        <v>458</v>
      </c>
      <c r="RA2" s="29">
        <f t="shared" si="7"/>
        <v>459</v>
      </c>
      <c r="RB2" s="29">
        <f t="shared" si="7"/>
        <v>460</v>
      </c>
      <c r="RC2" s="29">
        <f t="shared" si="7"/>
        <v>461</v>
      </c>
      <c r="RD2" s="29">
        <f t="shared" si="7"/>
        <v>462</v>
      </c>
      <c r="RE2" s="29">
        <f t="shared" si="7"/>
        <v>463</v>
      </c>
      <c r="RF2" s="29">
        <f t="shared" si="7"/>
        <v>464</v>
      </c>
      <c r="RG2" s="29">
        <f t="shared" si="7"/>
        <v>465</v>
      </c>
      <c r="RH2" s="29">
        <f t="shared" si="7"/>
        <v>466</v>
      </c>
      <c r="RI2" s="29">
        <f t="shared" si="7"/>
        <v>467</v>
      </c>
      <c r="RJ2" s="29">
        <f t="shared" si="7"/>
        <v>468</v>
      </c>
      <c r="RK2" s="29">
        <f t="shared" si="7"/>
        <v>469</v>
      </c>
      <c r="RL2" s="29">
        <f t="shared" si="7"/>
        <v>470</v>
      </c>
      <c r="RM2" s="29">
        <f t="shared" si="7"/>
        <v>471</v>
      </c>
      <c r="RN2" s="29">
        <f t="shared" si="7"/>
        <v>472</v>
      </c>
      <c r="RO2" s="29">
        <f t="shared" si="7"/>
        <v>473</v>
      </c>
      <c r="RP2" s="29">
        <f t="shared" si="7"/>
        <v>474</v>
      </c>
      <c r="RQ2" s="29">
        <f t="shared" si="7"/>
        <v>475</v>
      </c>
      <c r="RR2" s="29">
        <f t="shared" si="7"/>
        <v>476</v>
      </c>
      <c r="RS2" s="29">
        <f t="shared" si="7"/>
        <v>477</v>
      </c>
      <c r="RT2" s="29">
        <f t="shared" si="7"/>
        <v>478</v>
      </c>
      <c r="RU2" s="29">
        <f t="shared" si="7"/>
        <v>479</v>
      </c>
      <c r="RV2" s="29">
        <f t="shared" si="7"/>
        <v>480</v>
      </c>
      <c r="RW2" s="29">
        <f t="shared" si="7"/>
        <v>481</v>
      </c>
      <c r="RX2" s="29">
        <f t="shared" si="7"/>
        <v>482</v>
      </c>
      <c r="RY2" s="29">
        <f t="shared" si="7"/>
        <v>483</v>
      </c>
      <c r="RZ2" s="29">
        <f t="shared" si="7"/>
        <v>484</v>
      </c>
      <c r="SA2" s="29">
        <f t="shared" si="7"/>
        <v>485</v>
      </c>
      <c r="SB2" s="29">
        <f t="shared" si="7"/>
        <v>486</v>
      </c>
      <c r="SC2" s="29">
        <f t="shared" si="7"/>
        <v>487</v>
      </c>
      <c r="SD2" s="29">
        <f t="shared" si="7"/>
        <v>488</v>
      </c>
      <c r="SE2" s="29">
        <f t="shared" si="7"/>
        <v>489</v>
      </c>
      <c r="SF2" s="29">
        <f t="shared" si="7"/>
        <v>490</v>
      </c>
      <c r="SG2" s="29">
        <f t="shared" si="7"/>
        <v>491</v>
      </c>
      <c r="SH2" s="29">
        <f t="shared" si="7"/>
        <v>492</v>
      </c>
      <c r="SI2" s="29">
        <f t="shared" si="7"/>
        <v>493</v>
      </c>
      <c r="SJ2" s="29">
        <f t="shared" si="7"/>
        <v>494</v>
      </c>
      <c r="SK2" s="29">
        <f t="shared" si="7"/>
        <v>495</v>
      </c>
      <c r="SL2" s="29">
        <f t="shared" si="7"/>
        <v>496</v>
      </c>
      <c r="SM2" s="29">
        <f t="shared" si="7"/>
        <v>497</v>
      </c>
      <c r="SN2" s="29">
        <f t="shared" si="7"/>
        <v>498</v>
      </c>
      <c r="SO2" s="29">
        <f t="shared" si="7"/>
        <v>499</v>
      </c>
      <c r="SP2" s="29">
        <f t="shared" si="7"/>
        <v>500</v>
      </c>
      <c r="SQ2" s="29">
        <f t="shared" si="7"/>
        <v>501</v>
      </c>
      <c r="SR2" s="29">
        <f t="shared" si="7"/>
        <v>502</v>
      </c>
      <c r="SS2" s="29">
        <f t="shared" si="7"/>
        <v>503</v>
      </c>
      <c r="ST2" s="29">
        <f t="shared" si="7"/>
        <v>504</v>
      </c>
      <c r="SU2" s="29">
        <f t="shared" si="7"/>
        <v>505</v>
      </c>
      <c r="SV2" s="29">
        <f t="shared" si="7"/>
        <v>506</v>
      </c>
      <c r="SW2" s="29">
        <f t="shared" si="7"/>
        <v>507</v>
      </c>
      <c r="SX2" s="29">
        <f t="shared" si="7"/>
        <v>508</v>
      </c>
      <c r="SY2" s="29">
        <f t="shared" si="7"/>
        <v>509</v>
      </c>
      <c r="SZ2" s="29">
        <f t="shared" si="7"/>
        <v>510</v>
      </c>
      <c r="TA2" s="29">
        <f t="shared" si="7"/>
        <v>511</v>
      </c>
      <c r="TB2" s="29">
        <f t="shared" si="7"/>
        <v>512</v>
      </c>
      <c r="TC2" s="29">
        <f t="shared" si="7"/>
        <v>513</v>
      </c>
      <c r="TD2" s="29">
        <f t="shared" si="7"/>
        <v>514</v>
      </c>
      <c r="TE2" s="29">
        <f t="shared" ref="TE2:VP2" si="8">TD2+1</f>
        <v>515</v>
      </c>
      <c r="TF2" s="29">
        <f t="shared" si="8"/>
        <v>516</v>
      </c>
      <c r="TG2" s="29">
        <f t="shared" si="8"/>
        <v>517</v>
      </c>
      <c r="TH2" s="29">
        <f t="shared" si="8"/>
        <v>518</v>
      </c>
      <c r="TI2" s="29">
        <f t="shared" si="8"/>
        <v>519</v>
      </c>
      <c r="TJ2" s="29">
        <f t="shared" si="8"/>
        <v>520</v>
      </c>
      <c r="TK2" s="29">
        <f t="shared" si="8"/>
        <v>521</v>
      </c>
      <c r="TL2" s="29">
        <f t="shared" si="8"/>
        <v>522</v>
      </c>
      <c r="TM2" s="29">
        <f t="shared" si="8"/>
        <v>523</v>
      </c>
      <c r="TN2" s="29">
        <f t="shared" si="8"/>
        <v>524</v>
      </c>
      <c r="TO2" s="29">
        <f t="shared" si="8"/>
        <v>525</v>
      </c>
      <c r="TP2" s="29">
        <f t="shared" si="8"/>
        <v>526</v>
      </c>
      <c r="TQ2" s="29">
        <f t="shared" si="8"/>
        <v>527</v>
      </c>
      <c r="TR2" s="29">
        <f t="shared" si="8"/>
        <v>528</v>
      </c>
      <c r="TS2" s="29">
        <f t="shared" si="8"/>
        <v>529</v>
      </c>
      <c r="TT2" s="29">
        <f t="shared" si="8"/>
        <v>530</v>
      </c>
      <c r="TU2" s="29">
        <f t="shared" si="8"/>
        <v>531</v>
      </c>
      <c r="TV2" s="29">
        <f t="shared" si="8"/>
        <v>532</v>
      </c>
      <c r="TW2" s="29">
        <f t="shared" si="8"/>
        <v>533</v>
      </c>
      <c r="TX2" s="29">
        <f t="shared" si="8"/>
        <v>534</v>
      </c>
      <c r="TY2" s="29">
        <f t="shared" si="8"/>
        <v>535</v>
      </c>
      <c r="TZ2" s="29">
        <f t="shared" si="8"/>
        <v>536</v>
      </c>
      <c r="UA2" s="29">
        <f t="shared" si="8"/>
        <v>537</v>
      </c>
      <c r="UB2" s="29">
        <f t="shared" si="8"/>
        <v>538</v>
      </c>
      <c r="UC2" s="29">
        <f t="shared" si="8"/>
        <v>539</v>
      </c>
      <c r="UD2" s="29">
        <f t="shared" si="8"/>
        <v>540</v>
      </c>
      <c r="UE2" s="29">
        <f t="shared" si="8"/>
        <v>541</v>
      </c>
      <c r="UF2" s="29">
        <f t="shared" si="8"/>
        <v>542</v>
      </c>
      <c r="UG2" s="29">
        <f t="shared" si="8"/>
        <v>543</v>
      </c>
      <c r="UH2" s="29">
        <f t="shared" si="8"/>
        <v>544</v>
      </c>
      <c r="UI2" s="29">
        <f t="shared" si="8"/>
        <v>545</v>
      </c>
      <c r="UJ2" s="29">
        <f t="shared" si="8"/>
        <v>546</v>
      </c>
      <c r="UK2" s="29">
        <f t="shared" si="8"/>
        <v>547</v>
      </c>
      <c r="UL2" s="29">
        <f t="shared" si="8"/>
        <v>548</v>
      </c>
      <c r="UM2" s="29">
        <f t="shared" si="8"/>
        <v>549</v>
      </c>
      <c r="UN2" s="29">
        <f t="shared" si="8"/>
        <v>550</v>
      </c>
      <c r="UO2" s="29">
        <f t="shared" si="8"/>
        <v>551</v>
      </c>
      <c r="UP2" s="29">
        <f t="shared" si="8"/>
        <v>552</v>
      </c>
      <c r="UQ2" s="29">
        <f t="shared" si="8"/>
        <v>553</v>
      </c>
      <c r="UR2" s="29">
        <f t="shared" si="8"/>
        <v>554</v>
      </c>
      <c r="US2" s="29">
        <f t="shared" si="8"/>
        <v>555</v>
      </c>
      <c r="UT2" s="29">
        <f t="shared" si="8"/>
        <v>556</v>
      </c>
      <c r="UU2" s="29">
        <f t="shared" si="8"/>
        <v>557</v>
      </c>
      <c r="UV2" s="29">
        <f t="shared" si="8"/>
        <v>558</v>
      </c>
      <c r="UW2" s="29">
        <f t="shared" si="8"/>
        <v>559</v>
      </c>
      <c r="UX2" s="29">
        <f t="shared" si="8"/>
        <v>560</v>
      </c>
      <c r="UY2" s="29">
        <f t="shared" si="8"/>
        <v>561</v>
      </c>
      <c r="UZ2" s="29">
        <f t="shared" si="8"/>
        <v>562</v>
      </c>
      <c r="VA2" s="29">
        <f t="shared" si="8"/>
        <v>563</v>
      </c>
      <c r="VB2" s="29">
        <f t="shared" si="8"/>
        <v>564</v>
      </c>
      <c r="VC2" s="29">
        <f t="shared" si="8"/>
        <v>565</v>
      </c>
      <c r="VD2" s="29">
        <f t="shared" si="8"/>
        <v>566</v>
      </c>
      <c r="VE2" s="29">
        <f t="shared" si="8"/>
        <v>567</v>
      </c>
      <c r="VF2" s="29">
        <f t="shared" si="8"/>
        <v>568</v>
      </c>
      <c r="VG2" s="29">
        <f t="shared" si="8"/>
        <v>569</v>
      </c>
      <c r="VH2" s="29">
        <f t="shared" si="8"/>
        <v>570</v>
      </c>
      <c r="VI2" s="29">
        <f t="shared" si="8"/>
        <v>571</v>
      </c>
      <c r="VJ2" s="29">
        <f t="shared" si="8"/>
        <v>572</v>
      </c>
      <c r="VK2" s="29">
        <f t="shared" si="8"/>
        <v>573</v>
      </c>
      <c r="VL2" s="29">
        <f t="shared" si="8"/>
        <v>574</v>
      </c>
      <c r="VM2" s="29">
        <f t="shared" si="8"/>
        <v>575</v>
      </c>
      <c r="VN2" s="29">
        <f t="shared" si="8"/>
        <v>576</v>
      </c>
      <c r="VO2" s="29">
        <f t="shared" si="8"/>
        <v>577</v>
      </c>
      <c r="VP2" s="29">
        <f t="shared" si="8"/>
        <v>578</v>
      </c>
      <c r="VQ2" s="29">
        <f t="shared" ref="VQ2:YB2" si="9">VP2+1</f>
        <v>579</v>
      </c>
      <c r="VR2" s="29">
        <f t="shared" si="9"/>
        <v>580</v>
      </c>
      <c r="VS2" s="29">
        <f t="shared" si="9"/>
        <v>581</v>
      </c>
      <c r="VT2" s="29">
        <f t="shared" si="9"/>
        <v>582</v>
      </c>
      <c r="VU2" s="29">
        <f t="shared" si="9"/>
        <v>583</v>
      </c>
      <c r="VV2" s="29">
        <f t="shared" si="9"/>
        <v>584</v>
      </c>
      <c r="VW2" s="29">
        <f t="shared" si="9"/>
        <v>585</v>
      </c>
      <c r="VX2" s="29">
        <f t="shared" si="9"/>
        <v>586</v>
      </c>
      <c r="VY2" s="29">
        <f t="shared" si="9"/>
        <v>587</v>
      </c>
      <c r="VZ2" s="29">
        <f t="shared" si="9"/>
        <v>588</v>
      </c>
      <c r="WA2" s="29">
        <f t="shared" si="9"/>
        <v>589</v>
      </c>
      <c r="WB2" s="29">
        <f t="shared" si="9"/>
        <v>590</v>
      </c>
      <c r="WC2" s="29">
        <f t="shared" si="9"/>
        <v>591</v>
      </c>
      <c r="WD2" s="29">
        <f t="shared" si="9"/>
        <v>592</v>
      </c>
      <c r="WE2" s="29">
        <f t="shared" si="9"/>
        <v>593</v>
      </c>
      <c r="WF2" s="29">
        <f t="shared" si="9"/>
        <v>594</v>
      </c>
      <c r="WG2" s="29">
        <f t="shared" si="9"/>
        <v>595</v>
      </c>
      <c r="WH2" s="29">
        <f t="shared" si="9"/>
        <v>596</v>
      </c>
      <c r="WI2" s="29">
        <f t="shared" si="9"/>
        <v>597</v>
      </c>
      <c r="WJ2" s="29">
        <f t="shared" si="9"/>
        <v>598</v>
      </c>
      <c r="WK2" s="29">
        <f t="shared" si="9"/>
        <v>599</v>
      </c>
      <c r="WL2" s="29">
        <f t="shared" si="9"/>
        <v>600</v>
      </c>
      <c r="WM2" s="29">
        <f t="shared" si="9"/>
        <v>601</v>
      </c>
      <c r="WN2" s="29">
        <f t="shared" si="9"/>
        <v>602</v>
      </c>
      <c r="WO2" s="29">
        <f t="shared" si="9"/>
        <v>603</v>
      </c>
      <c r="WP2" s="29">
        <f t="shared" si="9"/>
        <v>604</v>
      </c>
      <c r="WQ2" s="29">
        <f t="shared" si="9"/>
        <v>605</v>
      </c>
      <c r="WR2" s="29">
        <f t="shared" si="9"/>
        <v>606</v>
      </c>
      <c r="WS2" s="29">
        <f t="shared" si="9"/>
        <v>607</v>
      </c>
      <c r="WT2" s="29">
        <f t="shared" si="9"/>
        <v>608</v>
      </c>
      <c r="WU2" s="29">
        <f t="shared" si="9"/>
        <v>609</v>
      </c>
      <c r="WV2" s="29">
        <f t="shared" si="9"/>
        <v>610</v>
      </c>
      <c r="WW2" s="29">
        <f t="shared" si="9"/>
        <v>611</v>
      </c>
      <c r="WX2" s="29">
        <f t="shared" si="9"/>
        <v>612</v>
      </c>
      <c r="WY2" s="29">
        <f t="shared" si="9"/>
        <v>613</v>
      </c>
      <c r="WZ2" s="29">
        <f t="shared" si="9"/>
        <v>614</v>
      </c>
      <c r="XA2" s="29">
        <f t="shared" si="9"/>
        <v>615</v>
      </c>
      <c r="XB2" s="29">
        <f t="shared" si="9"/>
        <v>616</v>
      </c>
      <c r="XC2" s="29">
        <f t="shared" si="9"/>
        <v>617</v>
      </c>
      <c r="XD2" s="29">
        <f t="shared" si="9"/>
        <v>618</v>
      </c>
      <c r="XE2" s="29">
        <f t="shared" si="9"/>
        <v>619</v>
      </c>
      <c r="XF2" s="29">
        <f t="shared" si="9"/>
        <v>620</v>
      </c>
      <c r="XG2" s="29">
        <f t="shared" si="9"/>
        <v>621</v>
      </c>
      <c r="XH2" s="29">
        <f t="shared" si="9"/>
        <v>622</v>
      </c>
      <c r="XI2" s="29">
        <f t="shared" si="9"/>
        <v>623</v>
      </c>
      <c r="XJ2" s="29">
        <f t="shared" si="9"/>
        <v>624</v>
      </c>
      <c r="XK2" s="29">
        <f t="shared" si="9"/>
        <v>625</v>
      </c>
      <c r="XL2" s="29">
        <f t="shared" si="9"/>
        <v>626</v>
      </c>
      <c r="XM2" s="29">
        <f t="shared" si="9"/>
        <v>627</v>
      </c>
      <c r="XN2" s="29">
        <f t="shared" si="9"/>
        <v>628</v>
      </c>
      <c r="XO2" s="29">
        <f t="shared" si="9"/>
        <v>629</v>
      </c>
      <c r="XP2" s="29">
        <f t="shared" si="9"/>
        <v>630</v>
      </c>
      <c r="XQ2" s="29">
        <f t="shared" si="9"/>
        <v>631</v>
      </c>
      <c r="XR2" s="29">
        <f t="shared" si="9"/>
        <v>632</v>
      </c>
      <c r="XS2" s="29">
        <f t="shared" si="9"/>
        <v>633</v>
      </c>
      <c r="XT2" s="29">
        <f t="shared" si="9"/>
        <v>634</v>
      </c>
      <c r="XU2" s="29">
        <f t="shared" si="9"/>
        <v>635</v>
      </c>
      <c r="XV2" s="29">
        <f t="shared" si="9"/>
        <v>636</v>
      </c>
      <c r="XW2" s="29">
        <f t="shared" si="9"/>
        <v>637</v>
      </c>
      <c r="XX2" s="29">
        <f t="shared" si="9"/>
        <v>638</v>
      </c>
      <c r="XY2" s="29">
        <f t="shared" si="9"/>
        <v>639</v>
      </c>
      <c r="XZ2" s="29">
        <f t="shared" si="9"/>
        <v>640</v>
      </c>
      <c r="YA2" s="29">
        <f t="shared" si="9"/>
        <v>641</v>
      </c>
      <c r="YB2" s="29">
        <f t="shared" si="9"/>
        <v>642</v>
      </c>
      <c r="YC2" s="29">
        <f t="shared" ref="YC2:AAN2" si="10">YB2+1</f>
        <v>643</v>
      </c>
      <c r="YD2" s="29">
        <f t="shared" si="10"/>
        <v>644</v>
      </c>
      <c r="YE2" s="29">
        <f t="shared" si="10"/>
        <v>645</v>
      </c>
      <c r="YF2" s="29">
        <f t="shared" si="10"/>
        <v>646</v>
      </c>
      <c r="YG2" s="29">
        <f t="shared" si="10"/>
        <v>647</v>
      </c>
      <c r="YH2" s="29">
        <f t="shared" si="10"/>
        <v>648</v>
      </c>
      <c r="YI2" s="29">
        <f t="shared" si="10"/>
        <v>649</v>
      </c>
      <c r="YJ2" s="29">
        <f t="shared" si="10"/>
        <v>650</v>
      </c>
      <c r="YK2" s="29">
        <f t="shared" si="10"/>
        <v>651</v>
      </c>
      <c r="YL2" s="29">
        <f t="shared" si="10"/>
        <v>652</v>
      </c>
      <c r="YM2" s="29">
        <f t="shared" si="10"/>
        <v>653</v>
      </c>
      <c r="YN2" s="29">
        <f t="shared" si="10"/>
        <v>654</v>
      </c>
      <c r="YO2" s="29">
        <f t="shared" si="10"/>
        <v>655</v>
      </c>
      <c r="YP2" s="29">
        <f t="shared" si="10"/>
        <v>656</v>
      </c>
      <c r="YQ2" s="29">
        <f t="shared" si="10"/>
        <v>657</v>
      </c>
      <c r="YR2" s="29">
        <f t="shared" si="10"/>
        <v>658</v>
      </c>
      <c r="YS2" s="29">
        <f t="shared" si="10"/>
        <v>659</v>
      </c>
      <c r="YT2" s="29">
        <f t="shared" si="10"/>
        <v>660</v>
      </c>
      <c r="YU2" s="29">
        <f t="shared" si="10"/>
        <v>661</v>
      </c>
      <c r="YV2" s="29">
        <f t="shared" si="10"/>
        <v>662</v>
      </c>
      <c r="YW2" s="29">
        <f t="shared" si="10"/>
        <v>663</v>
      </c>
      <c r="YX2" s="29">
        <f t="shared" si="10"/>
        <v>664</v>
      </c>
      <c r="YY2" s="29">
        <f t="shared" si="10"/>
        <v>665</v>
      </c>
      <c r="YZ2" s="29">
        <f t="shared" si="10"/>
        <v>666</v>
      </c>
      <c r="ZA2" s="29">
        <f t="shared" si="10"/>
        <v>667</v>
      </c>
      <c r="ZB2" s="29">
        <f t="shared" si="10"/>
        <v>668</v>
      </c>
      <c r="ZC2" s="29">
        <f t="shared" si="10"/>
        <v>669</v>
      </c>
      <c r="ZD2" s="29">
        <f t="shared" si="10"/>
        <v>670</v>
      </c>
      <c r="ZE2" s="29">
        <f t="shared" si="10"/>
        <v>671</v>
      </c>
      <c r="ZF2" s="29">
        <f t="shared" si="10"/>
        <v>672</v>
      </c>
      <c r="ZG2" s="29">
        <f t="shared" si="10"/>
        <v>673</v>
      </c>
      <c r="ZH2" s="29">
        <f t="shared" si="10"/>
        <v>674</v>
      </c>
      <c r="ZI2" s="29">
        <f t="shared" si="10"/>
        <v>675</v>
      </c>
      <c r="ZJ2" s="29">
        <f t="shared" si="10"/>
        <v>676</v>
      </c>
      <c r="ZK2" s="29">
        <f t="shared" si="10"/>
        <v>677</v>
      </c>
      <c r="ZL2" s="29">
        <f t="shared" si="10"/>
        <v>678</v>
      </c>
      <c r="ZM2" s="29">
        <f t="shared" si="10"/>
        <v>679</v>
      </c>
      <c r="ZN2" s="29">
        <f t="shared" si="10"/>
        <v>680</v>
      </c>
      <c r="ZO2" s="29">
        <f t="shared" si="10"/>
        <v>681</v>
      </c>
      <c r="ZP2" s="29">
        <f t="shared" si="10"/>
        <v>682</v>
      </c>
      <c r="ZQ2" s="29">
        <f t="shared" si="10"/>
        <v>683</v>
      </c>
      <c r="ZR2" s="29">
        <f t="shared" si="10"/>
        <v>684</v>
      </c>
      <c r="ZS2" s="29">
        <f t="shared" si="10"/>
        <v>685</v>
      </c>
      <c r="ZT2" s="29">
        <f t="shared" si="10"/>
        <v>686</v>
      </c>
      <c r="ZU2" s="29">
        <f t="shared" si="10"/>
        <v>687</v>
      </c>
      <c r="ZV2" s="29">
        <f t="shared" si="10"/>
        <v>688</v>
      </c>
      <c r="ZW2" s="29">
        <f t="shared" si="10"/>
        <v>689</v>
      </c>
      <c r="ZX2" s="29">
        <f t="shared" si="10"/>
        <v>690</v>
      </c>
      <c r="ZY2" s="29">
        <f t="shared" si="10"/>
        <v>691</v>
      </c>
      <c r="ZZ2" s="29">
        <f t="shared" si="10"/>
        <v>692</v>
      </c>
      <c r="AAA2" s="29">
        <f t="shared" si="10"/>
        <v>693</v>
      </c>
      <c r="AAB2" s="29">
        <f t="shared" si="10"/>
        <v>694</v>
      </c>
      <c r="AAC2" s="29">
        <f t="shared" si="10"/>
        <v>695</v>
      </c>
      <c r="AAD2" s="29">
        <f t="shared" si="10"/>
        <v>696</v>
      </c>
      <c r="AAE2" s="29">
        <f t="shared" si="10"/>
        <v>697</v>
      </c>
      <c r="AAF2" s="29">
        <f t="shared" si="10"/>
        <v>698</v>
      </c>
      <c r="AAG2" s="29">
        <f t="shared" si="10"/>
        <v>699</v>
      </c>
      <c r="AAH2" s="29">
        <f t="shared" si="10"/>
        <v>700</v>
      </c>
      <c r="AAI2" s="29">
        <f t="shared" si="10"/>
        <v>701</v>
      </c>
      <c r="AAJ2" s="29">
        <f t="shared" si="10"/>
        <v>702</v>
      </c>
      <c r="AAK2" s="29">
        <f t="shared" si="10"/>
        <v>703</v>
      </c>
      <c r="AAL2" s="29">
        <f t="shared" si="10"/>
        <v>704</v>
      </c>
      <c r="AAM2" s="29">
        <f t="shared" si="10"/>
        <v>705</v>
      </c>
      <c r="AAN2" s="29">
        <f t="shared" si="10"/>
        <v>706</v>
      </c>
      <c r="AAO2" s="29">
        <f t="shared" ref="AAO2:ACZ2" si="11">AAN2+1</f>
        <v>707</v>
      </c>
      <c r="AAP2" s="29">
        <f t="shared" si="11"/>
        <v>708</v>
      </c>
      <c r="AAQ2" s="29">
        <f t="shared" si="11"/>
        <v>709</v>
      </c>
      <c r="AAR2" s="29">
        <f t="shared" si="11"/>
        <v>710</v>
      </c>
      <c r="AAS2" s="29">
        <f t="shared" si="11"/>
        <v>711</v>
      </c>
      <c r="AAT2" s="29">
        <f t="shared" si="11"/>
        <v>712</v>
      </c>
      <c r="AAU2" s="29">
        <f t="shared" si="11"/>
        <v>713</v>
      </c>
      <c r="AAV2" s="29">
        <f t="shared" si="11"/>
        <v>714</v>
      </c>
      <c r="AAW2" s="29">
        <f t="shared" si="11"/>
        <v>715</v>
      </c>
      <c r="AAX2" s="29">
        <f t="shared" si="11"/>
        <v>716</v>
      </c>
      <c r="AAY2" s="29">
        <f t="shared" si="11"/>
        <v>717</v>
      </c>
      <c r="AAZ2" s="29">
        <f t="shared" si="11"/>
        <v>718</v>
      </c>
      <c r="ABA2" s="29">
        <f t="shared" si="11"/>
        <v>719</v>
      </c>
      <c r="ABB2" s="29">
        <f t="shared" si="11"/>
        <v>720</v>
      </c>
      <c r="ABC2" s="29">
        <f t="shared" si="11"/>
        <v>721</v>
      </c>
      <c r="ABD2" s="29">
        <f t="shared" si="11"/>
        <v>722</v>
      </c>
      <c r="ABE2" s="29">
        <f t="shared" si="11"/>
        <v>723</v>
      </c>
      <c r="ABF2" s="29">
        <f t="shared" si="11"/>
        <v>724</v>
      </c>
      <c r="ABG2" s="29">
        <f t="shared" si="11"/>
        <v>725</v>
      </c>
      <c r="ABH2" s="29">
        <f t="shared" si="11"/>
        <v>726</v>
      </c>
      <c r="ABI2" s="29">
        <f t="shared" si="11"/>
        <v>727</v>
      </c>
      <c r="ABJ2" s="29">
        <f t="shared" si="11"/>
        <v>728</v>
      </c>
      <c r="ABK2" s="29">
        <f t="shared" si="11"/>
        <v>729</v>
      </c>
      <c r="ABL2" s="29">
        <f t="shared" si="11"/>
        <v>730</v>
      </c>
      <c r="ABM2" s="29">
        <f t="shared" si="11"/>
        <v>731</v>
      </c>
      <c r="ABN2" s="29">
        <f t="shared" si="11"/>
        <v>732</v>
      </c>
      <c r="ABO2" s="29">
        <f t="shared" si="11"/>
        <v>733</v>
      </c>
      <c r="ABP2" s="29">
        <f t="shared" si="11"/>
        <v>734</v>
      </c>
      <c r="ABQ2" s="29">
        <f t="shared" si="11"/>
        <v>735</v>
      </c>
      <c r="ABR2" s="29">
        <f t="shared" si="11"/>
        <v>736</v>
      </c>
      <c r="ABS2" s="29">
        <f t="shared" si="11"/>
        <v>737</v>
      </c>
      <c r="ABT2" s="29">
        <f t="shared" si="11"/>
        <v>738</v>
      </c>
      <c r="ABU2" s="29">
        <f t="shared" si="11"/>
        <v>739</v>
      </c>
      <c r="ABV2" s="29">
        <f t="shared" si="11"/>
        <v>740</v>
      </c>
      <c r="ABW2" s="29">
        <f t="shared" si="11"/>
        <v>741</v>
      </c>
      <c r="ABX2" s="29">
        <f t="shared" si="11"/>
        <v>742</v>
      </c>
      <c r="ABY2" s="29">
        <f t="shared" si="11"/>
        <v>743</v>
      </c>
      <c r="ABZ2" s="29">
        <f t="shared" si="11"/>
        <v>744</v>
      </c>
      <c r="ACA2" s="29">
        <f t="shared" si="11"/>
        <v>745</v>
      </c>
      <c r="ACB2" s="29">
        <f t="shared" si="11"/>
        <v>746</v>
      </c>
      <c r="ACC2" s="29">
        <f t="shared" si="11"/>
        <v>747</v>
      </c>
      <c r="ACD2" s="29">
        <f t="shared" si="11"/>
        <v>748</v>
      </c>
      <c r="ACE2" s="29">
        <f t="shared" si="11"/>
        <v>749</v>
      </c>
      <c r="ACF2" s="29">
        <f t="shared" si="11"/>
        <v>750</v>
      </c>
      <c r="ACG2" s="29">
        <f t="shared" si="11"/>
        <v>751</v>
      </c>
      <c r="ACH2" s="29">
        <f t="shared" si="11"/>
        <v>752</v>
      </c>
      <c r="ACI2" s="29">
        <f t="shared" si="11"/>
        <v>753</v>
      </c>
      <c r="ACJ2" s="29">
        <f t="shared" si="11"/>
        <v>754</v>
      </c>
      <c r="ACK2" s="29">
        <f t="shared" si="11"/>
        <v>755</v>
      </c>
      <c r="ACL2" s="29">
        <f t="shared" si="11"/>
        <v>756</v>
      </c>
      <c r="ACM2" s="29">
        <f t="shared" si="11"/>
        <v>757</v>
      </c>
      <c r="ACN2" s="29">
        <f t="shared" si="11"/>
        <v>758</v>
      </c>
      <c r="ACO2" s="29">
        <f t="shared" si="11"/>
        <v>759</v>
      </c>
      <c r="ACP2" s="29">
        <f t="shared" si="11"/>
        <v>760</v>
      </c>
      <c r="ACQ2" s="29">
        <f t="shared" si="11"/>
        <v>761</v>
      </c>
      <c r="ACR2" s="29">
        <f t="shared" si="11"/>
        <v>762</v>
      </c>
      <c r="ACS2" s="29">
        <f t="shared" si="11"/>
        <v>763</v>
      </c>
      <c r="ACT2" s="29">
        <f t="shared" si="11"/>
        <v>764</v>
      </c>
      <c r="ACU2" s="29">
        <f t="shared" si="11"/>
        <v>765</v>
      </c>
      <c r="ACV2" s="29">
        <f t="shared" si="11"/>
        <v>766</v>
      </c>
      <c r="ACW2" s="29">
        <f t="shared" si="11"/>
        <v>767</v>
      </c>
      <c r="ACX2" s="29">
        <f t="shared" si="11"/>
        <v>768</v>
      </c>
      <c r="ACY2" s="29">
        <f t="shared" si="11"/>
        <v>769</v>
      </c>
      <c r="ACZ2" s="29">
        <f t="shared" si="11"/>
        <v>770</v>
      </c>
      <c r="ADA2" s="29">
        <f t="shared" ref="ADA2:AFL2" si="12">ACZ2+1</f>
        <v>771</v>
      </c>
      <c r="ADB2" s="29">
        <f t="shared" si="12"/>
        <v>772</v>
      </c>
      <c r="ADC2" s="29">
        <f t="shared" si="12"/>
        <v>773</v>
      </c>
      <c r="ADD2" s="29">
        <f t="shared" si="12"/>
        <v>774</v>
      </c>
      <c r="ADE2" s="29">
        <f t="shared" si="12"/>
        <v>775</v>
      </c>
      <c r="ADF2" s="29">
        <f t="shared" si="12"/>
        <v>776</v>
      </c>
      <c r="ADG2" s="29">
        <f t="shared" si="12"/>
        <v>777</v>
      </c>
      <c r="ADH2" s="29">
        <f t="shared" si="12"/>
        <v>778</v>
      </c>
      <c r="ADI2" s="29">
        <f t="shared" si="12"/>
        <v>779</v>
      </c>
      <c r="ADJ2" s="29">
        <f t="shared" si="12"/>
        <v>780</v>
      </c>
      <c r="ADK2" s="29">
        <f t="shared" si="12"/>
        <v>781</v>
      </c>
      <c r="ADL2" s="29">
        <f t="shared" si="12"/>
        <v>782</v>
      </c>
      <c r="ADM2" s="29">
        <f t="shared" si="12"/>
        <v>783</v>
      </c>
      <c r="ADN2" s="29">
        <f t="shared" si="12"/>
        <v>784</v>
      </c>
      <c r="ADO2" s="29">
        <f t="shared" si="12"/>
        <v>785</v>
      </c>
      <c r="ADP2" s="29">
        <f t="shared" si="12"/>
        <v>786</v>
      </c>
      <c r="ADQ2" s="29">
        <f t="shared" si="12"/>
        <v>787</v>
      </c>
      <c r="ADR2" s="29">
        <f t="shared" si="12"/>
        <v>788</v>
      </c>
      <c r="ADS2" s="29">
        <f t="shared" si="12"/>
        <v>789</v>
      </c>
      <c r="ADT2" s="29">
        <f t="shared" si="12"/>
        <v>790</v>
      </c>
      <c r="ADU2" s="29">
        <f t="shared" si="12"/>
        <v>791</v>
      </c>
      <c r="ADV2" s="29">
        <f t="shared" si="12"/>
        <v>792</v>
      </c>
      <c r="ADW2" s="29">
        <f t="shared" si="12"/>
        <v>793</v>
      </c>
      <c r="ADX2" s="29">
        <f t="shared" si="12"/>
        <v>794</v>
      </c>
      <c r="ADY2" s="29">
        <f t="shared" si="12"/>
        <v>795</v>
      </c>
      <c r="ADZ2" s="29">
        <f t="shared" si="12"/>
        <v>796</v>
      </c>
      <c r="AEA2" s="29">
        <f t="shared" si="12"/>
        <v>797</v>
      </c>
      <c r="AEB2" s="29">
        <f t="shared" si="12"/>
        <v>798</v>
      </c>
      <c r="AEC2" s="29">
        <f t="shared" si="12"/>
        <v>799</v>
      </c>
      <c r="AED2" s="29">
        <f t="shared" si="12"/>
        <v>800</v>
      </c>
      <c r="AEE2" s="29">
        <f t="shared" si="12"/>
        <v>801</v>
      </c>
      <c r="AEF2" s="29">
        <f t="shared" si="12"/>
        <v>802</v>
      </c>
      <c r="AEG2" s="29">
        <f t="shared" si="12"/>
        <v>803</v>
      </c>
      <c r="AEH2" s="29">
        <f t="shared" si="12"/>
        <v>804</v>
      </c>
      <c r="AEI2" s="29">
        <f t="shared" si="12"/>
        <v>805</v>
      </c>
      <c r="AEJ2" s="29">
        <f t="shared" si="12"/>
        <v>806</v>
      </c>
      <c r="AEK2" s="29">
        <f t="shared" si="12"/>
        <v>807</v>
      </c>
      <c r="AEL2" s="29">
        <f t="shared" si="12"/>
        <v>808</v>
      </c>
      <c r="AEM2" s="29">
        <f t="shared" si="12"/>
        <v>809</v>
      </c>
      <c r="AEN2" s="29">
        <f t="shared" si="12"/>
        <v>810</v>
      </c>
      <c r="AEO2" s="29">
        <f t="shared" si="12"/>
        <v>811</v>
      </c>
      <c r="AEP2" s="29">
        <f t="shared" si="12"/>
        <v>812</v>
      </c>
      <c r="AEQ2" s="29">
        <f t="shared" si="12"/>
        <v>813</v>
      </c>
      <c r="AER2" s="29">
        <f t="shared" si="12"/>
        <v>814</v>
      </c>
      <c r="AES2" s="29">
        <f t="shared" si="12"/>
        <v>815</v>
      </c>
      <c r="AET2" s="29">
        <f t="shared" si="12"/>
        <v>816</v>
      </c>
      <c r="AEU2" s="29">
        <f t="shared" si="12"/>
        <v>817</v>
      </c>
      <c r="AEV2" s="29">
        <f t="shared" si="12"/>
        <v>818</v>
      </c>
      <c r="AEW2" s="29">
        <f t="shared" si="12"/>
        <v>819</v>
      </c>
      <c r="AEX2" s="29">
        <f t="shared" si="12"/>
        <v>820</v>
      </c>
      <c r="AEY2" s="29">
        <f t="shared" si="12"/>
        <v>821</v>
      </c>
      <c r="AEZ2" s="29">
        <f t="shared" si="12"/>
        <v>822</v>
      </c>
      <c r="AFA2" s="29">
        <f t="shared" si="12"/>
        <v>823</v>
      </c>
      <c r="AFB2" s="29">
        <f t="shared" si="12"/>
        <v>824</v>
      </c>
      <c r="AFC2" s="29">
        <f t="shared" si="12"/>
        <v>825</v>
      </c>
      <c r="AFD2" s="29">
        <f t="shared" si="12"/>
        <v>826</v>
      </c>
      <c r="AFE2" s="29">
        <f t="shared" si="12"/>
        <v>827</v>
      </c>
      <c r="AFF2" s="29">
        <f t="shared" si="12"/>
        <v>828</v>
      </c>
      <c r="AFG2" s="29">
        <f t="shared" si="12"/>
        <v>829</v>
      </c>
      <c r="AFH2" s="29">
        <f t="shared" si="12"/>
        <v>830</v>
      </c>
      <c r="AFI2" s="29">
        <f t="shared" si="12"/>
        <v>831</v>
      </c>
      <c r="AFJ2" s="29">
        <f t="shared" si="12"/>
        <v>832</v>
      </c>
      <c r="AFK2" s="29">
        <f t="shared" si="12"/>
        <v>833</v>
      </c>
      <c r="AFL2" s="29">
        <f t="shared" si="12"/>
        <v>834</v>
      </c>
      <c r="AFM2" s="29">
        <f t="shared" ref="AFM2:AHX2" si="13">AFL2+1</f>
        <v>835</v>
      </c>
      <c r="AFN2" s="29">
        <f t="shared" si="13"/>
        <v>836</v>
      </c>
      <c r="AFO2" s="29">
        <f t="shared" si="13"/>
        <v>837</v>
      </c>
      <c r="AFP2" s="29">
        <f t="shared" si="13"/>
        <v>838</v>
      </c>
      <c r="AFQ2" s="29">
        <f t="shared" si="13"/>
        <v>839</v>
      </c>
      <c r="AFR2" s="29">
        <f t="shared" si="13"/>
        <v>840</v>
      </c>
      <c r="AFS2" s="29">
        <f t="shared" si="13"/>
        <v>841</v>
      </c>
      <c r="AFT2" s="29">
        <f t="shared" si="13"/>
        <v>842</v>
      </c>
      <c r="AFU2" s="29">
        <f t="shared" si="13"/>
        <v>843</v>
      </c>
      <c r="AFV2" s="29">
        <f t="shared" si="13"/>
        <v>844</v>
      </c>
      <c r="AFW2" s="29">
        <f t="shared" si="13"/>
        <v>845</v>
      </c>
      <c r="AFX2" s="29">
        <f t="shared" si="13"/>
        <v>846</v>
      </c>
      <c r="AFY2" s="29">
        <f t="shared" si="13"/>
        <v>847</v>
      </c>
      <c r="AFZ2" s="29">
        <f t="shared" si="13"/>
        <v>848</v>
      </c>
      <c r="AGA2" s="29">
        <f t="shared" si="13"/>
        <v>849</v>
      </c>
      <c r="AGB2" s="29">
        <f t="shared" si="13"/>
        <v>850</v>
      </c>
      <c r="AGC2" s="29">
        <f t="shared" si="13"/>
        <v>851</v>
      </c>
      <c r="AGD2" s="29">
        <f t="shared" si="13"/>
        <v>852</v>
      </c>
      <c r="AGE2" s="29">
        <f t="shared" si="13"/>
        <v>853</v>
      </c>
      <c r="AGF2" s="29">
        <f t="shared" si="13"/>
        <v>854</v>
      </c>
      <c r="AGG2" s="29">
        <f t="shared" si="13"/>
        <v>855</v>
      </c>
      <c r="AGH2" s="29">
        <f t="shared" si="13"/>
        <v>856</v>
      </c>
      <c r="AGI2" s="29">
        <f t="shared" si="13"/>
        <v>857</v>
      </c>
      <c r="AGJ2" s="29">
        <f t="shared" si="13"/>
        <v>858</v>
      </c>
      <c r="AGK2" s="29">
        <f t="shared" si="13"/>
        <v>859</v>
      </c>
      <c r="AGL2" s="29">
        <f t="shared" si="13"/>
        <v>860</v>
      </c>
      <c r="AGM2" s="29">
        <f t="shared" si="13"/>
        <v>861</v>
      </c>
      <c r="AGN2" s="29">
        <f t="shared" si="13"/>
        <v>862</v>
      </c>
      <c r="AGO2" s="29">
        <f t="shared" si="13"/>
        <v>863</v>
      </c>
      <c r="AGP2" s="29">
        <f t="shared" si="13"/>
        <v>864</v>
      </c>
      <c r="AGQ2" s="29">
        <f t="shared" si="13"/>
        <v>865</v>
      </c>
      <c r="AGR2" s="29">
        <f t="shared" si="13"/>
        <v>866</v>
      </c>
      <c r="AGS2" s="29">
        <f t="shared" si="13"/>
        <v>867</v>
      </c>
      <c r="AGT2" s="29">
        <f t="shared" si="13"/>
        <v>868</v>
      </c>
      <c r="AGU2" s="29">
        <f t="shared" si="13"/>
        <v>869</v>
      </c>
      <c r="AGV2" s="29">
        <f t="shared" si="13"/>
        <v>870</v>
      </c>
      <c r="AGW2" s="29">
        <f t="shared" si="13"/>
        <v>871</v>
      </c>
      <c r="AGX2" s="29">
        <f t="shared" si="13"/>
        <v>872</v>
      </c>
      <c r="AGY2" s="29">
        <f t="shared" si="13"/>
        <v>873</v>
      </c>
      <c r="AGZ2" s="29">
        <f t="shared" si="13"/>
        <v>874</v>
      </c>
      <c r="AHA2" s="29">
        <f t="shared" si="13"/>
        <v>875</v>
      </c>
      <c r="AHB2" s="29">
        <f t="shared" si="13"/>
        <v>876</v>
      </c>
      <c r="AHC2" s="29">
        <f t="shared" si="13"/>
        <v>877</v>
      </c>
      <c r="AHD2" s="29">
        <f t="shared" si="13"/>
        <v>878</v>
      </c>
      <c r="AHE2" s="29">
        <f t="shared" si="13"/>
        <v>879</v>
      </c>
      <c r="AHF2" s="29">
        <f t="shared" si="13"/>
        <v>880</v>
      </c>
      <c r="AHG2" s="29">
        <f t="shared" si="13"/>
        <v>881</v>
      </c>
      <c r="AHH2" s="29">
        <f t="shared" si="13"/>
        <v>882</v>
      </c>
      <c r="AHI2" s="29">
        <f t="shared" si="13"/>
        <v>883</v>
      </c>
      <c r="AHJ2" s="29">
        <f t="shared" si="13"/>
        <v>884</v>
      </c>
      <c r="AHK2" s="29">
        <f t="shared" si="13"/>
        <v>885</v>
      </c>
      <c r="AHL2" s="29">
        <f t="shared" si="13"/>
        <v>886</v>
      </c>
      <c r="AHM2" s="29">
        <f t="shared" si="13"/>
        <v>887</v>
      </c>
      <c r="AHN2" s="29">
        <f t="shared" si="13"/>
        <v>888</v>
      </c>
      <c r="AHO2" s="29">
        <f t="shared" si="13"/>
        <v>889</v>
      </c>
      <c r="AHP2" s="29">
        <f t="shared" si="13"/>
        <v>890</v>
      </c>
      <c r="AHQ2" s="29">
        <f t="shared" si="13"/>
        <v>891</v>
      </c>
      <c r="AHR2" s="29">
        <f t="shared" si="13"/>
        <v>892</v>
      </c>
      <c r="AHS2" s="29">
        <f t="shared" si="13"/>
        <v>893</v>
      </c>
      <c r="AHT2" s="29">
        <f t="shared" si="13"/>
        <v>894</v>
      </c>
      <c r="AHU2" s="29">
        <f t="shared" si="13"/>
        <v>895</v>
      </c>
      <c r="AHV2" s="29">
        <f t="shared" si="13"/>
        <v>896</v>
      </c>
      <c r="AHW2" s="29">
        <f t="shared" si="13"/>
        <v>897</v>
      </c>
      <c r="AHX2" s="29">
        <f t="shared" si="13"/>
        <v>898</v>
      </c>
      <c r="AHY2" s="29">
        <f t="shared" ref="AHY2:AKJ2" si="14">AHX2+1</f>
        <v>899</v>
      </c>
      <c r="AHZ2" s="29">
        <f t="shared" si="14"/>
        <v>900</v>
      </c>
      <c r="AIA2" s="29">
        <f t="shared" si="14"/>
        <v>901</v>
      </c>
      <c r="AIB2" s="29">
        <f t="shared" si="14"/>
        <v>902</v>
      </c>
      <c r="AIC2" s="29">
        <f t="shared" si="14"/>
        <v>903</v>
      </c>
      <c r="AID2" s="29">
        <f t="shared" si="14"/>
        <v>904</v>
      </c>
      <c r="AIE2" s="29">
        <f t="shared" si="14"/>
        <v>905</v>
      </c>
      <c r="AIF2" s="29">
        <f t="shared" si="14"/>
        <v>906</v>
      </c>
      <c r="AIG2" s="29">
        <f t="shared" si="14"/>
        <v>907</v>
      </c>
      <c r="AIH2" s="29">
        <f t="shared" si="14"/>
        <v>908</v>
      </c>
      <c r="AII2" s="29">
        <f t="shared" si="14"/>
        <v>909</v>
      </c>
      <c r="AIJ2" s="29">
        <f t="shared" si="14"/>
        <v>910</v>
      </c>
      <c r="AIK2" s="29">
        <f t="shared" si="14"/>
        <v>911</v>
      </c>
      <c r="AIL2" s="29">
        <f t="shared" si="14"/>
        <v>912</v>
      </c>
      <c r="AIM2" s="29">
        <f t="shared" si="14"/>
        <v>913</v>
      </c>
      <c r="AIN2" s="29">
        <f t="shared" si="14"/>
        <v>914</v>
      </c>
      <c r="AIO2" s="29">
        <f t="shared" si="14"/>
        <v>915</v>
      </c>
      <c r="AIP2" s="29">
        <f t="shared" si="14"/>
        <v>916</v>
      </c>
      <c r="AIQ2" s="29">
        <f t="shared" si="14"/>
        <v>917</v>
      </c>
      <c r="AIR2" s="29">
        <f t="shared" si="14"/>
        <v>918</v>
      </c>
      <c r="AIS2" s="29">
        <f t="shared" si="14"/>
        <v>919</v>
      </c>
      <c r="AIT2" s="29">
        <f t="shared" si="14"/>
        <v>920</v>
      </c>
      <c r="AIU2" s="29">
        <f t="shared" si="14"/>
        <v>921</v>
      </c>
      <c r="AIV2" s="29">
        <f t="shared" si="14"/>
        <v>922</v>
      </c>
      <c r="AIW2" s="29">
        <f t="shared" si="14"/>
        <v>923</v>
      </c>
      <c r="AIX2" s="29">
        <f t="shared" si="14"/>
        <v>924</v>
      </c>
      <c r="AIY2" s="29">
        <f t="shared" si="14"/>
        <v>925</v>
      </c>
      <c r="AIZ2" s="29">
        <f t="shared" si="14"/>
        <v>926</v>
      </c>
      <c r="AJA2" s="29">
        <f t="shared" si="14"/>
        <v>927</v>
      </c>
      <c r="AJB2" s="29">
        <f t="shared" si="14"/>
        <v>928</v>
      </c>
      <c r="AJC2" s="29">
        <f t="shared" si="14"/>
        <v>929</v>
      </c>
      <c r="AJD2" s="29">
        <f t="shared" si="14"/>
        <v>930</v>
      </c>
      <c r="AJE2" s="29">
        <f t="shared" si="14"/>
        <v>931</v>
      </c>
      <c r="AJF2" s="29">
        <f t="shared" si="14"/>
        <v>932</v>
      </c>
      <c r="AJG2" s="29">
        <f t="shared" si="14"/>
        <v>933</v>
      </c>
      <c r="AJH2" s="29">
        <f t="shared" si="14"/>
        <v>934</v>
      </c>
      <c r="AJI2" s="29">
        <f t="shared" si="14"/>
        <v>935</v>
      </c>
      <c r="AJJ2" s="29">
        <f t="shared" si="14"/>
        <v>936</v>
      </c>
      <c r="AJK2" s="29">
        <f t="shared" si="14"/>
        <v>937</v>
      </c>
      <c r="AJL2" s="29">
        <f t="shared" si="14"/>
        <v>938</v>
      </c>
      <c r="AJM2" s="29">
        <f t="shared" si="14"/>
        <v>939</v>
      </c>
      <c r="AJN2" s="29">
        <f t="shared" si="14"/>
        <v>940</v>
      </c>
      <c r="AJO2" s="29">
        <f t="shared" si="14"/>
        <v>941</v>
      </c>
      <c r="AJP2" s="29">
        <f t="shared" si="14"/>
        <v>942</v>
      </c>
      <c r="AJQ2" s="29">
        <f t="shared" si="14"/>
        <v>943</v>
      </c>
      <c r="AJR2" s="29">
        <f t="shared" si="14"/>
        <v>944</v>
      </c>
      <c r="AJS2" s="29">
        <f t="shared" si="14"/>
        <v>945</v>
      </c>
      <c r="AJT2" s="29">
        <f t="shared" si="14"/>
        <v>946</v>
      </c>
      <c r="AJU2" s="29">
        <f t="shared" si="14"/>
        <v>947</v>
      </c>
      <c r="AJV2" s="29">
        <f t="shared" si="14"/>
        <v>948</v>
      </c>
      <c r="AJW2" s="29">
        <f t="shared" si="14"/>
        <v>949</v>
      </c>
      <c r="AJX2" s="29">
        <f t="shared" si="14"/>
        <v>950</v>
      </c>
      <c r="AJY2" s="29">
        <f t="shared" si="14"/>
        <v>951</v>
      </c>
      <c r="AJZ2" s="29">
        <f t="shared" si="14"/>
        <v>952</v>
      </c>
      <c r="AKA2" s="29">
        <f t="shared" si="14"/>
        <v>953</v>
      </c>
      <c r="AKB2" s="29">
        <f t="shared" si="14"/>
        <v>954</v>
      </c>
      <c r="AKC2" s="29">
        <f t="shared" si="14"/>
        <v>955</v>
      </c>
      <c r="AKD2" s="29">
        <f t="shared" si="14"/>
        <v>956</v>
      </c>
      <c r="AKE2" s="29">
        <f t="shared" si="14"/>
        <v>957</v>
      </c>
      <c r="AKF2" s="29">
        <f t="shared" si="14"/>
        <v>958</v>
      </c>
      <c r="AKG2" s="29">
        <f t="shared" si="14"/>
        <v>959</v>
      </c>
      <c r="AKH2" s="29">
        <f t="shared" si="14"/>
        <v>960</v>
      </c>
      <c r="AKI2" s="29">
        <f t="shared" si="14"/>
        <v>961</v>
      </c>
      <c r="AKJ2" s="29">
        <f t="shared" si="14"/>
        <v>962</v>
      </c>
      <c r="AKK2" s="29">
        <f t="shared" ref="AKK2:AMV2" si="15">AKJ2+1</f>
        <v>963</v>
      </c>
      <c r="AKL2" s="29">
        <f t="shared" si="15"/>
        <v>964</v>
      </c>
      <c r="AKM2" s="29">
        <f t="shared" si="15"/>
        <v>965</v>
      </c>
      <c r="AKN2" s="29">
        <f t="shared" si="15"/>
        <v>966</v>
      </c>
      <c r="AKO2" s="29">
        <f t="shared" si="15"/>
        <v>967</v>
      </c>
      <c r="AKP2" s="29">
        <f t="shared" si="15"/>
        <v>968</v>
      </c>
      <c r="AKQ2" s="29">
        <f t="shared" si="15"/>
        <v>969</v>
      </c>
      <c r="AKR2" s="29">
        <f t="shared" si="15"/>
        <v>970</v>
      </c>
      <c r="AKS2" s="29">
        <f t="shared" si="15"/>
        <v>971</v>
      </c>
      <c r="AKT2" s="29">
        <f t="shared" si="15"/>
        <v>972</v>
      </c>
      <c r="AKU2" s="29">
        <f t="shared" si="15"/>
        <v>973</v>
      </c>
      <c r="AKV2" s="29">
        <f t="shared" si="15"/>
        <v>974</v>
      </c>
      <c r="AKW2" s="29">
        <f t="shared" si="15"/>
        <v>975</v>
      </c>
      <c r="AKX2" s="29">
        <f t="shared" si="15"/>
        <v>976</v>
      </c>
      <c r="AKY2" s="29">
        <f t="shared" si="15"/>
        <v>977</v>
      </c>
      <c r="AKZ2" s="29">
        <f t="shared" si="15"/>
        <v>978</v>
      </c>
      <c r="ALA2" s="29">
        <f t="shared" si="15"/>
        <v>979</v>
      </c>
      <c r="ALB2" s="29">
        <f t="shared" si="15"/>
        <v>980</v>
      </c>
      <c r="ALC2" s="29">
        <f t="shared" si="15"/>
        <v>981</v>
      </c>
      <c r="ALD2" s="29">
        <f t="shared" si="15"/>
        <v>982</v>
      </c>
      <c r="ALE2" s="29">
        <f t="shared" si="15"/>
        <v>983</v>
      </c>
      <c r="ALF2" s="29">
        <f t="shared" si="15"/>
        <v>984</v>
      </c>
      <c r="ALG2" s="29">
        <f t="shared" si="15"/>
        <v>985</v>
      </c>
      <c r="ALH2" s="29">
        <f t="shared" si="15"/>
        <v>986</v>
      </c>
      <c r="ALI2" s="29">
        <f t="shared" si="15"/>
        <v>987</v>
      </c>
      <c r="ALJ2" s="29">
        <f t="shared" si="15"/>
        <v>988</v>
      </c>
      <c r="ALK2" s="29">
        <f t="shared" si="15"/>
        <v>989</v>
      </c>
      <c r="ALL2" s="29">
        <f t="shared" si="15"/>
        <v>990</v>
      </c>
      <c r="ALM2" s="29">
        <f t="shared" si="15"/>
        <v>991</v>
      </c>
      <c r="ALN2" s="29">
        <f t="shared" si="15"/>
        <v>992</v>
      </c>
      <c r="ALO2" s="29">
        <f t="shared" si="15"/>
        <v>993</v>
      </c>
      <c r="ALP2" s="29">
        <f t="shared" si="15"/>
        <v>994</v>
      </c>
      <c r="ALQ2" s="29">
        <f t="shared" si="15"/>
        <v>995</v>
      </c>
      <c r="ALR2" s="29">
        <f t="shared" si="15"/>
        <v>996</v>
      </c>
      <c r="ALS2" s="29">
        <f t="shared" si="15"/>
        <v>997</v>
      </c>
      <c r="ALT2" s="29">
        <f t="shared" si="15"/>
        <v>998</v>
      </c>
      <c r="ALU2" s="29">
        <f t="shared" si="15"/>
        <v>999</v>
      </c>
      <c r="ALV2" s="29">
        <f t="shared" si="15"/>
        <v>1000</v>
      </c>
      <c r="ALW2" s="29"/>
      <c r="ALX2" s="29"/>
      <c r="ALY2" s="29"/>
      <c r="ALZ2" s="29"/>
      <c r="AMA2" s="29"/>
      <c r="AMB2" s="29"/>
      <c r="AMC2" s="29"/>
      <c r="AMD2" s="29"/>
      <c r="AME2" s="29"/>
      <c r="AMF2" s="29"/>
      <c r="AMG2" s="29"/>
      <c r="AMH2" s="29"/>
      <c r="AMI2" s="29"/>
      <c r="AMJ2" s="29"/>
      <c r="AMK2" s="29"/>
      <c r="AML2" s="29"/>
      <c r="AMM2" s="29"/>
      <c r="AMN2" s="29"/>
      <c r="AMO2" s="29"/>
      <c r="AMP2" s="29"/>
      <c r="AMQ2" s="29"/>
      <c r="AMR2" s="29"/>
      <c r="AMS2" s="29"/>
      <c r="AMT2" s="29"/>
      <c r="AMU2" s="29"/>
      <c r="AMV2" s="29"/>
      <c r="AMW2" s="29"/>
      <c r="AMX2" s="29"/>
      <c r="AMY2" s="29"/>
      <c r="AMZ2" s="29"/>
      <c r="ANA2" s="29"/>
      <c r="ANB2" s="29"/>
      <c r="ANC2" s="29"/>
      <c r="AND2" s="29"/>
      <c r="ANE2" s="29"/>
      <c r="ANF2" s="29"/>
      <c r="ANG2" s="29"/>
      <c r="ANH2" s="29"/>
      <c r="ANI2" s="29"/>
      <c r="ANJ2" s="29"/>
      <c r="ANK2" s="29"/>
      <c r="ANL2" s="29"/>
      <c r="ANM2" s="29"/>
      <c r="ANN2" s="29"/>
      <c r="ANO2" s="29"/>
      <c r="ANP2" s="29"/>
      <c r="ANQ2" s="29"/>
      <c r="ANR2" s="29"/>
      <c r="ANS2" s="29"/>
      <c r="ANT2" s="29"/>
      <c r="ANU2" s="29"/>
      <c r="ANV2" s="29"/>
      <c r="ANW2" s="29"/>
      <c r="ANX2" s="29"/>
      <c r="ANY2" s="29"/>
      <c r="ANZ2" s="29"/>
      <c r="AOA2" s="29"/>
      <c r="AOB2" s="29"/>
      <c r="AOC2" s="29"/>
      <c r="AOD2" s="29"/>
      <c r="AOE2" s="29"/>
      <c r="AOF2" s="29"/>
      <c r="AOG2" s="29"/>
      <c r="AOH2" s="29"/>
      <c r="AOI2" s="29"/>
      <c r="AOJ2" s="29"/>
      <c r="AOK2" s="29"/>
      <c r="AOL2" s="29"/>
      <c r="AOM2" s="29"/>
      <c r="AON2" s="29"/>
      <c r="AOO2" s="29"/>
      <c r="AOP2" s="29"/>
      <c r="AOQ2" s="29"/>
      <c r="AOR2" s="29"/>
      <c r="AOS2" s="29"/>
      <c r="AOT2" s="29"/>
      <c r="AOU2" s="29"/>
      <c r="AOV2" s="29"/>
      <c r="AOW2" s="29"/>
      <c r="AOX2" s="29"/>
      <c r="AOY2" s="29"/>
      <c r="AOZ2" s="29"/>
      <c r="APA2" s="29"/>
      <c r="APB2" s="29"/>
      <c r="APC2" s="29"/>
      <c r="APD2" s="29"/>
      <c r="APE2" s="29"/>
      <c r="APF2" s="29"/>
      <c r="APG2" s="29"/>
      <c r="APH2" s="29"/>
      <c r="API2" s="29"/>
      <c r="APJ2" s="29"/>
      <c r="APK2" s="29"/>
      <c r="APL2" s="29"/>
      <c r="APM2" s="29"/>
      <c r="APN2" s="29"/>
      <c r="APO2" s="29"/>
      <c r="APP2" s="29"/>
      <c r="APQ2" s="29"/>
      <c r="APR2" s="29"/>
      <c r="APS2" s="29"/>
      <c r="APT2" s="29"/>
      <c r="APU2" s="29"/>
      <c r="APV2" s="29"/>
      <c r="APW2" s="29"/>
      <c r="APX2" s="29"/>
      <c r="APY2" s="29"/>
      <c r="APZ2" s="29"/>
      <c r="AQA2" s="29"/>
      <c r="AQB2" s="29"/>
      <c r="AQC2" s="29"/>
      <c r="AQD2" s="29"/>
      <c r="AQE2" s="29"/>
      <c r="AQF2" s="29"/>
      <c r="AQG2" s="29"/>
      <c r="AQH2" s="29"/>
      <c r="AQI2" s="29"/>
      <c r="AQJ2" s="29"/>
      <c r="AQK2" s="29"/>
      <c r="AQL2" s="29"/>
      <c r="AQM2" s="29"/>
      <c r="AQN2" s="29"/>
      <c r="AQO2" s="29"/>
      <c r="AQP2" s="29"/>
      <c r="AQQ2" s="29"/>
      <c r="AQR2" s="29"/>
      <c r="AQS2" s="29"/>
      <c r="AQT2" s="29"/>
      <c r="AQU2" s="29"/>
      <c r="AQV2" s="29"/>
      <c r="AQW2" s="29"/>
      <c r="AQX2" s="29"/>
      <c r="AQY2" s="29"/>
      <c r="AQZ2" s="29"/>
      <c r="ARA2" s="29"/>
      <c r="ARB2" s="29"/>
      <c r="ARC2" s="29"/>
      <c r="ARD2" s="29"/>
      <c r="ARE2" s="29"/>
      <c r="ARF2" s="29"/>
      <c r="ARG2" s="29"/>
      <c r="ARH2" s="29"/>
      <c r="ARI2" s="29"/>
      <c r="ARJ2" s="29"/>
      <c r="ARK2" s="29"/>
      <c r="ARL2" s="29"/>
      <c r="ARM2" s="29"/>
      <c r="ARN2" s="29"/>
      <c r="ARO2" s="29"/>
      <c r="ARP2" s="29"/>
      <c r="ARQ2" s="29"/>
      <c r="ARR2" s="29"/>
      <c r="ARS2" s="29"/>
      <c r="ART2" s="29"/>
      <c r="ARU2" s="29"/>
      <c r="ARV2" s="29"/>
      <c r="ARW2" s="29"/>
      <c r="ARX2" s="29"/>
      <c r="ARY2" s="29"/>
      <c r="ARZ2" s="29"/>
      <c r="ASA2" s="29"/>
      <c r="ASB2" s="29"/>
      <c r="ASC2" s="29"/>
      <c r="ASD2" s="29"/>
      <c r="ASE2" s="29"/>
      <c r="ASF2" s="29"/>
      <c r="ASG2" s="29"/>
      <c r="ASH2" s="29"/>
      <c r="ASI2" s="29"/>
      <c r="ASJ2" s="29"/>
      <c r="ASK2" s="29"/>
      <c r="ASL2" s="29"/>
      <c r="ASM2" s="29"/>
      <c r="ASN2" s="29"/>
      <c r="ASO2" s="29"/>
      <c r="ASP2" s="29"/>
      <c r="ASQ2" s="29"/>
      <c r="ASR2" s="29"/>
      <c r="ASS2" s="29"/>
      <c r="AST2" s="29"/>
      <c r="ASU2" s="29"/>
      <c r="ASV2" s="29"/>
      <c r="ASW2" s="29"/>
      <c r="ASX2" s="29"/>
      <c r="ASY2" s="29"/>
      <c r="ASZ2" s="29"/>
      <c r="ATA2" s="29"/>
      <c r="ATB2" s="29"/>
      <c r="ATC2" s="29"/>
      <c r="ATD2" s="29"/>
      <c r="ATE2" s="29"/>
      <c r="ATF2" s="29"/>
      <c r="ATG2" s="29"/>
      <c r="ATH2" s="29"/>
      <c r="ATI2" s="29"/>
      <c r="ATJ2" s="29"/>
      <c r="ATK2" s="29"/>
      <c r="ATL2" s="29"/>
      <c r="ATM2" s="29"/>
      <c r="ATN2" s="29"/>
      <c r="ATO2" s="29"/>
      <c r="ATP2" s="29"/>
      <c r="ATQ2" s="29"/>
      <c r="ATR2" s="29"/>
      <c r="ATS2" s="29"/>
      <c r="ATT2" s="29"/>
      <c r="ATU2" s="29"/>
      <c r="ATV2" s="29"/>
      <c r="ATW2" s="29"/>
      <c r="ATX2" s="29"/>
      <c r="ATY2" s="29"/>
      <c r="ATZ2" s="29"/>
      <c r="AUA2" s="29"/>
      <c r="AUB2" s="29"/>
      <c r="AUC2" s="29"/>
      <c r="AUD2" s="29"/>
      <c r="AUE2" s="29"/>
      <c r="AUF2" s="29"/>
      <c r="AUG2" s="29"/>
      <c r="AUH2" s="29"/>
      <c r="AUI2" s="29"/>
      <c r="AUJ2" s="29"/>
      <c r="AUK2" s="29"/>
      <c r="AUL2" s="29"/>
      <c r="AUM2" s="29"/>
      <c r="AUN2" s="29"/>
      <c r="AUO2" s="29"/>
      <c r="AUP2" s="29"/>
      <c r="AUQ2" s="29"/>
      <c r="AUR2" s="29"/>
      <c r="AUS2" s="29"/>
      <c r="AUT2" s="29"/>
      <c r="AUU2" s="29"/>
      <c r="AUV2" s="29"/>
      <c r="AUW2" s="29"/>
      <c r="AUX2" s="29"/>
      <c r="AUY2" s="29"/>
      <c r="AUZ2" s="29"/>
      <c r="AVA2" s="29"/>
      <c r="AVB2" s="29"/>
      <c r="AVC2" s="29"/>
      <c r="AVD2" s="29"/>
      <c r="AVE2" s="29"/>
      <c r="AVF2" s="29"/>
      <c r="AVG2" s="29"/>
      <c r="AVH2" s="29"/>
      <c r="AVI2" s="29"/>
      <c r="AVJ2" s="29"/>
    </row>
    <row r="3" spans="1:1258" x14ac:dyDescent="0.25">
      <c r="A3" s="1">
        <v>40477</v>
      </c>
      <c r="B3" s="2">
        <v>6082</v>
      </c>
      <c r="C3">
        <f>LN(B3/B2)</f>
        <v>-3.9055179166797077E-3</v>
      </c>
      <c r="E3" t="s">
        <v>45</v>
      </c>
      <c r="F3" s="21">
        <f>B2508</f>
        <v>14371.900390999999</v>
      </c>
      <c r="J3">
        <v>0</v>
      </c>
      <c r="K3">
        <f>$F$3</f>
        <v>14371.900390999999</v>
      </c>
      <c r="L3" s="29">
        <f t="shared" ref="L3:BW3" si="16">$F$3</f>
        <v>14371.900390999999</v>
      </c>
      <c r="M3" s="29">
        <f t="shared" si="16"/>
        <v>14371.900390999999</v>
      </c>
      <c r="N3" s="29">
        <f t="shared" si="16"/>
        <v>14371.900390999999</v>
      </c>
      <c r="O3" s="29">
        <f t="shared" si="16"/>
        <v>14371.900390999999</v>
      </c>
      <c r="P3" s="29">
        <f t="shared" si="16"/>
        <v>14371.900390999999</v>
      </c>
      <c r="Q3" s="29">
        <f t="shared" si="16"/>
        <v>14371.900390999999</v>
      </c>
      <c r="R3" s="29">
        <f t="shared" si="16"/>
        <v>14371.900390999999</v>
      </c>
      <c r="S3" s="29">
        <f t="shared" si="16"/>
        <v>14371.900390999999</v>
      </c>
      <c r="T3" s="29">
        <f t="shared" si="16"/>
        <v>14371.900390999999</v>
      </c>
      <c r="U3" s="29">
        <f t="shared" si="16"/>
        <v>14371.900390999999</v>
      </c>
      <c r="V3" s="29">
        <f t="shared" si="16"/>
        <v>14371.900390999999</v>
      </c>
      <c r="W3" s="29">
        <f t="shared" si="16"/>
        <v>14371.900390999999</v>
      </c>
      <c r="X3" s="29">
        <f t="shared" si="16"/>
        <v>14371.900390999999</v>
      </c>
      <c r="Y3" s="29">
        <f t="shared" si="16"/>
        <v>14371.900390999999</v>
      </c>
      <c r="Z3" s="29">
        <f t="shared" si="16"/>
        <v>14371.900390999999</v>
      </c>
      <c r="AA3" s="29">
        <f t="shared" si="16"/>
        <v>14371.900390999999</v>
      </c>
      <c r="AB3" s="29">
        <f t="shared" si="16"/>
        <v>14371.900390999999</v>
      </c>
      <c r="AC3" s="29">
        <f t="shared" si="16"/>
        <v>14371.900390999999</v>
      </c>
      <c r="AD3" s="29">
        <f t="shared" si="16"/>
        <v>14371.900390999999</v>
      </c>
      <c r="AE3" s="29">
        <f t="shared" si="16"/>
        <v>14371.900390999999</v>
      </c>
      <c r="AF3" s="29">
        <f t="shared" si="16"/>
        <v>14371.900390999999</v>
      </c>
      <c r="AG3" s="29">
        <f t="shared" si="16"/>
        <v>14371.900390999999</v>
      </c>
      <c r="AH3" s="29">
        <f t="shared" si="16"/>
        <v>14371.900390999999</v>
      </c>
      <c r="AI3" s="29">
        <f t="shared" si="16"/>
        <v>14371.900390999999</v>
      </c>
      <c r="AJ3" s="29">
        <f t="shared" si="16"/>
        <v>14371.900390999999</v>
      </c>
      <c r="AK3" s="29">
        <f t="shared" si="16"/>
        <v>14371.900390999999</v>
      </c>
      <c r="AL3" s="29">
        <f t="shared" si="16"/>
        <v>14371.900390999999</v>
      </c>
      <c r="AM3" s="29">
        <f t="shared" si="16"/>
        <v>14371.900390999999</v>
      </c>
      <c r="AN3" s="29">
        <f t="shared" si="16"/>
        <v>14371.900390999999</v>
      </c>
      <c r="AO3" s="29">
        <f t="shared" si="16"/>
        <v>14371.900390999999</v>
      </c>
      <c r="AP3" s="29">
        <f t="shared" si="16"/>
        <v>14371.900390999999</v>
      </c>
      <c r="AQ3" s="29">
        <f t="shared" si="16"/>
        <v>14371.900390999999</v>
      </c>
      <c r="AR3" s="29">
        <f t="shared" si="16"/>
        <v>14371.900390999999</v>
      </c>
      <c r="AS3" s="29">
        <f t="shared" si="16"/>
        <v>14371.900390999999</v>
      </c>
      <c r="AT3" s="29">
        <f t="shared" si="16"/>
        <v>14371.900390999999</v>
      </c>
      <c r="AU3" s="29">
        <f t="shared" si="16"/>
        <v>14371.900390999999</v>
      </c>
      <c r="AV3" s="29">
        <f t="shared" si="16"/>
        <v>14371.900390999999</v>
      </c>
      <c r="AW3" s="29">
        <f t="shared" si="16"/>
        <v>14371.900390999999</v>
      </c>
      <c r="AX3" s="29">
        <f t="shared" si="16"/>
        <v>14371.900390999999</v>
      </c>
      <c r="AY3" s="29">
        <f t="shared" si="16"/>
        <v>14371.900390999999</v>
      </c>
      <c r="AZ3" s="29">
        <f t="shared" si="16"/>
        <v>14371.900390999999</v>
      </c>
      <c r="BA3" s="29">
        <f t="shared" si="16"/>
        <v>14371.900390999999</v>
      </c>
      <c r="BB3" s="29">
        <f t="shared" si="16"/>
        <v>14371.900390999999</v>
      </c>
      <c r="BC3" s="29">
        <f t="shared" si="16"/>
        <v>14371.900390999999</v>
      </c>
      <c r="BD3" s="29">
        <f t="shared" si="16"/>
        <v>14371.900390999999</v>
      </c>
      <c r="BE3" s="29">
        <f t="shared" si="16"/>
        <v>14371.900390999999</v>
      </c>
      <c r="BF3" s="29">
        <f t="shared" si="16"/>
        <v>14371.900390999999</v>
      </c>
      <c r="BG3" s="29">
        <f t="shared" si="16"/>
        <v>14371.900390999999</v>
      </c>
      <c r="BH3" s="29">
        <f t="shared" si="16"/>
        <v>14371.900390999999</v>
      </c>
      <c r="BI3" s="29">
        <f t="shared" si="16"/>
        <v>14371.900390999999</v>
      </c>
      <c r="BJ3" s="29">
        <f t="shared" si="16"/>
        <v>14371.900390999999</v>
      </c>
      <c r="BK3" s="29">
        <f t="shared" si="16"/>
        <v>14371.900390999999</v>
      </c>
      <c r="BL3" s="29">
        <f t="shared" si="16"/>
        <v>14371.900390999999</v>
      </c>
      <c r="BM3" s="29">
        <f t="shared" si="16"/>
        <v>14371.900390999999</v>
      </c>
      <c r="BN3" s="29">
        <f t="shared" si="16"/>
        <v>14371.900390999999</v>
      </c>
      <c r="BO3" s="29">
        <f t="shared" si="16"/>
        <v>14371.900390999999</v>
      </c>
      <c r="BP3" s="29">
        <f t="shared" si="16"/>
        <v>14371.900390999999</v>
      </c>
      <c r="BQ3" s="29">
        <f t="shared" si="16"/>
        <v>14371.900390999999</v>
      </c>
      <c r="BR3" s="29">
        <f t="shared" si="16"/>
        <v>14371.900390999999</v>
      </c>
      <c r="BS3" s="29">
        <f t="shared" si="16"/>
        <v>14371.900390999999</v>
      </c>
      <c r="BT3" s="29">
        <f t="shared" si="16"/>
        <v>14371.900390999999</v>
      </c>
      <c r="BU3" s="29">
        <f t="shared" si="16"/>
        <v>14371.900390999999</v>
      </c>
      <c r="BV3" s="29">
        <f t="shared" si="16"/>
        <v>14371.900390999999</v>
      </c>
      <c r="BW3" s="29">
        <f t="shared" si="16"/>
        <v>14371.900390999999</v>
      </c>
      <c r="BX3" s="29">
        <f t="shared" ref="BX3:EI3" si="17">$F$3</f>
        <v>14371.900390999999</v>
      </c>
      <c r="BY3" s="29">
        <f t="shared" si="17"/>
        <v>14371.900390999999</v>
      </c>
      <c r="BZ3" s="29">
        <f t="shared" si="17"/>
        <v>14371.900390999999</v>
      </c>
      <c r="CA3" s="29">
        <f t="shared" si="17"/>
        <v>14371.900390999999</v>
      </c>
      <c r="CB3" s="29">
        <f t="shared" si="17"/>
        <v>14371.900390999999</v>
      </c>
      <c r="CC3" s="29">
        <f t="shared" si="17"/>
        <v>14371.900390999999</v>
      </c>
      <c r="CD3" s="29">
        <f t="shared" si="17"/>
        <v>14371.900390999999</v>
      </c>
      <c r="CE3" s="29">
        <f t="shared" si="17"/>
        <v>14371.900390999999</v>
      </c>
      <c r="CF3" s="29">
        <f t="shared" si="17"/>
        <v>14371.900390999999</v>
      </c>
      <c r="CG3" s="29">
        <f t="shared" si="17"/>
        <v>14371.900390999999</v>
      </c>
      <c r="CH3" s="29">
        <f t="shared" si="17"/>
        <v>14371.900390999999</v>
      </c>
      <c r="CI3" s="29">
        <f t="shared" si="17"/>
        <v>14371.900390999999</v>
      </c>
      <c r="CJ3" s="29">
        <f t="shared" si="17"/>
        <v>14371.900390999999</v>
      </c>
      <c r="CK3" s="29">
        <f t="shared" si="17"/>
        <v>14371.900390999999</v>
      </c>
      <c r="CL3" s="29">
        <f t="shared" si="17"/>
        <v>14371.900390999999</v>
      </c>
      <c r="CM3" s="29">
        <f t="shared" si="17"/>
        <v>14371.900390999999</v>
      </c>
      <c r="CN3" s="29">
        <f t="shared" si="17"/>
        <v>14371.900390999999</v>
      </c>
      <c r="CO3" s="29">
        <f t="shared" si="17"/>
        <v>14371.900390999999</v>
      </c>
      <c r="CP3" s="29">
        <f t="shared" si="17"/>
        <v>14371.900390999999</v>
      </c>
      <c r="CQ3" s="29">
        <f t="shared" si="17"/>
        <v>14371.900390999999</v>
      </c>
      <c r="CR3" s="29">
        <f t="shared" si="17"/>
        <v>14371.900390999999</v>
      </c>
      <c r="CS3" s="29">
        <f t="shared" si="17"/>
        <v>14371.900390999999</v>
      </c>
      <c r="CT3" s="29">
        <f t="shared" si="17"/>
        <v>14371.900390999999</v>
      </c>
      <c r="CU3" s="29">
        <f t="shared" si="17"/>
        <v>14371.900390999999</v>
      </c>
      <c r="CV3" s="29">
        <f t="shared" si="17"/>
        <v>14371.900390999999</v>
      </c>
      <c r="CW3" s="29">
        <f t="shared" si="17"/>
        <v>14371.900390999999</v>
      </c>
      <c r="CX3" s="29">
        <f t="shared" si="17"/>
        <v>14371.900390999999</v>
      </c>
      <c r="CY3" s="29">
        <f t="shared" si="17"/>
        <v>14371.900390999999</v>
      </c>
      <c r="CZ3" s="29">
        <f t="shared" si="17"/>
        <v>14371.900390999999</v>
      </c>
      <c r="DA3" s="29">
        <f t="shared" si="17"/>
        <v>14371.900390999999</v>
      </c>
      <c r="DB3" s="29">
        <f t="shared" si="17"/>
        <v>14371.900390999999</v>
      </c>
      <c r="DC3" s="29">
        <f t="shared" si="17"/>
        <v>14371.900390999999</v>
      </c>
      <c r="DD3" s="29">
        <f t="shared" si="17"/>
        <v>14371.900390999999</v>
      </c>
      <c r="DE3" s="29">
        <f t="shared" si="17"/>
        <v>14371.900390999999</v>
      </c>
      <c r="DF3" s="29">
        <f t="shared" si="17"/>
        <v>14371.900390999999</v>
      </c>
      <c r="DG3" s="29">
        <f t="shared" si="17"/>
        <v>14371.900390999999</v>
      </c>
      <c r="DH3" s="29">
        <f t="shared" si="17"/>
        <v>14371.900390999999</v>
      </c>
      <c r="DI3" s="29">
        <f t="shared" si="17"/>
        <v>14371.900390999999</v>
      </c>
      <c r="DJ3" s="29">
        <f t="shared" si="17"/>
        <v>14371.900390999999</v>
      </c>
      <c r="DK3" s="29">
        <f t="shared" si="17"/>
        <v>14371.900390999999</v>
      </c>
      <c r="DL3" s="29">
        <f t="shared" si="17"/>
        <v>14371.900390999999</v>
      </c>
      <c r="DM3" s="29">
        <f t="shared" si="17"/>
        <v>14371.900390999999</v>
      </c>
      <c r="DN3" s="29">
        <f t="shared" si="17"/>
        <v>14371.900390999999</v>
      </c>
      <c r="DO3" s="29">
        <f t="shared" si="17"/>
        <v>14371.900390999999</v>
      </c>
      <c r="DP3" s="29">
        <f t="shared" si="17"/>
        <v>14371.900390999999</v>
      </c>
      <c r="DQ3" s="29">
        <f t="shared" si="17"/>
        <v>14371.900390999999</v>
      </c>
      <c r="DR3" s="29">
        <f t="shared" si="17"/>
        <v>14371.900390999999</v>
      </c>
      <c r="DS3" s="29">
        <f t="shared" si="17"/>
        <v>14371.900390999999</v>
      </c>
      <c r="DT3" s="29">
        <f t="shared" si="17"/>
        <v>14371.900390999999</v>
      </c>
      <c r="DU3" s="29">
        <f t="shared" si="17"/>
        <v>14371.900390999999</v>
      </c>
      <c r="DV3" s="29">
        <f t="shared" si="17"/>
        <v>14371.900390999999</v>
      </c>
      <c r="DW3" s="29">
        <f t="shared" si="17"/>
        <v>14371.900390999999</v>
      </c>
      <c r="DX3" s="29">
        <f t="shared" si="17"/>
        <v>14371.900390999999</v>
      </c>
      <c r="DY3" s="29">
        <f t="shared" si="17"/>
        <v>14371.900390999999</v>
      </c>
      <c r="DZ3" s="29">
        <f t="shared" si="17"/>
        <v>14371.900390999999</v>
      </c>
      <c r="EA3" s="29">
        <f t="shared" si="17"/>
        <v>14371.900390999999</v>
      </c>
      <c r="EB3" s="29">
        <f t="shared" si="17"/>
        <v>14371.900390999999</v>
      </c>
      <c r="EC3" s="29">
        <f t="shared" si="17"/>
        <v>14371.900390999999</v>
      </c>
      <c r="ED3" s="29">
        <f t="shared" si="17"/>
        <v>14371.900390999999</v>
      </c>
      <c r="EE3" s="29">
        <f t="shared" si="17"/>
        <v>14371.900390999999</v>
      </c>
      <c r="EF3" s="29">
        <f t="shared" si="17"/>
        <v>14371.900390999999</v>
      </c>
      <c r="EG3" s="29">
        <f t="shared" si="17"/>
        <v>14371.900390999999</v>
      </c>
      <c r="EH3" s="29">
        <f t="shared" si="17"/>
        <v>14371.900390999999</v>
      </c>
      <c r="EI3" s="29">
        <f t="shared" si="17"/>
        <v>14371.900390999999</v>
      </c>
      <c r="EJ3" s="29">
        <f t="shared" ref="EJ3:GU3" si="18">$F$3</f>
        <v>14371.900390999999</v>
      </c>
      <c r="EK3" s="29">
        <f t="shared" si="18"/>
        <v>14371.900390999999</v>
      </c>
      <c r="EL3" s="29">
        <f t="shared" si="18"/>
        <v>14371.900390999999</v>
      </c>
      <c r="EM3" s="29">
        <f t="shared" si="18"/>
        <v>14371.900390999999</v>
      </c>
      <c r="EN3" s="29">
        <f t="shared" si="18"/>
        <v>14371.900390999999</v>
      </c>
      <c r="EO3" s="29">
        <f t="shared" si="18"/>
        <v>14371.900390999999</v>
      </c>
      <c r="EP3" s="29">
        <f t="shared" si="18"/>
        <v>14371.900390999999</v>
      </c>
      <c r="EQ3" s="29">
        <f t="shared" si="18"/>
        <v>14371.900390999999</v>
      </c>
      <c r="ER3" s="29">
        <f t="shared" si="18"/>
        <v>14371.900390999999</v>
      </c>
      <c r="ES3" s="29">
        <f t="shared" si="18"/>
        <v>14371.900390999999</v>
      </c>
      <c r="ET3" s="29">
        <f t="shared" si="18"/>
        <v>14371.900390999999</v>
      </c>
      <c r="EU3" s="29">
        <f t="shared" si="18"/>
        <v>14371.900390999999</v>
      </c>
      <c r="EV3" s="29">
        <f t="shared" si="18"/>
        <v>14371.900390999999</v>
      </c>
      <c r="EW3" s="29">
        <f t="shared" si="18"/>
        <v>14371.900390999999</v>
      </c>
      <c r="EX3" s="29">
        <f t="shared" si="18"/>
        <v>14371.900390999999</v>
      </c>
      <c r="EY3" s="29">
        <f t="shared" si="18"/>
        <v>14371.900390999999</v>
      </c>
      <c r="EZ3" s="29">
        <f t="shared" si="18"/>
        <v>14371.900390999999</v>
      </c>
      <c r="FA3" s="29">
        <f t="shared" si="18"/>
        <v>14371.900390999999</v>
      </c>
      <c r="FB3" s="29">
        <f t="shared" si="18"/>
        <v>14371.900390999999</v>
      </c>
      <c r="FC3" s="29">
        <f t="shared" si="18"/>
        <v>14371.900390999999</v>
      </c>
      <c r="FD3" s="29">
        <f t="shared" si="18"/>
        <v>14371.900390999999</v>
      </c>
      <c r="FE3" s="29">
        <f t="shared" si="18"/>
        <v>14371.900390999999</v>
      </c>
      <c r="FF3" s="29">
        <f t="shared" si="18"/>
        <v>14371.900390999999</v>
      </c>
      <c r="FG3" s="29">
        <f t="shared" si="18"/>
        <v>14371.900390999999</v>
      </c>
      <c r="FH3" s="29">
        <f t="shared" si="18"/>
        <v>14371.900390999999</v>
      </c>
      <c r="FI3" s="29">
        <f t="shared" si="18"/>
        <v>14371.900390999999</v>
      </c>
      <c r="FJ3" s="29">
        <f t="shared" si="18"/>
        <v>14371.900390999999</v>
      </c>
      <c r="FK3" s="29">
        <f t="shared" si="18"/>
        <v>14371.900390999999</v>
      </c>
      <c r="FL3" s="29">
        <f t="shared" si="18"/>
        <v>14371.900390999999</v>
      </c>
      <c r="FM3" s="29">
        <f t="shared" si="18"/>
        <v>14371.900390999999</v>
      </c>
      <c r="FN3" s="29">
        <f t="shared" si="18"/>
        <v>14371.900390999999</v>
      </c>
      <c r="FO3" s="29">
        <f t="shared" si="18"/>
        <v>14371.900390999999</v>
      </c>
      <c r="FP3" s="29">
        <f t="shared" si="18"/>
        <v>14371.900390999999</v>
      </c>
      <c r="FQ3" s="29">
        <f t="shared" si="18"/>
        <v>14371.900390999999</v>
      </c>
      <c r="FR3" s="29">
        <f t="shared" si="18"/>
        <v>14371.900390999999</v>
      </c>
      <c r="FS3" s="29">
        <f t="shared" si="18"/>
        <v>14371.900390999999</v>
      </c>
      <c r="FT3" s="29">
        <f t="shared" si="18"/>
        <v>14371.900390999999</v>
      </c>
      <c r="FU3" s="29">
        <f t="shared" si="18"/>
        <v>14371.900390999999</v>
      </c>
      <c r="FV3" s="29">
        <f t="shared" si="18"/>
        <v>14371.900390999999</v>
      </c>
      <c r="FW3" s="29">
        <f t="shared" si="18"/>
        <v>14371.900390999999</v>
      </c>
      <c r="FX3" s="29">
        <f t="shared" si="18"/>
        <v>14371.900390999999</v>
      </c>
      <c r="FY3" s="29">
        <f t="shared" si="18"/>
        <v>14371.900390999999</v>
      </c>
      <c r="FZ3" s="29">
        <f t="shared" si="18"/>
        <v>14371.900390999999</v>
      </c>
      <c r="GA3" s="29">
        <f t="shared" si="18"/>
        <v>14371.900390999999</v>
      </c>
      <c r="GB3" s="29">
        <f t="shared" si="18"/>
        <v>14371.900390999999</v>
      </c>
      <c r="GC3" s="29">
        <f t="shared" si="18"/>
        <v>14371.900390999999</v>
      </c>
      <c r="GD3" s="29">
        <f t="shared" si="18"/>
        <v>14371.900390999999</v>
      </c>
      <c r="GE3" s="29">
        <f t="shared" si="18"/>
        <v>14371.900390999999</v>
      </c>
      <c r="GF3" s="29">
        <f t="shared" si="18"/>
        <v>14371.900390999999</v>
      </c>
      <c r="GG3" s="29">
        <f t="shared" si="18"/>
        <v>14371.900390999999</v>
      </c>
      <c r="GH3" s="29">
        <f t="shared" si="18"/>
        <v>14371.900390999999</v>
      </c>
      <c r="GI3" s="29">
        <f t="shared" si="18"/>
        <v>14371.900390999999</v>
      </c>
      <c r="GJ3" s="29">
        <f t="shared" si="18"/>
        <v>14371.900390999999</v>
      </c>
      <c r="GK3" s="29">
        <f t="shared" si="18"/>
        <v>14371.900390999999</v>
      </c>
      <c r="GL3" s="29">
        <f t="shared" si="18"/>
        <v>14371.900390999999</v>
      </c>
      <c r="GM3" s="29">
        <f t="shared" si="18"/>
        <v>14371.900390999999</v>
      </c>
      <c r="GN3" s="29">
        <f t="shared" si="18"/>
        <v>14371.900390999999</v>
      </c>
      <c r="GO3" s="29">
        <f t="shared" si="18"/>
        <v>14371.900390999999</v>
      </c>
      <c r="GP3" s="29">
        <f t="shared" si="18"/>
        <v>14371.900390999999</v>
      </c>
      <c r="GQ3" s="29">
        <f t="shared" si="18"/>
        <v>14371.900390999999</v>
      </c>
      <c r="GR3" s="29">
        <f t="shared" si="18"/>
        <v>14371.900390999999</v>
      </c>
      <c r="GS3" s="29">
        <f t="shared" si="18"/>
        <v>14371.900390999999</v>
      </c>
      <c r="GT3" s="29">
        <f t="shared" si="18"/>
        <v>14371.900390999999</v>
      </c>
      <c r="GU3" s="29">
        <f t="shared" si="18"/>
        <v>14371.900390999999</v>
      </c>
      <c r="GV3" s="29">
        <f t="shared" ref="GV3:JG3" si="19">$F$3</f>
        <v>14371.900390999999</v>
      </c>
      <c r="GW3" s="29">
        <f t="shared" si="19"/>
        <v>14371.900390999999</v>
      </c>
      <c r="GX3" s="29">
        <f t="shared" si="19"/>
        <v>14371.900390999999</v>
      </c>
      <c r="GY3" s="29">
        <f t="shared" si="19"/>
        <v>14371.900390999999</v>
      </c>
      <c r="GZ3" s="29">
        <f t="shared" si="19"/>
        <v>14371.900390999999</v>
      </c>
      <c r="HA3" s="29">
        <f t="shared" si="19"/>
        <v>14371.900390999999</v>
      </c>
      <c r="HB3" s="29">
        <f t="shared" si="19"/>
        <v>14371.900390999999</v>
      </c>
      <c r="HC3" s="29">
        <f t="shared" si="19"/>
        <v>14371.900390999999</v>
      </c>
      <c r="HD3" s="29">
        <f t="shared" si="19"/>
        <v>14371.900390999999</v>
      </c>
      <c r="HE3" s="29">
        <f t="shared" si="19"/>
        <v>14371.900390999999</v>
      </c>
      <c r="HF3" s="29">
        <f t="shared" si="19"/>
        <v>14371.900390999999</v>
      </c>
      <c r="HG3" s="29">
        <f t="shared" si="19"/>
        <v>14371.900390999999</v>
      </c>
      <c r="HH3" s="29">
        <f t="shared" si="19"/>
        <v>14371.900390999999</v>
      </c>
      <c r="HI3" s="29">
        <f t="shared" si="19"/>
        <v>14371.900390999999</v>
      </c>
      <c r="HJ3" s="29">
        <f t="shared" si="19"/>
        <v>14371.900390999999</v>
      </c>
      <c r="HK3" s="29">
        <f t="shared" si="19"/>
        <v>14371.900390999999</v>
      </c>
      <c r="HL3" s="29">
        <f t="shared" si="19"/>
        <v>14371.900390999999</v>
      </c>
      <c r="HM3" s="29">
        <f t="shared" si="19"/>
        <v>14371.900390999999</v>
      </c>
      <c r="HN3" s="29">
        <f t="shared" si="19"/>
        <v>14371.900390999999</v>
      </c>
      <c r="HO3" s="29">
        <f t="shared" si="19"/>
        <v>14371.900390999999</v>
      </c>
      <c r="HP3" s="29">
        <f t="shared" si="19"/>
        <v>14371.900390999999</v>
      </c>
      <c r="HQ3" s="29">
        <f t="shared" si="19"/>
        <v>14371.900390999999</v>
      </c>
      <c r="HR3" s="29">
        <f t="shared" si="19"/>
        <v>14371.900390999999</v>
      </c>
      <c r="HS3" s="29">
        <f t="shared" si="19"/>
        <v>14371.900390999999</v>
      </c>
      <c r="HT3" s="29">
        <f t="shared" si="19"/>
        <v>14371.900390999999</v>
      </c>
      <c r="HU3" s="29">
        <f t="shared" si="19"/>
        <v>14371.900390999999</v>
      </c>
      <c r="HV3" s="29">
        <f t="shared" si="19"/>
        <v>14371.900390999999</v>
      </c>
      <c r="HW3" s="29">
        <f t="shared" si="19"/>
        <v>14371.900390999999</v>
      </c>
      <c r="HX3" s="29">
        <f t="shared" si="19"/>
        <v>14371.900390999999</v>
      </c>
      <c r="HY3" s="29">
        <f t="shared" si="19"/>
        <v>14371.900390999999</v>
      </c>
      <c r="HZ3" s="29">
        <f t="shared" si="19"/>
        <v>14371.900390999999</v>
      </c>
      <c r="IA3" s="29">
        <f t="shared" si="19"/>
        <v>14371.900390999999</v>
      </c>
      <c r="IB3" s="29">
        <f t="shared" si="19"/>
        <v>14371.900390999999</v>
      </c>
      <c r="IC3" s="29">
        <f t="shared" si="19"/>
        <v>14371.900390999999</v>
      </c>
      <c r="ID3" s="29">
        <f t="shared" si="19"/>
        <v>14371.900390999999</v>
      </c>
      <c r="IE3" s="29">
        <f t="shared" si="19"/>
        <v>14371.900390999999</v>
      </c>
      <c r="IF3" s="29">
        <f t="shared" si="19"/>
        <v>14371.900390999999</v>
      </c>
      <c r="IG3" s="29">
        <f t="shared" si="19"/>
        <v>14371.900390999999</v>
      </c>
      <c r="IH3" s="29">
        <f t="shared" si="19"/>
        <v>14371.900390999999</v>
      </c>
      <c r="II3" s="29">
        <f t="shared" si="19"/>
        <v>14371.900390999999</v>
      </c>
      <c r="IJ3" s="29">
        <f t="shared" si="19"/>
        <v>14371.900390999999</v>
      </c>
      <c r="IK3" s="29">
        <f t="shared" si="19"/>
        <v>14371.900390999999</v>
      </c>
      <c r="IL3" s="29">
        <f t="shared" si="19"/>
        <v>14371.900390999999</v>
      </c>
      <c r="IM3" s="29">
        <f t="shared" si="19"/>
        <v>14371.900390999999</v>
      </c>
      <c r="IN3" s="29">
        <f t="shared" si="19"/>
        <v>14371.900390999999</v>
      </c>
      <c r="IO3" s="29">
        <f t="shared" si="19"/>
        <v>14371.900390999999</v>
      </c>
      <c r="IP3" s="29">
        <f t="shared" si="19"/>
        <v>14371.900390999999</v>
      </c>
      <c r="IQ3" s="29">
        <f t="shared" si="19"/>
        <v>14371.900390999999</v>
      </c>
      <c r="IR3" s="29">
        <f t="shared" si="19"/>
        <v>14371.900390999999</v>
      </c>
      <c r="IS3" s="29">
        <f t="shared" si="19"/>
        <v>14371.900390999999</v>
      </c>
      <c r="IT3" s="29">
        <f t="shared" si="19"/>
        <v>14371.900390999999</v>
      </c>
      <c r="IU3" s="29">
        <f t="shared" si="19"/>
        <v>14371.900390999999</v>
      </c>
      <c r="IV3" s="29">
        <f t="shared" si="19"/>
        <v>14371.900390999999</v>
      </c>
      <c r="IW3" s="29">
        <f t="shared" si="19"/>
        <v>14371.900390999999</v>
      </c>
      <c r="IX3" s="29">
        <f t="shared" si="19"/>
        <v>14371.900390999999</v>
      </c>
      <c r="IY3" s="29">
        <f t="shared" si="19"/>
        <v>14371.900390999999</v>
      </c>
      <c r="IZ3" s="29">
        <f t="shared" si="19"/>
        <v>14371.900390999999</v>
      </c>
      <c r="JA3" s="29">
        <f t="shared" si="19"/>
        <v>14371.900390999999</v>
      </c>
      <c r="JB3" s="29">
        <f t="shared" si="19"/>
        <v>14371.900390999999</v>
      </c>
      <c r="JC3" s="29">
        <f t="shared" si="19"/>
        <v>14371.900390999999</v>
      </c>
      <c r="JD3" s="29">
        <f t="shared" si="19"/>
        <v>14371.900390999999</v>
      </c>
      <c r="JE3" s="29">
        <f t="shared" si="19"/>
        <v>14371.900390999999</v>
      </c>
      <c r="JF3" s="29">
        <f t="shared" si="19"/>
        <v>14371.900390999999</v>
      </c>
      <c r="JG3" s="29">
        <f t="shared" si="19"/>
        <v>14371.900390999999</v>
      </c>
      <c r="JH3" s="29">
        <f t="shared" ref="JH3:LS3" si="20">$F$3</f>
        <v>14371.900390999999</v>
      </c>
      <c r="JI3" s="29">
        <f t="shared" si="20"/>
        <v>14371.900390999999</v>
      </c>
      <c r="JJ3" s="29">
        <f t="shared" si="20"/>
        <v>14371.900390999999</v>
      </c>
      <c r="JK3" s="29">
        <f t="shared" si="20"/>
        <v>14371.900390999999</v>
      </c>
      <c r="JL3" s="29">
        <f t="shared" si="20"/>
        <v>14371.900390999999</v>
      </c>
      <c r="JM3" s="29">
        <f t="shared" si="20"/>
        <v>14371.900390999999</v>
      </c>
      <c r="JN3" s="29">
        <f t="shared" si="20"/>
        <v>14371.900390999999</v>
      </c>
      <c r="JO3" s="29">
        <f t="shared" si="20"/>
        <v>14371.900390999999</v>
      </c>
      <c r="JP3" s="29">
        <f t="shared" si="20"/>
        <v>14371.900390999999</v>
      </c>
      <c r="JQ3" s="29">
        <f t="shared" si="20"/>
        <v>14371.900390999999</v>
      </c>
      <c r="JR3" s="29">
        <f t="shared" si="20"/>
        <v>14371.900390999999</v>
      </c>
      <c r="JS3" s="29">
        <f t="shared" si="20"/>
        <v>14371.900390999999</v>
      </c>
      <c r="JT3" s="29">
        <f t="shared" si="20"/>
        <v>14371.900390999999</v>
      </c>
      <c r="JU3" s="29">
        <f t="shared" si="20"/>
        <v>14371.900390999999</v>
      </c>
      <c r="JV3" s="29">
        <f t="shared" si="20"/>
        <v>14371.900390999999</v>
      </c>
      <c r="JW3" s="29">
        <f t="shared" si="20"/>
        <v>14371.900390999999</v>
      </c>
      <c r="JX3" s="29">
        <f t="shared" si="20"/>
        <v>14371.900390999999</v>
      </c>
      <c r="JY3" s="29">
        <f t="shared" si="20"/>
        <v>14371.900390999999</v>
      </c>
      <c r="JZ3" s="29">
        <f t="shared" si="20"/>
        <v>14371.900390999999</v>
      </c>
      <c r="KA3" s="29">
        <f t="shared" si="20"/>
        <v>14371.900390999999</v>
      </c>
      <c r="KB3" s="29">
        <f t="shared" si="20"/>
        <v>14371.900390999999</v>
      </c>
      <c r="KC3" s="29">
        <f t="shared" si="20"/>
        <v>14371.900390999999</v>
      </c>
      <c r="KD3" s="29">
        <f t="shared" si="20"/>
        <v>14371.900390999999</v>
      </c>
      <c r="KE3" s="29">
        <f t="shared" si="20"/>
        <v>14371.900390999999</v>
      </c>
      <c r="KF3" s="29">
        <f t="shared" si="20"/>
        <v>14371.900390999999</v>
      </c>
      <c r="KG3" s="29">
        <f t="shared" si="20"/>
        <v>14371.900390999999</v>
      </c>
      <c r="KH3" s="29">
        <f t="shared" si="20"/>
        <v>14371.900390999999</v>
      </c>
      <c r="KI3" s="29">
        <f t="shared" si="20"/>
        <v>14371.900390999999</v>
      </c>
      <c r="KJ3" s="29">
        <f t="shared" si="20"/>
        <v>14371.900390999999</v>
      </c>
      <c r="KK3" s="29">
        <f t="shared" si="20"/>
        <v>14371.900390999999</v>
      </c>
      <c r="KL3" s="29">
        <f t="shared" si="20"/>
        <v>14371.900390999999</v>
      </c>
      <c r="KM3" s="29">
        <f t="shared" si="20"/>
        <v>14371.900390999999</v>
      </c>
      <c r="KN3" s="29">
        <f t="shared" si="20"/>
        <v>14371.900390999999</v>
      </c>
      <c r="KO3" s="29">
        <f t="shared" si="20"/>
        <v>14371.900390999999</v>
      </c>
      <c r="KP3" s="29">
        <f t="shared" si="20"/>
        <v>14371.900390999999</v>
      </c>
      <c r="KQ3" s="29">
        <f t="shared" si="20"/>
        <v>14371.900390999999</v>
      </c>
      <c r="KR3" s="29">
        <f t="shared" si="20"/>
        <v>14371.900390999999</v>
      </c>
      <c r="KS3" s="29">
        <f t="shared" si="20"/>
        <v>14371.900390999999</v>
      </c>
      <c r="KT3" s="29">
        <f t="shared" si="20"/>
        <v>14371.900390999999</v>
      </c>
      <c r="KU3" s="29">
        <f t="shared" si="20"/>
        <v>14371.900390999999</v>
      </c>
      <c r="KV3" s="29">
        <f t="shared" si="20"/>
        <v>14371.900390999999</v>
      </c>
      <c r="KW3" s="29">
        <f t="shared" si="20"/>
        <v>14371.900390999999</v>
      </c>
      <c r="KX3" s="29">
        <f t="shared" si="20"/>
        <v>14371.900390999999</v>
      </c>
      <c r="KY3" s="29">
        <f t="shared" si="20"/>
        <v>14371.900390999999</v>
      </c>
      <c r="KZ3" s="29">
        <f t="shared" si="20"/>
        <v>14371.900390999999</v>
      </c>
      <c r="LA3" s="29">
        <f t="shared" si="20"/>
        <v>14371.900390999999</v>
      </c>
      <c r="LB3" s="29">
        <f t="shared" si="20"/>
        <v>14371.900390999999</v>
      </c>
      <c r="LC3" s="29">
        <f t="shared" si="20"/>
        <v>14371.900390999999</v>
      </c>
      <c r="LD3" s="29">
        <f t="shared" si="20"/>
        <v>14371.900390999999</v>
      </c>
      <c r="LE3" s="29">
        <f t="shared" si="20"/>
        <v>14371.900390999999</v>
      </c>
      <c r="LF3" s="29">
        <f t="shared" si="20"/>
        <v>14371.900390999999</v>
      </c>
      <c r="LG3" s="29">
        <f t="shared" si="20"/>
        <v>14371.900390999999</v>
      </c>
      <c r="LH3" s="29">
        <f t="shared" si="20"/>
        <v>14371.900390999999</v>
      </c>
      <c r="LI3" s="29">
        <f t="shared" si="20"/>
        <v>14371.900390999999</v>
      </c>
      <c r="LJ3" s="29">
        <f t="shared" si="20"/>
        <v>14371.900390999999</v>
      </c>
      <c r="LK3" s="29">
        <f t="shared" si="20"/>
        <v>14371.900390999999</v>
      </c>
      <c r="LL3" s="29">
        <f t="shared" si="20"/>
        <v>14371.900390999999</v>
      </c>
      <c r="LM3" s="29">
        <f t="shared" si="20"/>
        <v>14371.900390999999</v>
      </c>
      <c r="LN3" s="29">
        <f t="shared" si="20"/>
        <v>14371.900390999999</v>
      </c>
      <c r="LO3" s="29">
        <f t="shared" si="20"/>
        <v>14371.900390999999</v>
      </c>
      <c r="LP3" s="29">
        <f t="shared" si="20"/>
        <v>14371.900390999999</v>
      </c>
      <c r="LQ3" s="29">
        <f t="shared" si="20"/>
        <v>14371.900390999999</v>
      </c>
      <c r="LR3" s="29">
        <f t="shared" si="20"/>
        <v>14371.900390999999</v>
      </c>
      <c r="LS3" s="29">
        <f t="shared" si="20"/>
        <v>14371.900390999999</v>
      </c>
      <c r="LT3" s="29">
        <f t="shared" ref="LT3:OE3" si="21">$F$3</f>
        <v>14371.900390999999</v>
      </c>
      <c r="LU3" s="29">
        <f t="shared" si="21"/>
        <v>14371.900390999999</v>
      </c>
      <c r="LV3" s="29">
        <f t="shared" si="21"/>
        <v>14371.900390999999</v>
      </c>
      <c r="LW3" s="29">
        <f t="shared" si="21"/>
        <v>14371.900390999999</v>
      </c>
      <c r="LX3" s="29">
        <f t="shared" si="21"/>
        <v>14371.900390999999</v>
      </c>
      <c r="LY3" s="29">
        <f t="shared" si="21"/>
        <v>14371.900390999999</v>
      </c>
      <c r="LZ3" s="29">
        <f t="shared" si="21"/>
        <v>14371.900390999999</v>
      </c>
      <c r="MA3" s="29">
        <f t="shared" si="21"/>
        <v>14371.900390999999</v>
      </c>
      <c r="MB3" s="29">
        <f t="shared" si="21"/>
        <v>14371.900390999999</v>
      </c>
      <c r="MC3" s="29">
        <f t="shared" si="21"/>
        <v>14371.900390999999</v>
      </c>
      <c r="MD3" s="29">
        <f t="shared" si="21"/>
        <v>14371.900390999999</v>
      </c>
      <c r="ME3" s="29">
        <f t="shared" si="21"/>
        <v>14371.900390999999</v>
      </c>
      <c r="MF3" s="29">
        <f t="shared" si="21"/>
        <v>14371.900390999999</v>
      </c>
      <c r="MG3" s="29">
        <f t="shared" si="21"/>
        <v>14371.900390999999</v>
      </c>
      <c r="MH3" s="29">
        <f t="shared" si="21"/>
        <v>14371.900390999999</v>
      </c>
      <c r="MI3" s="29">
        <f t="shared" si="21"/>
        <v>14371.900390999999</v>
      </c>
      <c r="MJ3" s="29">
        <f t="shared" si="21"/>
        <v>14371.900390999999</v>
      </c>
      <c r="MK3" s="29">
        <f t="shared" si="21"/>
        <v>14371.900390999999</v>
      </c>
      <c r="ML3" s="29">
        <f t="shared" si="21"/>
        <v>14371.900390999999</v>
      </c>
      <c r="MM3" s="29">
        <f t="shared" si="21"/>
        <v>14371.900390999999</v>
      </c>
      <c r="MN3" s="29">
        <f t="shared" si="21"/>
        <v>14371.900390999999</v>
      </c>
      <c r="MO3" s="29">
        <f t="shared" si="21"/>
        <v>14371.900390999999</v>
      </c>
      <c r="MP3" s="29">
        <f t="shared" si="21"/>
        <v>14371.900390999999</v>
      </c>
      <c r="MQ3" s="29">
        <f t="shared" si="21"/>
        <v>14371.900390999999</v>
      </c>
      <c r="MR3" s="29">
        <f t="shared" si="21"/>
        <v>14371.900390999999</v>
      </c>
      <c r="MS3" s="29">
        <f t="shared" si="21"/>
        <v>14371.900390999999</v>
      </c>
      <c r="MT3" s="29">
        <f t="shared" si="21"/>
        <v>14371.900390999999</v>
      </c>
      <c r="MU3" s="29">
        <f t="shared" si="21"/>
        <v>14371.900390999999</v>
      </c>
      <c r="MV3" s="29">
        <f t="shared" si="21"/>
        <v>14371.900390999999</v>
      </c>
      <c r="MW3" s="29">
        <f t="shared" si="21"/>
        <v>14371.900390999999</v>
      </c>
      <c r="MX3" s="29">
        <f t="shared" si="21"/>
        <v>14371.900390999999</v>
      </c>
      <c r="MY3" s="29">
        <f t="shared" si="21"/>
        <v>14371.900390999999</v>
      </c>
      <c r="MZ3" s="29">
        <f t="shared" si="21"/>
        <v>14371.900390999999</v>
      </c>
      <c r="NA3" s="29">
        <f t="shared" si="21"/>
        <v>14371.900390999999</v>
      </c>
      <c r="NB3" s="29">
        <f t="shared" si="21"/>
        <v>14371.900390999999</v>
      </c>
      <c r="NC3" s="29">
        <f t="shared" si="21"/>
        <v>14371.900390999999</v>
      </c>
      <c r="ND3" s="29">
        <f t="shared" si="21"/>
        <v>14371.900390999999</v>
      </c>
      <c r="NE3" s="29">
        <f t="shared" si="21"/>
        <v>14371.900390999999</v>
      </c>
      <c r="NF3" s="29">
        <f t="shared" si="21"/>
        <v>14371.900390999999</v>
      </c>
      <c r="NG3" s="29">
        <f t="shared" si="21"/>
        <v>14371.900390999999</v>
      </c>
      <c r="NH3" s="29">
        <f t="shared" si="21"/>
        <v>14371.900390999999</v>
      </c>
      <c r="NI3" s="29">
        <f t="shared" si="21"/>
        <v>14371.900390999999</v>
      </c>
      <c r="NJ3" s="29">
        <f t="shared" si="21"/>
        <v>14371.900390999999</v>
      </c>
      <c r="NK3" s="29">
        <f t="shared" si="21"/>
        <v>14371.900390999999</v>
      </c>
      <c r="NL3" s="29">
        <f t="shared" si="21"/>
        <v>14371.900390999999</v>
      </c>
      <c r="NM3" s="29">
        <f t="shared" si="21"/>
        <v>14371.900390999999</v>
      </c>
      <c r="NN3" s="29">
        <f t="shared" si="21"/>
        <v>14371.900390999999</v>
      </c>
      <c r="NO3" s="29">
        <f t="shared" si="21"/>
        <v>14371.900390999999</v>
      </c>
      <c r="NP3" s="29">
        <f t="shared" si="21"/>
        <v>14371.900390999999</v>
      </c>
      <c r="NQ3" s="29">
        <f t="shared" si="21"/>
        <v>14371.900390999999</v>
      </c>
      <c r="NR3" s="29">
        <f t="shared" si="21"/>
        <v>14371.900390999999</v>
      </c>
      <c r="NS3" s="29">
        <f t="shared" si="21"/>
        <v>14371.900390999999</v>
      </c>
      <c r="NT3" s="29">
        <f t="shared" si="21"/>
        <v>14371.900390999999</v>
      </c>
      <c r="NU3" s="29">
        <f t="shared" si="21"/>
        <v>14371.900390999999</v>
      </c>
      <c r="NV3" s="29">
        <f t="shared" si="21"/>
        <v>14371.900390999999</v>
      </c>
      <c r="NW3" s="29">
        <f t="shared" si="21"/>
        <v>14371.900390999999</v>
      </c>
      <c r="NX3" s="29">
        <f t="shared" si="21"/>
        <v>14371.900390999999</v>
      </c>
      <c r="NY3" s="29">
        <f t="shared" si="21"/>
        <v>14371.900390999999</v>
      </c>
      <c r="NZ3" s="29">
        <f t="shared" si="21"/>
        <v>14371.900390999999</v>
      </c>
      <c r="OA3" s="29">
        <f t="shared" si="21"/>
        <v>14371.900390999999</v>
      </c>
      <c r="OB3" s="29">
        <f t="shared" si="21"/>
        <v>14371.900390999999</v>
      </c>
      <c r="OC3" s="29">
        <f t="shared" si="21"/>
        <v>14371.900390999999</v>
      </c>
      <c r="OD3" s="29">
        <f t="shared" si="21"/>
        <v>14371.900390999999</v>
      </c>
      <c r="OE3" s="29">
        <f t="shared" si="21"/>
        <v>14371.900390999999</v>
      </c>
      <c r="OF3" s="29">
        <f t="shared" ref="OF3:QQ3" si="22">$F$3</f>
        <v>14371.900390999999</v>
      </c>
      <c r="OG3" s="29">
        <f t="shared" si="22"/>
        <v>14371.900390999999</v>
      </c>
      <c r="OH3" s="29">
        <f t="shared" si="22"/>
        <v>14371.900390999999</v>
      </c>
      <c r="OI3" s="29">
        <f t="shared" si="22"/>
        <v>14371.900390999999</v>
      </c>
      <c r="OJ3" s="29">
        <f t="shared" si="22"/>
        <v>14371.900390999999</v>
      </c>
      <c r="OK3" s="29">
        <f t="shared" si="22"/>
        <v>14371.900390999999</v>
      </c>
      <c r="OL3" s="29">
        <f t="shared" si="22"/>
        <v>14371.900390999999</v>
      </c>
      <c r="OM3" s="29">
        <f t="shared" si="22"/>
        <v>14371.900390999999</v>
      </c>
      <c r="ON3" s="29">
        <f t="shared" si="22"/>
        <v>14371.900390999999</v>
      </c>
      <c r="OO3" s="29">
        <f t="shared" si="22"/>
        <v>14371.900390999999</v>
      </c>
      <c r="OP3" s="29">
        <f t="shared" si="22"/>
        <v>14371.900390999999</v>
      </c>
      <c r="OQ3" s="29">
        <f t="shared" si="22"/>
        <v>14371.900390999999</v>
      </c>
      <c r="OR3" s="29">
        <f t="shared" si="22"/>
        <v>14371.900390999999</v>
      </c>
      <c r="OS3" s="29">
        <f t="shared" si="22"/>
        <v>14371.900390999999</v>
      </c>
      <c r="OT3" s="29">
        <f t="shared" si="22"/>
        <v>14371.900390999999</v>
      </c>
      <c r="OU3" s="29">
        <f t="shared" si="22"/>
        <v>14371.900390999999</v>
      </c>
      <c r="OV3" s="29">
        <f t="shared" si="22"/>
        <v>14371.900390999999</v>
      </c>
      <c r="OW3" s="29">
        <f t="shared" si="22"/>
        <v>14371.900390999999</v>
      </c>
      <c r="OX3" s="29">
        <f t="shared" si="22"/>
        <v>14371.900390999999</v>
      </c>
      <c r="OY3" s="29">
        <f t="shared" si="22"/>
        <v>14371.900390999999</v>
      </c>
      <c r="OZ3" s="29">
        <f t="shared" si="22"/>
        <v>14371.900390999999</v>
      </c>
      <c r="PA3" s="29">
        <f t="shared" si="22"/>
        <v>14371.900390999999</v>
      </c>
      <c r="PB3" s="29">
        <f t="shared" si="22"/>
        <v>14371.900390999999</v>
      </c>
      <c r="PC3" s="29">
        <f t="shared" si="22"/>
        <v>14371.900390999999</v>
      </c>
      <c r="PD3" s="29">
        <f t="shared" si="22"/>
        <v>14371.900390999999</v>
      </c>
      <c r="PE3" s="29">
        <f t="shared" si="22"/>
        <v>14371.900390999999</v>
      </c>
      <c r="PF3" s="29">
        <f t="shared" si="22"/>
        <v>14371.900390999999</v>
      </c>
      <c r="PG3" s="29">
        <f t="shared" si="22"/>
        <v>14371.900390999999</v>
      </c>
      <c r="PH3" s="29">
        <f t="shared" si="22"/>
        <v>14371.900390999999</v>
      </c>
      <c r="PI3" s="29">
        <f t="shared" si="22"/>
        <v>14371.900390999999</v>
      </c>
      <c r="PJ3" s="29">
        <f t="shared" si="22"/>
        <v>14371.900390999999</v>
      </c>
      <c r="PK3" s="29">
        <f t="shared" si="22"/>
        <v>14371.900390999999</v>
      </c>
      <c r="PL3" s="29">
        <f t="shared" si="22"/>
        <v>14371.900390999999</v>
      </c>
      <c r="PM3" s="29">
        <f t="shared" si="22"/>
        <v>14371.900390999999</v>
      </c>
      <c r="PN3" s="29">
        <f t="shared" si="22"/>
        <v>14371.900390999999</v>
      </c>
      <c r="PO3" s="29">
        <f t="shared" si="22"/>
        <v>14371.900390999999</v>
      </c>
      <c r="PP3" s="29">
        <f t="shared" si="22"/>
        <v>14371.900390999999</v>
      </c>
      <c r="PQ3" s="29">
        <f t="shared" si="22"/>
        <v>14371.900390999999</v>
      </c>
      <c r="PR3" s="29">
        <f t="shared" si="22"/>
        <v>14371.900390999999</v>
      </c>
      <c r="PS3" s="29">
        <f t="shared" si="22"/>
        <v>14371.900390999999</v>
      </c>
      <c r="PT3" s="29">
        <f t="shared" si="22"/>
        <v>14371.900390999999</v>
      </c>
      <c r="PU3" s="29">
        <f t="shared" si="22"/>
        <v>14371.900390999999</v>
      </c>
      <c r="PV3" s="29">
        <f t="shared" si="22"/>
        <v>14371.900390999999</v>
      </c>
      <c r="PW3" s="29">
        <f t="shared" si="22"/>
        <v>14371.900390999999</v>
      </c>
      <c r="PX3" s="29">
        <f t="shared" si="22"/>
        <v>14371.900390999999</v>
      </c>
      <c r="PY3" s="29">
        <f t="shared" si="22"/>
        <v>14371.900390999999</v>
      </c>
      <c r="PZ3" s="29">
        <f t="shared" si="22"/>
        <v>14371.900390999999</v>
      </c>
      <c r="QA3" s="29">
        <f t="shared" si="22"/>
        <v>14371.900390999999</v>
      </c>
      <c r="QB3" s="29">
        <f t="shared" si="22"/>
        <v>14371.900390999999</v>
      </c>
      <c r="QC3" s="29">
        <f t="shared" si="22"/>
        <v>14371.900390999999</v>
      </c>
      <c r="QD3" s="29">
        <f t="shared" si="22"/>
        <v>14371.900390999999</v>
      </c>
      <c r="QE3" s="29">
        <f t="shared" si="22"/>
        <v>14371.900390999999</v>
      </c>
      <c r="QF3" s="29">
        <f t="shared" si="22"/>
        <v>14371.900390999999</v>
      </c>
      <c r="QG3" s="29">
        <f t="shared" si="22"/>
        <v>14371.900390999999</v>
      </c>
      <c r="QH3" s="29">
        <f t="shared" si="22"/>
        <v>14371.900390999999</v>
      </c>
      <c r="QI3" s="29">
        <f t="shared" si="22"/>
        <v>14371.900390999999</v>
      </c>
      <c r="QJ3" s="29">
        <f t="shared" si="22"/>
        <v>14371.900390999999</v>
      </c>
      <c r="QK3" s="29">
        <f t="shared" si="22"/>
        <v>14371.900390999999</v>
      </c>
      <c r="QL3" s="29">
        <f t="shared" si="22"/>
        <v>14371.900390999999</v>
      </c>
      <c r="QM3" s="29">
        <f t="shared" si="22"/>
        <v>14371.900390999999</v>
      </c>
      <c r="QN3" s="29">
        <f t="shared" si="22"/>
        <v>14371.900390999999</v>
      </c>
      <c r="QO3" s="29">
        <f t="shared" si="22"/>
        <v>14371.900390999999</v>
      </c>
      <c r="QP3" s="29">
        <f t="shared" si="22"/>
        <v>14371.900390999999</v>
      </c>
      <c r="QQ3" s="29">
        <f t="shared" si="22"/>
        <v>14371.900390999999</v>
      </c>
      <c r="QR3" s="29">
        <f t="shared" ref="QR3:TC3" si="23">$F$3</f>
        <v>14371.900390999999</v>
      </c>
      <c r="QS3" s="29">
        <f t="shared" si="23"/>
        <v>14371.900390999999</v>
      </c>
      <c r="QT3" s="29">
        <f t="shared" si="23"/>
        <v>14371.900390999999</v>
      </c>
      <c r="QU3" s="29">
        <f t="shared" si="23"/>
        <v>14371.900390999999</v>
      </c>
      <c r="QV3" s="29">
        <f t="shared" si="23"/>
        <v>14371.900390999999</v>
      </c>
      <c r="QW3" s="29">
        <f t="shared" si="23"/>
        <v>14371.900390999999</v>
      </c>
      <c r="QX3" s="29">
        <f t="shared" si="23"/>
        <v>14371.900390999999</v>
      </c>
      <c r="QY3" s="29">
        <f t="shared" si="23"/>
        <v>14371.900390999999</v>
      </c>
      <c r="QZ3" s="29">
        <f t="shared" si="23"/>
        <v>14371.900390999999</v>
      </c>
      <c r="RA3" s="29">
        <f t="shared" si="23"/>
        <v>14371.900390999999</v>
      </c>
      <c r="RB3" s="29">
        <f t="shared" si="23"/>
        <v>14371.900390999999</v>
      </c>
      <c r="RC3" s="29">
        <f t="shared" si="23"/>
        <v>14371.900390999999</v>
      </c>
      <c r="RD3" s="29">
        <f t="shared" si="23"/>
        <v>14371.900390999999</v>
      </c>
      <c r="RE3" s="29">
        <f t="shared" si="23"/>
        <v>14371.900390999999</v>
      </c>
      <c r="RF3" s="29">
        <f t="shared" si="23"/>
        <v>14371.900390999999</v>
      </c>
      <c r="RG3" s="29">
        <f t="shared" si="23"/>
        <v>14371.900390999999</v>
      </c>
      <c r="RH3" s="29">
        <f t="shared" si="23"/>
        <v>14371.900390999999</v>
      </c>
      <c r="RI3" s="29">
        <f t="shared" si="23"/>
        <v>14371.900390999999</v>
      </c>
      <c r="RJ3" s="29">
        <f t="shared" si="23"/>
        <v>14371.900390999999</v>
      </c>
      <c r="RK3" s="29">
        <f t="shared" si="23"/>
        <v>14371.900390999999</v>
      </c>
      <c r="RL3" s="29">
        <f t="shared" si="23"/>
        <v>14371.900390999999</v>
      </c>
      <c r="RM3" s="29">
        <f t="shared" si="23"/>
        <v>14371.900390999999</v>
      </c>
      <c r="RN3" s="29">
        <f t="shared" si="23"/>
        <v>14371.900390999999</v>
      </c>
      <c r="RO3" s="29">
        <f t="shared" si="23"/>
        <v>14371.900390999999</v>
      </c>
      <c r="RP3" s="29">
        <f t="shared" si="23"/>
        <v>14371.900390999999</v>
      </c>
      <c r="RQ3" s="29">
        <f t="shared" si="23"/>
        <v>14371.900390999999</v>
      </c>
      <c r="RR3" s="29">
        <f t="shared" si="23"/>
        <v>14371.900390999999</v>
      </c>
      <c r="RS3" s="29">
        <f t="shared" si="23"/>
        <v>14371.900390999999</v>
      </c>
      <c r="RT3" s="29">
        <f t="shared" si="23"/>
        <v>14371.900390999999</v>
      </c>
      <c r="RU3" s="29">
        <f t="shared" si="23"/>
        <v>14371.900390999999</v>
      </c>
      <c r="RV3" s="29">
        <f t="shared" si="23"/>
        <v>14371.900390999999</v>
      </c>
      <c r="RW3" s="29">
        <f t="shared" si="23"/>
        <v>14371.900390999999</v>
      </c>
      <c r="RX3" s="29">
        <f t="shared" si="23"/>
        <v>14371.900390999999</v>
      </c>
      <c r="RY3" s="29">
        <f t="shared" si="23"/>
        <v>14371.900390999999</v>
      </c>
      <c r="RZ3" s="29">
        <f t="shared" si="23"/>
        <v>14371.900390999999</v>
      </c>
      <c r="SA3" s="29">
        <f t="shared" si="23"/>
        <v>14371.900390999999</v>
      </c>
      <c r="SB3" s="29">
        <f t="shared" si="23"/>
        <v>14371.900390999999</v>
      </c>
      <c r="SC3" s="29">
        <f t="shared" si="23"/>
        <v>14371.900390999999</v>
      </c>
      <c r="SD3" s="29">
        <f t="shared" si="23"/>
        <v>14371.900390999999</v>
      </c>
      <c r="SE3" s="29">
        <f t="shared" si="23"/>
        <v>14371.900390999999</v>
      </c>
      <c r="SF3" s="29">
        <f t="shared" si="23"/>
        <v>14371.900390999999</v>
      </c>
      <c r="SG3" s="29">
        <f t="shared" si="23"/>
        <v>14371.900390999999</v>
      </c>
      <c r="SH3" s="29">
        <f t="shared" si="23"/>
        <v>14371.900390999999</v>
      </c>
      <c r="SI3" s="29">
        <f t="shared" si="23"/>
        <v>14371.900390999999</v>
      </c>
      <c r="SJ3" s="29">
        <f t="shared" si="23"/>
        <v>14371.900390999999</v>
      </c>
      <c r="SK3" s="29">
        <f t="shared" si="23"/>
        <v>14371.900390999999</v>
      </c>
      <c r="SL3" s="29">
        <f t="shared" si="23"/>
        <v>14371.900390999999</v>
      </c>
      <c r="SM3" s="29">
        <f t="shared" si="23"/>
        <v>14371.900390999999</v>
      </c>
      <c r="SN3" s="29">
        <f t="shared" si="23"/>
        <v>14371.900390999999</v>
      </c>
      <c r="SO3" s="29">
        <f t="shared" si="23"/>
        <v>14371.900390999999</v>
      </c>
      <c r="SP3" s="29">
        <f t="shared" si="23"/>
        <v>14371.900390999999</v>
      </c>
      <c r="SQ3" s="29">
        <f t="shared" si="23"/>
        <v>14371.900390999999</v>
      </c>
      <c r="SR3" s="29">
        <f t="shared" si="23"/>
        <v>14371.900390999999</v>
      </c>
      <c r="SS3" s="29">
        <f t="shared" si="23"/>
        <v>14371.900390999999</v>
      </c>
      <c r="ST3" s="29">
        <f t="shared" si="23"/>
        <v>14371.900390999999</v>
      </c>
      <c r="SU3" s="29">
        <f t="shared" si="23"/>
        <v>14371.900390999999</v>
      </c>
      <c r="SV3" s="29">
        <f t="shared" si="23"/>
        <v>14371.900390999999</v>
      </c>
      <c r="SW3" s="29">
        <f t="shared" si="23"/>
        <v>14371.900390999999</v>
      </c>
      <c r="SX3" s="29">
        <f t="shared" si="23"/>
        <v>14371.900390999999</v>
      </c>
      <c r="SY3" s="29">
        <f t="shared" si="23"/>
        <v>14371.900390999999</v>
      </c>
      <c r="SZ3" s="29">
        <f t="shared" si="23"/>
        <v>14371.900390999999</v>
      </c>
      <c r="TA3" s="29">
        <f t="shared" si="23"/>
        <v>14371.900390999999</v>
      </c>
      <c r="TB3" s="29">
        <f t="shared" si="23"/>
        <v>14371.900390999999</v>
      </c>
      <c r="TC3" s="29">
        <f t="shared" si="23"/>
        <v>14371.900390999999</v>
      </c>
      <c r="TD3" s="29">
        <f t="shared" ref="TD3:VO3" si="24">$F$3</f>
        <v>14371.900390999999</v>
      </c>
      <c r="TE3" s="29">
        <f t="shared" si="24"/>
        <v>14371.900390999999</v>
      </c>
      <c r="TF3" s="29">
        <f t="shared" si="24"/>
        <v>14371.900390999999</v>
      </c>
      <c r="TG3" s="29">
        <f t="shared" si="24"/>
        <v>14371.900390999999</v>
      </c>
      <c r="TH3" s="29">
        <f t="shared" si="24"/>
        <v>14371.900390999999</v>
      </c>
      <c r="TI3" s="29">
        <f t="shared" si="24"/>
        <v>14371.900390999999</v>
      </c>
      <c r="TJ3" s="29">
        <f t="shared" si="24"/>
        <v>14371.900390999999</v>
      </c>
      <c r="TK3" s="29">
        <f t="shared" si="24"/>
        <v>14371.900390999999</v>
      </c>
      <c r="TL3" s="29">
        <f t="shared" si="24"/>
        <v>14371.900390999999</v>
      </c>
      <c r="TM3" s="29">
        <f t="shared" si="24"/>
        <v>14371.900390999999</v>
      </c>
      <c r="TN3" s="29">
        <f t="shared" si="24"/>
        <v>14371.900390999999</v>
      </c>
      <c r="TO3" s="29">
        <f t="shared" si="24"/>
        <v>14371.900390999999</v>
      </c>
      <c r="TP3" s="29">
        <f t="shared" si="24"/>
        <v>14371.900390999999</v>
      </c>
      <c r="TQ3" s="29">
        <f t="shared" si="24"/>
        <v>14371.900390999999</v>
      </c>
      <c r="TR3" s="29">
        <f t="shared" si="24"/>
        <v>14371.900390999999</v>
      </c>
      <c r="TS3" s="29">
        <f t="shared" si="24"/>
        <v>14371.900390999999</v>
      </c>
      <c r="TT3" s="29">
        <f t="shared" si="24"/>
        <v>14371.900390999999</v>
      </c>
      <c r="TU3" s="29">
        <f t="shared" si="24"/>
        <v>14371.900390999999</v>
      </c>
      <c r="TV3" s="29">
        <f t="shared" si="24"/>
        <v>14371.900390999999</v>
      </c>
      <c r="TW3" s="29">
        <f t="shared" si="24"/>
        <v>14371.900390999999</v>
      </c>
      <c r="TX3" s="29">
        <f t="shared" si="24"/>
        <v>14371.900390999999</v>
      </c>
      <c r="TY3" s="29">
        <f t="shared" si="24"/>
        <v>14371.900390999999</v>
      </c>
      <c r="TZ3" s="29">
        <f t="shared" si="24"/>
        <v>14371.900390999999</v>
      </c>
      <c r="UA3" s="29">
        <f t="shared" si="24"/>
        <v>14371.900390999999</v>
      </c>
      <c r="UB3" s="29">
        <f t="shared" si="24"/>
        <v>14371.900390999999</v>
      </c>
      <c r="UC3" s="29">
        <f t="shared" si="24"/>
        <v>14371.900390999999</v>
      </c>
      <c r="UD3" s="29">
        <f t="shared" si="24"/>
        <v>14371.900390999999</v>
      </c>
      <c r="UE3" s="29">
        <f t="shared" si="24"/>
        <v>14371.900390999999</v>
      </c>
      <c r="UF3" s="29">
        <f t="shared" si="24"/>
        <v>14371.900390999999</v>
      </c>
      <c r="UG3" s="29">
        <f t="shared" si="24"/>
        <v>14371.900390999999</v>
      </c>
      <c r="UH3" s="29">
        <f t="shared" si="24"/>
        <v>14371.900390999999</v>
      </c>
      <c r="UI3" s="29">
        <f t="shared" si="24"/>
        <v>14371.900390999999</v>
      </c>
      <c r="UJ3" s="29">
        <f t="shared" si="24"/>
        <v>14371.900390999999</v>
      </c>
      <c r="UK3" s="29">
        <f t="shared" si="24"/>
        <v>14371.900390999999</v>
      </c>
      <c r="UL3" s="29">
        <f t="shared" si="24"/>
        <v>14371.900390999999</v>
      </c>
      <c r="UM3" s="29">
        <f t="shared" si="24"/>
        <v>14371.900390999999</v>
      </c>
      <c r="UN3" s="29">
        <f t="shared" si="24"/>
        <v>14371.900390999999</v>
      </c>
      <c r="UO3" s="29">
        <f t="shared" si="24"/>
        <v>14371.900390999999</v>
      </c>
      <c r="UP3" s="29">
        <f t="shared" si="24"/>
        <v>14371.900390999999</v>
      </c>
      <c r="UQ3" s="29">
        <f t="shared" si="24"/>
        <v>14371.900390999999</v>
      </c>
      <c r="UR3" s="29">
        <f t="shared" si="24"/>
        <v>14371.900390999999</v>
      </c>
      <c r="US3" s="29">
        <f t="shared" si="24"/>
        <v>14371.900390999999</v>
      </c>
      <c r="UT3" s="29">
        <f t="shared" si="24"/>
        <v>14371.900390999999</v>
      </c>
      <c r="UU3" s="29">
        <f t="shared" si="24"/>
        <v>14371.900390999999</v>
      </c>
      <c r="UV3" s="29">
        <f t="shared" si="24"/>
        <v>14371.900390999999</v>
      </c>
      <c r="UW3" s="29">
        <f t="shared" si="24"/>
        <v>14371.900390999999</v>
      </c>
      <c r="UX3" s="29">
        <f t="shared" si="24"/>
        <v>14371.900390999999</v>
      </c>
      <c r="UY3" s="29">
        <f t="shared" si="24"/>
        <v>14371.900390999999</v>
      </c>
      <c r="UZ3" s="29">
        <f t="shared" si="24"/>
        <v>14371.900390999999</v>
      </c>
      <c r="VA3" s="29">
        <f t="shared" si="24"/>
        <v>14371.900390999999</v>
      </c>
      <c r="VB3" s="29">
        <f t="shared" si="24"/>
        <v>14371.900390999999</v>
      </c>
      <c r="VC3" s="29">
        <f t="shared" si="24"/>
        <v>14371.900390999999</v>
      </c>
      <c r="VD3" s="29">
        <f t="shared" si="24"/>
        <v>14371.900390999999</v>
      </c>
      <c r="VE3" s="29">
        <f t="shared" si="24"/>
        <v>14371.900390999999</v>
      </c>
      <c r="VF3" s="29">
        <f t="shared" si="24"/>
        <v>14371.900390999999</v>
      </c>
      <c r="VG3" s="29">
        <f t="shared" si="24"/>
        <v>14371.900390999999</v>
      </c>
      <c r="VH3" s="29">
        <f t="shared" si="24"/>
        <v>14371.900390999999</v>
      </c>
      <c r="VI3" s="29">
        <f t="shared" si="24"/>
        <v>14371.900390999999</v>
      </c>
      <c r="VJ3" s="29">
        <f t="shared" si="24"/>
        <v>14371.900390999999</v>
      </c>
      <c r="VK3" s="29">
        <f t="shared" si="24"/>
        <v>14371.900390999999</v>
      </c>
      <c r="VL3" s="29">
        <f t="shared" si="24"/>
        <v>14371.900390999999</v>
      </c>
      <c r="VM3" s="29">
        <f t="shared" si="24"/>
        <v>14371.900390999999</v>
      </c>
      <c r="VN3" s="29">
        <f t="shared" si="24"/>
        <v>14371.900390999999</v>
      </c>
      <c r="VO3" s="29">
        <f t="shared" si="24"/>
        <v>14371.900390999999</v>
      </c>
      <c r="VP3" s="29">
        <f t="shared" ref="VP3:YA3" si="25">$F$3</f>
        <v>14371.900390999999</v>
      </c>
      <c r="VQ3" s="29">
        <f t="shared" si="25"/>
        <v>14371.900390999999</v>
      </c>
      <c r="VR3" s="29">
        <f t="shared" si="25"/>
        <v>14371.900390999999</v>
      </c>
      <c r="VS3" s="29">
        <f t="shared" si="25"/>
        <v>14371.900390999999</v>
      </c>
      <c r="VT3" s="29">
        <f t="shared" si="25"/>
        <v>14371.900390999999</v>
      </c>
      <c r="VU3" s="29">
        <f t="shared" si="25"/>
        <v>14371.900390999999</v>
      </c>
      <c r="VV3" s="29">
        <f t="shared" si="25"/>
        <v>14371.900390999999</v>
      </c>
      <c r="VW3" s="29">
        <f t="shared" si="25"/>
        <v>14371.900390999999</v>
      </c>
      <c r="VX3" s="29">
        <f t="shared" si="25"/>
        <v>14371.900390999999</v>
      </c>
      <c r="VY3" s="29">
        <f t="shared" si="25"/>
        <v>14371.900390999999</v>
      </c>
      <c r="VZ3" s="29">
        <f t="shared" si="25"/>
        <v>14371.900390999999</v>
      </c>
      <c r="WA3" s="29">
        <f t="shared" si="25"/>
        <v>14371.900390999999</v>
      </c>
      <c r="WB3" s="29">
        <f t="shared" si="25"/>
        <v>14371.900390999999</v>
      </c>
      <c r="WC3" s="29">
        <f t="shared" si="25"/>
        <v>14371.900390999999</v>
      </c>
      <c r="WD3" s="29">
        <f t="shared" si="25"/>
        <v>14371.900390999999</v>
      </c>
      <c r="WE3" s="29">
        <f t="shared" si="25"/>
        <v>14371.900390999999</v>
      </c>
      <c r="WF3" s="29">
        <f t="shared" si="25"/>
        <v>14371.900390999999</v>
      </c>
      <c r="WG3" s="29">
        <f t="shared" si="25"/>
        <v>14371.900390999999</v>
      </c>
      <c r="WH3" s="29">
        <f t="shared" si="25"/>
        <v>14371.900390999999</v>
      </c>
      <c r="WI3" s="29">
        <f t="shared" si="25"/>
        <v>14371.900390999999</v>
      </c>
      <c r="WJ3" s="29">
        <f t="shared" si="25"/>
        <v>14371.900390999999</v>
      </c>
      <c r="WK3" s="29">
        <f t="shared" si="25"/>
        <v>14371.900390999999</v>
      </c>
      <c r="WL3" s="29">
        <f t="shared" si="25"/>
        <v>14371.900390999999</v>
      </c>
      <c r="WM3" s="29">
        <f t="shared" si="25"/>
        <v>14371.900390999999</v>
      </c>
      <c r="WN3" s="29">
        <f t="shared" si="25"/>
        <v>14371.900390999999</v>
      </c>
      <c r="WO3" s="29">
        <f t="shared" si="25"/>
        <v>14371.900390999999</v>
      </c>
      <c r="WP3" s="29">
        <f t="shared" si="25"/>
        <v>14371.900390999999</v>
      </c>
      <c r="WQ3" s="29">
        <f t="shared" si="25"/>
        <v>14371.900390999999</v>
      </c>
      <c r="WR3" s="29">
        <f t="shared" si="25"/>
        <v>14371.900390999999</v>
      </c>
      <c r="WS3" s="29">
        <f t="shared" si="25"/>
        <v>14371.900390999999</v>
      </c>
      <c r="WT3" s="29">
        <f t="shared" si="25"/>
        <v>14371.900390999999</v>
      </c>
      <c r="WU3" s="29">
        <f t="shared" si="25"/>
        <v>14371.900390999999</v>
      </c>
      <c r="WV3" s="29">
        <f t="shared" si="25"/>
        <v>14371.900390999999</v>
      </c>
      <c r="WW3" s="29">
        <f t="shared" si="25"/>
        <v>14371.900390999999</v>
      </c>
      <c r="WX3" s="29">
        <f t="shared" si="25"/>
        <v>14371.900390999999</v>
      </c>
      <c r="WY3" s="29">
        <f t="shared" si="25"/>
        <v>14371.900390999999</v>
      </c>
      <c r="WZ3" s="29">
        <f t="shared" si="25"/>
        <v>14371.900390999999</v>
      </c>
      <c r="XA3" s="29">
        <f t="shared" si="25"/>
        <v>14371.900390999999</v>
      </c>
      <c r="XB3" s="29">
        <f t="shared" si="25"/>
        <v>14371.900390999999</v>
      </c>
      <c r="XC3" s="29">
        <f t="shared" si="25"/>
        <v>14371.900390999999</v>
      </c>
      <c r="XD3" s="29">
        <f t="shared" si="25"/>
        <v>14371.900390999999</v>
      </c>
      <c r="XE3" s="29">
        <f t="shared" si="25"/>
        <v>14371.900390999999</v>
      </c>
      <c r="XF3" s="29">
        <f t="shared" si="25"/>
        <v>14371.900390999999</v>
      </c>
      <c r="XG3" s="29">
        <f t="shared" si="25"/>
        <v>14371.900390999999</v>
      </c>
      <c r="XH3" s="29">
        <f t="shared" si="25"/>
        <v>14371.900390999999</v>
      </c>
      <c r="XI3" s="29">
        <f t="shared" si="25"/>
        <v>14371.900390999999</v>
      </c>
      <c r="XJ3" s="29">
        <f t="shared" si="25"/>
        <v>14371.900390999999</v>
      </c>
      <c r="XK3" s="29">
        <f t="shared" si="25"/>
        <v>14371.900390999999</v>
      </c>
      <c r="XL3" s="29">
        <f t="shared" si="25"/>
        <v>14371.900390999999</v>
      </c>
      <c r="XM3" s="29">
        <f t="shared" si="25"/>
        <v>14371.900390999999</v>
      </c>
      <c r="XN3" s="29">
        <f t="shared" si="25"/>
        <v>14371.900390999999</v>
      </c>
      <c r="XO3" s="29">
        <f t="shared" si="25"/>
        <v>14371.900390999999</v>
      </c>
      <c r="XP3" s="29">
        <f t="shared" si="25"/>
        <v>14371.900390999999</v>
      </c>
      <c r="XQ3" s="29">
        <f t="shared" si="25"/>
        <v>14371.900390999999</v>
      </c>
      <c r="XR3" s="29">
        <f t="shared" si="25"/>
        <v>14371.900390999999</v>
      </c>
      <c r="XS3" s="29">
        <f t="shared" si="25"/>
        <v>14371.900390999999</v>
      </c>
      <c r="XT3" s="29">
        <f t="shared" si="25"/>
        <v>14371.900390999999</v>
      </c>
      <c r="XU3" s="29">
        <f t="shared" si="25"/>
        <v>14371.900390999999</v>
      </c>
      <c r="XV3" s="29">
        <f t="shared" si="25"/>
        <v>14371.900390999999</v>
      </c>
      <c r="XW3" s="29">
        <f t="shared" si="25"/>
        <v>14371.900390999999</v>
      </c>
      <c r="XX3" s="29">
        <f t="shared" si="25"/>
        <v>14371.900390999999</v>
      </c>
      <c r="XY3" s="29">
        <f t="shared" si="25"/>
        <v>14371.900390999999</v>
      </c>
      <c r="XZ3" s="29">
        <f t="shared" si="25"/>
        <v>14371.900390999999</v>
      </c>
      <c r="YA3" s="29">
        <f t="shared" si="25"/>
        <v>14371.900390999999</v>
      </c>
      <c r="YB3" s="29">
        <f t="shared" ref="YB3:AAM3" si="26">$F$3</f>
        <v>14371.900390999999</v>
      </c>
      <c r="YC3" s="29">
        <f t="shared" si="26"/>
        <v>14371.900390999999</v>
      </c>
      <c r="YD3" s="29">
        <f t="shared" si="26"/>
        <v>14371.900390999999</v>
      </c>
      <c r="YE3" s="29">
        <f t="shared" si="26"/>
        <v>14371.900390999999</v>
      </c>
      <c r="YF3" s="29">
        <f t="shared" si="26"/>
        <v>14371.900390999999</v>
      </c>
      <c r="YG3" s="29">
        <f t="shared" si="26"/>
        <v>14371.900390999999</v>
      </c>
      <c r="YH3" s="29">
        <f t="shared" si="26"/>
        <v>14371.900390999999</v>
      </c>
      <c r="YI3" s="29">
        <f t="shared" si="26"/>
        <v>14371.900390999999</v>
      </c>
      <c r="YJ3" s="29">
        <f t="shared" si="26"/>
        <v>14371.900390999999</v>
      </c>
      <c r="YK3" s="29">
        <f t="shared" si="26"/>
        <v>14371.900390999999</v>
      </c>
      <c r="YL3" s="29">
        <f t="shared" si="26"/>
        <v>14371.900390999999</v>
      </c>
      <c r="YM3" s="29">
        <f t="shared" si="26"/>
        <v>14371.900390999999</v>
      </c>
      <c r="YN3" s="29">
        <f t="shared" si="26"/>
        <v>14371.900390999999</v>
      </c>
      <c r="YO3" s="29">
        <f t="shared" si="26"/>
        <v>14371.900390999999</v>
      </c>
      <c r="YP3" s="29">
        <f t="shared" si="26"/>
        <v>14371.900390999999</v>
      </c>
      <c r="YQ3" s="29">
        <f t="shared" si="26"/>
        <v>14371.900390999999</v>
      </c>
      <c r="YR3" s="29">
        <f t="shared" si="26"/>
        <v>14371.900390999999</v>
      </c>
      <c r="YS3" s="29">
        <f t="shared" si="26"/>
        <v>14371.900390999999</v>
      </c>
      <c r="YT3" s="29">
        <f t="shared" si="26"/>
        <v>14371.900390999999</v>
      </c>
      <c r="YU3" s="29">
        <f t="shared" si="26"/>
        <v>14371.900390999999</v>
      </c>
      <c r="YV3" s="29">
        <f t="shared" si="26"/>
        <v>14371.900390999999</v>
      </c>
      <c r="YW3" s="29">
        <f t="shared" si="26"/>
        <v>14371.900390999999</v>
      </c>
      <c r="YX3" s="29">
        <f t="shared" si="26"/>
        <v>14371.900390999999</v>
      </c>
      <c r="YY3" s="29">
        <f t="shared" si="26"/>
        <v>14371.900390999999</v>
      </c>
      <c r="YZ3" s="29">
        <f t="shared" si="26"/>
        <v>14371.900390999999</v>
      </c>
      <c r="ZA3" s="29">
        <f t="shared" si="26"/>
        <v>14371.900390999999</v>
      </c>
      <c r="ZB3" s="29">
        <f t="shared" si="26"/>
        <v>14371.900390999999</v>
      </c>
      <c r="ZC3" s="29">
        <f t="shared" si="26"/>
        <v>14371.900390999999</v>
      </c>
      <c r="ZD3" s="29">
        <f t="shared" si="26"/>
        <v>14371.900390999999</v>
      </c>
      <c r="ZE3" s="29">
        <f t="shared" si="26"/>
        <v>14371.900390999999</v>
      </c>
      <c r="ZF3" s="29">
        <f t="shared" si="26"/>
        <v>14371.900390999999</v>
      </c>
      <c r="ZG3" s="29">
        <f t="shared" si="26"/>
        <v>14371.900390999999</v>
      </c>
      <c r="ZH3" s="29">
        <f t="shared" si="26"/>
        <v>14371.900390999999</v>
      </c>
      <c r="ZI3" s="29">
        <f t="shared" si="26"/>
        <v>14371.900390999999</v>
      </c>
      <c r="ZJ3" s="29">
        <f t="shared" si="26"/>
        <v>14371.900390999999</v>
      </c>
      <c r="ZK3" s="29">
        <f t="shared" si="26"/>
        <v>14371.900390999999</v>
      </c>
      <c r="ZL3" s="29">
        <f t="shared" si="26"/>
        <v>14371.900390999999</v>
      </c>
      <c r="ZM3" s="29">
        <f t="shared" si="26"/>
        <v>14371.900390999999</v>
      </c>
      <c r="ZN3" s="29">
        <f t="shared" si="26"/>
        <v>14371.900390999999</v>
      </c>
      <c r="ZO3" s="29">
        <f t="shared" si="26"/>
        <v>14371.900390999999</v>
      </c>
      <c r="ZP3" s="29">
        <f t="shared" si="26"/>
        <v>14371.900390999999</v>
      </c>
      <c r="ZQ3" s="29">
        <f t="shared" si="26"/>
        <v>14371.900390999999</v>
      </c>
      <c r="ZR3" s="29">
        <f t="shared" si="26"/>
        <v>14371.900390999999</v>
      </c>
      <c r="ZS3" s="29">
        <f t="shared" si="26"/>
        <v>14371.900390999999</v>
      </c>
      <c r="ZT3" s="29">
        <f t="shared" si="26"/>
        <v>14371.900390999999</v>
      </c>
      <c r="ZU3" s="29">
        <f t="shared" si="26"/>
        <v>14371.900390999999</v>
      </c>
      <c r="ZV3" s="29">
        <f t="shared" si="26"/>
        <v>14371.900390999999</v>
      </c>
      <c r="ZW3" s="29">
        <f t="shared" si="26"/>
        <v>14371.900390999999</v>
      </c>
      <c r="ZX3" s="29">
        <f t="shared" si="26"/>
        <v>14371.900390999999</v>
      </c>
      <c r="ZY3" s="29">
        <f t="shared" si="26"/>
        <v>14371.900390999999</v>
      </c>
      <c r="ZZ3" s="29">
        <f t="shared" si="26"/>
        <v>14371.900390999999</v>
      </c>
      <c r="AAA3" s="29">
        <f t="shared" si="26"/>
        <v>14371.900390999999</v>
      </c>
      <c r="AAB3" s="29">
        <f t="shared" si="26"/>
        <v>14371.900390999999</v>
      </c>
      <c r="AAC3" s="29">
        <f t="shared" si="26"/>
        <v>14371.900390999999</v>
      </c>
      <c r="AAD3" s="29">
        <f t="shared" si="26"/>
        <v>14371.900390999999</v>
      </c>
      <c r="AAE3" s="29">
        <f t="shared" si="26"/>
        <v>14371.900390999999</v>
      </c>
      <c r="AAF3" s="29">
        <f t="shared" si="26"/>
        <v>14371.900390999999</v>
      </c>
      <c r="AAG3" s="29">
        <f t="shared" si="26"/>
        <v>14371.900390999999</v>
      </c>
      <c r="AAH3" s="29">
        <f t="shared" si="26"/>
        <v>14371.900390999999</v>
      </c>
      <c r="AAI3" s="29">
        <f t="shared" si="26"/>
        <v>14371.900390999999</v>
      </c>
      <c r="AAJ3" s="29">
        <f t="shared" si="26"/>
        <v>14371.900390999999</v>
      </c>
      <c r="AAK3" s="29">
        <f t="shared" si="26"/>
        <v>14371.900390999999</v>
      </c>
      <c r="AAL3" s="29">
        <f t="shared" si="26"/>
        <v>14371.900390999999</v>
      </c>
      <c r="AAM3" s="29">
        <f t="shared" si="26"/>
        <v>14371.900390999999</v>
      </c>
      <c r="AAN3" s="29">
        <f t="shared" ref="AAN3:ACY3" si="27">$F$3</f>
        <v>14371.900390999999</v>
      </c>
      <c r="AAO3" s="29">
        <f t="shared" si="27"/>
        <v>14371.900390999999</v>
      </c>
      <c r="AAP3" s="29">
        <f t="shared" si="27"/>
        <v>14371.900390999999</v>
      </c>
      <c r="AAQ3" s="29">
        <f t="shared" si="27"/>
        <v>14371.900390999999</v>
      </c>
      <c r="AAR3" s="29">
        <f t="shared" si="27"/>
        <v>14371.900390999999</v>
      </c>
      <c r="AAS3" s="29">
        <f t="shared" si="27"/>
        <v>14371.900390999999</v>
      </c>
      <c r="AAT3" s="29">
        <f t="shared" si="27"/>
        <v>14371.900390999999</v>
      </c>
      <c r="AAU3" s="29">
        <f t="shared" si="27"/>
        <v>14371.900390999999</v>
      </c>
      <c r="AAV3" s="29">
        <f t="shared" si="27"/>
        <v>14371.900390999999</v>
      </c>
      <c r="AAW3" s="29">
        <f t="shared" si="27"/>
        <v>14371.900390999999</v>
      </c>
      <c r="AAX3" s="29">
        <f t="shared" si="27"/>
        <v>14371.900390999999</v>
      </c>
      <c r="AAY3" s="29">
        <f t="shared" si="27"/>
        <v>14371.900390999999</v>
      </c>
      <c r="AAZ3" s="29">
        <f t="shared" si="27"/>
        <v>14371.900390999999</v>
      </c>
      <c r="ABA3" s="29">
        <f t="shared" si="27"/>
        <v>14371.900390999999</v>
      </c>
      <c r="ABB3" s="29">
        <f t="shared" si="27"/>
        <v>14371.900390999999</v>
      </c>
      <c r="ABC3" s="29">
        <f t="shared" si="27"/>
        <v>14371.900390999999</v>
      </c>
      <c r="ABD3" s="29">
        <f t="shared" si="27"/>
        <v>14371.900390999999</v>
      </c>
      <c r="ABE3" s="29">
        <f t="shared" si="27"/>
        <v>14371.900390999999</v>
      </c>
      <c r="ABF3" s="29">
        <f t="shared" si="27"/>
        <v>14371.900390999999</v>
      </c>
      <c r="ABG3" s="29">
        <f t="shared" si="27"/>
        <v>14371.900390999999</v>
      </c>
      <c r="ABH3" s="29">
        <f t="shared" si="27"/>
        <v>14371.900390999999</v>
      </c>
      <c r="ABI3" s="29">
        <f t="shared" si="27"/>
        <v>14371.900390999999</v>
      </c>
      <c r="ABJ3" s="29">
        <f t="shared" si="27"/>
        <v>14371.900390999999</v>
      </c>
      <c r="ABK3" s="29">
        <f t="shared" si="27"/>
        <v>14371.900390999999</v>
      </c>
      <c r="ABL3" s="29">
        <f t="shared" si="27"/>
        <v>14371.900390999999</v>
      </c>
      <c r="ABM3" s="29">
        <f t="shared" si="27"/>
        <v>14371.900390999999</v>
      </c>
      <c r="ABN3" s="29">
        <f t="shared" si="27"/>
        <v>14371.900390999999</v>
      </c>
      <c r="ABO3" s="29">
        <f t="shared" si="27"/>
        <v>14371.900390999999</v>
      </c>
      <c r="ABP3" s="29">
        <f t="shared" si="27"/>
        <v>14371.900390999999</v>
      </c>
      <c r="ABQ3" s="29">
        <f t="shared" si="27"/>
        <v>14371.900390999999</v>
      </c>
      <c r="ABR3" s="29">
        <f t="shared" si="27"/>
        <v>14371.900390999999</v>
      </c>
      <c r="ABS3" s="29">
        <f t="shared" si="27"/>
        <v>14371.900390999999</v>
      </c>
      <c r="ABT3" s="29">
        <f t="shared" si="27"/>
        <v>14371.900390999999</v>
      </c>
      <c r="ABU3" s="29">
        <f t="shared" si="27"/>
        <v>14371.900390999999</v>
      </c>
      <c r="ABV3" s="29">
        <f t="shared" si="27"/>
        <v>14371.900390999999</v>
      </c>
      <c r="ABW3" s="29">
        <f t="shared" si="27"/>
        <v>14371.900390999999</v>
      </c>
      <c r="ABX3" s="29">
        <f t="shared" si="27"/>
        <v>14371.900390999999</v>
      </c>
      <c r="ABY3" s="29">
        <f t="shared" si="27"/>
        <v>14371.900390999999</v>
      </c>
      <c r="ABZ3" s="29">
        <f t="shared" si="27"/>
        <v>14371.900390999999</v>
      </c>
      <c r="ACA3" s="29">
        <f t="shared" si="27"/>
        <v>14371.900390999999</v>
      </c>
      <c r="ACB3" s="29">
        <f t="shared" si="27"/>
        <v>14371.900390999999</v>
      </c>
      <c r="ACC3" s="29">
        <f t="shared" si="27"/>
        <v>14371.900390999999</v>
      </c>
      <c r="ACD3" s="29">
        <f t="shared" si="27"/>
        <v>14371.900390999999</v>
      </c>
      <c r="ACE3" s="29">
        <f t="shared" si="27"/>
        <v>14371.900390999999</v>
      </c>
      <c r="ACF3" s="29">
        <f t="shared" si="27"/>
        <v>14371.900390999999</v>
      </c>
      <c r="ACG3" s="29">
        <f t="shared" si="27"/>
        <v>14371.900390999999</v>
      </c>
      <c r="ACH3" s="29">
        <f t="shared" si="27"/>
        <v>14371.900390999999</v>
      </c>
      <c r="ACI3" s="29">
        <f t="shared" si="27"/>
        <v>14371.900390999999</v>
      </c>
      <c r="ACJ3" s="29">
        <f t="shared" si="27"/>
        <v>14371.900390999999</v>
      </c>
      <c r="ACK3" s="29">
        <f t="shared" si="27"/>
        <v>14371.900390999999</v>
      </c>
      <c r="ACL3" s="29">
        <f t="shared" si="27"/>
        <v>14371.900390999999</v>
      </c>
      <c r="ACM3" s="29">
        <f t="shared" si="27"/>
        <v>14371.900390999999</v>
      </c>
      <c r="ACN3" s="29">
        <f t="shared" si="27"/>
        <v>14371.900390999999</v>
      </c>
      <c r="ACO3" s="29">
        <f t="shared" si="27"/>
        <v>14371.900390999999</v>
      </c>
      <c r="ACP3" s="29">
        <f t="shared" si="27"/>
        <v>14371.900390999999</v>
      </c>
      <c r="ACQ3" s="29">
        <f t="shared" si="27"/>
        <v>14371.900390999999</v>
      </c>
      <c r="ACR3" s="29">
        <f t="shared" si="27"/>
        <v>14371.900390999999</v>
      </c>
      <c r="ACS3" s="29">
        <f t="shared" si="27"/>
        <v>14371.900390999999</v>
      </c>
      <c r="ACT3" s="29">
        <f t="shared" si="27"/>
        <v>14371.900390999999</v>
      </c>
      <c r="ACU3" s="29">
        <f t="shared" si="27"/>
        <v>14371.900390999999</v>
      </c>
      <c r="ACV3" s="29">
        <f t="shared" si="27"/>
        <v>14371.900390999999</v>
      </c>
      <c r="ACW3" s="29">
        <f t="shared" si="27"/>
        <v>14371.900390999999</v>
      </c>
      <c r="ACX3" s="29">
        <f t="shared" si="27"/>
        <v>14371.900390999999</v>
      </c>
      <c r="ACY3" s="29">
        <f t="shared" si="27"/>
        <v>14371.900390999999</v>
      </c>
      <c r="ACZ3" s="29">
        <f t="shared" ref="ACZ3:AFK3" si="28">$F$3</f>
        <v>14371.900390999999</v>
      </c>
      <c r="ADA3" s="29">
        <f t="shared" si="28"/>
        <v>14371.900390999999</v>
      </c>
      <c r="ADB3" s="29">
        <f t="shared" si="28"/>
        <v>14371.900390999999</v>
      </c>
      <c r="ADC3" s="29">
        <f t="shared" si="28"/>
        <v>14371.900390999999</v>
      </c>
      <c r="ADD3" s="29">
        <f t="shared" si="28"/>
        <v>14371.900390999999</v>
      </c>
      <c r="ADE3" s="29">
        <f t="shared" si="28"/>
        <v>14371.900390999999</v>
      </c>
      <c r="ADF3" s="29">
        <f t="shared" si="28"/>
        <v>14371.900390999999</v>
      </c>
      <c r="ADG3" s="29">
        <f t="shared" si="28"/>
        <v>14371.900390999999</v>
      </c>
      <c r="ADH3" s="29">
        <f t="shared" si="28"/>
        <v>14371.900390999999</v>
      </c>
      <c r="ADI3" s="29">
        <f t="shared" si="28"/>
        <v>14371.900390999999</v>
      </c>
      <c r="ADJ3" s="29">
        <f t="shared" si="28"/>
        <v>14371.900390999999</v>
      </c>
      <c r="ADK3" s="29">
        <f t="shared" si="28"/>
        <v>14371.900390999999</v>
      </c>
      <c r="ADL3" s="29">
        <f t="shared" si="28"/>
        <v>14371.900390999999</v>
      </c>
      <c r="ADM3" s="29">
        <f t="shared" si="28"/>
        <v>14371.900390999999</v>
      </c>
      <c r="ADN3" s="29">
        <f t="shared" si="28"/>
        <v>14371.900390999999</v>
      </c>
      <c r="ADO3" s="29">
        <f t="shared" si="28"/>
        <v>14371.900390999999</v>
      </c>
      <c r="ADP3" s="29">
        <f t="shared" si="28"/>
        <v>14371.900390999999</v>
      </c>
      <c r="ADQ3" s="29">
        <f t="shared" si="28"/>
        <v>14371.900390999999</v>
      </c>
      <c r="ADR3" s="29">
        <f t="shared" si="28"/>
        <v>14371.900390999999</v>
      </c>
      <c r="ADS3" s="29">
        <f t="shared" si="28"/>
        <v>14371.900390999999</v>
      </c>
      <c r="ADT3" s="29">
        <f t="shared" si="28"/>
        <v>14371.900390999999</v>
      </c>
      <c r="ADU3" s="29">
        <f t="shared" si="28"/>
        <v>14371.900390999999</v>
      </c>
      <c r="ADV3" s="29">
        <f t="shared" si="28"/>
        <v>14371.900390999999</v>
      </c>
      <c r="ADW3" s="29">
        <f t="shared" si="28"/>
        <v>14371.900390999999</v>
      </c>
      <c r="ADX3" s="29">
        <f t="shared" si="28"/>
        <v>14371.900390999999</v>
      </c>
      <c r="ADY3" s="29">
        <f t="shared" si="28"/>
        <v>14371.900390999999</v>
      </c>
      <c r="ADZ3" s="29">
        <f t="shared" si="28"/>
        <v>14371.900390999999</v>
      </c>
      <c r="AEA3" s="29">
        <f t="shared" si="28"/>
        <v>14371.900390999999</v>
      </c>
      <c r="AEB3" s="29">
        <f t="shared" si="28"/>
        <v>14371.900390999999</v>
      </c>
      <c r="AEC3" s="29">
        <f t="shared" si="28"/>
        <v>14371.900390999999</v>
      </c>
      <c r="AED3" s="29">
        <f t="shared" si="28"/>
        <v>14371.900390999999</v>
      </c>
      <c r="AEE3" s="29">
        <f t="shared" si="28"/>
        <v>14371.900390999999</v>
      </c>
      <c r="AEF3" s="29">
        <f t="shared" si="28"/>
        <v>14371.900390999999</v>
      </c>
      <c r="AEG3" s="29">
        <f t="shared" si="28"/>
        <v>14371.900390999999</v>
      </c>
      <c r="AEH3" s="29">
        <f t="shared" si="28"/>
        <v>14371.900390999999</v>
      </c>
      <c r="AEI3" s="29">
        <f t="shared" si="28"/>
        <v>14371.900390999999</v>
      </c>
      <c r="AEJ3" s="29">
        <f t="shared" si="28"/>
        <v>14371.900390999999</v>
      </c>
      <c r="AEK3" s="29">
        <f t="shared" si="28"/>
        <v>14371.900390999999</v>
      </c>
      <c r="AEL3" s="29">
        <f t="shared" si="28"/>
        <v>14371.900390999999</v>
      </c>
      <c r="AEM3" s="29">
        <f t="shared" si="28"/>
        <v>14371.900390999999</v>
      </c>
      <c r="AEN3" s="29">
        <f t="shared" si="28"/>
        <v>14371.900390999999</v>
      </c>
      <c r="AEO3" s="29">
        <f t="shared" si="28"/>
        <v>14371.900390999999</v>
      </c>
      <c r="AEP3" s="29">
        <f t="shared" si="28"/>
        <v>14371.900390999999</v>
      </c>
      <c r="AEQ3" s="29">
        <f t="shared" si="28"/>
        <v>14371.900390999999</v>
      </c>
      <c r="AER3" s="29">
        <f t="shared" si="28"/>
        <v>14371.900390999999</v>
      </c>
      <c r="AES3" s="29">
        <f t="shared" si="28"/>
        <v>14371.900390999999</v>
      </c>
      <c r="AET3" s="29">
        <f t="shared" si="28"/>
        <v>14371.900390999999</v>
      </c>
      <c r="AEU3" s="29">
        <f t="shared" si="28"/>
        <v>14371.900390999999</v>
      </c>
      <c r="AEV3" s="29">
        <f t="shared" si="28"/>
        <v>14371.900390999999</v>
      </c>
      <c r="AEW3" s="29">
        <f t="shared" si="28"/>
        <v>14371.900390999999</v>
      </c>
      <c r="AEX3" s="29">
        <f t="shared" si="28"/>
        <v>14371.900390999999</v>
      </c>
      <c r="AEY3" s="29">
        <f t="shared" si="28"/>
        <v>14371.900390999999</v>
      </c>
      <c r="AEZ3" s="29">
        <f t="shared" si="28"/>
        <v>14371.900390999999</v>
      </c>
      <c r="AFA3" s="29">
        <f t="shared" si="28"/>
        <v>14371.900390999999</v>
      </c>
      <c r="AFB3" s="29">
        <f t="shared" si="28"/>
        <v>14371.900390999999</v>
      </c>
      <c r="AFC3" s="29">
        <f t="shared" si="28"/>
        <v>14371.900390999999</v>
      </c>
      <c r="AFD3" s="29">
        <f t="shared" si="28"/>
        <v>14371.900390999999</v>
      </c>
      <c r="AFE3" s="29">
        <f t="shared" si="28"/>
        <v>14371.900390999999</v>
      </c>
      <c r="AFF3" s="29">
        <f t="shared" si="28"/>
        <v>14371.900390999999</v>
      </c>
      <c r="AFG3" s="29">
        <f t="shared" si="28"/>
        <v>14371.900390999999</v>
      </c>
      <c r="AFH3" s="29">
        <f t="shared" si="28"/>
        <v>14371.900390999999</v>
      </c>
      <c r="AFI3" s="29">
        <f t="shared" si="28"/>
        <v>14371.900390999999</v>
      </c>
      <c r="AFJ3" s="29">
        <f t="shared" si="28"/>
        <v>14371.900390999999</v>
      </c>
      <c r="AFK3" s="29">
        <f t="shared" si="28"/>
        <v>14371.900390999999</v>
      </c>
      <c r="AFL3" s="29">
        <f t="shared" ref="AFL3:AHW3" si="29">$F$3</f>
        <v>14371.900390999999</v>
      </c>
      <c r="AFM3" s="29">
        <f t="shared" si="29"/>
        <v>14371.900390999999</v>
      </c>
      <c r="AFN3" s="29">
        <f t="shared" si="29"/>
        <v>14371.900390999999</v>
      </c>
      <c r="AFO3" s="29">
        <f t="shared" si="29"/>
        <v>14371.900390999999</v>
      </c>
      <c r="AFP3" s="29">
        <f t="shared" si="29"/>
        <v>14371.900390999999</v>
      </c>
      <c r="AFQ3" s="29">
        <f t="shared" si="29"/>
        <v>14371.900390999999</v>
      </c>
      <c r="AFR3" s="29">
        <f t="shared" si="29"/>
        <v>14371.900390999999</v>
      </c>
      <c r="AFS3" s="29">
        <f t="shared" si="29"/>
        <v>14371.900390999999</v>
      </c>
      <c r="AFT3" s="29">
        <f t="shared" si="29"/>
        <v>14371.900390999999</v>
      </c>
      <c r="AFU3" s="29">
        <f t="shared" si="29"/>
        <v>14371.900390999999</v>
      </c>
      <c r="AFV3" s="29">
        <f t="shared" si="29"/>
        <v>14371.900390999999</v>
      </c>
      <c r="AFW3" s="29">
        <f t="shared" si="29"/>
        <v>14371.900390999999</v>
      </c>
      <c r="AFX3" s="29">
        <f t="shared" si="29"/>
        <v>14371.900390999999</v>
      </c>
      <c r="AFY3" s="29">
        <f t="shared" si="29"/>
        <v>14371.900390999999</v>
      </c>
      <c r="AFZ3" s="29">
        <f t="shared" si="29"/>
        <v>14371.900390999999</v>
      </c>
      <c r="AGA3" s="29">
        <f t="shared" si="29"/>
        <v>14371.900390999999</v>
      </c>
      <c r="AGB3" s="29">
        <f t="shared" si="29"/>
        <v>14371.900390999999</v>
      </c>
      <c r="AGC3" s="29">
        <f t="shared" si="29"/>
        <v>14371.900390999999</v>
      </c>
      <c r="AGD3" s="29">
        <f t="shared" si="29"/>
        <v>14371.900390999999</v>
      </c>
      <c r="AGE3" s="29">
        <f t="shared" si="29"/>
        <v>14371.900390999999</v>
      </c>
      <c r="AGF3" s="29">
        <f t="shared" si="29"/>
        <v>14371.900390999999</v>
      </c>
      <c r="AGG3" s="29">
        <f t="shared" si="29"/>
        <v>14371.900390999999</v>
      </c>
      <c r="AGH3" s="29">
        <f t="shared" si="29"/>
        <v>14371.900390999999</v>
      </c>
      <c r="AGI3" s="29">
        <f t="shared" si="29"/>
        <v>14371.900390999999</v>
      </c>
      <c r="AGJ3" s="29">
        <f t="shared" si="29"/>
        <v>14371.900390999999</v>
      </c>
      <c r="AGK3" s="29">
        <f t="shared" si="29"/>
        <v>14371.900390999999</v>
      </c>
      <c r="AGL3" s="29">
        <f t="shared" si="29"/>
        <v>14371.900390999999</v>
      </c>
      <c r="AGM3" s="29">
        <f t="shared" si="29"/>
        <v>14371.900390999999</v>
      </c>
      <c r="AGN3" s="29">
        <f t="shared" si="29"/>
        <v>14371.900390999999</v>
      </c>
      <c r="AGO3" s="29">
        <f t="shared" si="29"/>
        <v>14371.900390999999</v>
      </c>
      <c r="AGP3" s="29">
        <f t="shared" si="29"/>
        <v>14371.900390999999</v>
      </c>
      <c r="AGQ3" s="29">
        <f t="shared" si="29"/>
        <v>14371.900390999999</v>
      </c>
      <c r="AGR3" s="29">
        <f t="shared" si="29"/>
        <v>14371.900390999999</v>
      </c>
      <c r="AGS3" s="29">
        <f t="shared" si="29"/>
        <v>14371.900390999999</v>
      </c>
      <c r="AGT3" s="29">
        <f t="shared" si="29"/>
        <v>14371.900390999999</v>
      </c>
      <c r="AGU3" s="29">
        <f t="shared" si="29"/>
        <v>14371.900390999999</v>
      </c>
      <c r="AGV3" s="29">
        <f t="shared" si="29"/>
        <v>14371.900390999999</v>
      </c>
      <c r="AGW3" s="29">
        <f t="shared" si="29"/>
        <v>14371.900390999999</v>
      </c>
      <c r="AGX3" s="29">
        <f t="shared" si="29"/>
        <v>14371.900390999999</v>
      </c>
      <c r="AGY3" s="29">
        <f t="shared" si="29"/>
        <v>14371.900390999999</v>
      </c>
      <c r="AGZ3" s="29">
        <f t="shared" si="29"/>
        <v>14371.900390999999</v>
      </c>
      <c r="AHA3" s="29">
        <f t="shared" si="29"/>
        <v>14371.900390999999</v>
      </c>
      <c r="AHB3" s="29">
        <f t="shared" si="29"/>
        <v>14371.900390999999</v>
      </c>
      <c r="AHC3" s="29">
        <f t="shared" si="29"/>
        <v>14371.900390999999</v>
      </c>
      <c r="AHD3" s="29">
        <f t="shared" si="29"/>
        <v>14371.900390999999</v>
      </c>
      <c r="AHE3" s="29">
        <f t="shared" si="29"/>
        <v>14371.900390999999</v>
      </c>
      <c r="AHF3" s="29">
        <f t="shared" si="29"/>
        <v>14371.900390999999</v>
      </c>
      <c r="AHG3" s="29">
        <f t="shared" si="29"/>
        <v>14371.900390999999</v>
      </c>
      <c r="AHH3" s="29">
        <f t="shared" si="29"/>
        <v>14371.900390999999</v>
      </c>
      <c r="AHI3" s="29">
        <f t="shared" si="29"/>
        <v>14371.900390999999</v>
      </c>
      <c r="AHJ3" s="29">
        <f t="shared" si="29"/>
        <v>14371.900390999999</v>
      </c>
      <c r="AHK3" s="29">
        <f t="shared" si="29"/>
        <v>14371.900390999999</v>
      </c>
      <c r="AHL3" s="29">
        <f t="shared" si="29"/>
        <v>14371.900390999999</v>
      </c>
      <c r="AHM3" s="29">
        <f t="shared" si="29"/>
        <v>14371.900390999999</v>
      </c>
      <c r="AHN3" s="29">
        <f t="shared" si="29"/>
        <v>14371.900390999999</v>
      </c>
      <c r="AHO3" s="29">
        <f t="shared" si="29"/>
        <v>14371.900390999999</v>
      </c>
      <c r="AHP3" s="29">
        <f t="shared" si="29"/>
        <v>14371.900390999999</v>
      </c>
      <c r="AHQ3" s="29">
        <f t="shared" si="29"/>
        <v>14371.900390999999</v>
      </c>
      <c r="AHR3" s="29">
        <f t="shared" si="29"/>
        <v>14371.900390999999</v>
      </c>
      <c r="AHS3" s="29">
        <f t="shared" si="29"/>
        <v>14371.900390999999</v>
      </c>
      <c r="AHT3" s="29">
        <f t="shared" si="29"/>
        <v>14371.900390999999</v>
      </c>
      <c r="AHU3" s="29">
        <f t="shared" si="29"/>
        <v>14371.900390999999</v>
      </c>
      <c r="AHV3" s="29">
        <f t="shared" si="29"/>
        <v>14371.900390999999</v>
      </c>
      <c r="AHW3" s="29">
        <f t="shared" si="29"/>
        <v>14371.900390999999</v>
      </c>
      <c r="AHX3" s="29">
        <f t="shared" ref="AHX3:AKI3" si="30">$F$3</f>
        <v>14371.900390999999</v>
      </c>
      <c r="AHY3" s="29">
        <f t="shared" si="30"/>
        <v>14371.900390999999</v>
      </c>
      <c r="AHZ3" s="29">
        <f t="shared" si="30"/>
        <v>14371.900390999999</v>
      </c>
      <c r="AIA3" s="29">
        <f t="shared" si="30"/>
        <v>14371.900390999999</v>
      </c>
      <c r="AIB3" s="29">
        <f t="shared" si="30"/>
        <v>14371.900390999999</v>
      </c>
      <c r="AIC3" s="29">
        <f t="shared" si="30"/>
        <v>14371.900390999999</v>
      </c>
      <c r="AID3" s="29">
        <f t="shared" si="30"/>
        <v>14371.900390999999</v>
      </c>
      <c r="AIE3" s="29">
        <f t="shared" si="30"/>
        <v>14371.900390999999</v>
      </c>
      <c r="AIF3" s="29">
        <f t="shared" si="30"/>
        <v>14371.900390999999</v>
      </c>
      <c r="AIG3" s="29">
        <f t="shared" si="30"/>
        <v>14371.900390999999</v>
      </c>
      <c r="AIH3" s="29">
        <f t="shared" si="30"/>
        <v>14371.900390999999</v>
      </c>
      <c r="AII3" s="29">
        <f t="shared" si="30"/>
        <v>14371.900390999999</v>
      </c>
      <c r="AIJ3" s="29">
        <f t="shared" si="30"/>
        <v>14371.900390999999</v>
      </c>
      <c r="AIK3" s="29">
        <f t="shared" si="30"/>
        <v>14371.900390999999</v>
      </c>
      <c r="AIL3" s="29">
        <f t="shared" si="30"/>
        <v>14371.900390999999</v>
      </c>
      <c r="AIM3" s="29">
        <f t="shared" si="30"/>
        <v>14371.900390999999</v>
      </c>
      <c r="AIN3" s="29">
        <f t="shared" si="30"/>
        <v>14371.900390999999</v>
      </c>
      <c r="AIO3" s="29">
        <f t="shared" si="30"/>
        <v>14371.900390999999</v>
      </c>
      <c r="AIP3" s="29">
        <f t="shared" si="30"/>
        <v>14371.900390999999</v>
      </c>
      <c r="AIQ3" s="29">
        <f t="shared" si="30"/>
        <v>14371.900390999999</v>
      </c>
      <c r="AIR3" s="29">
        <f t="shared" si="30"/>
        <v>14371.900390999999</v>
      </c>
      <c r="AIS3" s="29">
        <f t="shared" si="30"/>
        <v>14371.900390999999</v>
      </c>
      <c r="AIT3" s="29">
        <f t="shared" si="30"/>
        <v>14371.900390999999</v>
      </c>
      <c r="AIU3" s="29">
        <f t="shared" si="30"/>
        <v>14371.900390999999</v>
      </c>
      <c r="AIV3" s="29">
        <f t="shared" si="30"/>
        <v>14371.900390999999</v>
      </c>
      <c r="AIW3" s="29">
        <f t="shared" si="30"/>
        <v>14371.900390999999</v>
      </c>
      <c r="AIX3" s="29">
        <f t="shared" si="30"/>
        <v>14371.900390999999</v>
      </c>
      <c r="AIY3" s="29">
        <f t="shared" si="30"/>
        <v>14371.900390999999</v>
      </c>
      <c r="AIZ3" s="29">
        <f t="shared" si="30"/>
        <v>14371.900390999999</v>
      </c>
      <c r="AJA3" s="29">
        <f t="shared" si="30"/>
        <v>14371.900390999999</v>
      </c>
      <c r="AJB3" s="29">
        <f t="shared" si="30"/>
        <v>14371.900390999999</v>
      </c>
      <c r="AJC3" s="29">
        <f t="shared" si="30"/>
        <v>14371.900390999999</v>
      </c>
      <c r="AJD3" s="29">
        <f t="shared" si="30"/>
        <v>14371.900390999999</v>
      </c>
      <c r="AJE3" s="29">
        <f t="shared" si="30"/>
        <v>14371.900390999999</v>
      </c>
      <c r="AJF3" s="29">
        <f t="shared" si="30"/>
        <v>14371.900390999999</v>
      </c>
      <c r="AJG3" s="29">
        <f t="shared" si="30"/>
        <v>14371.900390999999</v>
      </c>
      <c r="AJH3" s="29">
        <f t="shared" si="30"/>
        <v>14371.900390999999</v>
      </c>
      <c r="AJI3" s="29">
        <f t="shared" si="30"/>
        <v>14371.900390999999</v>
      </c>
      <c r="AJJ3" s="29">
        <f t="shared" si="30"/>
        <v>14371.900390999999</v>
      </c>
      <c r="AJK3" s="29">
        <f t="shared" si="30"/>
        <v>14371.900390999999</v>
      </c>
      <c r="AJL3" s="29">
        <f t="shared" si="30"/>
        <v>14371.900390999999</v>
      </c>
      <c r="AJM3" s="29">
        <f t="shared" si="30"/>
        <v>14371.900390999999</v>
      </c>
      <c r="AJN3" s="29">
        <f t="shared" si="30"/>
        <v>14371.900390999999</v>
      </c>
      <c r="AJO3" s="29">
        <f t="shared" si="30"/>
        <v>14371.900390999999</v>
      </c>
      <c r="AJP3" s="29">
        <f t="shared" si="30"/>
        <v>14371.900390999999</v>
      </c>
      <c r="AJQ3" s="29">
        <f t="shared" si="30"/>
        <v>14371.900390999999</v>
      </c>
      <c r="AJR3" s="29">
        <f t="shared" si="30"/>
        <v>14371.900390999999</v>
      </c>
      <c r="AJS3" s="29">
        <f t="shared" si="30"/>
        <v>14371.900390999999</v>
      </c>
      <c r="AJT3" s="29">
        <f t="shared" si="30"/>
        <v>14371.900390999999</v>
      </c>
      <c r="AJU3" s="29">
        <f t="shared" si="30"/>
        <v>14371.900390999999</v>
      </c>
      <c r="AJV3" s="29">
        <f t="shared" si="30"/>
        <v>14371.900390999999</v>
      </c>
      <c r="AJW3" s="29">
        <f t="shared" si="30"/>
        <v>14371.900390999999</v>
      </c>
      <c r="AJX3" s="29">
        <f t="shared" si="30"/>
        <v>14371.900390999999</v>
      </c>
      <c r="AJY3" s="29">
        <f t="shared" si="30"/>
        <v>14371.900390999999</v>
      </c>
      <c r="AJZ3" s="29">
        <f t="shared" si="30"/>
        <v>14371.900390999999</v>
      </c>
      <c r="AKA3" s="29">
        <f t="shared" si="30"/>
        <v>14371.900390999999</v>
      </c>
      <c r="AKB3" s="29">
        <f t="shared" si="30"/>
        <v>14371.900390999999</v>
      </c>
      <c r="AKC3" s="29">
        <f t="shared" si="30"/>
        <v>14371.900390999999</v>
      </c>
      <c r="AKD3" s="29">
        <f t="shared" si="30"/>
        <v>14371.900390999999</v>
      </c>
      <c r="AKE3" s="29">
        <f t="shared" si="30"/>
        <v>14371.900390999999</v>
      </c>
      <c r="AKF3" s="29">
        <f t="shared" si="30"/>
        <v>14371.900390999999</v>
      </c>
      <c r="AKG3" s="29">
        <f t="shared" si="30"/>
        <v>14371.900390999999</v>
      </c>
      <c r="AKH3" s="29">
        <f t="shared" si="30"/>
        <v>14371.900390999999</v>
      </c>
      <c r="AKI3" s="29">
        <f t="shared" si="30"/>
        <v>14371.900390999999</v>
      </c>
      <c r="AKJ3" s="29">
        <f t="shared" ref="AKJ3:ALV3" si="31">$F$3</f>
        <v>14371.900390999999</v>
      </c>
      <c r="AKK3" s="29">
        <f t="shared" si="31"/>
        <v>14371.900390999999</v>
      </c>
      <c r="AKL3" s="29">
        <f t="shared" si="31"/>
        <v>14371.900390999999</v>
      </c>
      <c r="AKM3" s="29">
        <f t="shared" si="31"/>
        <v>14371.900390999999</v>
      </c>
      <c r="AKN3" s="29">
        <f t="shared" si="31"/>
        <v>14371.900390999999</v>
      </c>
      <c r="AKO3" s="29">
        <f t="shared" si="31"/>
        <v>14371.900390999999</v>
      </c>
      <c r="AKP3" s="29">
        <f t="shared" si="31"/>
        <v>14371.900390999999</v>
      </c>
      <c r="AKQ3" s="29">
        <f t="shared" si="31"/>
        <v>14371.900390999999</v>
      </c>
      <c r="AKR3" s="29">
        <f t="shared" si="31"/>
        <v>14371.900390999999</v>
      </c>
      <c r="AKS3" s="29">
        <f t="shared" si="31"/>
        <v>14371.900390999999</v>
      </c>
      <c r="AKT3" s="29">
        <f t="shared" si="31"/>
        <v>14371.900390999999</v>
      </c>
      <c r="AKU3" s="29">
        <f t="shared" si="31"/>
        <v>14371.900390999999</v>
      </c>
      <c r="AKV3" s="29">
        <f t="shared" si="31"/>
        <v>14371.900390999999</v>
      </c>
      <c r="AKW3" s="29">
        <f t="shared" si="31"/>
        <v>14371.900390999999</v>
      </c>
      <c r="AKX3" s="29">
        <f t="shared" si="31"/>
        <v>14371.900390999999</v>
      </c>
      <c r="AKY3" s="29">
        <f t="shared" si="31"/>
        <v>14371.900390999999</v>
      </c>
      <c r="AKZ3" s="29">
        <f t="shared" si="31"/>
        <v>14371.900390999999</v>
      </c>
      <c r="ALA3" s="29">
        <f t="shared" si="31"/>
        <v>14371.900390999999</v>
      </c>
      <c r="ALB3" s="29">
        <f t="shared" si="31"/>
        <v>14371.900390999999</v>
      </c>
      <c r="ALC3" s="29">
        <f t="shared" si="31"/>
        <v>14371.900390999999</v>
      </c>
      <c r="ALD3" s="29">
        <f t="shared" si="31"/>
        <v>14371.900390999999</v>
      </c>
      <c r="ALE3" s="29">
        <f t="shared" si="31"/>
        <v>14371.900390999999</v>
      </c>
      <c r="ALF3" s="29">
        <f t="shared" si="31"/>
        <v>14371.900390999999</v>
      </c>
      <c r="ALG3" s="29">
        <f t="shared" si="31"/>
        <v>14371.900390999999</v>
      </c>
      <c r="ALH3" s="29">
        <f t="shared" si="31"/>
        <v>14371.900390999999</v>
      </c>
      <c r="ALI3" s="29">
        <f t="shared" si="31"/>
        <v>14371.900390999999</v>
      </c>
      <c r="ALJ3" s="29">
        <f t="shared" si="31"/>
        <v>14371.900390999999</v>
      </c>
      <c r="ALK3" s="29">
        <f t="shared" si="31"/>
        <v>14371.900390999999</v>
      </c>
      <c r="ALL3" s="29">
        <f t="shared" si="31"/>
        <v>14371.900390999999</v>
      </c>
      <c r="ALM3" s="29">
        <f t="shared" si="31"/>
        <v>14371.900390999999</v>
      </c>
      <c r="ALN3" s="29">
        <f t="shared" si="31"/>
        <v>14371.900390999999</v>
      </c>
      <c r="ALO3" s="29">
        <f t="shared" si="31"/>
        <v>14371.900390999999</v>
      </c>
      <c r="ALP3" s="29">
        <f t="shared" si="31"/>
        <v>14371.900390999999</v>
      </c>
      <c r="ALQ3" s="29">
        <f t="shared" si="31"/>
        <v>14371.900390999999</v>
      </c>
      <c r="ALR3" s="29">
        <f t="shared" si="31"/>
        <v>14371.900390999999</v>
      </c>
      <c r="ALS3" s="29">
        <f t="shared" si="31"/>
        <v>14371.900390999999</v>
      </c>
      <c r="ALT3" s="29">
        <f t="shared" si="31"/>
        <v>14371.900390999999</v>
      </c>
      <c r="ALU3" s="29">
        <f t="shared" si="31"/>
        <v>14371.900390999999</v>
      </c>
      <c r="ALV3" s="29">
        <f t="shared" si="31"/>
        <v>14371.900390999999</v>
      </c>
    </row>
    <row r="4" spans="1:1258" x14ac:dyDescent="0.25">
      <c r="A4" s="1">
        <v>40478</v>
      </c>
      <c r="B4" s="2">
        <v>6012.6499020000001</v>
      </c>
      <c r="C4" s="16">
        <f t="shared" ref="C4:C67" si="32">LN(B4/B3)</f>
        <v>-1.1468022408511877E-2</v>
      </c>
      <c r="E4" s="18" t="s">
        <v>46</v>
      </c>
      <c r="J4">
        <f>J3+1</f>
        <v>1</v>
      </c>
      <c r="K4">
        <f ca="1">(NORMINV(RAND(),$E$2,$G$2)+1)*K3</f>
        <v>14596.238263548497</v>
      </c>
      <c r="L4" s="29">
        <f t="shared" ref="L4:BW4" ca="1" si="33">(NORMINV(RAND(),$E$2,$G$2)+1)*L3</f>
        <v>14264.342417940314</v>
      </c>
      <c r="M4" s="29">
        <f t="shared" ca="1" si="33"/>
        <v>14530.124200380998</v>
      </c>
      <c r="N4" s="29">
        <f t="shared" ca="1" si="33"/>
        <v>13985.120507897036</v>
      </c>
      <c r="O4" s="29">
        <f t="shared" ca="1" si="33"/>
        <v>14442.490491829405</v>
      </c>
      <c r="P4" s="29">
        <f t="shared" ca="1" si="33"/>
        <v>14441.019477568707</v>
      </c>
      <c r="Q4" s="29">
        <f t="shared" ca="1" si="33"/>
        <v>14187.869799244314</v>
      </c>
      <c r="R4" s="29">
        <f t="shared" ca="1" si="33"/>
        <v>14461.776925435322</v>
      </c>
      <c r="S4" s="29">
        <f t="shared" ca="1" si="33"/>
        <v>14218.128896450235</v>
      </c>
      <c r="T4" s="29">
        <f t="shared" ca="1" si="33"/>
        <v>14566.367124019462</v>
      </c>
      <c r="U4" s="29">
        <f t="shared" ca="1" si="33"/>
        <v>14717.019758713979</v>
      </c>
      <c r="V4" s="29">
        <f t="shared" ca="1" si="33"/>
        <v>14416.929837920103</v>
      </c>
      <c r="W4" s="29">
        <f t="shared" ca="1" si="33"/>
        <v>14328.196002232982</v>
      </c>
      <c r="X4" s="29">
        <f t="shared" ca="1" si="33"/>
        <v>14438.463201341374</v>
      </c>
      <c r="Y4" s="29">
        <f t="shared" ca="1" si="33"/>
        <v>14134.347279815249</v>
      </c>
      <c r="Z4" s="29">
        <f t="shared" ca="1" si="33"/>
        <v>14395.065580678736</v>
      </c>
      <c r="AA4" s="29">
        <f t="shared" ca="1" si="33"/>
        <v>14407.77916685614</v>
      </c>
      <c r="AB4" s="29">
        <f t="shared" ca="1" si="33"/>
        <v>14568.147514107957</v>
      </c>
      <c r="AC4" s="29">
        <f t="shared" ca="1" si="33"/>
        <v>14266.813908019942</v>
      </c>
      <c r="AD4" s="29">
        <f t="shared" ca="1" si="33"/>
        <v>14472.757520696583</v>
      </c>
      <c r="AE4" s="29">
        <f t="shared" ca="1" si="33"/>
        <v>14731.91230196106</v>
      </c>
      <c r="AF4" s="29">
        <f t="shared" ca="1" si="33"/>
        <v>14225.522797607662</v>
      </c>
      <c r="AG4" s="29">
        <f t="shared" ca="1" si="33"/>
        <v>14305.252283904922</v>
      </c>
      <c r="AH4" s="29">
        <f t="shared" ca="1" si="33"/>
        <v>14278.702569973271</v>
      </c>
      <c r="AI4" s="29">
        <f t="shared" ca="1" si="33"/>
        <v>14425.959944685757</v>
      </c>
      <c r="AJ4" s="29">
        <f t="shared" ca="1" si="33"/>
        <v>14412.6773724954</v>
      </c>
      <c r="AK4" s="29">
        <f t="shared" ca="1" si="33"/>
        <v>14406.268614155781</v>
      </c>
      <c r="AL4" s="29">
        <f t="shared" ca="1" si="33"/>
        <v>14302.671557101965</v>
      </c>
      <c r="AM4" s="29">
        <f t="shared" ca="1" si="33"/>
        <v>14315.731224118697</v>
      </c>
      <c r="AN4" s="29">
        <f t="shared" ca="1" si="33"/>
        <v>14420.982444427527</v>
      </c>
      <c r="AO4" s="29">
        <f t="shared" ca="1" si="33"/>
        <v>14337.290591331834</v>
      </c>
      <c r="AP4" s="29">
        <f t="shared" ca="1" si="33"/>
        <v>14142.311905186616</v>
      </c>
      <c r="AQ4" s="29">
        <f t="shared" ca="1" si="33"/>
        <v>14303.544701775347</v>
      </c>
      <c r="AR4" s="29">
        <f t="shared" ca="1" si="33"/>
        <v>14603.680235432179</v>
      </c>
      <c r="AS4" s="29">
        <f t="shared" ca="1" si="33"/>
        <v>14479.165214313498</v>
      </c>
      <c r="AT4" s="29">
        <f t="shared" ca="1" si="33"/>
        <v>14223.550612598056</v>
      </c>
      <c r="AU4" s="29">
        <f t="shared" ca="1" si="33"/>
        <v>14336.100548727716</v>
      </c>
      <c r="AV4" s="29">
        <f t="shared" ca="1" si="33"/>
        <v>14481.706294119143</v>
      </c>
      <c r="AW4" s="29">
        <f t="shared" ca="1" si="33"/>
        <v>14647.992329660528</v>
      </c>
      <c r="AX4" s="29">
        <f t="shared" ca="1" si="33"/>
        <v>14262.800415295649</v>
      </c>
      <c r="AY4" s="29">
        <f t="shared" ca="1" si="33"/>
        <v>14473.398113722038</v>
      </c>
      <c r="AZ4" s="29">
        <f t="shared" ca="1" si="33"/>
        <v>14193.58350571962</v>
      </c>
      <c r="BA4" s="29">
        <f t="shared" ca="1" si="33"/>
        <v>14402.70437859591</v>
      </c>
      <c r="BB4" s="29">
        <f t="shared" ca="1" si="33"/>
        <v>14113.577533745585</v>
      </c>
      <c r="BC4" s="29">
        <f t="shared" ca="1" si="33"/>
        <v>14333.128044468163</v>
      </c>
      <c r="BD4" s="29">
        <f t="shared" ca="1" si="33"/>
        <v>14185.277735561103</v>
      </c>
      <c r="BE4" s="29">
        <f t="shared" ca="1" si="33"/>
        <v>14057.779639586419</v>
      </c>
      <c r="BF4" s="29">
        <f t="shared" ca="1" si="33"/>
        <v>14427.192112650093</v>
      </c>
      <c r="BG4" s="29">
        <f t="shared" ca="1" si="33"/>
        <v>14457.678039571798</v>
      </c>
      <c r="BH4" s="29">
        <f t="shared" ca="1" si="33"/>
        <v>14557.393609310075</v>
      </c>
      <c r="BI4" s="29">
        <f t="shared" ca="1" si="33"/>
        <v>14097.770224341191</v>
      </c>
      <c r="BJ4" s="29">
        <f t="shared" ca="1" si="33"/>
        <v>14374.392385076171</v>
      </c>
      <c r="BK4" s="29">
        <f t="shared" ca="1" si="33"/>
        <v>14403.385603719169</v>
      </c>
      <c r="BL4" s="29">
        <f t="shared" ca="1" si="33"/>
        <v>14467.103389549164</v>
      </c>
      <c r="BM4" s="29">
        <f t="shared" ca="1" si="33"/>
        <v>14389.061417171559</v>
      </c>
      <c r="BN4" s="29">
        <f t="shared" ca="1" si="33"/>
        <v>14386.603759978405</v>
      </c>
      <c r="BO4" s="29">
        <f t="shared" ca="1" si="33"/>
        <v>14493.330378086554</v>
      </c>
      <c r="BP4" s="29">
        <f t="shared" ca="1" si="33"/>
        <v>14334.46855195129</v>
      </c>
      <c r="BQ4" s="29">
        <f t="shared" ca="1" si="33"/>
        <v>14459.463256009087</v>
      </c>
      <c r="BR4" s="29">
        <f t="shared" ca="1" si="33"/>
        <v>14321.557426127243</v>
      </c>
      <c r="BS4" s="29">
        <f t="shared" ca="1" si="33"/>
        <v>14560.977211615065</v>
      </c>
      <c r="BT4" s="29">
        <f t="shared" ca="1" si="33"/>
        <v>14630.810224427474</v>
      </c>
      <c r="BU4" s="29">
        <f t="shared" ca="1" si="33"/>
        <v>14534.13911852389</v>
      </c>
      <c r="BV4" s="29">
        <f t="shared" ca="1" si="33"/>
        <v>14365.616962116965</v>
      </c>
      <c r="BW4" s="29">
        <f t="shared" ca="1" si="33"/>
        <v>14272.169274259404</v>
      </c>
      <c r="BX4" s="29">
        <f t="shared" ref="BX4:EI4" ca="1" si="34">(NORMINV(RAND(),$E$2,$G$2)+1)*BX3</f>
        <v>14430.428230888045</v>
      </c>
      <c r="BY4" s="29">
        <f t="shared" ca="1" si="34"/>
        <v>14396.465815294563</v>
      </c>
      <c r="BZ4" s="29">
        <f t="shared" ca="1" si="34"/>
        <v>14389.793133580057</v>
      </c>
      <c r="CA4" s="29">
        <f t="shared" ca="1" si="34"/>
        <v>14283.64827548036</v>
      </c>
      <c r="CB4" s="29">
        <f t="shared" ca="1" si="34"/>
        <v>14530.636487998217</v>
      </c>
      <c r="CC4" s="29">
        <f t="shared" ca="1" si="34"/>
        <v>14065.750726284274</v>
      </c>
      <c r="CD4" s="29">
        <f t="shared" ca="1" si="34"/>
        <v>14615.035524595136</v>
      </c>
      <c r="CE4" s="29">
        <f t="shared" ca="1" si="34"/>
        <v>14491.321221964061</v>
      </c>
      <c r="CF4" s="29">
        <f t="shared" ca="1" si="34"/>
        <v>14520.745871036799</v>
      </c>
      <c r="CG4" s="29">
        <f t="shared" ca="1" si="34"/>
        <v>14416.435670938426</v>
      </c>
      <c r="CH4" s="29">
        <f t="shared" ca="1" si="34"/>
        <v>14541.392942189954</v>
      </c>
      <c r="CI4" s="29">
        <f t="shared" ca="1" si="34"/>
        <v>14463.052802553015</v>
      </c>
      <c r="CJ4" s="29">
        <f t="shared" ca="1" si="34"/>
        <v>14578.670678423066</v>
      </c>
      <c r="CK4" s="29">
        <f t="shared" ca="1" si="34"/>
        <v>14403.760483074504</v>
      </c>
      <c r="CL4" s="29">
        <f t="shared" ca="1" si="34"/>
        <v>14541.523909924574</v>
      </c>
      <c r="CM4" s="29">
        <f t="shared" ca="1" si="34"/>
        <v>14460.817885457753</v>
      </c>
      <c r="CN4" s="29">
        <f t="shared" ca="1" si="34"/>
        <v>14154.523309309543</v>
      </c>
      <c r="CO4" s="29">
        <f t="shared" ca="1" si="34"/>
        <v>14298.424785136434</v>
      </c>
      <c r="CP4" s="29">
        <f t="shared" ca="1" si="34"/>
        <v>14433.665013268725</v>
      </c>
      <c r="CQ4" s="29">
        <f t="shared" ca="1" si="34"/>
        <v>14293.207402678621</v>
      </c>
      <c r="CR4" s="29">
        <f t="shared" ca="1" si="34"/>
        <v>14553.991747189912</v>
      </c>
      <c r="CS4" s="29">
        <f t="shared" ca="1" si="34"/>
        <v>14229.236765176529</v>
      </c>
      <c r="CT4" s="29">
        <f t="shared" ca="1" si="34"/>
        <v>14375.161299760446</v>
      </c>
      <c r="CU4" s="29">
        <f t="shared" ca="1" si="34"/>
        <v>14246.338759046668</v>
      </c>
      <c r="CV4" s="29">
        <f t="shared" ca="1" si="34"/>
        <v>14546.06072761223</v>
      </c>
      <c r="CW4" s="29">
        <f t="shared" ca="1" si="34"/>
        <v>14410.608226559911</v>
      </c>
      <c r="CX4" s="29">
        <f t="shared" ca="1" si="34"/>
        <v>14451.260382943645</v>
      </c>
      <c r="CY4" s="29">
        <f t="shared" ca="1" si="34"/>
        <v>14592.83263491025</v>
      </c>
      <c r="CZ4" s="29">
        <f t="shared" ca="1" si="34"/>
        <v>14266.04788201828</v>
      </c>
      <c r="DA4" s="29">
        <f t="shared" ca="1" si="34"/>
        <v>14437.447734033445</v>
      </c>
      <c r="DB4" s="29">
        <f t="shared" ca="1" si="34"/>
        <v>14762.753355317729</v>
      </c>
      <c r="DC4" s="29">
        <f t="shared" ca="1" si="34"/>
        <v>14407.279707122732</v>
      </c>
      <c r="DD4" s="29">
        <f t="shared" ca="1" si="34"/>
        <v>14315.764663626229</v>
      </c>
      <c r="DE4" s="29">
        <f t="shared" ca="1" si="34"/>
        <v>14602.6394544655</v>
      </c>
      <c r="DF4" s="29">
        <f t="shared" ca="1" si="34"/>
        <v>14578.985880123155</v>
      </c>
      <c r="DG4" s="29">
        <f t="shared" ca="1" si="34"/>
        <v>14355.7247795313</v>
      </c>
      <c r="DH4" s="29">
        <f t="shared" ca="1" si="34"/>
        <v>14340.424989271929</v>
      </c>
      <c r="DI4" s="29">
        <f t="shared" ca="1" si="34"/>
        <v>14530.093952248762</v>
      </c>
      <c r="DJ4" s="29">
        <f t="shared" ca="1" si="34"/>
        <v>14491.957338828292</v>
      </c>
      <c r="DK4" s="29">
        <f t="shared" ca="1" si="34"/>
        <v>14295.834355007322</v>
      </c>
      <c r="DL4" s="29">
        <f t="shared" ca="1" si="34"/>
        <v>14413.570649030971</v>
      </c>
      <c r="DM4" s="29">
        <f t="shared" ca="1" si="34"/>
        <v>14490.747589654186</v>
      </c>
      <c r="DN4" s="29">
        <f t="shared" ca="1" si="34"/>
        <v>14369.055072926218</v>
      </c>
      <c r="DO4" s="29">
        <f t="shared" ca="1" si="34"/>
        <v>14496.148929463494</v>
      </c>
      <c r="DP4" s="29">
        <f t="shared" ca="1" si="34"/>
        <v>14436.738653703111</v>
      </c>
      <c r="DQ4" s="29">
        <f t="shared" ca="1" si="34"/>
        <v>14270.081560594743</v>
      </c>
      <c r="DR4" s="29">
        <f t="shared" ca="1" si="34"/>
        <v>14184.788759191497</v>
      </c>
      <c r="DS4" s="29">
        <f t="shared" ca="1" si="34"/>
        <v>14504.744580160481</v>
      </c>
      <c r="DT4" s="29">
        <f t="shared" ca="1" si="34"/>
        <v>14318.870209719147</v>
      </c>
      <c r="DU4" s="29">
        <f t="shared" ca="1" si="34"/>
        <v>14437.7313068199</v>
      </c>
      <c r="DV4" s="29">
        <f t="shared" ca="1" si="34"/>
        <v>14300.328450222094</v>
      </c>
      <c r="DW4" s="29">
        <f t="shared" ca="1" si="34"/>
        <v>14207.360285517447</v>
      </c>
      <c r="DX4" s="29">
        <f t="shared" ca="1" si="34"/>
        <v>14271.875255444433</v>
      </c>
      <c r="DY4" s="29">
        <f t="shared" ca="1" si="34"/>
        <v>14364.00860046148</v>
      </c>
      <c r="DZ4" s="29">
        <f t="shared" ca="1" si="34"/>
        <v>14319.04546243231</v>
      </c>
      <c r="EA4" s="29">
        <f t="shared" ca="1" si="34"/>
        <v>14282.41729902736</v>
      </c>
      <c r="EB4" s="29">
        <f t="shared" ca="1" si="34"/>
        <v>14177.712807028443</v>
      </c>
      <c r="EC4" s="29">
        <f t="shared" ca="1" si="34"/>
        <v>14351.997552442379</v>
      </c>
      <c r="ED4" s="29">
        <f t="shared" ca="1" si="34"/>
        <v>14816.298437710075</v>
      </c>
      <c r="EE4" s="29">
        <f t="shared" ca="1" si="34"/>
        <v>14548.845979636197</v>
      </c>
      <c r="EF4" s="29">
        <f t="shared" ca="1" si="34"/>
        <v>14172.970921320741</v>
      </c>
      <c r="EG4" s="29">
        <f t="shared" ca="1" si="34"/>
        <v>14296.401180288762</v>
      </c>
      <c r="EH4" s="29">
        <f t="shared" ca="1" si="34"/>
        <v>14247.927809527089</v>
      </c>
      <c r="EI4" s="29">
        <f t="shared" ca="1" si="34"/>
        <v>14309.464586465201</v>
      </c>
      <c r="EJ4" s="29">
        <f t="shared" ref="EJ4:GU4" ca="1" si="35">(NORMINV(RAND(),$E$2,$G$2)+1)*EJ3</f>
        <v>14223.351331423049</v>
      </c>
      <c r="EK4" s="29">
        <f t="shared" ca="1" si="35"/>
        <v>14025.548767929367</v>
      </c>
      <c r="EL4" s="29">
        <f t="shared" ca="1" si="35"/>
        <v>14289.522226272407</v>
      </c>
      <c r="EM4" s="29">
        <f t="shared" ca="1" si="35"/>
        <v>13898.601963555557</v>
      </c>
      <c r="EN4" s="29">
        <f t="shared" ca="1" si="35"/>
        <v>14513.374015760912</v>
      </c>
      <c r="EO4" s="29">
        <f t="shared" ca="1" si="35"/>
        <v>14306.8357066112</v>
      </c>
      <c r="EP4" s="29">
        <f t="shared" ca="1" si="35"/>
        <v>14468.296100344853</v>
      </c>
      <c r="EQ4" s="29">
        <f t="shared" ca="1" si="35"/>
        <v>14458.003200588439</v>
      </c>
      <c r="ER4" s="29">
        <f t="shared" ca="1" si="35"/>
        <v>14315.538503881105</v>
      </c>
      <c r="ES4" s="29">
        <f t="shared" ca="1" si="35"/>
        <v>14638.318117641382</v>
      </c>
      <c r="ET4" s="29">
        <f t="shared" ca="1" si="35"/>
        <v>14779.172652415542</v>
      </c>
      <c r="EU4" s="29">
        <f t="shared" ca="1" si="35"/>
        <v>14404.404544795911</v>
      </c>
      <c r="EV4" s="29">
        <f t="shared" ca="1" si="35"/>
        <v>14513.598639066999</v>
      </c>
      <c r="EW4" s="29">
        <f t="shared" ca="1" si="35"/>
        <v>14176.083603429794</v>
      </c>
      <c r="EX4" s="29">
        <f t="shared" ca="1" si="35"/>
        <v>14510.83264237191</v>
      </c>
      <c r="EY4" s="29">
        <f t="shared" ca="1" si="35"/>
        <v>14112.09289540767</v>
      </c>
      <c r="EZ4" s="29">
        <f t="shared" ca="1" si="35"/>
        <v>14415.413554515722</v>
      </c>
      <c r="FA4" s="29">
        <f t="shared" ca="1" si="35"/>
        <v>14267.076470391768</v>
      </c>
      <c r="FB4" s="29">
        <f t="shared" ca="1" si="35"/>
        <v>14388.439248241932</v>
      </c>
      <c r="FC4" s="29">
        <f t="shared" ca="1" si="35"/>
        <v>14652.514273859422</v>
      </c>
      <c r="FD4" s="29">
        <f t="shared" ca="1" si="35"/>
        <v>14393.112717354899</v>
      </c>
      <c r="FE4" s="29">
        <f t="shared" ca="1" si="35"/>
        <v>14358.634074717362</v>
      </c>
      <c r="FF4" s="29">
        <f t="shared" ca="1" si="35"/>
        <v>14375.761198416281</v>
      </c>
      <c r="FG4" s="29">
        <f t="shared" ca="1" si="35"/>
        <v>14394.620450083305</v>
      </c>
      <c r="FH4" s="29">
        <f t="shared" ca="1" si="35"/>
        <v>14361.383411443567</v>
      </c>
      <c r="FI4" s="29">
        <f t="shared" ca="1" si="35"/>
        <v>14123.956645680326</v>
      </c>
      <c r="FJ4" s="29">
        <f t="shared" ca="1" si="35"/>
        <v>14428.484016417779</v>
      </c>
      <c r="FK4" s="29">
        <f t="shared" ca="1" si="35"/>
        <v>14377.784350155214</v>
      </c>
      <c r="FL4" s="29">
        <f t="shared" ca="1" si="35"/>
        <v>14329.834747954415</v>
      </c>
      <c r="FM4" s="29">
        <f t="shared" ca="1" si="35"/>
        <v>14470.577084515227</v>
      </c>
      <c r="FN4" s="29">
        <f t="shared" ca="1" si="35"/>
        <v>14073.192340510985</v>
      </c>
      <c r="FO4" s="29">
        <f t="shared" ca="1" si="35"/>
        <v>14494.795441639115</v>
      </c>
      <c r="FP4" s="29">
        <f t="shared" ca="1" si="35"/>
        <v>14163.735667501136</v>
      </c>
      <c r="FQ4" s="29">
        <f t="shared" ca="1" si="35"/>
        <v>14435.224495988672</v>
      </c>
      <c r="FR4" s="29">
        <f t="shared" ca="1" si="35"/>
        <v>14300.833217251697</v>
      </c>
      <c r="FS4" s="29">
        <f t="shared" ca="1" si="35"/>
        <v>14524.93210607617</v>
      </c>
      <c r="FT4" s="29">
        <f t="shared" ca="1" si="35"/>
        <v>14286.267083874362</v>
      </c>
      <c r="FU4" s="29">
        <f t="shared" ca="1" si="35"/>
        <v>14371.635629220218</v>
      </c>
      <c r="FV4" s="29">
        <f t="shared" ca="1" si="35"/>
        <v>14128.519938636437</v>
      </c>
      <c r="FW4" s="29">
        <f t="shared" ca="1" si="35"/>
        <v>14339.594288291157</v>
      </c>
      <c r="FX4" s="29">
        <f t="shared" ca="1" si="35"/>
        <v>14369.726507226707</v>
      </c>
      <c r="FY4" s="29">
        <f t="shared" ca="1" si="35"/>
        <v>14510.327468248915</v>
      </c>
      <c r="FZ4" s="29">
        <f t="shared" ca="1" si="35"/>
        <v>14328.554003586065</v>
      </c>
      <c r="GA4" s="29">
        <f t="shared" ca="1" si="35"/>
        <v>14153.834416383139</v>
      </c>
      <c r="GB4" s="29">
        <f t="shared" ca="1" si="35"/>
        <v>14429.640265190814</v>
      </c>
      <c r="GC4" s="29">
        <f t="shared" ca="1" si="35"/>
        <v>14336.52188434502</v>
      </c>
      <c r="GD4" s="29">
        <f t="shared" ca="1" si="35"/>
        <v>14255.462006925423</v>
      </c>
      <c r="GE4" s="29">
        <f t="shared" ca="1" si="35"/>
        <v>14538.13219470864</v>
      </c>
      <c r="GF4" s="29">
        <f t="shared" ca="1" si="35"/>
        <v>14698.020286492187</v>
      </c>
      <c r="GG4" s="29">
        <f t="shared" ca="1" si="35"/>
        <v>14319.708914904117</v>
      </c>
      <c r="GH4" s="29">
        <f t="shared" ca="1" si="35"/>
        <v>14303.951939827104</v>
      </c>
      <c r="GI4" s="29">
        <f t="shared" ca="1" si="35"/>
        <v>14220.693389120086</v>
      </c>
      <c r="GJ4" s="29">
        <f t="shared" ca="1" si="35"/>
        <v>14355.825601155664</v>
      </c>
      <c r="GK4" s="29">
        <f t="shared" ca="1" si="35"/>
        <v>14225.776838164908</v>
      </c>
      <c r="GL4" s="29">
        <f t="shared" ca="1" si="35"/>
        <v>14388.020970424761</v>
      </c>
      <c r="GM4" s="29">
        <f t="shared" ca="1" si="35"/>
        <v>14266.243001221454</v>
      </c>
      <c r="GN4" s="29">
        <f t="shared" ca="1" si="35"/>
        <v>14439.718632341992</v>
      </c>
      <c r="GO4" s="29">
        <f t="shared" ca="1" si="35"/>
        <v>14193.253804228114</v>
      </c>
      <c r="GP4" s="29">
        <f t="shared" ca="1" si="35"/>
        <v>14648.351945854105</v>
      </c>
      <c r="GQ4" s="29">
        <f t="shared" ca="1" si="35"/>
        <v>14003.021821902954</v>
      </c>
      <c r="GR4" s="29">
        <f t="shared" ca="1" si="35"/>
        <v>14378.829250097948</v>
      </c>
      <c r="GS4" s="29">
        <f t="shared" ca="1" si="35"/>
        <v>14649.664338708333</v>
      </c>
      <c r="GT4" s="29">
        <f t="shared" ca="1" si="35"/>
        <v>14548.358432143757</v>
      </c>
      <c r="GU4" s="29">
        <f t="shared" ca="1" si="35"/>
        <v>14382.282764533253</v>
      </c>
      <c r="GV4" s="29">
        <f t="shared" ref="GV4:JG4" ca="1" si="36">(NORMINV(RAND(),$E$2,$G$2)+1)*GV3</f>
        <v>14285.787719257602</v>
      </c>
      <c r="GW4" s="29">
        <f t="shared" ca="1" si="36"/>
        <v>14303.070521830077</v>
      </c>
      <c r="GX4" s="29">
        <f t="shared" ca="1" si="36"/>
        <v>14343.487552490888</v>
      </c>
      <c r="GY4" s="29">
        <f t="shared" ca="1" si="36"/>
        <v>14312.647182332055</v>
      </c>
      <c r="GZ4" s="29">
        <f t="shared" ca="1" si="36"/>
        <v>14430.237593033524</v>
      </c>
      <c r="HA4" s="29">
        <f t="shared" ca="1" si="36"/>
        <v>14433.604847910965</v>
      </c>
      <c r="HB4" s="29">
        <f t="shared" ca="1" si="36"/>
        <v>14401.556129664916</v>
      </c>
      <c r="HC4" s="29">
        <f t="shared" ca="1" si="36"/>
        <v>14314.490856881996</v>
      </c>
      <c r="HD4" s="29">
        <f t="shared" ca="1" si="36"/>
        <v>14363.855994347117</v>
      </c>
      <c r="HE4" s="29">
        <f t="shared" ca="1" si="36"/>
        <v>14470.113686616618</v>
      </c>
      <c r="HF4" s="29">
        <f t="shared" ca="1" si="36"/>
        <v>14495.296810273079</v>
      </c>
      <c r="HG4" s="29">
        <f t="shared" ca="1" si="36"/>
        <v>14298.836062529777</v>
      </c>
      <c r="HH4" s="29">
        <f t="shared" ca="1" si="36"/>
        <v>14122.033543466274</v>
      </c>
      <c r="HI4" s="29">
        <f t="shared" ca="1" si="36"/>
        <v>14053.216972205799</v>
      </c>
      <c r="HJ4" s="29">
        <f t="shared" ca="1" si="36"/>
        <v>14695.319317044423</v>
      </c>
      <c r="HK4" s="29">
        <f t="shared" ca="1" si="36"/>
        <v>14480.513706069878</v>
      </c>
      <c r="HL4" s="29">
        <f t="shared" ca="1" si="36"/>
        <v>14209.159128941212</v>
      </c>
      <c r="HM4" s="29">
        <f t="shared" ca="1" si="36"/>
        <v>14202.24137117114</v>
      </c>
      <c r="HN4" s="29">
        <f t="shared" ca="1" si="36"/>
        <v>14407.379767075783</v>
      </c>
      <c r="HO4" s="29">
        <f t="shared" ca="1" si="36"/>
        <v>14270.641919720974</v>
      </c>
      <c r="HP4" s="29">
        <f t="shared" ca="1" si="36"/>
        <v>14540.278563989836</v>
      </c>
      <c r="HQ4" s="29">
        <f t="shared" ca="1" si="36"/>
        <v>14407.728081243251</v>
      </c>
      <c r="HR4" s="29">
        <f t="shared" ca="1" si="36"/>
        <v>14270.856434141633</v>
      </c>
      <c r="HS4" s="29">
        <f t="shared" ca="1" si="36"/>
        <v>14525.593846611811</v>
      </c>
      <c r="HT4" s="29">
        <f t="shared" ca="1" si="36"/>
        <v>14430.301718737064</v>
      </c>
      <c r="HU4" s="29">
        <f t="shared" ca="1" si="36"/>
        <v>14376.32191037862</v>
      </c>
      <c r="HV4" s="29">
        <f t="shared" ca="1" si="36"/>
        <v>14246.772363995935</v>
      </c>
      <c r="HW4" s="29">
        <f t="shared" ca="1" si="36"/>
        <v>14278.455602286418</v>
      </c>
      <c r="HX4" s="29">
        <f t="shared" ca="1" si="36"/>
        <v>14302.624548218846</v>
      </c>
      <c r="HY4" s="29">
        <f t="shared" ca="1" si="36"/>
        <v>14662.815742316552</v>
      </c>
      <c r="HZ4" s="29">
        <f t="shared" ca="1" si="36"/>
        <v>14435.703393427324</v>
      </c>
      <c r="IA4" s="29">
        <f t="shared" ca="1" si="36"/>
        <v>14363.293141994514</v>
      </c>
      <c r="IB4" s="29">
        <f t="shared" ca="1" si="36"/>
        <v>14524.031857125279</v>
      </c>
      <c r="IC4" s="29">
        <f t="shared" ca="1" si="36"/>
        <v>14176.572927276586</v>
      </c>
      <c r="ID4" s="29">
        <f t="shared" ca="1" si="36"/>
        <v>14281.973416387145</v>
      </c>
      <c r="IE4" s="29">
        <f t="shared" ca="1" si="36"/>
        <v>14428.186665277764</v>
      </c>
      <c r="IF4" s="29">
        <f t="shared" ca="1" si="36"/>
        <v>14429.796357869833</v>
      </c>
      <c r="IG4" s="29">
        <f t="shared" ca="1" si="36"/>
        <v>14290.037511654296</v>
      </c>
      <c r="IH4" s="29">
        <f t="shared" ca="1" si="36"/>
        <v>14322.227374699698</v>
      </c>
      <c r="II4" s="29">
        <f t="shared" ca="1" si="36"/>
        <v>14382.616386608344</v>
      </c>
      <c r="IJ4" s="29">
        <f t="shared" ca="1" si="36"/>
        <v>14489.560104651437</v>
      </c>
      <c r="IK4" s="29">
        <f t="shared" ca="1" si="36"/>
        <v>14401.992262719805</v>
      </c>
      <c r="IL4" s="29">
        <f t="shared" ca="1" si="36"/>
        <v>14412.25084142394</v>
      </c>
      <c r="IM4" s="29">
        <f t="shared" ca="1" si="36"/>
        <v>14345.318588571536</v>
      </c>
      <c r="IN4" s="29">
        <f t="shared" ca="1" si="36"/>
        <v>14731.644573263675</v>
      </c>
      <c r="IO4" s="29">
        <f t="shared" ca="1" si="36"/>
        <v>14213.6125240856</v>
      </c>
      <c r="IP4" s="29">
        <f t="shared" ca="1" si="36"/>
        <v>14435.848269784587</v>
      </c>
      <c r="IQ4" s="29">
        <f t="shared" ca="1" si="36"/>
        <v>14277.023646223033</v>
      </c>
      <c r="IR4" s="29">
        <f t="shared" ca="1" si="36"/>
        <v>14388.517977217369</v>
      </c>
      <c r="IS4" s="29">
        <f t="shared" ca="1" si="36"/>
        <v>14584.092345687612</v>
      </c>
      <c r="IT4" s="29">
        <f t="shared" ca="1" si="36"/>
        <v>14300.435365741057</v>
      </c>
      <c r="IU4" s="29">
        <f t="shared" ca="1" si="36"/>
        <v>14610.875369018679</v>
      </c>
      <c r="IV4" s="29">
        <f t="shared" ca="1" si="36"/>
        <v>14450.591771845386</v>
      </c>
      <c r="IW4" s="29">
        <f t="shared" ca="1" si="36"/>
        <v>14648.72860547977</v>
      </c>
      <c r="IX4" s="29">
        <f t="shared" ca="1" si="36"/>
        <v>14338.950724009528</v>
      </c>
      <c r="IY4" s="29">
        <f t="shared" ca="1" si="36"/>
        <v>14086.24374193837</v>
      </c>
      <c r="IZ4" s="29">
        <f t="shared" ca="1" si="36"/>
        <v>14275.997380857307</v>
      </c>
      <c r="JA4" s="29">
        <f t="shared" ca="1" si="36"/>
        <v>13906.981839289798</v>
      </c>
      <c r="JB4" s="29">
        <f t="shared" ca="1" si="36"/>
        <v>14162.089942580997</v>
      </c>
      <c r="JC4" s="29">
        <f t="shared" ca="1" si="36"/>
        <v>14312.300670671764</v>
      </c>
      <c r="JD4" s="29">
        <f t="shared" ca="1" si="36"/>
        <v>14295.336889287275</v>
      </c>
      <c r="JE4" s="29">
        <f t="shared" ca="1" si="36"/>
        <v>14300.235750801947</v>
      </c>
      <c r="JF4" s="29">
        <f t="shared" ca="1" si="36"/>
        <v>14630.932944577695</v>
      </c>
      <c r="JG4" s="29">
        <f t="shared" ca="1" si="36"/>
        <v>14418.379568184202</v>
      </c>
      <c r="JH4" s="29">
        <f t="shared" ref="JH4:LS4" ca="1" si="37">(NORMINV(RAND(),$E$2,$G$2)+1)*JH3</f>
        <v>14304.047349211818</v>
      </c>
      <c r="JI4" s="29">
        <f t="shared" ca="1" si="37"/>
        <v>14247.00637699769</v>
      </c>
      <c r="JJ4" s="29">
        <f t="shared" ca="1" si="37"/>
        <v>14390.497180924687</v>
      </c>
      <c r="JK4" s="29">
        <f t="shared" ca="1" si="37"/>
        <v>14288.168350026079</v>
      </c>
      <c r="JL4" s="29">
        <f t="shared" ca="1" si="37"/>
        <v>14435.986818173447</v>
      </c>
      <c r="JM4" s="29">
        <f t="shared" ca="1" si="37"/>
        <v>14062.22137539034</v>
      </c>
      <c r="JN4" s="29">
        <f t="shared" ca="1" si="37"/>
        <v>14692.989138659719</v>
      </c>
      <c r="JO4" s="29">
        <f t="shared" ca="1" si="37"/>
        <v>14600.617006498982</v>
      </c>
      <c r="JP4" s="29">
        <f t="shared" ca="1" si="37"/>
        <v>14391.174724953722</v>
      </c>
      <c r="JQ4" s="29">
        <f t="shared" ca="1" si="37"/>
        <v>14410.597814373878</v>
      </c>
      <c r="JR4" s="29">
        <f t="shared" ca="1" si="37"/>
        <v>14287.797138549804</v>
      </c>
      <c r="JS4" s="29">
        <f t="shared" ca="1" si="37"/>
        <v>14414.036899433782</v>
      </c>
      <c r="JT4" s="29">
        <f t="shared" ca="1" si="37"/>
        <v>14449.123466701814</v>
      </c>
      <c r="JU4" s="29">
        <f t="shared" ca="1" si="37"/>
        <v>14656.730325417624</v>
      </c>
      <c r="JV4" s="29">
        <f t="shared" ca="1" si="37"/>
        <v>14255.514791423155</v>
      </c>
      <c r="JW4" s="29">
        <f t="shared" ca="1" si="37"/>
        <v>14282.925835824508</v>
      </c>
      <c r="JX4" s="29">
        <f t="shared" ca="1" si="37"/>
        <v>14286.240864900146</v>
      </c>
      <c r="JY4" s="29">
        <f t="shared" ca="1" si="37"/>
        <v>14262.896117941591</v>
      </c>
      <c r="JZ4" s="29">
        <f t="shared" ca="1" si="37"/>
        <v>14315.724665829888</v>
      </c>
      <c r="KA4" s="29">
        <f t="shared" ca="1" si="37"/>
        <v>14315.231119084139</v>
      </c>
      <c r="KB4" s="29">
        <f t="shared" ca="1" si="37"/>
        <v>14224.990361919794</v>
      </c>
      <c r="KC4" s="29">
        <f t="shared" ca="1" si="37"/>
        <v>14104.780845448147</v>
      </c>
      <c r="KD4" s="29">
        <f t="shared" ca="1" si="37"/>
        <v>14496.177799279134</v>
      </c>
      <c r="KE4" s="29">
        <f t="shared" ca="1" si="37"/>
        <v>14336.193882887163</v>
      </c>
      <c r="KF4" s="29">
        <f t="shared" ca="1" si="37"/>
        <v>14658.581924770009</v>
      </c>
      <c r="KG4" s="29">
        <f t="shared" ca="1" si="37"/>
        <v>14311.309090269229</v>
      </c>
      <c r="KH4" s="29">
        <f t="shared" ca="1" si="37"/>
        <v>14547.968702000753</v>
      </c>
      <c r="KI4" s="29">
        <f t="shared" ca="1" si="37"/>
        <v>14428.419314324354</v>
      </c>
      <c r="KJ4" s="29">
        <f t="shared" ca="1" si="37"/>
        <v>14553.236944944945</v>
      </c>
      <c r="KK4" s="29">
        <f t="shared" ca="1" si="37"/>
        <v>14307.941054516747</v>
      </c>
      <c r="KL4" s="29">
        <f t="shared" ca="1" si="37"/>
        <v>14319.118023996754</v>
      </c>
      <c r="KM4" s="29">
        <f t="shared" ca="1" si="37"/>
        <v>14352.416643512735</v>
      </c>
      <c r="KN4" s="29">
        <f t="shared" ca="1" si="37"/>
        <v>14303.66977713638</v>
      </c>
      <c r="KO4" s="29">
        <f t="shared" ca="1" si="37"/>
        <v>14557.039006054645</v>
      </c>
      <c r="KP4" s="29">
        <f t="shared" ca="1" si="37"/>
        <v>14157.939517436289</v>
      </c>
      <c r="KQ4" s="29">
        <f t="shared" ca="1" si="37"/>
        <v>14040.523780903701</v>
      </c>
      <c r="KR4" s="29">
        <f t="shared" ca="1" si="37"/>
        <v>14474.552928624005</v>
      </c>
      <c r="KS4" s="29">
        <f t="shared" ca="1" si="37"/>
        <v>14091.101712927735</v>
      </c>
      <c r="KT4" s="29">
        <f t="shared" ca="1" si="37"/>
        <v>14402.917331421588</v>
      </c>
      <c r="KU4" s="29">
        <f t="shared" ca="1" si="37"/>
        <v>14293.145640983319</v>
      </c>
      <c r="KV4" s="29">
        <f t="shared" ca="1" si="37"/>
        <v>14246.825553470358</v>
      </c>
      <c r="KW4" s="29">
        <f t="shared" ca="1" si="37"/>
        <v>14571.693072894699</v>
      </c>
      <c r="KX4" s="29">
        <f t="shared" ca="1" si="37"/>
        <v>14187.666074934881</v>
      </c>
      <c r="KY4" s="29">
        <f t="shared" ca="1" si="37"/>
        <v>14437.251212492438</v>
      </c>
      <c r="KZ4" s="29">
        <f t="shared" ca="1" si="37"/>
        <v>14354.136586271716</v>
      </c>
      <c r="LA4" s="29">
        <f t="shared" ca="1" si="37"/>
        <v>14654.249693446636</v>
      </c>
      <c r="LB4" s="29">
        <f t="shared" ca="1" si="37"/>
        <v>14290.612182429755</v>
      </c>
      <c r="LC4" s="29">
        <f t="shared" ca="1" si="37"/>
        <v>14079.736989110052</v>
      </c>
      <c r="LD4" s="29">
        <f t="shared" ca="1" si="37"/>
        <v>14217.411268224818</v>
      </c>
      <c r="LE4" s="29">
        <f t="shared" ca="1" si="37"/>
        <v>14421.475616066517</v>
      </c>
      <c r="LF4" s="29">
        <f t="shared" ca="1" si="37"/>
        <v>14552.326349796604</v>
      </c>
      <c r="LG4" s="29">
        <f t="shared" ca="1" si="37"/>
        <v>14157.294623406759</v>
      </c>
      <c r="LH4" s="29">
        <f t="shared" ca="1" si="37"/>
        <v>14420.667456051118</v>
      </c>
      <c r="LI4" s="29">
        <f t="shared" ca="1" si="37"/>
        <v>14299.741088144026</v>
      </c>
      <c r="LJ4" s="29">
        <f t="shared" ca="1" si="37"/>
        <v>14614.12947611961</v>
      </c>
      <c r="LK4" s="29">
        <f t="shared" ca="1" si="37"/>
        <v>14293.440019649413</v>
      </c>
      <c r="LL4" s="29">
        <f t="shared" ca="1" si="37"/>
        <v>14399.001401539423</v>
      </c>
      <c r="LM4" s="29">
        <f t="shared" ca="1" si="37"/>
        <v>14359.483424283886</v>
      </c>
      <c r="LN4" s="29">
        <f t="shared" ca="1" si="37"/>
        <v>14729.831272455473</v>
      </c>
      <c r="LO4" s="29">
        <f t="shared" ca="1" si="37"/>
        <v>14113.300919047286</v>
      </c>
      <c r="LP4" s="29">
        <f t="shared" ca="1" si="37"/>
        <v>14280.111179468337</v>
      </c>
      <c r="LQ4" s="29">
        <f t="shared" ca="1" si="37"/>
        <v>14471.554845401979</v>
      </c>
      <c r="LR4" s="29">
        <f t="shared" ca="1" si="37"/>
        <v>14246.620229808977</v>
      </c>
      <c r="LS4" s="29">
        <f t="shared" ca="1" si="37"/>
        <v>14279.893487157173</v>
      </c>
      <c r="LT4" s="29">
        <f t="shared" ref="LT4:OE4" ca="1" si="38">(NORMINV(RAND(),$E$2,$G$2)+1)*LT3</f>
        <v>14139.115668487751</v>
      </c>
      <c r="LU4" s="29">
        <f t="shared" ca="1" si="38"/>
        <v>14277.702611227856</v>
      </c>
      <c r="LV4" s="29">
        <f t="shared" ca="1" si="38"/>
        <v>14370.278154193476</v>
      </c>
      <c r="LW4" s="29">
        <f t="shared" ca="1" si="38"/>
        <v>14437.418047087587</v>
      </c>
      <c r="LX4" s="29">
        <f t="shared" ca="1" si="38"/>
        <v>14236.169509948579</v>
      </c>
      <c r="LY4" s="29">
        <f t="shared" ca="1" si="38"/>
        <v>14351.172557124568</v>
      </c>
      <c r="LZ4" s="29">
        <f t="shared" ca="1" si="38"/>
        <v>14204.116290986945</v>
      </c>
      <c r="MA4" s="29">
        <f t="shared" ca="1" si="38"/>
        <v>14095.244845023602</v>
      </c>
      <c r="MB4" s="29">
        <f t="shared" ca="1" si="38"/>
        <v>14343.400476232142</v>
      </c>
      <c r="MC4" s="29">
        <f t="shared" ca="1" si="38"/>
        <v>14527.237389149786</v>
      </c>
      <c r="MD4" s="29">
        <f t="shared" ca="1" si="38"/>
        <v>14243.450582986929</v>
      </c>
      <c r="ME4" s="29">
        <f t="shared" ca="1" si="38"/>
        <v>14323.643965017658</v>
      </c>
      <c r="MF4" s="29">
        <f t="shared" ca="1" si="38"/>
        <v>14310.563458734334</v>
      </c>
      <c r="MG4" s="29">
        <f t="shared" ca="1" si="38"/>
        <v>14541.594787116008</v>
      </c>
      <c r="MH4" s="29">
        <f t="shared" ca="1" si="38"/>
        <v>14446.492774287481</v>
      </c>
      <c r="MI4" s="29">
        <f t="shared" ca="1" si="38"/>
        <v>14575.267154155286</v>
      </c>
      <c r="MJ4" s="29">
        <f t="shared" ca="1" si="38"/>
        <v>14304.425564603436</v>
      </c>
      <c r="MK4" s="29">
        <f t="shared" ca="1" si="38"/>
        <v>14404.572031614376</v>
      </c>
      <c r="ML4" s="29">
        <f t="shared" ca="1" si="38"/>
        <v>14506.506990111104</v>
      </c>
      <c r="MM4" s="29">
        <f t="shared" ca="1" si="38"/>
        <v>14442.033594815515</v>
      </c>
      <c r="MN4" s="29">
        <f t="shared" ca="1" si="38"/>
        <v>14534.22830614001</v>
      </c>
      <c r="MO4" s="29">
        <f t="shared" ca="1" si="38"/>
        <v>14736.742375036167</v>
      </c>
      <c r="MP4" s="29">
        <f t="shared" ca="1" si="38"/>
        <v>14172.948384896203</v>
      </c>
      <c r="MQ4" s="29">
        <f t="shared" ca="1" si="38"/>
        <v>14363.715268042173</v>
      </c>
      <c r="MR4" s="29">
        <f t="shared" ca="1" si="38"/>
        <v>14323.203195940174</v>
      </c>
      <c r="MS4" s="29">
        <f t="shared" ca="1" si="38"/>
        <v>14362.939499909115</v>
      </c>
      <c r="MT4" s="29">
        <f t="shared" ca="1" si="38"/>
        <v>14231.075808431799</v>
      </c>
      <c r="MU4" s="29">
        <f t="shared" ca="1" si="38"/>
        <v>14339.952047954617</v>
      </c>
      <c r="MV4" s="29">
        <f t="shared" ca="1" si="38"/>
        <v>14561.294014351479</v>
      </c>
      <c r="MW4" s="29">
        <f t="shared" ca="1" si="38"/>
        <v>14283.835117193532</v>
      </c>
      <c r="MX4" s="29">
        <f t="shared" ca="1" si="38"/>
        <v>14475.935680386498</v>
      </c>
      <c r="MY4" s="29">
        <f t="shared" ca="1" si="38"/>
        <v>14253.537994533894</v>
      </c>
      <c r="MZ4" s="29">
        <f t="shared" ca="1" si="38"/>
        <v>14498.609449639589</v>
      </c>
      <c r="NA4" s="29">
        <f t="shared" ca="1" si="38"/>
        <v>14296.183264361425</v>
      </c>
      <c r="NB4" s="29">
        <f t="shared" ca="1" si="38"/>
        <v>14435.516630897884</v>
      </c>
      <c r="NC4" s="29">
        <f t="shared" ca="1" si="38"/>
        <v>14425.580551852101</v>
      </c>
      <c r="ND4" s="29">
        <f t="shared" ca="1" si="38"/>
        <v>14285.779169807853</v>
      </c>
      <c r="NE4" s="29">
        <f t="shared" ca="1" si="38"/>
        <v>14231.069504603684</v>
      </c>
      <c r="NF4" s="29">
        <f t="shared" ca="1" si="38"/>
        <v>14335.470560726464</v>
      </c>
      <c r="NG4" s="29">
        <f t="shared" ca="1" si="38"/>
        <v>14541.177900622406</v>
      </c>
      <c r="NH4" s="29">
        <f t="shared" ca="1" si="38"/>
        <v>14477.960097550213</v>
      </c>
      <c r="NI4" s="29">
        <f t="shared" ca="1" si="38"/>
        <v>14435.005395232089</v>
      </c>
      <c r="NJ4" s="29">
        <f t="shared" ca="1" si="38"/>
        <v>14343.123769317719</v>
      </c>
      <c r="NK4" s="29">
        <f t="shared" ca="1" si="38"/>
        <v>14793.273176196226</v>
      </c>
      <c r="NL4" s="29">
        <f t="shared" ca="1" si="38"/>
        <v>14422.58292458156</v>
      </c>
      <c r="NM4" s="29">
        <f t="shared" ca="1" si="38"/>
        <v>14323.228449856793</v>
      </c>
      <c r="NN4" s="29">
        <f t="shared" ca="1" si="38"/>
        <v>14341.454359511756</v>
      </c>
      <c r="NO4" s="29">
        <f t="shared" ca="1" si="38"/>
        <v>14310.138560987007</v>
      </c>
      <c r="NP4" s="29">
        <f t="shared" ca="1" si="38"/>
        <v>14178.237347960472</v>
      </c>
      <c r="NQ4" s="29">
        <f t="shared" ca="1" si="38"/>
        <v>14216.394786044741</v>
      </c>
      <c r="NR4" s="29">
        <f t="shared" ca="1" si="38"/>
        <v>14410.399822427233</v>
      </c>
      <c r="NS4" s="29">
        <f t="shared" ca="1" si="38"/>
        <v>14293.227661979441</v>
      </c>
      <c r="NT4" s="29">
        <f t="shared" ca="1" si="38"/>
        <v>14229.250712485507</v>
      </c>
      <c r="NU4" s="29">
        <f t="shared" ca="1" si="38"/>
        <v>14531.47870438752</v>
      </c>
      <c r="NV4" s="29">
        <f t="shared" ca="1" si="38"/>
        <v>14406.905750009379</v>
      </c>
      <c r="NW4" s="29">
        <f t="shared" ca="1" si="38"/>
        <v>14221.404961772445</v>
      </c>
      <c r="NX4" s="29">
        <f t="shared" ca="1" si="38"/>
        <v>14500.340062516199</v>
      </c>
      <c r="NY4" s="29">
        <f t="shared" ca="1" si="38"/>
        <v>14153.050885343306</v>
      </c>
      <c r="NZ4" s="29">
        <f t="shared" ca="1" si="38"/>
        <v>14376.825409120243</v>
      </c>
      <c r="OA4" s="29">
        <f t="shared" ca="1" si="38"/>
        <v>14325.097016091682</v>
      </c>
      <c r="OB4" s="29">
        <f t="shared" ca="1" si="38"/>
        <v>14445.218182272121</v>
      </c>
      <c r="OC4" s="29">
        <f t="shared" ca="1" si="38"/>
        <v>14145.640205101436</v>
      </c>
      <c r="OD4" s="29">
        <f t="shared" ca="1" si="38"/>
        <v>14515.976234323092</v>
      </c>
      <c r="OE4" s="29">
        <f t="shared" ca="1" si="38"/>
        <v>14414.185611526867</v>
      </c>
      <c r="OF4" s="29">
        <f t="shared" ref="OF4:QQ4" ca="1" si="39">(NORMINV(RAND(),$E$2,$G$2)+1)*OF3</f>
        <v>14183.223366243757</v>
      </c>
      <c r="OG4" s="29">
        <f t="shared" ca="1" si="39"/>
        <v>14591.081021088201</v>
      </c>
      <c r="OH4" s="29">
        <f t="shared" ca="1" si="39"/>
        <v>14532.831404422192</v>
      </c>
      <c r="OI4" s="29">
        <f t="shared" ca="1" si="39"/>
        <v>14033.878801757315</v>
      </c>
      <c r="OJ4" s="29">
        <f t="shared" ca="1" si="39"/>
        <v>14475.915137228358</v>
      </c>
      <c r="OK4" s="29">
        <f t="shared" ca="1" si="39"/>
        <v>13981.832289257041</v>
      </c>
      <c r="OL4" s="29">
        <f t="shared" ca="1" si="39"/>
        <v>14512.752991145353</v>
      </c>
      <c r="OM4" s="29">
        <f t="shared" ca="1" si="39"/>
        <v>14346.85982747225</v>
      </c>
      <c r="ON4" s="29">
        <f t="shared" ca="1" si="39"/>
        <v>14607.724920810109</v>
      </c>
      <c r="OO4" s="29">
        <f t="shared" ca="1" si="39"/>
        <v>14272.234758852905</v>
      </c>
      <c r="OP4" s="29">
        <f t="shared" ca="1" si="39"/>
        <v>14516.934726954109</v>
      </c>
      <c r="OQ4" s="29">
        <f t="shared" ca="1" si="39"/>
        <v>14245.186345878597</v>
      </c>
      <c r="OR4" s="29">
        <f t="shared" ca="1" si="39"/>
        <v>14666.959324543386</v>
      </c>
      <c r="OS4" s="29">
        <f t="shared" ca="1" si="39"/>
        <v>14241.378696334834</v>
      </c>
      <c r="OT4" s="29">
        <f t="shared" ca="1" si="39"/>
        <v>14270.771963096333</v>
      </c>
      <c r="OU4" s="29">
        <f t="shared" ca="1" si="39"/>
        <v>14553.170212184097</v>
      </c>
      <c r="OV4" s="29">
        <f t="shared" ca="1" si="39"/>
        <v>14462.543147892866</v>
      </c>
      <c r="OW4" s="29">
        <f t="shared" ca="1" si="39"/>
        <v>14484.796194178076</v>
      </c>
      <c r="OX4" s="29">
        <f t="shared" ca="1" si="39"/>
        <v>14244.646478869419</v>
      </c>
      <c r="OY4" s="29">
        <f t="shared" ca="1" si="39"/>
        <v>14546.402255577033</v>
      </c>
      <c r="OZ4" s="29">
        <f t="shared" ca="1" si="39"/>
        <v>14159.237145900041</v>
      </c>
      <c r="PA4" s="29">
        <f t="shared" ca="1" si="39"/>
        <v>14127.683815478093</v>
      </c>
      <c r="PB4" s="29">
        <f t="shared" ca="1" si="39"/>
        <v>14247.690392482109</v>
      </c>
      <c r="PC4" s="29">
        <f t="shared" ca="1" si="39"/>
        <v>14047.723915341969</v>
      </c>
      <c r="PD4" s="29">
        <f t="shared" ca="1" si="39"/>
        <v>14381.393573866217</v>
      </c>
      <c r="PE4" s="29">
        <f t="shared" ca="1" si="39"/>
        <v>14280.05236752358</v>
      </c>
      <c r="PF4" s="29">
        <f t="shared" ca="1" si="39"/>
        <v>14431.635761589769</v>
      </c>
      <c r="PG4" s="29">
        <f t="shared" ca="1" si="39"/>
        <v>14216.048746950191</v>
      </c>
      <c r="PH4" s="29">
        <f t="shared" ca="1" si="39"/>
        <v>14297.759847883708</v>
      </c>
      <c r="PI4" s="29">
        <f t="shared" ca="1" si="39"/>
        <v>14012.297117943257</v>
      </c>
      <c r="PJ4" s="29">
        <f t="shared" ca="1" si="39"/>
        <v>14487.936464023474</v>
      </c>
      <c r="PK4" s="29">
        <f t="shared" ca="1" si="39"/>
        <v>14223.569876702346</v>
      </c>
      <c r="PL4" s="29">
        <f t="shared" ca="1" si="39"/>
        <v>14223.188605531685</v>
      </c>
      <c r="PM4" s="29">
        <f t="shared" ca="1" si="39"/>
        <v>14410.555293889436</v>
      </c>
      <c r="PN4" s="29">
        <f t="shared" ca="1" si="39"/>
        <v>14486.142789738356</v>
      </c>
      <c r="PO4" s="29">
        <f t="shared" ca="1" si="39"/>
        <v>14115.850926770552</v>
      </c>
      <c r="PP4" s="29">
        <f t="shared" ca="1" si="39"/>
        <v>14495.042004781315</v>
      </c>
      <c r="PQ4" s="29">
        <f t="shared" ca="1" si="39"/>
        <v>14494.16647550006</v>
      </c>
      <c r="PR4" s="29">
        <f t="shared" ca="1" si="39"/>
        <v>14520.15801395304</v>
      </c>
      <c r="PS4" s="29">
        <f t="shared" ca="1" si="39"/>
        <v>14273.229266710543</v>
      </c>
      <c r="PT4" s="29">
        <f t="shared" ca="1" si="39"/>
        <v>14420.559190009848</v>
      </c>
      <c r="PU4" s="29">
        <f t="shared" ca="1" si="39"/>
        <v>14556.503565840838</v>
      </c>
      <c r="PV4" s="29">
        <f t="shared" ca="1" si="39"/>
        <v>14216.998443778359</v>
      </c>
      <c r="PW4" s="29">
        <f t="shared" ca="1" si="39"/>
        <v>14232.142467996744</v>
      </c>
      <c r="PX4" s="29">
        <f t="shared" ca="1" si="39"/>
        <v>14446.939349835737</v>
      </c>
      <c r="PY4" s="29">
        <f t="shared" ca="1" si="39"/>
        <v>14448.577076874808</v>
      </c>
      <c r="PZ4" s="29">
        <f t="shared" ca="1" si="39"/>
        <v>14240.644709065295</v>
      </c>
      <c r="QA4" s="29">
        <f t="shared" ca="1" si="39"/>
        <v>14463.242562836173</v>
      </c>
      <c r="QB4" s="29">
        <f t="shared" ca="1" si="39"/>
        <v>14534.286688776256</v>
      </c>
      <c r="QC4" s="29">
        <f t="shared" ca="1" si="39"/>
        <v>14240.718983153905</v>
      </c>
      <c r="QD4" s="29">
        <f t="shared" ca="1" si="39"/>
        <v>14405.206887951854</v>
      </c>
      <c r="QE4" s="29">
        <f t="shared" ca="1" si="39"/>
        <v>14332.716549154115</v>
      </c>
      <c r="QF4" s="29">
        <f t="shared" ca="1" si="39"/>
        <v>14513.271707797412</v>
      </c>
      <c r="QG4" s="29">
        <f t="shared" ca="1" si="39"/>
        <v>14454.47176415477</v>
      </c>
      <c r="QH4" s="29">
        <f t="shared" ca="1" si="39"/>
        <v>14599.266114707672</v>
      </c>
      <c r="QI4" s="29">
        <f t="shared" ca="1" si="39"/>
        <v>14458.416654254195</v>
      </c>
      <c r="QJ4" s="29">
        <f t="shared" ca="1" si="39"/>
        <v>14356.22141940539</v>
      </c>
      <c r="QK4" s="29">
        <f t="shared" ca="1" si="39"/>
        <v>14339.021580850289</v>
      </c>
      <c r="QL4" s="29">
        <f t="shared" ca="1" si="39"/>
        <v>14351.75512119296</v>
      </c>
      <c r="QM4" s="29">
        <f t="shared" ca="1" si="39"/>
        <v>14031.140212970953</v>
      </c>
      <c r="QN4" s="29">
        <f t="shared" ca="1" si="39"/>
        <v>14401.342504554737</v>
      </c>
      <c r="QO4" s="29">
        <f t="shared" ca="1" si="39"/>
        <v>14491.323507589779</v>
      </c>
      <c r="QP4" s="29">
        <f t="shared" ca="1" si="39"/>
        <v>14178.889876260608</v>
      </c>
      <c r="QQ4" s="29">
        <f t="shared" ca="1" si="39"/>
        <v>14250.271188528368</v>
      </c>
      <c r="QR4" s="29">
        <f t="shared" ref="QR4:TC4" ca="1" si="40">(NORMINV(RAND(),$E$2,$G$2)+1)*QR3</f>
        <v>14283.139876852054</v>
      </c>
      <c r="QS4" s="29">
        <f t="shared" ca="1" si="40"/>
        <v>14381.960852218179</v>
      </c>
      <c r="QT4" s="29">
        <f t="shared" ca="1" si="40"/>
        <v>14402.022510097555</v>
      </c>
      <c r="QU4" s="29">
        <f t="shared" ca="1" si="40"/>
        <v>14526.876544853238</v>
      </c>
      <c r="QV4" s="29">
        <f t="shared" ca="1" si="40"/>
        <v>14525.147042632143</v>
      </c>
      <c r="QW4" s="29">
        <f t="shared" ca="1" si="40"/>
        <v>14361.079720068381</v>
      </c>
      <c r="QX4" s="29">
        <f t="shared" ca="1" si="40"/>
        <v>14352.95841617199</v>
      </c>
      <c r="QY4" s="29">
        <f t="shared" ca="1" si="40"/>
        <v>14418.462353334982</v>
      </c>
      <c r="QZ4" s="29">
        <f t="shared" ca="1" si="40"/>
        <v>14265.342266113386</v>
      </c>
      <c r="RA4" s="29">
        <f t="shared" ca="1" si="40"/>
        <v>14173.641847106941</v>
      </c>
      <c r="RB4" s="29">
        <f t="shared" ca="1" si="40"/>
        <v>14420.397621743123</v>
      </c>
      <c r="RC4" s="29">
        <f t="shared" ca="1" si="40"/>
        <v>14253.704587061953</v>
      </c>
      <c r="RD4" s="29">
        <f t="shared" ca="1" si="40"/>
        <v>14450.124821887275</v>
      </c>
      <c r="RE4" s="29">
        <f t="shared" ca="1" si="40"/>
        <v>14274.991866704784</v>
      </c>
      <c r="RF4" s="29">
        <f t="shared" ca="1" si="40"/>
        <v>14300.964443338858</v>
      </c>
      <c r="RG4" s="29">
        <f t="shared" ca="1" si="40"/>
        <v>14176.132989206342</v>
      </c>
      <c r="RH4" s="29">
        <f t="shared" ca="1" si="40"/>
        <v>14223.306749260402</v>
      </c>
      <c r="RI4" s="29">
        <f t="shared" ca="1" si="40"/>
        <v>14378.74620496136</v>
      </c>
      <c r="RJ4" s="29">
        <f t="shared" ca="1" si="40"/>
        <v>14276.702381421333</v>
      </c>
      <c r="RK4" s="29">
        <f t="shared" ca="1" si="40"/>
        <v>14224.870690611348</v>
      </c>
      <c r="RL4" s="29">
        <f t="shared" ca="1" si="40"/>
        <v>14528.596851477067</v>
      </c>
      <c r="RM4" s="29">
        <f t="shared" ca="1" si="40"/>
        <v>14481.464398581307</v>
      </c>
      <c r="RN4" s="29">
        <f t="shared" ca="1" si="40"/>
        <v>14369.2506389883</v>
      </c>
      <c r="RO4" s="29">
        <f t="shared" ca="1" si="40"/>
        <v>14668.295556289497</v>
      </c>
      <c r="RP4" s="29">
        <f t="shared" ca="1" si="40"/>
        <v>14544.401068188094</v>
      </c>
      <c r="RQ4" s="29">
        <f t="shared" ca="1" si="40"/>
        <v>14565.900877863422</v>
      </c>
      <c r="RR4" s="29">
        <f t="shared" ca="1" si="40"/>
        <v>14191.327817754614</v>
      </c>
      <c r="RS4" s="29">
        <f t="shared" ca="1" si="40"/>
        <v>14248.675277718716</v>
      </c>
      <c r="RT4" s="29">
        <f t="shared" ca="1" si="40"/>
        <v>14385.052874732854</v>
      </c>
      <c r="RU4" s="29">
        <f t="shared" ca="1" si="40"/>
        <v>14154.640754411517</v>
      </c>
      <c r="RV4" s="29">
        <f t="shared" ca="1" si="40"/>
        <v>14362.607672363887</v>
      </c>
      <c r="RW4" s="29">
        <f t="shared" ca="1" si="40"/>
        <v>14356.565347670581</v>
      </c>
      <c r="RX4" s="29">
        <f t="shared" ca="1" si="40"/>
        <v>14223.833998515529</v>
      </c>
      <c r="RY4" s="29">
        <f t="shared" ca="1" si="40"/>
        <v>14106.320303487089</v>
      </c>
      <c r="RZ4" s="29">
        <f t="shared" ca="1" si="40"/>
        <v>14169.405917432263</v>
      </c>
      <c r="SA4" s="29">
        <f t="shared" ca="1" si="40"/>
        <v>14455.53867907309</v>
      </c>
      <c r="SB4" s="29">
        <f t="shared" ca="1" si="40"/>
        <v>14287.035369504241</v>
      </c>
      <c r="SC4" s="29">
        <f t="shared" ca="1" si="40"/>
        <v>14616.09606365629</v>
      </c>
      <c r="SD4" s="29">
        <f t="shared" ca="1" si="40"/>
        <v>14328.340582466402</v>
      </c>
      <c r="SE4" s="29">
        <f t="shared" ca="1" si="40"/>
        <v>14472.486491111067</v>
      </c>
      <c r="SF4" s="29">
        <f t="shared" ca="1" si="40"/>
        <v>14570.619586879313</v>
      </c>
      <c r="SG4" s="29">
        <f t="shared" ca="1" si="40"/>
        <v>14443.231298065048</v>
      </c>
      <c r="SH4" s="29">
        <f t="shared" ca="1" si="40"/>
        <v>14743.642810817291</v>
      </c>
      <c r="SI4" s="29">
        <f t="shared" ca="1" si="40"/>
        <v>14164.583380938155</v>
      </c>
      <c r="SJ4" s="29">
        <f t="shared" ca="1" si="40"/>
        <v>14157.211714111401</v>
      </c>
      <c r="SK4" s="29">
        <f t="shared" ca="1" si="40"/>
        <v>14663.984724075206</v>
      </c>
      <c r="SL4" s="29">
        <f t="shared" ca="1" si="40"/>
        <v>14402.919040478106</v>
      </c>
      <c r="SM4" s="29">
        <f t="shared" ca="1" si="40"/>
        <v>14579.481032010615</v>
      </c>
      <c r="SN4" s="29">
        <f t="shared" ca="1" si="40"/>
        <v>14352.373022935395</v>
      </c>
      <c r="SO4" s="29">
        <f t="shared" ca="1" si="40"/>
        <v>14298.019107227918</v>
      </c>
      <c r="SP4" s="29">
        <f t="shared" ca="1" si="40"/>
        <v>14556.120374547483</v>
      </c>
      <c r="SQ4" s="29">
        <f t="shared" ca="1" si="40"/>
        <v>14197.980011381735</v>
      </c>
      <c r="SR4" s="29">
        <f t="shared" ca="1" si="40"/>
        <v>14049.903024870942</v>
      </c>
      <c r="SS4" s="29">
        <f t="shared" ca="1" si="40"/>
        <v>14256.525270711471</v>
      </c>
      <c r="ST4" s="29">
        <f t="shared" ca="1" si="40"/>
        <v>14392.095267135268</v>
      </c>
      <c r="SU4" s="29">
        <f t="shared" ca="1" si="40"/>
        <v>14531.884613149025</v>
      </c>
      <c r="SV4" s="29">
        <f t="shared" ca="1" si="40"/>
        <v>14261.835297026495</v>
      </c>
      <c r="SW4" s="29">
        <f t="shared" ca="1" si="40"/>
        <v>14307.715243334667</v>
      </c>
      <c r="SX4" s="29">
        <f t="shared" ca="1" si="40"/>
        <v>14345.786736977574</v>
      </c>
      <c r="SY4" s="29">
        <f t="shared" ca="1" si="40"/>
        <v>14234.904882943998</v>
      </c>
      <c r="SZ4" s="29">
        <f t="shared" ca="1" si="40"/>
        <v>14297.56869440095</v>
      </c>
      <c r="TA4" s="29">
        <f t="shared" ca="1" si="40"/>
        <v>14486.90104996125</v>
      </c>
      <c r="TB4" s="29">
        <f t="shared" ca="1" si="40"/>
        <v>14322.219977208993</v>
      </c>
      <c r="TC4" s="29">
        <f t="shared" ca="1" si="40"/>
        <v>14417.707889224599</v>
      </c>
      <c r="TD4" s="29">
        <f t="shared" ref="TD4:VO4" ca="1" si="41">(NORMINV(RAND(),$E$2,$G$2)+1)*TD3</f>
        <v>14134.122407452154</v>
      </c>
      <c r="TE4" s="29">
        <f t="shared" ca="1" si="41"/>
        <v>14372.313219772182</v>
      </c>
      <c r="TF4" s="29">
        <f t="shared" ca="1" si="41"/>
        <v>14078.474953342939</v>
      </c>
      <c r="TG4" s="29">
        <f t="shared" ca="1" si="41"/>
        <v>14241.234976330625</v>
      </c>
      <c r="TH4" s="29">
        <f t="shared" ca="1" si="41"/>
        <v>14298.049051394579</v>
      </c>
      <c r="TI4" s="29">
        <f t="shared" ca="1" si="41"/>
        <v>14143.061973199457</v>
      </c>
      <c r="TJ4" s="29">
        <f t="shared" ca="1" si="41"/>
        <v>14095.504527665109</v>
      </c>
      <c r="TK4" s="29">
        <f t="shared" ca="1" si="41"/>
        <v>14162.498827507703</v>
      </c>
      <c r="TL4" s="29">
        <f t="shared" ca="1" si="41"/>
        <v>14466.402342776926</v>
      </c>
      <c r="TM4" s="29">
        <f t="shared" ca="1" si="41"/>
        <v>14229.823917196984</v>
      </c>
      <c r="TN4" s="29">
        <f t="shared" ca="1" si="41"/>
        <v>14441.456206721714</v>
      </c>
      <c r="TO4" s="29">
        <f t="shared" ca="1" si="41"/>
        <v>14302.508945277606</v>
      </c>
      <c r="TP4" s="29">
        <f t="shared" ca="1" si="41"/>
        <v>14501.950229849426</v>
      </c>
      <c r="TQ4" s="29">
        <f t="shared" ca="1" si="41"/>
        <v>14362.282995398711</v>
      </c>
      <c r="TR4" s="29">
        <f t="shared" ca="1" si="41"/>
        <v>14577.123101833025</v>
      </c>
      <c r="TS4" s="29">
        <f t="shared" ca="1" si="41"/>
        <v>14363.236935594801</v>
      </c>
      <c r="TT4" s="29">
        <f t="shared" ca="1" si="41"/>
        <v>14398.985346255617</v>
      </c>
      <c r="TU4" s="29">
        <f t="shared" ca="1" si="41"/>
        <v>14600.404862576295</v>
      </c>
      <c r="TV4" s="29">
        <f t="shared" ca="1" si="41"/>
        <v>14433.515733577175</v>
      </c>
      <c r="TW4" s="29">
        <f t="shared" ca="1" si="41"/>
        <v>14519.862903951047</v>
      </c>
      <c r="TX4" s="29">
        <f t="shared" ca="1" si="41"/>
        <v>14503.500888685619</v>
      </c>
      <c r="TY4" s="29">
        <f t="shared" ca="1" si="41"/>
        <v>14356.867272544383</v>
      </c>
      <c r="TZ4" s="29">
        <f t="shared" ca="1" si="41"/>
        <v>14352.285543464284</v>
      </c>
      <c r="UA4" s="29">
        <f t="shared" ca="1" si="41"/>
        <v>13878.831002373132</v>
      </c>
      <c r="UB4" s="29">
        <f t="shared" ca="1" si="41"/>
        <v>14331.953358988718</v>
      </c>
      <c r="UC4" s="29">
        <f t="shared" ca="1" si="41"/>
        <v>14212.866610981009</v>
      </c>
      <c r="UD4" s="29">
        <f t="shared" ca="1" si="41"/>
        <v>14314.583528167526</v>
      </c>
      <c r="UE4" s="29">
        <f t="shared" ca="1" si="41"/>
        <v>14361.030683086976</v>
      </c>
      <c r="UF4" s="29">
        <f t="shared" ca="1" si="41"/>
        <v>14198.850508275424</v>
      </c>
      <c r="UG4" s="29">
        <f t="shared" ca="1" si="41"/>
        <v>14275.758283110097</v>
      </c>
      <c r="UH4" s="29">
        <f t="shared" ca="1" si="41"/>
        <v>14194.798159932383</v>
      </c>
      <c r="UI4" s="29">
        <f t="shared" ca="1" si="41"/>
        <v>14367.704142924151</v>
      </c>
      <c r="UJ4" s="29">
        <f t="shared" ca="1" si="41"/>
        <v>14271.113389023501</v>
      </c>
      <c r="UK4" s="29">
        <f t="shared" ca="1" si="41"/>
        <v>14394.62292412723</v>
      </c>
      <c r="UL4" s="29">
        <f t="shared" ca="1" si="41"/>
        <v>14499.908824434282</v>
      </c>
      <c r="UM4" s="29">
        <f t="shared" ca="1" si="41"/>
        <v>14167.385267853671</v>
      </c>
      <c r="UN4" s="29">
        <f t="shared" ca="1" si="41"/>
        <v>14388.299984350255</v>
      </c>
      <c r="UO4" s="29">
        <f t="shared" ca="1" si="41"/>
        <v>14435.112756801167</v>
      </c>
      <c r="UP4" s="29">
        <f t="shared" ca="1" si="41"/>
        <v>14391.558256735927</v>
      </c>
      <c r="UQ4" s="29">
        <f t="shared" ca="1" si="41"/>
        <v>14640.630506789799</v>
      </c>
      <c r="UR4" s="29">
        <f t="shared" ca="1" si="41"/>
        <v>14265.532122801045</v>
      </c>
      <c r="US4" s="29">
        <f t="shared" ca="1" si="41"/>
        <v>14491.422621965807</v>
      </c>
      <c r="UT4" s="29">
        <f t="shared" ca="1" si="41"/>
        <v>14362.181364086688</v>
      </c>
      <c r="UU4" s="29">
        <f t="shared" ca="1" si="41"/>
        <v>14334.183050171938</v>
      </c>
      <c r="UV4" s="29">
        <f t="shared" ca="1" si="41"/>
        <v>14330.093831156668</v>
      </c>
      <c r="UW4" s="29">
        <f t="shared" ca="1" si="41"/>
        <v>14377.519310267624</v>
      </c>
      <c r="UX4" s="29">
        <f t="shared" ca="1" si="41"/>
        <v>14325.019202651018</v>
      </c>
      <c r="UY4" s="29">
        <f t="shared" ca="1" si="41"/>
        <v>14459.623127325525</v>
      </c>
      <c r="UZ4" s="29">
        <f t="shared" ca="1" si="41"/>
        <v>14291.67178978825</v>
      </c>
      <c r="VA4" s="29">
        <f t="shared" ca="1" si="41"/>
        <v>14513.168499893105</v>
      </c>
      <c r="VB4" s="29">
        <f t="shared" ca="1" si="41"/>
        <v>14418.741525481617</v>
      </c>
      <c r="VC4" s="29">
        <f t="shared" ca="1" si="41"/>
        <v>14454.078965403531</v>
      </c>
      <c r="VD4" s="29">
        <f t="shared" ca="1" si="41"/>
        <v>14660.603713784643</v>
      </c>
      <c r="VE4" s="29">
        <f t="shared" ca="1" si="41"/>
        <v>14689.243780672037</v>
      </c>
      <c r="VF4" s="29">
        <f t="shared" ca="1" si="41"/>
        <v>14397.405011885819</v>
      </c>
      <c r="VG4" s="29">
        <f t="shared" ca="1" si="41"/>
        <v>14664.873591954429</v>
      </c>
      <c r="VH4" s="29">
        <f t="shared" ca="1" si="41"/>
        <v>14395.401009705596</v>
      </c>
      <c r="VI4" s="29">
        <f t="shared" ca="1" si="41"/>
        <v>14257.125550098885</v>
      </c>
      <c r="VJ4" s="29">
        <f t="shared" ca="1" si="41"/>
        <v>14293.138908862909</v>
      </c>
      <c r="VK4" s="29">
        <f t="shared" ca="1" si="41"/>
        <v>14529.756330672275</v>
      </c>
      <c r="VL4" s="29">
        <f t="shared" ca="1" si="41"/>
        <v>14111.854848927002</v>
      </c>
      <c r="VM4" s="29">
        <f t="shared" ca="1" si="41"/>
        <v>14260.039262637769</v>
      </c>
      <c r="VN4" s="29">
        <f t="shared" ca="1" si="41"/>
        <v>14202.727306028291</v>
      </c>
      <c r="VO4" s="29">
        <f t="shared" ca="1" si="41"/>
        <v>14649.939907935845</v>
      </c>
      <c r="VP4" s="29">
        <f t="shared" ref="VP4:YA4" ca="1" si="42">(NORMINV(RAND(),$E$2,$G$2)+1)*VP3</f>
        <v>14475.593296212854</v>
      </c>
      <c r="VQ4" s="29">
        <f t="shared" ca="1" si="42"/>
        <v>14296.551204931258</v>
      </c>
      <c r="VR4" s="29">
        <f t="shared" ca="1" si="42"/>
        <v>14177.310654100558</v>
      </c>
      <c r="VS4" s="29">
        <f t="shared" ca="1" si="42"/>
        <v>14552.488612533351</v>
      </c>
      <c r="VT4" s="29">
        <f t="shared" ca="1" si="42"/>
        <v>14336.408708903988</v>
      </c>
      <c r="VU4" s="29">
        <f t="shared" ca="1" si="42"/>
        <v>14359.985965892034</v>
      </c>
      <c r="VV4" s="29">
        <f t="shared" ca="1" si="42"/>
        <v>14401.128153064134</v>
      </c>
      <c r="VW4" s="29">
        <f t="shared" ca="1" si="42"/>
        <v>14260.22066851548</v>
      </c>
      <c r="VX4" s="29">
        <f t="shared" ca="1" si="42"/>
        <v>14378.560740792022</v>
      </c>
      <c r="VY4" s="29">
        <f t="shared" ca="1" si="42"/>
        <v>14679.397145283025</v>
      </c>
      <c r="VZ4" s="29">
        <f t="shared" ca="1" si="42"/>
        <v>14563.761013946672</v>
      </c>
      <c r="WA4" s="29">
        <f t="shared" ca="1" si="42"/>
        <v>14576.285196855677</v>
      </c>
      <c r="WB4" s="29">
        <f t="shared" ca="1" si="42"/>
        <v>14472.866869852101</v>
      </c>
      <c r="WC4" s="29">
        <f t="shared" ca="1" si="42"/>
        <v>14246.024609836346</v>
      </c>
      <c r="WD4" s="29">
        <f t="shared" ca="1" si="42"/>
        <v>14112.019914693356</v>
      </c>
      <c r="WE4" s="29">
        <f t="shared" ca="1" si="42"/>
        <v>14533.700820164073</v>
      </c>
      <c r="WF4" s="29">
        <f t="shared" ca="1" si="42"/>
        <v>14331.805602410401</v>
      </c>
      <c r="WG4" s="29">
        <f t="shared" ca="1" si="42"/>
        <v>14693.73183121649</v>
      </c>
      <c r="WH4" s="29">
        <f t="shared" ca="1" si="42"/>
        <v>14030.362389068108</v>
      </c>
      <c r="WI4" s="29">
        <f t="shared" ca="1" si="42"/>
        <v>14480.072493291476</v>
      </c>
      <c r="WJ4" s="29">
        <f t="shared" ca="1" si="42"/>
        <v>14311.937601486707</v>
      </c>
      <c r="WK4" s="29">
        <f t="shared" ca="1" si="42"/>
        <v>14122.981229982053</v>
      </c>
      <c r="WL4" s="29">
        <f t="shared" ca="1" si="42"/>
        <v>14418.44911285697</v>
      </c>
      <c r="WM4" s="29">
        <f t="shared" ca="1" si="42"/>
        <v>14593.79702940714</v>
      </c>
      <c r="WN4" s="29">
        <f t="shared" ca="1" si="42"/>
        <v>14728.933566361224</v>
      </c>
      <c r="WO4" s="29">
        <f t="shared" ca="1" si="42"/>
        <v>14395.416571384318</v>
      </c>
      <c r="WP4" s="29">
        <f t="shared" ca="1" si="42"/>
        <v>14402.64861869408</v>
      </c>
      <c r="WQ4" s="29">
        <f t="shared" ca="1" si="42"/>
        <v>14257.462949114179</v>
      </c>
      <c r="WR4" s="29">
        <f t="shared" ca="1" si="42"/>
        <v>14280.146771144933</v>
      </c>
      <c r="WS4" s="29">
        <f t="shared" ca="1" si="42"/>
        <v>14165.709310525008</v>
      </c>
      <c r="WT4" s="29">
        <f t="shared" ca="1" si="42"/>
        <v>14490.504187854036</v>
      </c>
      <c r="WU4" s="29">
        <f t="shared" ca="1" si="42"/>
        <v>14483.840156927114</v>
      </c>
      <c r="WV4" s="29">
        <f t="shared" ca="1" si="42"/>
        <v>14294.376218641737</v>
      </c>
      <c r="WW4" s="29">
        <f t="shared" ca="1" si="42"/>
        <v>14293.676459314969</v>
      </c>
      <c r="WX4" s="29">
        <f t="shared" ca="1" si="42"/>
        <v>14536.509371237209</v>
      </c>
      <c r="WY4" s="29">
        <f t="shared" ca="1" si="42"/>
        <v>14415.172362227504</v>
      </c>
      <c r="WZ4" s="29">
        <f t="shared" ca="1" si="42"/>
        <v>14305.884638676174</v>
      </c>
      <c r="XA4" s="29">
        <f t="shared" ca="1" si="42"/>
        <v>14256.467254418765</v>
      </c>
      <c r="XB4" s="29">
        <f t="shared" ca="1" si="42"/>
        <v>14497.63840568402</v>
      </c>
      <c r="XC4" s="29">
        <f t="shared" ca="1" si="42"/>
        <v>14586.268044164051</v>
      </c>
      <c r="XD4" s="29">
        <f t="shared" ca="1" si="42"/>
        <v>14172.456875615575</v>
      </c>
      <c r="XE4" s="29">
        <f t="shared" ca="1" si="42"/>
        <v>14101.193832306015</v>
      </c>
      <c r="XF4" s="29">
        <f t="shared" ca="1" si="42"/>
        <v>14218.159800140145</v>
      </c>
      <c r="XG4" s="29">
        <f t="shared" ca="1" si="42"/>
        <v>14229.256392322124</v>
      </c>
      <c r="XH4" s="29">
        <f t="shared" ca="1" si="42"/>
        <v>14317.285935239672</v>
      </c>
      <c r="XI4" s="29">
        <f t="shared" ca="1" si="42"/>
        <v>14628.431228180187</v>
      </c>
      <c r="XJ4" s="29">
        <f t="shared" ca="1" si="42"/>
        <v>14363.536429210835</v>
      </c>
      <c r="XK4" s="29">
        <f t="shared" ca="1" si="42"/>
        <v>14300.484858676469</v>
      </c>
      <c r="XL4" s="29">
        <f t="shared" ca="1" si="42"/>
        <v>14060.453347674924</v>
      </c>
      <c r="XM4" s="29">
        <f t="shared" ca="1" si="42"/>
        <v>14533.580852460012</v>
      </c>
      <c r="XN4" s="29">
        <f t="shared" ca="1" si="42"/>
        <v>14097.857942098686</v>
      </c>
      <c r="XO4" s="29">
        <f t="shared" ca="1" si="42"/>
        <v>14429.238478879373</v>
      </c>
      <c r="XP4" s="29">
        <f t="shared" ca="1" si="42"/>
        <v>14381.494617133725</v>
      </c>
      <c r="XQ4" s="29">
        <f t="shared" ca="1" si="42"/>
        <v>14263.143459325123</v>
      </c>
      <c r="XR4" s="29">
        <f t="shared" ca="1" si="42"/>
        <v>14548.224858916521</v>
      </c>
      <c r="XS4" s="29">
        <f t="shared" ca="1" si="42"/>
        <v>14388.377200825678</v>
      </c>
      <c r="XT4" s="29">
        <f t="shared" ca="1" si="42"/>
        <v>14503.300944889894</v>
      </c>
      <c r="XU4" s="29">
        <f t="shared" ca="1" si="42"/>
        <v>14346.235738376849</v>
      </c>
      <c r="XV4" s="29">
        <f t="shared" ca="1" si="42"/>
        <v>14414.654311114029</v>
      </c>
      <c r="XW4" s="29">
        <f t="shared" ca="1" si="42"/>
        <v>14551.174264769781</v>
      </c>
      <c r="XX4" s="29">
        <f t="shared" ca="1" si="42"/>
        <v>14084.337020862642</v>
      </c>
      <c r="XY4" s="29">
        <f t="shared" ca="1" si="42"/>
        <v>14541.795656937718</v>
      </c>
      <c r="XZ4" s="29">
        <f t="shared" ca="1" si="42"/>
        <v>14229.157894792208</v>
      </c>
      <c r="YA4" s="29">
        <f t="shared" ca="1" si="42"/>
        <v>14507.255848906683</v>
      </c>
      <c r="YB4" s="29">
        <f t="shared" ref="YB4:AAM4" ca="1" si="43">(NORMINV(RAND(),$E$2,$G$2)+1)*YB3</f>
        <v>14262.716902228591</v>
      </c>
      <c r="YC4" s="29">
        <f t="shared" ca="1" si="43"/>
        <v>14384.465604905339</v>
      </c>
      <c r="YD4" s="29">
        <f t="shared" ca="1" si="43"/>
        <v>14049.758617407251</v>
      </c>
      <c r="YE4" s="29">
        <f t="shared" ca="1" si="43"/>
        <v>14517.859418510456</v>
      </c>
      <c r="YF4" s="29">
        <f t="shared" ca="1" si="43"/>
        <v>14467.841935181918</v>
      </c>
      <c r="YG4" s="29">
        <f t="shared" ca="1" si="43"/>
        <v>14675.500819451541</v>
      </c>
      <c r="YH4" s="29">
        <f t="shared" ca="1" si="43"/>
        <v>14352.803271707189</v>
      </c>
      <c r="YI4" s="29">
        <f t="shared" ca="1" si="43"/>
        <v>14274.023654737493</v>
      </c>
      <c r="YJ4" s="29">
        <f t="shared" ca="1" si="43"/>
        <v>14201.797927058444</v>
      </c>
      <c r="YK4" s="29">
        <f t="shared" ca="1" si="43"/>
        <v>14401.97283856409</v>
      </c>
      <c r="YL4" s="29">
        <f t="shared" ca="1" si="43"/>
        <v>14225.740400854007</v>
      </c>
      <c r="YM4" s="29">
        <f t="shared" ca="1" si="43"/>
        <v>14705.886302453351</v>
      </c>
      <c r="YN4" s="29">
        <f t="shared" ca="1" si="43"/>
        <v>14342.817541829725</v>
      </c>
      <c r="YO4" s="29">
        <f t="shared" ca="1" si="43"/>
        <v>14323.982061971277</v>
      </c>
      <c r="YP4" s="29">
        <f t="shared" ca="1" si="43"/>
        <v>14570.137216037741</v>
      </c>
      <c r="YQ4" s="29">
        <f t="shared" ca="1" si="43"/>
        <v>14193.871223104996</v>
      </c>
      <c r="YR4" s="29">
        <f t="shared" ca="1" si="43"/>
        <v>14266.633801387197</v>
      </c>
      <c r="YS4" s="29">
        <f t="shared" ca="1" si="43"/>
        <v>14264.73707752691</v>
      </c>
      <c r="YT4" s="29">
        <f t="shared" ca="1" si="43"/>
        <v>14199.994501203038</v>
      </c>
      <c r="YU4" s="29">
        <f t="shared" ca="1" si="43"/>
        <v>14481.891838919113</v>
      </c>
      <c r="YV4" s="29">
        <f t="shared" ca="1" si="43"/>
        <v>14270.176940036185</v>
      </c>
      <c r="YW4" s="29">
        <f t="shared" ca="1" si="43"/>
        <v>14408.937265424389</v>
      </c>
      <c r="YX4" s="29">
        <f t="shared" ca="1" si="43"/>
        <v>14644.246437527594</v>
      </c>
      <c r="YY4" s="29">
        <f t="shared" ca="1" si="43"/>
        <v>14437.206211144545</v>
      </c>
      <c r="YZ4" s="29">
        <f t="shared" ca="1" si="43"/>
        <v>14568.587883063941</v>
      </c>
      <c r="ZA4" s="29">
        <f t="shared" ca="1" si="43"/>
        <v>14358.376659714386</v>
      </c>
      <c r="ZB4" s="29">
        <f t="shared" ca="1" si="43"/>
        <v>14445.76935412332</v>
      </c>
      <c r="ZC4" s="29">
        <f t="shared" ca="1" si="43"/>
        <v>14482.538766067317</v>
      </c>
      <c r="ZD4" s="29">
        <f t="shared" ca="1" si="43"/>
        <v>14436.963000854859</v>
      </c>
      <c r="ZE4" s="29">
        <f t="shared" ca="1" si="43"/>
        <v>14275.331623636781</v>
      </c>
      <c r="ZF4" s="29">
        <f t="shared" ca="1" si="43"/>
        <v>14277.444873962808</v>
      </c>
      <c r="ZG4" s="29">
        <f t="shared" ca="1" si="43"/>
        <v>14189.909633540341</v>
      </c>
      <c r="ZH4" s="29">
        <f t="shared" ca="1" si="43"/>
        <v>14538.102826175691</v>
      </c>
      <c r="ZI4" s="29">
        <f t="shared" ca="1" si="43"/>
        <v>14214.140779328218</v>
      </c>
      <c r="ZJ4" s="29">
        <f t="shared" ca="1" si="43"/>
        <v>14418.727340238622</v>
      </c>
      <c r="ZK4" s="29">
        <f t="shared" ca="1" si="43"/>
        <v>14084.611644841141</v>
      </c>
      <c r="ZL4" s="29">
        <f t="shared" ca="1" si="43"/>
        <v>14219.29295475182</v>
      </c>
      <c r="ZM4" s="29">
        <f t="shared" ca="1" si="43"/>
        <v>14079.297500791892</v>
      </c>
      <c r="ZN4" s="29">
        <f t="shared" ca="1" si="43"/>
        <v>14366.482460682651</v>
      </c>
      <c r="ZO4" s="29">
        <f t="shared" ca="1" si="43"/>
        <v>14377.170937305256</v>
      </c>
      <c r="ZP4" s="29">
        <f t="shared" ca="1" si="43"/>
        <v>14318.028933427184</v>
      </c>
      <c r="ZQ4" s="29">
        <f t="shared" ca="1" si="43"/>
        <v>14181.168377678381</v>
      </c>
      <c r="ZR4" s="29">
        <f t="shared" ca="1" si="43"/>
        <v>14464.269236967066</v>
      </c>
      <c r="ZS4" s="29">
        <f t="shared" ca="1" si="43"/>
        <v>14495.385075277616</v>
      </c>
      <c r="ZT4" s="29">
        <f t="shared" ca="1" si="43"/>
        <v>14425.187431809836</v>
      </c>
      <c r="ZU4" s="29">
        <f t="shared" ca="1" si="43"/>
        <v>14289.927552157469</v>
      </c>
      <c r="ZV4" s="29">
        <f t="shared" ca="1" si="43"/>
        <v>14429.359552330701</v>
      </c>
      <c r="ZW4" s="29">
        <f t="shared" ca="1" si="43"/>
        <v>14563.86684577608</v>
      </c>
      <c r="ZX4" s="29">
        <f t="shared" ca="1" si="43"/>
        <v>14499.839674198025</v>
      </c>
      <c r="ZY4" s="29">
        <f t="shared" ca="1" si="43"/>
        <v>14704.941530496164</v>
      </c>
      <c r="ZZ4" s="29">
        <f t="shared" ca="1" si="43"/>
        <v>14520.149271947319</v>
      </c>
      <c r="AAA4" s="29">
        <f t="shared" ca="1" si="43"/>
        <v>14659.335778736444</v>
      </c>
      <c r="AAB4" s="29">
        <f t="shared" ca="1" si="43"/>
        <v>14276.949521655322</v>
      </c>
      <c r="AAC4" s="29">
        <f t="shared" ca="1" si="43"/>
        <v>14886.933977195604</v>
      </c>
      <c r="AAD4" s="29">
        <f t="shared" ca="1" si="43"/>
        <v>14148.603631521577</v>
      </c>
      <c r="AAE4" s="29">
        <f t="shared" ca="1" si="43"/>
        <v>14050.505450499219</v>
      </c>
      <c r="AAF4" s="29">
        <f t="shared" ca="1" si="43"/>
        <v>14665.736485004549</v>
      </c>
      <c r="AAG4" s="29">
        <f t="shared" ca="1" si="43"/>
        <v>14443.179690930248</v>
      </c>
      <c r="AAH4" s="29">
        <f t="shared" ca="1" si="43"/>
        <v>14529.10873018731</v>
      </c>
      <c r="AAI4" s="29">
        <f t="shared" ca="1" si="43"/>
        <v>14459.397435252673</v>
      </c>
      <c r="AAJ4" s="29">
        <f t="shared" ca="1" si="43"/>
        <v>14222.97279920399</v>
      </c>
      <c r="AAK4" s="29">
        <f t="shared" ca="1" si="43"/>
        <v>14480.878617444108</v>
      </c>
      <c r="AAL4" s="29">
        <f t="shared" ca="1" si="43"/>
        <v>14539.022315649703</v>
      </c>
      <c r="AAM4" s="29">
        <f t="shared" ca="1" si="43"/>
        <v>14405.623454759769</v>
      </c>
      <c r="AAN4" s="29">
        <f t="shared" ref="AAN4:ACY4" ca="1" si="44">(NORMINV(RAND(),$E$2,$G$2)+1)*AAN3</f>
        <v>14379.879040702537</v>
      </c>
      <c r="AAO4" s="29">
        <f t="shared" ca="1" si="44"/>
        <v>14397.308832769355</v>
      </c>
      <c r="AAP4" s="29">
        <f t="shared" ca="1" si="44"/>
        <v>14561.51596491662</v>
      </c>
      <c r="AAQ4" s="29">
        <f t="shared" ca="1" si="44"/>
        <v>14076.435522919444</v>
      </c>
      <c r="AAR4" s="29">
        <f t="shared" ca="1" si="44"/>
        <v>14510.489282049408</v>
      </c>
      <c r="AAS4" s="29">
        <f t="shared" ca="1" si="44"/>
        <v>14591.650334756459</v>
      </c>
      <c r="AAT4" s="29">
        <f t="shared" ca="1" si="44"/>
        <v>14339.520974633828</v>
      </c>
      <c r="AAU4" s="29">
        <f t="shared" ca="1" si="44"/>
        <v>14428.324097675</v>
      </c>
      <c r="AAV4" s="29">
        <f t="shared" ca="1" si="44"/>
        <v>14527.363494092995</v>
      </c>
      <c r="AAW4" s="29">
        <f t="shared" ca="1" si="44"/>
        <v>14320.45011213032</v>
      </c>
      <c r="AAX4" s="29">
        <f t="shared" ca="1" si="44"/>
        <v>14517.489847166373</v>
      </c>
      <c r="AAY4" s="29">
        <f t="shared" ca="1" si="44"/>
        <v>14227.372146496004</v>
      </c>
      <c r="AAZ4" s="29">
        <f t="shared" ca="1" si="44"/>
        <v>14549.393081814766</v>
      </c>
      <c r="ABA4" s="29">
        <f t="shared" ca="1" si="44"/>
        <v>14374.55111944393</v>
      </c>
      <c r="ABB4" s="29">
        <f t="shared" ca="1" si="44"/>
        <v>14477.045300071746</v>
      </c>
      <c r="ABC4" s="29">
        <f t="shared" ca="1" si="44"/>
        <v>14419.392738549383</v>
      </c>
      <c r="ABD4" s="29">
        <f t="shared" ca="1" si="44"/>
        <v>14193.405146746838</v>
      </c>
      <c r="ABE4" s="29">
        <f t="shared" ca="1" si="44"/>
        <v>14346.986294003953</v>
      </c>
      <c r="ABF4" s="29">
        <f t="shared" ca="1" si="44"/>
        <v>14409.825843743891</v>
      </c>
      <c r="ABG4" s="29">
        <f t="shared" ca="1" si="44"/>
        <v>14292.762029492247</v>
      </c>
      <c r="ABH4" s="29">
        <f t="shared" ca="1" si="44"/>
        <v>14508.588327616346</v>
      </c>
      <c r="ABI4" s="29">
        <f t="shared" ca="1" si="44"/>
        <v>14340.142938675193</v>
      </c>
      <c r="ABJ4" s="29">
        <f t="shared" ca="1" si="44"/>
        <v>14338.583200170191</v>
      </c>
      <c r="ABK4" s="29">
        <f t="shared" ca="1" si="44"/>
        <v>14642.786852021685</v>
      </c>
      <c r="ABL4" s="29">
        <f t="shared" ca="1" si="44"/>
        <v>14446.417814638526</v>
      </c>
      <c r="ABM4" s="29">
        <f t="shared" ca="1" si="44"/>
        <v>14489.85834685338</v>
      </c>
      <c r="ABN4" s="29">
        <f t="shared" ca="1" si="44"/>
        <v>14414.975698067119</v>
      </c>
      <c r="ABO4" s="29">
        <f t="shared" ca="1" si="44"/>
        <v>14376.269813325349</v>
      </c>
      <c r="ABP4" s="29">
        <f t="shared" ca="1" si="44"/>
        <v>14304.358495839353</v>
      </c>
      <c r="ABQ4" s="29">
        <f t="shared" ca="1" si="44"/>
        <v>14324.751424448756</v>
      </c>
      <c r="ABR4" s="29">
        <f t="shared" ca="1" si="44"/>
        <v>14085.182995176769</v>
      </c>
      <c r="ABS4" s="29">
        <f t="shared" ca="1" si="44"/>
        <v>14167.072235235893</v>
      </c>
      <c r="ABT4" s="29">
        <f t="shared" ca="1" si="44"/>
        <v>14445.55194224717</v>
      </c>
      <c r="ABU4" s="29">
        <f t="shared" ca="1" si="44"/>
        <v>14495.143806350297</v>
      </c>
      <c r="ABV4" s="29">
        <f t="shared" ca="1" si="44"/>
        <v>14463.946296000991</v>
      </c>
      <c r="ABW4" s="29">
        <f t="shared" ca="1" si="44"/>
        <v>14355.235659822272</v>
      </c>
      <c r="ABX4" s="29">
        <f t="shared" ca="1" si="44"/>
        <v>14602.083618725484</v>
      </c>
      <c r="ABY4" s="29">
        <f t="shared" ca="1" si="44"/>
        <v>14387.999174488948</v>
      </c>
      <c r="ABZ4" s="29">
        <f t="shared" ca="1" si="44"/>
        <v>14437.767348522149</v>
      </c>
      <c r="ACA4" s="29">
        <f t="shared" ca="1" si="44"/>
        <v>14324.077156638994</v>
      </c>
      <c r="ACB4" s="29">
        <f t="shared" ca="1" si="44"/>
        <v>14602.549352752376</v>
      </c>
      <c r="ACC4" s="29">
        <f t="shared" ca="1" si="44"/>
        <v>14548.194004342418</v>
      </c>
      <c r="ACD4" s="29">
        <f t="shared" ca="1" si="44"/>
        <v>14528.734726982551</v>
      </c>
      <c r="ACE4" s="29">
        <f t="shared" ca="1" si="44"/>
        <v>14369.307693301789</v>
      </c>
      <c r="ACF4" s="29">
        <f t="shared" ca="1" si="44"/>
        <v>14419.415395780154</v>
      </c>
      <c r="ACG4" s="29">
        <f t="shared" ca="1" si="44"/>
        <v>14602.930810436976</v>
      </c>
      <c r="ACH4" s="29">
        <f t="shared" ca="1" si="44"/>
        <v>14555.028708626607</v>
      </c>
      <c r="ACI4" s="29">
        <f t="shared" ca="1" si="44"/>
        <v>14706.080075560634</v>
      </c>
      <c r="ACJ4" s="29">
        <f t="shared" ca="1" si="44"/>
        <v>14455.655453277208</v>
      </c>
      <c r="ACK4" s="29">
        <f t="shared" ca="1" si="44"/>
        <v>14230.626569674228</v>
      </c>
      <c r="ACL4" s="29">
        <f t="shared" ca="1" si="44"/>
        <v>14341.838715211179</v>
      </c>
      <c r="ACM4" s="29">
        <f t="shared" ca="1" si="44"/>
        <v>14389.764242275105</v>
      </c>
      <c r="ACN4" s="29">
        <f t="shared" ca="1" si="44"/>
        <v>14275.830652883104</v>
      </c>
      <c r="ACO4" s="29">
        <f t="shared" ca="1" si="44"/>
        <v>14585.437608252989</v>
      </c>
      <c r="ACP4" s="29">
        <f t="shared" ca="1" si="44"/>
        <v>14619.325094925633</v>
      </c>
      <c r="ACQ4" s="29">
        <f t="shared" ca="1" si="44"/>
        <v>14365.102291491095</v>
      </c>
      <c r="ACR4" s="29">
        <f t="shared" ca="1" si="44"/>
        <v>14418.268435085998</v>
      </c>
      <c r="ACS4" s="29">
        <f t="shared" ca="1" si="44"/>
        <v>14183.631911872541</v>
      </c>
      <c r="ACT4" s="29">
        <f t="shared" ca="1" si="44"/>
        <v>14339.773296005076</v>
      </c>
      <c r="ACU4" s="29">
        <f t="shared" ca="1" si="44"/>
        <v>14495.740627444631</v>
      </c>
      <c r="ACV4" s="29">
        <f t="shared" ca="1" si="44"/>
        <v>14005.454792787174</v>
      </c>
      <c r="ACW4" s="29">
        <f t="shared" ca="1" si="44"/>
        <v>14317.029367777543</v>
      </c>
      <c r="ACX4" s="29">
        <f t="shared" ca="1" si="44"/>
        <v>14259.264308903723</v>
      </c>
      <c r="ACY4" s="29">
        <f t="shared" ca="1" si="44"/>
        <v>14378.4078558704</v>
      </c>
      <c r="ACZ4" s="29">
        <f t="shared" ref="ACZ4:AFK4" ca="1" si="45">(NORMINV(RAND(),$E$2,$G$2)+1)*ACZ3</f>
        <v>14289.456599953228</v>
      </c>
      <c r="ADA4" s="29">
        <f t="shared" ca="1" si="45"/>
        <v>14237.417584316339</v>
      </c>
      <c r="ADB4" s="29">
        <f t="shared" ca="1" si="45"/>
        <v>13962.606801989687</v>
      </c>
      <c r="ADC4" s="29">
        <f t="shared" ca="1" si="45"/>
        <v>14271.882580392488</v>
      </c>
      <c r="ADD4" s="29">
        <f t="shared" ca="1" si="45"/>
        <v>14548.411821903575</v>
      </c>
      <c r="ADE4" s="29">
        <f t="shared" ca="1" si="45"/>
        <v>14410.427214453675</v>
      </c>
      <c r="ADF4" s="29">
        <f t="shared" ca="1" si="45"/>
        <v>14139.74213768084</v>
      </c>
      <c r="ADG4" s="29">
        <f t="shared" ca="1" si="45"/>
        <v>14439.14089111869</v>
      </c>
      <c r="ADH4" s="29">
        <f t="shared" ca="1" si="45"/>
        <v>14413.605707413659</v>
      </c>
      <c r="ADI4" s="29">
        <f t="shared" ca="1" si="45"/>
        <v>14479.859900649641</v>
      </c>
      <c r="ADJ4" s="29">
        <f t="shared" ca="1" si="45"/>
        <v>14438.152759157687</v>
      </c>
      <c r="ADK4" s="29">
        <f t="shared" ca="1" si="45"/>
        <v>14514.353723433962</v>
      </c>
      <c r="ADL4" s="29">
        <f t="shared" ca="1" si="45"/>
        <v>14149.701335924407</v>
      </c>
      <c r="ADM4" s="29">
        <f t="shared" ca="1" si="45"/>
        <v>14533.442788365168</v>
      </c>
      <c r="ADN4" s="29">
        <f t="shared" ca="1" si="45"/>
        <v>14331.125432409488</v>
      </c>
      <c r="ADO4" s="29">
        <f t="shared" ca="1" si="45"/>
        <v>14460.48843788022</v>
      </c>
      <c r="ADP4" s="29">
        <f t="shared" ca="1" si="45"/>
        <v>14457.860035299487</v>
      </c>
      <c r="ADQ4" s="29">
        <f t="shared" ca="1" si="45"/>
        <v>14610.749594548932</v>
      </c>
      <c r="ADR4" s="29">
        <f t="shared" ca="1" si="45"/>
        <v>14521.606244001823</v>
      </c>
      <c r="ADS4" s="29">
        <f t="shared" ca="1" si="45"/>
        <v>14444.884237994816</v>
      </c>
      <c r="ADT4" s="29">
        <f t="shared" ca="1" si="45"/>
        <v>14489.810925668125</v>
      </c>
      <c r="ADU4" s="29">
        <f t="shared" ca="1" si="45"/>
        <v>14385.157251392469</v>
      </c>
      <c r="ADV4" s="29">
        <f t="shared" ca="1" si="45"/>
        <v>14147.386064833916</v>
      </c>
      <c r="ADW4" s="29">
        <f t="shared" ca="1" si="45"/>
        <v>14516.948389121269</v>
      </c>
      <c r="ADX4" s="29">
        <f t="shared" ca="1" si="45"/>
        <v>14416.375265285462</v>
      </c>
      <c r="ADY4" s="29">
        <f t="shared" ca="1" si="45"/>
        <v>14654.838833767188</v>
      </c>
      <c r="ADZ4" s="29">
        <f t="shared" ca="1" si="45"/>
        <v>14328.010643195474</v>
      </c>
      <c r="AEA4" s="29">
        <f t="shared" ca="1" si="45"/>
        <v>14473.351611526459</v>
      </c>
      <c r="AEB4" s="29">
        <f t="shared" ca="1" si="45"/>
        <v>14447.85689580946</v>
      </c>
      <c r="AEC4" s="29">
        <f t="shared" ca="1" si="45"/>
        <v>14349.252768308179</v>
      </c>
      <c r="AED4" s="29">
        <f t="shared" ca="1" si="45"/>
        <v>14235.749749368148</v>
      </c>
      <c r="AEE4" s="29">
        <f t="shared" ca="1" si="45"/>
        <v>14350.713371119702</v>
      </c>
      <c r="AEF4" s="29">
        <f t="shared" ca="1" si="45"/>
        <v>14472.183356777543</v>
      </c>
      <c r="AEG4" s="29">
        <f t="shared" ca="1" si="45"/>
        <v>14345.720252657835</v>
      </c>
      <c r="AEH4" s="29">
        <f t="shared" ca="1" si="45"/>
        <v>14326.629202969714</v>
      </c>
      <c r="AEI4" s="29">
        <f t="shared" ca="1" si="45"/>
        <v>14176.442722431717</v>
      </c>
      <c r="AEJ4" s="29">
        <f t="shared" ca="1" si="45"/>
        <v>14318.78103446346</v>
      </c>
      <c r="AEK4" s="29">
        <f t="shared" ca="1" si="45"/>
        <v>14517.808466127624</v>
      </c>
      <c r="AEL4" s="29">
        <f t="shared" ca="1" si="45"/>
        <v>14350.640659754517</v>
      </c>
      <c r="AEM4" s="29">
        <f t="shared" ca="1" si="45"/>
        <v>14212.490193269365</v>
      </c>
      <c r="AEN4" s="29">
        <f t="shared" ca="1" si="45"/>
        <v>14403.14715717469</v>
      </c>
      <c r="AEO4" s="29">
        <f t="shared" ca="1" si="45"/>
        <v>14347.727301923875</v>
      </c>
      <c r="AEP4" s="29">
        <f t="shared" ca="1" si="45"/>
        <v>14504.920216664972</v>
      </c>
      <c r="AEQ4" s="29">
        <f t="shared" ca="1" si="45"/>
        <v>14421.683158426862</v>
      </c>
      <c r="AER4" s="29">
        <f t="shared" ca="1" si="45"/>
        <v>14449.15338298556</v>
      </c>
      <c r="AES4" s="29">
        <f t="shared" ca="1" si="45"/>
        <v>14621.480649889123</v>
      </c>
      <c r="AET4" s="29">
        <f t="shared" ca="1" si="45"/>
        <v>14441.805920063713</v>
      </c>
      <c r="AEU4" s="29">
        <f t="shared" ca="1" si="45"/>
        <v>14221.121942131402</v>
      </c>
      <c r="AEV4" s="29">
        <f t="shared" ca="1" si="45"/>
        <v>14505.890514734621</v>
      </c>
      <c r="AEW4" s="29">
        <f t="shared" ca="1" si="45"/>
        <v>14324.807507700934</v>
      </c>
      <c r="AEX4" s="29">
        <f t="shared" ca="1" si="45"/>
        <v>14609.274198072973</v>
      </c>
      <c r="AEY4" s="29">
        <f t="shared" ca="1" si="45"/>
        <v>14405.910694023636</v>
      </c>
      <c r="AEZ4" s="29">
        <f t="shared" ca="1" si="45"/>
        <v>14221.764509347558</v>
      </c>
      <c r="AFA4" s="29">
        <f t="shared" ca="1" si="45"/>
        <v>14526.291122116605</v>
      </c>
      <c r="AFB4" s="29">
        <f t="shared" ca="1" si="45"/>
        <v>14327.135751064201</v>
      </c>
      <c r="AFC4" s="29">
        <f t="shared" ca="1" si="45"/>
        <v>14329.432549559499</v>
      </c>
      <c r="AFD4" s="29">
        <f t="shared" ca="1" si="45"/>
        <v>14522.700867994188</v>
      </c>
      <c r="AFE4" s="29">
        <f t="shared" ca="1" si="45"/>
        <v>14576.26322891183</v>
      </c>
      <c r="AFF4" s="29">
        <f t="shared" ca="1" si="45"/>
        <v>14381.517637801413</v>
      </c>
      <c r="AFG4" s="29">
        <f t="shared" ca="1" si="45"/>
        <v>14371.871256149849</v>
      </c>
      <c r="AFH4" s="29">
        <f t="shared" ca="1" si="45"/>
        <v>14455.32322259086</v>
      </c>
      <c r="AFI4" s="29">
        <f t="shared" ca="1" si="45"/>
        <v>14273.653930511909</v>
      </c>
      <c r="AFJ4" s="29">
        <f t="shared" ca="1" si="45"/>
        <v>14456.437125015318</v>
      </c>
      <c r="AFK4" s="29">
        <f t="shared" ca="1" si="45"/>
        <v>14379.156801057603</v>
      </c>
      <c r="AFL4" s="29">
        <f t="shared" ref="AFL4:AHW4" ca="1" si="46">(NORMINV(RAND(),$E$2,$G$2)+1)*AFL3</f>
        <v>14292.991225689279</v>
      </c>
      <c r="AFM4" s="29">
        <f t="shared" ca="1" si="46"/>
        <v>14278.749307274891</v>
      </c>
      <c r="AFN4" s="29">
        <f t="shared" ca="1" si="46"/>
        <v>14541.182883626438</v>
      </c>
      <c r="AFO4" s="29">
        <f t="shared" ca="1" si="46"/>
        <v>14498.230243829888</v>
      </c>
      <c r="AFP4" s="29">
        <f t="shared" ca="1" si="46"/>
        <v>14469.639084077538</v>
      </c>
      <c r="AFQ4" s="29">
        <f t="shared" ca="1" si="46"/>
        <v>14428.592295657547</v>
      </c>
      <c r="AFR4" s="29">
        <f t="shared" ca="1" si="46"/>
        <v>14355.998440786369</v>
      </c>
      <c r="AFS4" s="29">
        <f t="shared" ca="1" si="46"/>
        <v>14469.547146564822</v>
      </c>
      <c r="AFT4" s="29">
        <f t="shared" ca="1" si="46"/>
        <v>14510.926501364364</v>
      </c>
      <c r="AFU4" s="29">
        <f t="shared" ca="1" si="46"/>
        <v>14306.802136875118</v>
      </c>
      <c r="AFV4" s="29">
        <f t="shared" ca="1" si="46"/>
        <v>14499.931179316591</v>
      </c>
      <c r="AFW4" s="29">
        <f t="shared" ca="1" si="46"/>
        <v>14310.898418300232</v>
      </c>
      <c r="AFX4" s="29">
        <f t="shared" ca="1" si="46"/>
        <v>14495.763789972167</v>
      </c>
      <c r="AFY4" s="29">
        <f t="shared" ca="1" si="46"/>
        <v>14384.938423734324</v>
      </c>
      <c r="AFZ4" s="29">
        <f t="shared" ca="1" si="46"/>
        <v>14377.559948896689</v>
      </c>
      <c r="AGA4" s="29">
        <f t="shared" ca="1" si="46"/>
        <v>14318.795660227284</v>
      </c>
      <c r="AGB4" s="29">
        <f t="shared" ca="1" si="46"/>
        <v>14346.196139315531</v>
      </c>
      <c r="AGC4" s="29">
        <f t="shared" ca="1" si="46"/>
        <v>14418.817415244515</v>
      </c>
      <c r="AGD4" s="29">
        <f t="shared" ca="1" si="46"/>
        <v>14624.473669479295</v>
      </c>
      <c r="AGE4" s="29">
        <f t="shared" ca="1" si="46"/>
        <v>14548.018266301264</v>
      </c>
      <c r="AGF4" s="29">
        <f t="shared" ca="1" si="46"/>
        <v>14616.716118753662</v>
      </c>
      <c r="AGG4" s="29">
        <f t="shared" ca="1" si="46"/>
        <v>14410.605912694249</v>
      </c>
      <c r="AGH4" s="29">
        <f t="shared" ca="1" si="46"/>
        <v>14319.718084937274</v>
      </c>
      <c r="AGI4" s="29">
        <f t="shared" ca="1" si="46"/>
        <v>14410.45650416129</v>
      </c>
      <c r="AGJ4" s="29">
        <f t="shared" ca="1" si="46"/>
        <v>14325.574867331339</v>
      </c>
      <c r="AGK4" s="29">
        <f t="shared" ca="1" si="46"/>
        <v>14225.062946955091</v>
      </c>
      <c r="AGL4" s="29">
        <f t="shared" ca="1" si="46"/>
        <v>14043.940415109113</v>
      </c>
      <c r="AGM4" s="29">
        <f t="shared" ca="1" si="46"/>
        <v>14646.811548163441</v>
      </c>
      <c r="AGN4" s="29">
        <f t="shared" ca="1" si="46"/>
        <v>14039.916551762541</v>
      </c>
      <c r="AGO4" s="29">
        <f t="shared" ca="1" si="46"/>
        <v>14448.300674293392</v>
      </c>
      <c r="AGP4" s="29">
        <f t="shared" ca="1" si="46"/>
        <v>14217.121795800676</v>
      </c>
      <c r="AGQ4" s="29">
        <f t="shared" ca="1" si="46"/>
        <v>14416.715620442315</v>
      </c>
      <c r="AGR4" s="29">
        <f t="shared" ca="1" si="46"/>
        <v>14459.625254500666</v>
      </c>
      <c r="AGS4" s="29">
        <f t="shared" ca="1" si="46"/>
        <v>14274.736521868803</v>
      </c>
      <c r="AGT4" s="29">
        <f t="shared" ca="1" si="46"/>
        <v>14488.689772946018</v>
      </c>
      <c r="AGU4" s="29">
        <f t="shared" ca="1" si="46"/>
        <v>14513.874735283136</v>
      </c>
      <c r="AGV4" s="29">
        <f t="shared" ca="1" si="46"/>
        <v>14437.069239767125</v>
      </c>
      <c r="AGW4" s="29">
        <f t="shared" ca="1" si="46"/>
        <v>14228.307976781934</v>
      </c>
      <c r="AGX4" s="29">
        <f t="shared" ca="1" si="46"/>
        <v>14047.968416253258</v>
      </c>
      <c r="AGY4" s="29">
        <f t="shared" ca="1" si="46"/>
        <v>14650.965746277057</v>
      </c>
      <c r="AGZ4" s="29">
        <f t="shared" ca="1" si="46"/>
        <v>14437.797883642841</v>
      </c>
      <c r="AHA4" s="29">
        <f t="shared" ca="1" si="46"/>
        <v>14374.869489845822</v>
      </c>
      <c r="AHB4" s="29">
        <f t="shared" ca="1" si="46"/>
        <v>14175.898267189481</v>
      </c>
      <c r="AHC4" s="29">
        <f t="shared" ca="1" si="46"/>
        <v>14386.928666878681</v>
      </c>
      <c r="AHD4" s="29">
        <f t="shared" ca="1" si="46"/>
        <v>14237.448083733096</v>
      </c>
      <c r="AHE4" s="29">
        <f t="shared" ca="1" si="46"/>
        <v>14621.616462201278</v>
      </c>
      <c r="AHF4" s="29">
        <f t="shared" ca="1" si="46"/>
        <v>14323.70406274645</v>
      </c>
      <c r="AHG4" s="29">
        <f t="shared" ca="1" si="46"/>
        <v>14376.549917070513</v>
      </c>
      <c r="AHH4" s="29">
        <f t="shared" ca="1" si="46"/>
        <v>14217.830787373525</v>
      </c>
      <c r="AHI4" s="29">
        <f t="shared" ca="1" si="46"/>
        <v>14436.533687339504</v>
      </c>
      <c r="AHJ4" s="29">
        <f t="shared" ca="1" si="46"/>
        <v>14218.526113998374</v>
      </c>
      <c r="AHK4" s="29">
        <f t="shared" ca="1" si="46"/>
        <v>14501.854775893773</v>
      </c>
      <c r="AHL4" s="29">
        <f t="shared" ca="1" si="46"/>
        <v>14422.748169315722</v>
      </c>
      <c r="AHM4" s="29">
        <f t="shared" ca="1" si="46"/>
        <v>14382.687013255027</v>
      </c>
      <c r="AHN4" s="29">
        <f t="shared" ca="1" si="46"/>
        <v>14305.983146347002</v>
      </c>
      <c r="AHO4" s="29">
        <f t="shared" ca="1" si="46"/>
        <v>14258.525242998068</v>
      </c>
      <c r="AHP4" s="29">
        <f t="shared" ca="1" si="46"/>
        <v>14685.593562791155</v>
      </c>
      <c r="AHQ4" s="29">
        <f t="shared" ca="1" si="46"/>
        <v>14523.966615895659</v>
      </c>
      <c r="AHR4" s="29">
        <f t="shared" ca="1" si="46"/>
        <v>14579.873540314782</v>
      </c>
      <c r="AHS4" s="29">
        <f t="shared" ca="1" si="46"/>
        <v>14341.9016052512</v>
      </c>
      <c r="AHT4" s="29">
        <f t="shared" ca="1" si="46"/>
        <v>14297.735079254087</v>
      </c>
      <c r="AHU4" s="29">
        <f t="shared" ca="1" si="46"/>
        <v>14368.591374798734</v>
      </c>
      <c r="AHV4" s="29">
        <f t="shared" ca="1" si="46"/>
        <v>14131.417595087589</v>
      </c>
      <c r="AHW4" s="29">
        <f t="shared" ca="1" si="46"/>
        <v>14303.303066186436</v>
      </c>
      <c r="AHX4" s="29">
        <f t="shared" ref="AHX4:AKI4" ca="1" si="47">(NORMINV(RAND(),$E$2,$G$2)+1)*AHX3</f>
        <v>14417.147447820729</v>
      </c>
      <c r="AHY4" s="29">
        <f t="shared" ca="1" si="47"/>
        <v>14456.799365000848</v>
      </c>
      <c r="AHZ4" s="29">
        <f t="shared" ca="1" si="47"/>
        <v>14142.732645240079</v>
      </c>
      <c r="AIA4" s="29">
        <f t="shared" ca="1" si="47"/>
        <v>14442.302645511307</v>
      </c>
      <c r="AIB4" s="29">
        <f t="shared" ca="1" si="47"/>
        <v>14506.109419364151</v>
      </c>
      <c r="AIC4" s="29">
        <f t="shared" ca="1" si="47"/>
        <v>14747.076983466741</v>
      </c>
      <c r="AID4" s="29">
        <f t="shared" ca="1" si="47"/>
        <v>14456.691415262158</v>
      </c>
      <c r="AIE4" s="29">
        <f t="shared" ca="1" si="47"/>
        <v>14447.374130891876</v>
      </c>
      <c r="AIF4" s="29">
        <f t="shared" ca="1" si="47"/>
        <v>14169.246382882859</v>
      </c>
      <c r="AIG4" s="29">
        <f t="shared" ca="1" si="47"/>
        <v>14395.427208855563</v>
      </c>
      <c r="AIH4" s="29">
        <f t="shared" ca="1" si="47"/>
        <v>14356.580382158483</v>
      </c>
      <c r="AII4" s="29">
        <f t="shared" ca="1" si="47"/>
        <v>14460.295713030346</v>
      </c>
      <c r="AIJ4" s="29">
        <f t="shared" ca="1" si="47"/>
        <v>14299.939070853987</v>
      </c>
      <c r="AIK4" s="29">
        <f t="shared" ca="1" si="47"/>
        <v>14166.104244864622</v>
      </c>
      <c r="AIL4" s="29">
        <f t="shared" ca="1" si="47"/>
        <v>14343.434484863503</v>
      </c>
      <c r="AIM4" s="29">
        <f t="shared" ca="1" si="47"/>
        <v>14150.305466865108</v>
      </c>
      <c r="AIN4" s="29">
        <f t="shared" ca="1" si="47"/>
        <v>14788.998120079499</v>
      </c>
      <c r="AIO4" s="29">
        <f t="shared" ca="1" si="47"/>
        <v>14270.644020308146</v>
      </c>
      <c r="AIP4" s="29">
        <f t="shared" ca="1" si="47"/>
        <v>14451.548992180791</v>
      </c>
      <c r="AIQ4" s="29">
        <f t="shared" ca="1" si="47"/>
        <v>14358.947274287482</v>
      </c>
      <c r="AIR4" s="29">
        <f t="shared" ca="1" si="47"/>
        <v>13885.704464149561</v>
      </c>
      <c r="AIS4" s="29">
        <f t="shared" ca="1" si="47"/>
        <v>14647.98191238166</v>
      </c>
      <c r="AIT4" s="29">
        <f t="shared" ca="1" si="47"/>
        <v>14392.173305316313</v>
      </c>
      <c r="AIU4" s="29">
        <f t="shared" ca="1" si="47"/>
        <v>14282.51998953703</v>
      </c>
      <c r="AIV4" s="29">
        <f t="shared" ca="1" si="47"/>
        <v>14662.057211837546</v>
      </c>
      <c r="AIW4" s="29">
        <f t="shared" ca="1" si="47"/>
        <v>13989.575660387723</v>
      </c>
      <c r="AIX4" s="29">
        <f t="shared" ca="1" si="47"/>
        <v>14311.540797970491</v>
      </c>
      <c r="AIY4" s="29">
        <f t="shared" ca="1" si="47"/>
        <v>14565.237147908159</v>
      </c>
      <c r="AIZ4" s="29">
        <f t="shared" ca="1" si="47"/>
        <v>14397.08897249435</v>
      </c>
      <c r="AJA4" s="29">
        <f t="shared" ca="1" si="47"/>
        <v>14307.842803682819</v>
      </c>
      <c r="AJB4" s="29">
        <f t="shared" ca="1" si="47"/>
        <v>14254.043295874619</v>
      </c>
      <c r="AJC4" s="29">
        <f t="shared" ca="1" si="47"/>
        <v>14386.355108037442</v>
      </c>
      <c r="AJD4" s="29">
        <f t="shared" ca="1" si="47"/>
        <v>14342.762887923462</v>
      </c>
      <c r="AJE4" s="29">
        <f t="shared" ca="1" si="47"/>
        <v>14234.02784353811</v>
      </c>
      <c r="AJF4" s="29">
        <f t="shared" ca="1" si="47"/>
        <v>14557.527232945886</v>
      </c>
      <c r="AJG4" s="29">
        <f t="shared" ca="1" si="47"/>
        <v>14283.130560499379</v>
      </c>
      <c r="AJH4" s="29">
        <f t="shared" ca="1" si="47"/>
        <v>14326.091723995336</v>
      </c>
      <c r="AJI4" s="29">
        <f t="shared" ca="1" si="47"/>
        <v>14571.516185743085</v>
      </c>
      <c r="AJJ4" s="29">
        <f t="shared" ca="1" si="47"/>
        <v>14317.237385409677</v>
      </c>
      <c r="AJK4" s="29">
        <f t="shared" ca="1" si="47"/>
        <v>14158.736277212693</v>
      </c>
      <c r="AJL4" s="29">
        <f t="shared" ca="1" si="47"/>
        <v>14468.359046010632</v>
      </c>
      <c r="AJM4" s="29">
        <f t="shared" ca="1" si="47"/>
        <v>14225.49616287127</v>
      </c>
      <c r="AJN4" s="29">
        <f t="shared" ca="1" si="47"/>
        <v>14255.676657341286</v>
      </c>
      <c r="AJO4" s="29">
        <f t="shared" ca="1" si="47"/>
        <v>14466.713614663056</v>
      </c>
      <c r="AJP4" s="29">
        <f t="shared" ca="1" si="47"/>
        <v>14486.038480384877</v>
      </c>
      <c r="AJQ4" s="29">
        <f t="shared" ca="1" si="47"/>
        <v>14224.876792634497</v>
      </c>
      <c r="AJR4" s="29">
        <f t="shared" ca="1" si="47"/>
        <v>14346.431431773899</v>
      </c>
      <c r="AJS4" s="29">
        <f t="shared" ca="1" si="47"/>
        <v>14284.309439371695</v>
      </c>
      <c r="AJT4" s="29">
        <f t="shared" ca="1" si="47"/>
        <v>14503.273435901514</v>
      </c>
      <c r="AJU4" s="29">
        <f t="shared" ca="1" si="47"/>
        <v>14255.26338529677</v>
      </c>
      <c r="AJV4" s="29">
        <f t="shared" ca="1" si="47"/>
        <v>14315.459186465479</v>
      </c>
      <c r="AJW4" s="29">
        <f t="shared" ca="1" si="47"/>
        <v>14576.875564340025</v>
      </c>
      <c r="AJX4" s="29">
        <f t="shared" ca="1" si="47"/>
        <v>14562.531390055785</v>
      </c>
      <c r="AJY4" s="29">
        <f t="shared" ca="1" si="47"/>
        <v>14618.971506737771</v>
      </c>
      <c r="AJZ4" s="29">
        <f t="shared" ca="1" si="47"/>
        <v>14123.151655858337</v>
      </c>
      <c r="AKA4" s="29">
        <f t="shared" ca="1" si="47"/>
        <v>14464.166410062873</v>
      </c>
      <c r="AKB4" s="29">
        <f t="shared" ca="1" si="47"/>
        <v>14361.697644824164</v>
      </c>
      <c r="AKC4" s="29">
        <f t="shared" ca="1" si="47"/>
        <v>14724.889996136239</v>
      </c>
      <c r="AKD4" s="29">
        <f t="shared" ca="1" si="47"/>
        <v>14341.027915141536</v>
      </c>
      <c r="AKE4" s="29">
        <f t="shared" ca="1" si="47"/>
        <v>14175.423283168213</v>
      </c>
      <c r="AKF4" s="29">
        <f t="shared" ca="1" si="47"/>
        <v>14481.10984586586</v>
      </c>
      <c r="AKG4" s="29">
        <f t="shared" ca="1" si="47"/>
        <v>14376.170372923114</v>
      </c>
      <c r="AKH4" s="29">
        <f t="shared" ca="1" si="47"/>
        <v>14450.745098467061</v>
      </c>
      <c r="AKI4" s="29">
        <f t="shared" ca="1" si="47"/>
        <v>14104.620190250098</v>
      </c>
      <c r="AKJ4" s="29">
        <f t="shared" ref="AKJ4:ALV4" ca="1" si="48">(NORMINV(RAND(),$E$2,$G$2)+1)*AKJ3</f>
        <v>14176.56600539305</v>
      </c>
      <c r="AKK4" s="29">
        <f t="shared" ca="1" si="48"/>
        <v>14510.009828636274</v>
      </c>
      <c r="AKL4" s="29">
        <f t="shared" ca="1" si="48"/>
        <v>14146.285301718977</v>
      </c>
      <c r="AKM4" s="29">
        <f t="shared" ca="1" si="48"/>
        <v>14281.048468072842</v>
      </c>
      <c r="AKN4" s="29">
        <f t="shared" ca="1" si="48"/>
        <v>14372.47293386433</v>
      </c>
      <c r="AKO4" s="29">
        <f t="shared" ca="1" si="48"/>
        <v>14402.675264607553</v>
      </c>
      <c r="AKP4" s="29">
        <f t="shared" ca="1" si="48"/>
        <v>14418.8218406255</v>
      </c>
      <c r="AKQ4" s="29">
        <f t="shared" ca="1" si="48"/>
        <v>14243.077757356272</v>
      </c>
      <c r="AKR4" s="29">
        <f t="shared" ca="1" si="48"/>
        <v>14518.864436348553</v>
      </c>
      <c r="AKS4" s="29">
        <f t="shared" ca="1" si="48"/>
        <v>14419.809122356935</v>
      </c>
      <c r="AKT4" s="29">
        <f t="shared" ca="1" si="48"/>
        <v>14298.725556874493</v>
      </c>
      <c r="AKU4" s="29">
        <f t="shared" ca="1" si="48"/>
        <v>14516.590912377202</v>
      </c>
      <c r="AKV4" s="29">
        <f t="shared" ca="1" si="48"/>
        <v>14097.581935778966</v>
      </c>
      <c r="AKW4" s="29">
        <f t="shared" ca="1" si="48"/>
        <v>14381.319563867111</v>
      </c>
      <c r="AKX4" s="29">
        <f t="shared" ca="1" si="48"/>
        <v>14492.517023902421</v>
      </c>
      <c r="AKY4" s="29">
        <f t="shared" ca="1" si="48"/>
        <v>14407.308115915535</v>
      </c>
      <c r="AKZ4" s="29">
        <f t="shared" ca="1" si="48"/>
        <v>14264.848061964274</v>
      </c>
      <c r="ALA4" s="29">
        <f t="shared" ca="1" si="48"/>
        <v>14331.908196824188</v>
      </c>
      <c r="ALB4" s="29">
        <f t="shared" ca="1" si="48"/>
        <v>14158.259580112137</v>
      </c>
      <c r="ALC4" s="29">
        <f t="shared" ca="1" si="48"/>
        <v>14733.315817664741</v>
      </c>
      <c r="ALD4" s="29">
        <f t="shared" ca="1" si="48"/>
        <v>14662.017504090598</v>
      </c>
      <c r="ALE4" s="29">
        <f t="shared" ca="1" si="48"/>
        <v>14210.448306010201</v>
      </c>
      <c r="ALF4" s="29">
        <f t="shared" ca="1" si="48"/>
        <v>14384.232573468997</v>
      </c>
      <c r="ALG4" s="29">
        <f t="shared" ca="1" si="48"/>
        <v>14351.030835771913</v>
      </c>
      <c r="ALH4" s="29">
        <f t="shared" ca="1" si="48"/>
        <v>14111.411103247516</v>
      </c>
      <c r="ALI4" s="29">
        <f t="shared" ca="1" si="48"/>
        <v>14592.771542589482</v>
      </c>
      <c r="ALJ4" s="29">
        <f t="shared" ca="1" si="48"/>
        <v>14487.849460877822</v>
      </c>
      <c r="ALK4" s="29">
        <f t="shared" ca="1" si="48"/>
        <v>14352.135135622821</v>
      </c>
      <c r="ALL4" s="29">
        <f t="shared" ca="1" si="48"/>
        <v>14266.737288234423</v>
      </c>
      <c r="ALM4" s="29">
        <f t="shared" ca="1" si="48"/>
        <v>14396.266009863077</v>
      </c>
      <c r="ALN4" s="29">
        <f t="shared" ca="1" si="48"/>
        <v>14428.054625848989</v>
      </c>
      <c r="ALO4" s="29">
        <f t="shared" ca="1" si="48"/>
        <v>14168.027281574176</v>
      </c>
      <c r="ALP4" s="29">
        <f t="shared" ca="1" si="48"/>
        <v>14304.090154773941</v>
      </c>
      <c r="ALQ4" s="29">
        <f t="shared" ca="1" si="48"/>
        <v>14414.965409673216</v>
      </c>
      <c r="ALR4" s="29">
        <f t="shared" ca="1" si="48"/>
        <v>14080.609965490265</v>
      </c>
      <c r="ALS4" s="29">
        <f t="shared" ca="1" si="48"/>
        <v>14356.013452766583</v>
      </c>
      <c r="ALT4" s="29">
        <f t="shared" ca="1" si="48"/>
        <v>14313.594323060805</v>
      </c>
      <c r="ALU4" s="29">
        <f t="shared" ca="1" si="48"/>
        <v>14329.77769291697</v>
      </c>
      <c r="ALV4" s="29">
        <f t="shared" ca="1" si="48"/>
        <v>14229.509554372955</v>
      </c>
    </row>
    <row r="5" spans="1:1258" x14ac:dyDescent="0.25">
      <c r="A5" s="1">
        <v>40479</v>
      </c>
      <c r="B5" s="2">
        <v>5987.7001950000003</v>
      </c>
      <c r="C5" s="16">
        <f t="shared" si="32"/>
        <v>-4.1581691779755056E-3</v>
      </c>
      <c r="E5" s="19" t="s">
        <v>48</v>
      </c>
      <c r="F5" t="s">
        <v>49</v>
      </c>
      <c r="J5" s="29">
        <f t="shared" ref="J5:J23" si="49">J4+1</f>
        <v>2</v>
      </c>
      <c r="K5" s="29">
        <f t="shared" ref="K5:K23" ca="1" si="50">(NORMINV(RAND(),$E$2,$G$2)+1)*K4</f>
        <v>14259.824966688999</v>
      </c>
      <c r="L5" s="29">
        <f t="shared" ref="L5:L23" ca="1" si="51">(NORMINV(RAND(),$E$2,$G$2)+1)*L4</f>
        <v>14152.822372309029</v>
      </c>
      <c r="M5" s="29">
        <f t="shared" ref="M5:M23" ca="1" si="52">(NORMINV(RAND(),$E$2,$G$2)+1)*M4</f>
        <v>14913.249757210064</v>
      </c>
      <c r="N5" s="29">
        <f t="shared" ref="N5:N23" ca="1" si="53">(NORMINV(RAND(),$E$2,$G$2)+1)*N4</f>
        <v>13774.237476979106</v>
      </c>
      <c r="O5" s="29">
        <f t="shared" ref="O5:O23" ca="1" si="54">(NORMINV(RAND(),$E$2,$G$2)+1)*O4</f>
        <v>14442.73982842745</v>
      </c>
      <c r="P5" s="29">
        <f t="shared" ref="P5:P23" ca="1" si="55">(NORMINV(RAND(),$E$2,$G$2)+1)*P4</f>
        <v>14581.43078221922</v>
      </c>
      <c r="Q5" s="29">
        <f t="shared" ref="Q5:Q23" ca="1" si="56">(NORMINV(RAND(),$E$2,$G$2)+1)*Q4</f>
        <v>13810.236798514554</v>
      </c>
      <c r="R5" s="29">
        <f t="shared" ref="R5:R23" ca="1" si="57">(NORMINV(RAND(),$E$2,$G$2)+1)*R4</f>
        <v>14359.497550104914</v>
      </c>
      <c r="S5" s="29">
        <f t="shared" ref="S5:S23" ca="1" si="58">(NORMINV(RAND(),$E$2,$G$2)+1)*S4</f>
        <v>14516.525715088155</v>
      </c>
      <c r="T5" s="29">
        <f t="shared" ref="T5:T23" ca="1" si="59">(NORMINV(RAND(),$E$2,$G$2)+1)*T4</f>
        <v>14644.583383498086</v>
      </c>
      <c r="U5" s="29">
        <f t="shared" ref="U5:U23" ca="1" si="60">(NORMINV(RAND(),$E$2,$G$2)+1)*U4</f>
        <v>14891.184649509574</v>
      </c>
      <c r="V5" s="29">
        <f t="shared" ref="V5:V23" ca="1" si="61">(NORMINV(RAND(),$E$2,$G$2)+1)*V4</f>
        <v>14604.158293310486</v>
      </c>
      <c r="W5" s="29">
        <f t="shared" ref="W5:W23" ca="1" si="62">(NORMINV(RAND(),$E$2,$G$2)+1)*W4</f>
        <v>14521.029539930556</v>
      </c>
      <c r="X5" s="29">
        <f t="shared" ref="X5:X23" ca="1" si="63">(NORMINV(RAND(),$E$2,$G$2)+1)*X4</f>
        <v>14401.795180986112</v>
      </c>
      <c r="Y5" s="29">
        <f t="shared" ref="Y5:Y23" ca="1" si="64">(NORMINV(RAND(),$E$2,$G$2)+1)*Y4</f>
        <v>14012.782881016834</v>
      </c>
      <c r="Z5" s="29">
        <f t="shared" ref="Z5:Z23" ca="1" si="65">(NORMINV(RAND(),$E$2,$G$2)+1)*Z4</f>
        <v>14211.364672663893</v>
      </c>
      <c r="AA5" s="29">
        <f t="shared" ref="AA5:AA23" ca="1" si="66">(NORMINV(RAND(),$E$2,$G$2)+1)*AA4</f>
        <v>14345.104289985877</v>
      </c>
      <c r="AB5" s="29">
        <f t="shared" ref="AB5:AB23" ca="1" si="67">(NORMINV(RAND(),$E$2,$G$2)+1)*AB4</f>
        <v>14584.527332536923</v>
      </c>
      <c r="AC5" s="29">
        <f t="shared" ref="AC5:AC23" ca="1" si="68">(NORMINV(RAND(),$E$2,$G$2)+1)*AC4</f>
        <v>14220.248028322945</v>
      </c>
      <c r="AD5" s="29">
        <f t="shared" ref="AD5:AD23" ca="1" si="69">(NORMINV(RAND(),$E$2,$G$2)+1)*AD4</f>
        <v>14640.165695346914</v>
      </c>
      <c r="AE5" s="29">
        <f t="shared" ref="AE5:AE23" ca="1" si="70">(NORMINV(RAND(),$E$2,$G$2)+1)*AE4</f>
        <v>15076.631757186058</v>
      </c>
      <c r="AF5" s="29">
        <f t="shared" ref="AF5:AF23" ca="1" si="71">(NORMINV(RAND(),$E$2,$G$2)+1)*AF4</f>
        <v>14273.467005868044</v>
      </c>
      <c r="AG5" s="29">
        <f t="shared" ref="AG5:AG23" ca="1" si="72">(NORMINV(RAND(),$E$2,$G$2)+1)*AG4</f>
        <v>14003.603595646749</v>
      </c>
      <c r="AH5" s="29">
        <f t="shared" ref="AH5:AH23" ca="1" si="73">(NORMINV(RAND(),$E$2,$G$2)+1)*AH4</f>
        <v>14311.100781696206</v>
      </c>
      <c r="AI5" s="29">
        <f t="shared" ref="AI5:AI23" ca="1" si="74">(NORMINV(RAND(),$E$2,$G$2)+1)*AI4</f>
        <v>14370.504490592793</v>
      </c>
      <c r="AJ5" s="29">
        <f t="shared" ref="AJ5:AJ23" ca="1" si="75">(NORMINV(RAND(),$E$2,$G$2)+1)*AJ4</f>
        <v>14492.165021677522</v>
      </c>
      <c r="AK5" s="29">
        <f t="shared" ref="AK5:AK23" ca="1" si="76">(NORMINV(RAND(),$E$2,$G$2)+1)*AK4</f>
        <v>14422.515645985466</v>
      </c>
      <c r="AL5" s="29">
        <f t="shared" ref="AL5:AL23" ca="1" si="77">(NORMINV(RAND(),$E$2,$G$2)+1)*AL4</f>
        <v>14257.316642252163</v>
      </c>
      <c r="AM5" s="29">
        <f t="shared" ref="AM5:AM23" ca="1" si="78">(NORMINV(RAND(),$E$2,$G$2)+1)*AM4</f>
        <v>14620.059692952347</v>
      </c>
      <c r="AN5" s="29">
        <f t="shared" ref="AN5:AN23" ca="1" si="79">(NORMINV(RAND(),$E$2,$G$2)+1)*AN4</f>
        <v>14520.858908169279</v>
      </c>
      <c r="AO5" s="29">
        <f t="shared" ref="AO5:AO23" ca="1" si="80">(NORMINV(RAND(),$E$2,$G$2)+1)*AO4</f>
        <v>14353.728125203115</v>
      </c>
      <c r="AP5" s="29">
        <f t="shared" ref="AP5:AP23" ca="1" si="81">(NORMINV(RAND(),$E$2,$G$2)+1)*AP4</f>
        <v>14134.292396084735</v>
      </c>
      <c r="AQ5" s="29">
        <f t="shared" ref="AQ5:AQ23" ca="1" si="82">(NORMINV(RAND(),$E$2,$G$2)+1)*AQ4</f>
        <v>14398.783129606618</v>
      </c>
      <c r="AR5" s="29">
        <f t="shared" ref="AR5:AR23" ca="1" si="83">(NORMINV(RAND(),$E$2,$G$2)+1)*AR4</f>
        <v>14594.019508961837</v>
      </c>
      <c r="AS5" s="29">
        <f t="shared" ref="AS5:AS23" ca="1" si="84">(NORMINV(RAND(),$E$2,$G$2)+1)*AS4</f>
        <v>14255.271775267884</v>
      </c>
      <c r="AT5" s="29">
        <f t="shared" ref="AT5:AT23" ca="1" si="85">(NORMINV(RAND(),$E$2,$G$2)+1)*AT4</f>
        <v>14267.099951355689</v>
      </c>
      <c r="AU5" s="29">
        <f t="shared" ref="AU5:AU23" ca="1" si="86">(NORMINV(RAND(),$E$2,$G$2)+1)*AU4</f>
        <v>14293.567147006195</v>
      </c>
      <c r="AV5" s="29">
        <f t="shared" ref="AV5:AV23" ca="1" si="87">(NORMINV(RAND(),$E$2,$G$2)+1)*AV4</f>
        <v>14465.957029477679</v>
      </c>
      <c r="AW5" s="29">
        <f t="shared" ref="AW5:AW23" ca="1" si="88">(NORMINV(RAND(),$E$2,$G$2)+1)*AW4</f>
        <v>14819.828712179225</v>
      </c>
      <c r="AX5" s="29">
        <f t="shared" ref="AX5:AX23" ca="1" si="89">(NORMINV(RAND(),$E$2,$G$2)+1)*AX4</f>
        <v>14177.285692268148</v>
      </c>
      <c r="AY5" s="29">
        <f t="shared" ref="AY5:AY23" ca="1" si="90">(NORMINV(RAND(),$E$2,$G$2)+1)*AY4</f>
        <v>14560.290433072265</v>
      </c>
      <c r="AZ5" s="29">
        <f t="shared" ref="AZ5:AZ23" ca="1" si="91">(NORMINV(RAND(),$E$2,$G$2)+1)*AZ4</f>
        <v>14453.804710305983</v>
      </c>
      <c r="BA5" s="29">
        <f t="shared" ref="BA5:BA23" ca="1" si="92">(NORMINV(RAND(),$E$2,$G$2)+1)*BA4</f>
        <v>14388.907883423937</v>
      </c>
      <c r="BB5" s="29">
        <f t="shared" ref="BB5:BB23" ca="1" si="93">(NORMINV(RAND(),$E$2,$G$2)+1)*BB4</f>
        <v>14211.045052333537</v>
      </c>
      <c r="BC5" s="29">
        <f t="shared" ref="BC5:BC23" ca="1" si="94">(NORMINV(RAND(),$E$2,$G$2)+1)*BC4</f>
        <v>14094.688462514665</v>
      </c>
      <c r="BD5" s="29">
        <f t="shared" ref="BD5:BD23" ca="1" si="95">(NORMINV(RAND(),$E$2,$G$2)+1)*BD4</f>
        <v>14040.934068705468</v>
      </c>
      <c r="BE5" s="29">
        <f t="shared" ref="BE5:BE23" ca="1" si="96">(NORMINV(RAND(),$E$2,$G$2)+1)*BE4</f>
        <v>14120.038118182943</v>
      </c>
      <c r="BF5" s="29">
        <f t="shared" ref="BF5:BF23" ca="1" si="97">(NORMINV(RAND(),$E$2,$G$2)+1)*BF4</f>
        <v>14391.416744005237</v>
      </c>
      <c r="BG5" s="29">
        <f t="shared" ref="BG5:BG23" ca="1" si="98">(NORMINV(RAND(),$E$2,$G$2)+1)*BG4</f>
        <v>14464.973344507887</v>
      </c>
      <c r="BH5" s="29">
        <f t="shared" ref="BH5:BH23" ca="1" si="99">(NORMINV(RAND(),$E$2,$G$2)+1)*BH4</f>
        <v>14588.281150248613</v>
      </c>
      <c r="BI5" s="29">
        <f t="shared" ref="BI5:BI23" ca="1" si="100">(NORMINV(RAND(),$E$2,$G$2)+1)*BI4</f>
        <v>14228.418322761312</v>
      </c>
      <c r="BJ5" s="29">
        <f t="shared" ref="BJ5:BJ23" ca="1" si="101">(NORMINV(RAND(),$E$2,$G$2)+1)*BJ4</f>
        <v>14213.959167548859</v>
      </c>
      <c r="BK5" s="29">
        <f t="shared" ref="BK5:BK23" ca="1" si="102">(NORMINV(RAND(),$E$2,$G$2)+1)*BK4</f>
        <v>14154.712024626147</v>
      </c>
      <c r="BL5" s="29">
        <f t="shared" ref="BL5:BL23" ca="1" si="103">(NORMINV(RAND(),$E$2,$G$2)+1)*BL4</f>
        <v>14427.766167909364</v>
      </c>
      <c r="BM5" s="29">
        <f t="shared" ref="BM5:BM23" ca="1" si="104">(NORMINV(RAND(),$E$2,$G$2)+1)*BM4</f>
        <v>14638.371026014913</v>
      </c>
      <c r="BN5" s="29">
        <f t="shared" ref="BN5:BN23" ca="1" si="105">(NORMINV(RAND(),$E$2,$G$2)+1)*BN4</f>
        <v>14415.464068009629</v>
      </c>
      <c r="BO5" s="29">
        <f t="shared" ref="BO5:BO23" ca="1" si="106">(NORMINV(RAND(),$E$2,$G$2)+1)*BO4</f>
        <v>14497.126921994612</v>
      </c>
      <c r="BP5" s="29">
        <f t="shared" ref="BP5:BP23" ca="1" si="107">(NORMINV(RAND(),$E$2,$G$2)+1)*BP4</f>
        <v>14502.739650086769</v>
      </c>
      <c r="BQ5" s="29">
        <f t="shared" ref="BQ5:BQ23" ca="1" si="108">(NORMINV(RAND(),$E$2,$G$2)+1)*BQ4</f>
        <v>14639.263461995073</v>
      </c>
      <c r="BR5" s="29">
        <f t="shared" ref="BR5:BR23" ca="1" si="109">(NORMINV(RAND(),$E$2,$G$2)+1)*BR4</f>
        <v>14119.794978257887</v>
      </c>
      <c r="BS5" s="29">
        <f t="shared" ref="BS5:BS23" ca="1" si="110">(NORMINV(RAND(),$E$2,$G$2)+1)*BS4</f>
        <v>14881.053404834822</v>
      </c>
      <c r="BT5" s="29">
        <f t="shared" ref="BT5:BT23" ca="1" si="111">(NORMINV(RAND(),$E$2,$G$2)+1)*BT4</f>
        <v>14410.667330007313</v>
      </c>
      <c r="BU5" s="29">
        <f t="shared" ref="BU5:BU23" ca="1" si="112">(NORMINV(RAND(),$E$2,$G$2)+1)*BU4</f>
        <v>14392.756568358067</v>
      </c>
      <c r="BV5" s="29">
        <f t="shared" ref="BV5:BV23" ca="1" si="113">(NORMINV(RAND(),$E$2,$G$2)+1)*BV4</f>
        <v>14578.340321206235</v>
      </c>
      <c r="BW5" s="29">
        <f t="shared" ref="BW5:BW23" ca="1" si="114">(NORMINV(RAND(),$E$2,$G$2)+1)*BW4</f>
        <v>14342.090687751413</v>
      </c>
      <c r="BX5" s="29">
        <f t="shared" ref="BX5:BX23" ca="1" si="115">(NORMINV(RAND(),$E$2,$G$2)+1)*BX4</f>
        <v>14471.038916545171</v>
      </c>
      <c r="BY5" s="29">
        <f t="shared" ref="BY5:BY23" ca="1" si="116">(NORMINV(RAND(),$E$2,$G$2)+1)*BY4</f>
        <v>14078.770013864863</v>
      </c>
      <c r="BZ5" s="29">
        <f t="shared" ref="BZ5:BZ23" ca="1" si="117">(NORMINV(RAND(),$E$2,$G$2)+1)*BZ4</f>
        <v>14416.854526981231</v>
      </c>
      <c r="CA5" s="29">
        <f t="shared" ref="CA5:CA23" ca="1" si="118">(NORMINV(RAND(),$E$2,$G$2)+1)*CA4</f>
        <v>14388.804438226136</v>
      </c>
      <c r="CB5" s="29">
        <f t="shared" ref="CB5:CB23" ca="1" si="119">(NORMINV(RAND(),$E$2,$G$2)+1)*CB4</f>
        <v>14530.673027025214</v>
      </c>
      <c r="CC5" s="29">
        <f t="shared" ref="CC5:CC23" ca="1" si="120">(NORMINV(RAND(),$E$2,$G$2)+1)*CC4</f>
        <v>14006.374766937684</v>
      </c>
      <c r="CD5" s="29">
        <f t="shared" ref="CD5:CD23" ca="1" si="121">(NORMINV(RAND(),$E$2,$G$2)+1)*CD4</f>
        <v>14332.614684570814</v>
      </c>
      <c r="CE5" s="29">
        <f t="shared" ref="CE5:CE23" ca="1" si="122">(NORMINV(RAND(),$E$2,$G$2)+1)*CE4</f>
        <v>14636.526557798768</v>
      </c>
      <c r="CF5" s="29">
        <f t="shared" ref="CF5:CF23" ca="1" si="123">(NORMINV(RAND(),$E$2,$G$2)+1)*CF4</f>
        <v>14795.099129770961</v>
      </c>
      <c r="CG5" s="29">
        <f t="shared" ref="CG5:CG23" ca="1" si="124">(NORMINV(RAND(),$E$2,$G$2)+1)*CG4</f>
        <v>14406.657709054574</v>
      </c>
      <c r="CH5" s="29">
        <f t="shared" ref="CH5:CH23" ca="1" si="125">(NORMINV(RAND(),$E$2,$G$2)+1)*CH4</f>
        <v>14512.831935977061</v>
      </c>
      <c r="CI5" s="29">
        <f t="shared" ref="CI5:CI23" ca="1" si="126">(NORMINV(RAND(),$E$2,$G$2)+1)*CI4</f>
        <v>14239.668524169834</v>
      </c>
      <c r="CJ5" s="29">
        <f t="shared" ref="CJ5:CJ23" ca="1" si="127">(NORMINV(RAND(),$E$2,$G$2)+1)*CJ4</f>
        <v>14502.668764256408</v>
      </c>
      <c r="CK5" s="29">
        <f t="shared" ref="CK5:CK23" ca="1" si="128">(NORMINV(RAND(),$E$2,$G$2)+1)*CK4</f>
        <v>14213.077699141419</v>
      </c>
      <c r="CL5" s="29">
        <f t="shared" ref="CL5:CL23" ca="1" si="129">(NORMINV(RAND(),$E$2,$G$2)+1)*CL4</f>
        <v>14496.39385362073</v>
      </c>
      <c r="CM5" s="29">
        <f t="shared" ref="CM5:CM23" ca="1" si="130">(NORMINV(RAND(),$E$2,$G$2)+1)*CM4</f>
        <v>14336.77121981382</v>
      </c>
      <c r="CN5" s="29">
        <f t="shared" ref="CN5:CN23" ca="1" si="131">(NORMINV(RAND(),$E$2,$G$2)+1)*CN4</f>
        <v>14273.776826731722</v>
      </c>
      <c r="CO5" s="29">
        <f t="shared" ref="CO5:CO23" ca="1" si="132">(NORMINV(RAND(),$E$2,$G$2)+1)*CO4</f>
        <v>14076.698783051625</v>
      </c>
      <c r="CP5" s="29">
        <f t="shared" ref="CP5:CP23" ca="1" si="133">(NORMINV(RAND(),$E$2,$G$2)+1)*CP4</f>
        <v>14614.811942271794</v>
      </c>
      <c r="CQ5" s="29">
        <f t="shared" ref="CQ5:CQ23" ca="1" si="134">(NORMINV(RAND(),$E$2,$G$2)+1)*CQ4</f>
        <v>14145.777901081705</v>
      </c>
      <c r="CR5" s="29">
        <f t="shared" ref="CR5:CR23" ca="1" si="135">(NORMINV(RAND(),$E$2,$G$2)+1)*CR4</f>
        <v>14489.25007006192</v>
      </c>
      <c r="CS5" s="29">
        <f t="shared" ref="CS5:CS23" ca="1" si="136">(NORMINV(RAND(),$E$2,$G$2)+1)*CS4</f>
        <v>14245.971937198008</v>
      </c>
      <c r="CT5" s="29">
        <f t="shared" ref="CT5:CT23" ca="1" si="137">(NORMINV(RAND(),$E$2,$G$2)+1)*CT4</f>
        <v>14494.79676279428</v>
      </c>
      <c r="CU5" s="29">
        <f t="shared" ref="CU5:CU23" ca="1" si="138">(NORMINV(RAND(),$E$2,$G$2)+1)*CU4</f>
        <v>14214.122692795945</v>
      </c>
      <c r="CV5" s="29">
        <f t="shared" ref="CV5:CV23" ca="1" si="139">(NORMINV(RAND(),$E$2,$G$2)+1)*CV4</f>
        <v>14514.98224773521</v>
      </c>
      <c r="CW5" s="29">
        <f t="shared" ref="CW5:CW23" ca="1" si="140">(NORMINV(RAND(),$E$2,$G$2)+1)*CW4</f>
        <v>14335.847706966086</v>
      </c>
      <c r="CX5" s="29">
        <f t="shared" ref="CX5:CX23" ca="1" si="141">(NORMINV(RAND(),$E$2,$G$2)+1)*CX4</f>
        <v>14563.546474291452</v>
      </c>
      <c r="CY5" s="29">
        <f t="shared" ref="CY5:CY23" ca="1" si="142">(NORMINV(RAND(),$E$2,$G$2)+1)*CY4</f>
        <v>14555.393895580384</v>
      </c>
      <c r="CZ5" s="29">
        <f t="shared" ref="CZ5:CZ23" ca="1" si="143">(NORMINV(RAND(),$E$2,$G$2)+1)*CZ4</f>
        <v>14158.275000878359</v>
      </c>
      <c r="DA5" s="29">
        <f t="shared" ref="DA5:DA23" ca="1" si="144">(NORMINV(RAND(),$E$2,$G$2)+1)*DA4</f>
        <v>14403.313576835162</v>
      </c>
      <c r="DB5" s="29">
        <f t="shared" ref="DB5:DB23" ca="1" si="145">(NORMINV(RAND(),$E$2,$G$2)+1)*DB4</f>
        <v>14701.159065951102</v>
      </c>
      <c r="DC5" s="29">
        <f t="shared" ref="DC5:DC23" ca="1" si="146">(NORMINV(RAND(),$E$2,$G$2)+1)*DC4</f>
        <v>14369.955617076614</v>
      </c>
      <c r="DD5" s="29">
        <f t="shared" ref="DD5:DD23" ca="1" si="147">(NORMINV(RAND(),$E$2,$G$2)+1)*DD4</f>
        <v>14419.375169834715</v>
      </c>
      <c r="DE5" s="29">
        <f t="shared" ref="DE5:DE23" ca="1" si="148">(NORMINV(RAND(),$E$2,$G$2)+1)*DE4</f>
        <v>14603.303546171515</v>
      </c>
      <c r="DF5" s="29">
        <f t="shared" ref="DF5:DF23" ca="1" si="149">(NORMINV(RAND(),$E$2,$G$2)+1)*DF4</f>
        <v>14453.274522527279</v>
      </c>
      <c r="DG5" s="29">
        <f t="shared" ref="DG5:DG23" ca="1" si="150">(NORMINV(RAND(),$E$2,$G$2)+1)*DG4</f>
        <v>14339.106576539853</v>
      </c>
      <c r="DH5" s="29">
        <f t="shared" ref="DH5:DH23" ca="1" si="151">(NORMINV(RAND(),$E$2,$G$2)+1)*DH4</f>
        <v>14265.704848989757</v>
      </c>
      <c r="DI5" s="29">
        <f t="shared" ref="DI5:DI23" ca="1" si="152">(NORMINV(RAND(),$E$2,$G$2)+1)*DI4</f>
        <v>14335.819875918403</v>
      </c>
      <c r="DJ5" s="29">
        <f t="shared" ref="DJ5:DJ23" ca="1" si="153">(NORMINV(RAND(),$E$2,$G$2)+1)*DJ4</f>
        <v>14421.756041645333</v>
      </c>
      <c r="DK5" s="29">
        <f t="shared" ref="DK5:DK23" ca="1" si="154">(NORMINV(RAND(),$E$2,$G$2)+1)*DK4</f>
        <v>14316.156711645262</v>
      </c>
      <c r="DL5" s="29">
        <f t="shared" ref="DL5:DL23" ca="1" si="155">(NORMINV(RAND(),$E$2,$G$2)+1)*DL4</f>
        <v>14367.446466405438</v>
      </c>
      <c r="DM5" s="29">
        <f t="shared" ref="DM5:DM23" ca="1" si="156">(NORMINV(RAND(),$E$2,$G$2)+1)*DM4</f>
        <v>14313.526642667772</v>
      </c>
      <c r="DN5" s="29">
        <f t="shared" ref="DN5:DN23" ca="1" si="157">(NORMINV(RAND(),$E$2,$G$2)+1)*DN4</f>
        <v>14587.41369627315</v>
      </c>
      <c r="DO5" s="29">
        <f t="shared" ref="DO5:DO23" ca="1" si="158">(NORMINV(RAND(),$E$2,$G$2)+1)*DO4</f>
        <v>14253.106628194675</v>
      </c>
      <c r="DP5" s="29">
        <f t="shared" ref="DP5:DP23" ca="1" si="159">(NORMINV(RAND(),$E$2,$G$2)+1)*DP4</f>
        <v>14284.780805263506</v>
      </c>
      <c r="DQ5" s="29">
        <f t="shared" ref="DQ5:DQ23" ca="1" si="160">(NORMINV(RAND(),$E$2,$G$2)+1)*DQ4</f>
        <v>14298.058765240594</v>
      </c>
      <c r="DR5" s="29">
        <f t="shared" ref="DR5:DR23" ca="1" si="161">(NORMINV(RAND(),$E$2,$G$2)+1)*DR4</f>
        <v>14215.754840279164</v>
      </c>
      <c r="DS5" s="29">
        <f t="shared" ref="DS5:DS23" ca="1" si="162">(NORMINV(RAND(),$E$2,$G$2)+1)*DS4</f>
        <v>14607.057425649014</v>
      </c>
      <c r="DT5" s="29">
        <f t="shared" ref="DT5:DT23" ca="1" si="163">(NORMINV(RAND(),$E$2,$G$2)+1)*DT4</f>
        <v>14429.809358124094</v>
      </c>
      <c r="DU5" s="29">
        <f t="shared" ref="DU5:DU23" ca="1" si="164">(NORMINV(RAND(),$E$2,$G$2)+1)*DU4</f>
        <v>14545.149586525848</v>
      </c>
      <c r="DV5" s="29">
        <f t="shared" ref="DV5:DV23" ca="1" si="165">(NORMINV(RAND(),$E$2,$G$2)+1)*DV4</f>
        <v>14383.605016057238</v>
      </c>
      <c r="DW5" s="29">
        <f t="shared" ref="DW5:DW23" ca="1" si="166">(NORMINV(RAND(),$E$2,$G$2)+1)*DW4</f>
        <v>14319.446787556422</v>
      </c>
      <c r="DX5" s="29">
        <f t="shared" ref="DX5:DX23" ca="1" si="167">(NORMINV(RAND(),$E$2,$G$2)+1)*DX4</f>
        <v>14142.508871585738</v>
      </c>
      <c r="DY5" s="29">
        <f t="shared" ref="DY5:DY23" ca="1" si="168">(NORMINV(RAND(),$E$2,$G$2)+1)*DY4</f>
        <v>14410.006966271494</v>
      </c>
      <c r="DZ5" s="29">
        <f t="shared" ref="DZ5:DZ23" ca="1" si="169">(NORMINV(RAND(),$E$2,$G$2)+1)*DZ4</f>
        <v>14361.181905912395</v>
      </c>
      <c r="EA5" s="29">
        <f t="shared" ref="EA5:EA23" ca="1" si="170">(NORMINV(RAND(),$E$2,$G$2)+1)*EA4</f>
        <v>14081.086073556533</v>
      </c>
      <c r="EB5" s="29">
        <f t="shared" ref="EB5:EB23" ca="1" si="171">(NORMINV(RAND(),$E$2,$G$2)+1)*EB4</f>
        <v>14067.54864959212</v>
      </c>
      <c r="EC5" s="29">
        <f t="shared" ref="EC5:EC23" ca="1" si="172">(NORMINV(RAND(),$E$2,$G$2)+1)*EC4</f>
        <v>14235.518079844449</v>
      </c>
      <c r="ED5" s="29">
        <f t="shared" ref="ED5:ED23" ca="1" si="173">(NORMINV(RAND(),$E$2,$G$2)+1)*ED4</f>
        <v>14621.023231350811</v>
      </c>
      <c r="EE5" s="29">
        <f t="shared" ref="EE5:EE23" ca="1" si="174">(NORMINV(RAND(),$E$2,$G$2)+1)*EE4</f>
        <v>14528.238493741621</v>
      </c>
      <c r="EF5" s="29">
        <f t="shared" ref="EF5:EF23" ca="1" si="175">(NORMINV(RAND(),$E$2,$G$2)+1)*EF4</f>
        <v>14444.079064005591</v>
      </c>
      <c r="EG5" s="29">
        <f t="shared" ref="EG5:EG23" ca="1" si="176">(NORMINV(RAND(),$E$2,$G$2)+1)*EG4</f>
        <v>14579.664082376779</v>
      </c>
      <c r="EH5" s="29">
        <f t="shared" ref="EH5:EH23" ca="1" si="177">(NORMINV(RAND(),$E$2,$G$2)+1)*EH4</f>
        <v>13926.605496113621</v>
      </c>
      <c r="EI5" s="29">
        <f t="shared" ref="EI5:EI23" ca="1" si="178">(NORMINV(RAND(),$E$2,$G$2)+1)*EI4</f>
        <v>14267.064139876504</v>
      </c>
      <c r="EJ5" s="29">
        <f t="shared" ref="EJ5:EJ23" ca="1" si="179">(NORMINV(RAND(),$E$2,$G$2)+1)*EJ4</f>
        <v>14335.494905242524</v>
      </c>
      <c r="EK5" s="29">
        <f t="shared" ref="EK5:EK23" ca="1" si="180">(NORMINV(RAND(),$E$2,$G$2)+1)*EK4</f>
        <v>14035.14635549207</v>
      </c>
      <c r="EL5" s="29">
        <f t="shared" ref="EL5:EL23" ca="1" si="181">(NORMINV(RAND(),$E$2,$G$2)+1)*EL4</f>
        <v>14482.355944505722</v>
      </c>
      <c r="EM5" s="29">
        <f t="shared" ref="EM5:EM23" ca="1" si="182">(NORMINV(RAND(),$E$2,$G$2)+1)*EM4</f>
        <v>13755.871534148657</v>
      </c>
      <c r="EN5" s="29">
        <f t="shared" ref="EN5:EN23" ca="1" si="183">(NORMINV(RAND(),$E$2,$G$2)+1)*EN4</f>
        <v>14711.751224780166</v>
      </c>
      <c r="EO5" s="29">
        <f t="shared" ref="EO5:EO23" ca="1" si="184">(NORMINV(RAND(),$E$2,$G$2)+1)*EO4</f>
        <v>14095.86567518327</v>
      </c>
      <c r="EP5" s="29">
        <f t="shared" ref="EP5:EP23" ca="1" si="185">(NORMINV(RAND(),$E$2,$G$2)+1)*EP4</f>
        <v>14509.260749016006</v>
      </c>
      <c r="EQ5" s="29">
        <f t="shared" ref="EQ5:EQ23" ca="1" si="186">(NORMINV(RAND(),$E$2,$G$2)+1)*EQ4</f>
        <v>14302.662144319422</v>
      </c>
      <c r="ER5" s="29">
        <f t="shared" ref="ER5:ER23" ca="1" si="187">(NORMINV(RAND(),$E$2,$G$2)+1)*ER4</f>
        <v>14061.039068957967</v>
      </c>
      <c r="ES5" s="29">
        <f t="shared" ref="ES5:ES23" ca="1" si="188">(NORMINV(RAND(),$E$2,$G$2)+1)*ES4</f>
        <v>14458.109329503939</v>
      </c>
      <c r="ET5" s="29">
        <f t="shared" ref="ET5:ET23" ca="1" si="189">(NORMINV(RAND(),$E$2,$G$2)+1)*ET4</f>
        <v>14766.159150679659</v>
      </c>
      <c r="EU5" s="29">
        <f t="shared" ref="EU5:EU23" ca="1" si="190">(NORMINV(RAND(),$E$2,$G$2)+1)*EU4</f>
        <v>14689.756696428976</v>
      </c>
      <c r="EV5" s="29">
        <f t="shared" ref="EV5:EV23" ca="1" si="191">(NORMINV(RAND(),$E$2,$G$2)+1)*EV4</f>
        <v>14423.570688582786</v>
      </c>
      <c r="EW5" s="29">
        <f t="shared" ref="EW5:EW23" ca="1" si="192">(NORMINV(RAND(),$E$2,$G$2)+1)*EW4</f>
        <v>13944.949870601104</v>
      </c>
      <c r="EX5" s="29">
        <f t="shared" ref="EX5:EX23" ca="1" si="193">(NORMINV(RAND(),$E$2,$G$2)+1)*EX4</f>
        <v>14908.275228015975</v>
      </c>
      <c r="EY5" s="29">
        <f t="shared" ref="EY5:EY23" ca="1" si="194">(NORMINV(RAND(),$E$2,$G$2)+1)*EY4</f>
        <v>14137.725183186169</v>
      </c>
      <c r="EZ5" s="29">
        <f t="shared" ref="EZ5:EZ23" ca="1" si="195">(NORMINV(RAND(),$E$2,$G$2)+1)*EZ4</f>
        <v>14436.235414564799</v>
      </c>
      <c r="FA5" s="29">
        <f t="shared" ref="FA5:FA23" ca="1" si="196">(NORMINV(RAND(),$E$2,$G$2)+1)*FA4</f>
        <v>14385.696548134771</v>
      </c>
      <c r="FB5" s="29">
        <f t="shared" ref="FB5:FB23" ca="1" si="197">(NORMINV(RAND(),$E$2,$G$2)+1)*FB4</f>
        <v>14397.272674541773</v>
      </c>
      <c r="FC5" s="29">
        <f t="shared" ref="FC5:FC23" ca="1" si="198">(NORMINV(RAND(),$E$2,$G$2)+1)*FC4</f>
        <v>14535.238078223259</v>
      </c>
      <c r="FD5" s="29">
        <f t="shared" ref="FD5:FD23" ca="1" si="199">(NORMINV(RAND(),$E$2,$G$2)+1)*FD4</f>
        <v>14288.106936341595</v>
      </c>
      <c r="FE5" s="29">
        <f t="shared" ref="FE5:FE23" ca="1" si="200">(NORMINV(RAND(),$E$2,$G$2)+1)*FE4</f>
        <v>14030.392691773302</v>
      </c>
      <c r="FF5" s="29">
        <f t="shared" ref="FF5:FF23" ca="1" si="201">(NORMINV(RAND(),$E$2,$G$2)+1)*FF4</f>
        <v>14438.640628889956</v>
      </c>
      <c r="FG5" s="29">
        <f t="shared" ref="FG5:FG23" ca="1" si="202">(NORMINV(RAND(),$E$2,$G$2)+1)*FG4</f>
        <v>14345.249661508118</v>
      </c>
      <c r="FH5" s="29">
        <f t="shared" ref="FH5:FH23" ca="1" si="203">(NORMINV(RAND(),$E$2,$G$2)+1)*FH4</f>
        <v>14497.133377254686</v>
      </c>
      <c r="FI5" s="29">
        <f t="shared" ref="FI5:FI23" ca="1" si="204">(NORMINV(RAND(),$E$2,$G$2)+1)*FI4</f>
        <v>14232.59402867437</v>
      </c>
      <c r="FJ5" s="29">
        <f t="shared" ref="FJ5:FJ23" ca="1" si="205">(NORMINV(RAND(),$E$2,$G$2)+1)*FJ4</f>
        <v>14804.132290849184</v>
      </c>
      <c r="FK5" s="29">
        <f t="shared" ref="FK5:FK23" ca="1" si="206">(NORMINV(RAND(),$E$2,$G$2)+1)*FK4</f>
        <v>14699.501525518433</v>
      </c>
      <c r="FL5" s="29">
        <f t="shared" ref="FL5:FL23" ca="1" si="207">(NORMINV(RAND(),$E$2,$G$2)+1)*FL4</f>
        <v>14195.285231309192</v>
      </c>
      <c r="FM5" s="29">
        <f t="shared" ref="FM5:FM23" ca="1" si="208">(NORMINV(RAND(),$E$2,$G$2)+1)*FM4</f>
        <v>14643.295755858509</v>
      </c>
      <c r="FN5" s="29">
        <f t="shared" ref="FN5:FN23" ca="1" si="209">(NORMINV(RAND(),$E$2,$G$2)+1)*FN4</f>
        <v>14018.111121622678</v>
      </c>
      <c r="FO5" s="29">
        <f t="shared" ref="FO5:FO23" ca="1" si="210">(NORMINV(RAND(),$E$2,$G$2)+1)*FO4</f>
        <v>14226.20093464799</v>
      </c>
      <c r="FP5" s="29">
        <f t="shared" ref="FP5:FP23" ca="1" si="211">(NORMINV(RAND(),$E$2,$G$2)+1)*FP4</f>
        <v>14201.20442909202</v>
      </c>
      <c r="FQ5" s="29">
        <f t="shared" ref="FQ5:FQ23" ca="1" si="212">(NORMINV(RAND(),$E$2,$G$2)+1)*FQ4</f>
        <v>14579.907059502775</v>
      </c>
      <c r="FR5" s="29">
        <f t="shared" ref="FR5:FR23" ca="1" si="213">(NORMINV(RAND(),$E$2,$G$2)+1)*FR4</f>
        <v>14109.430389290765</v>
      </c>
      <c r="FS5" s="29">
        <f t="shared" ref="FS5:FS23" ca="1" si="214">(NORMINV(RAND(),$E$2,$G$2)+1)*FS4</f>
        <v>14632.366391302312</v>
      </c>
      <c r="FT5" s="29">
        <f t="shared" ref="FT5:FT23" ca="1" si="215">(NORMINV(RAND(),$E$2,$G$2)+1)*FT4</f>
        <v>14256.607480325891</v>
      </c>
      <c r="FU5" s="29">
        <f t="shared" ref="FU5:FU23" ca="1" si="216">(NORMINV(RAND(),$E$2,$G$2)+1)*FU4</f>
        <v>14251.237791416981</v>
      </c>
      <c r="FV5" s="29">
        <f t="shared" ref="FV5:FV23" ca="1" si="217">(NORMINV(RAND(),$E$2,$G$2)+1)*FV4</f>
        <v>14321.500650628088</v>
      </c>
      <c r="FW5" s="29">
        <f t="shared" ref="FW5:FW23" ca="1" si="218">(NORMINV(RAND(),$E$2,$G$2)+1)*FW4</f>
        <v>14196.042859246256</v>
      </c>
      <c r="FX5" s="29">
        <f t="shared" ref="FX5:FX23" ca="1" si="219">(NORMINV(RAND(),$E$2,$G$2)+1)*FX4</f>
        <v>14271.663044637047</v>
      </c>
      <c r="FY5" s="29">
        <f t="shared" ref="FY5:FY23" ca="1" si="220">(NORMINV(RAND(),$E$2,$G$2)+1)*FY4</f>
        <v>14723.926421781738</v>
      </c>
      <c r="FZ5" s="29">
        <f t="shared" ref="FZ5:FZ23" ca="1" si="221">(NORMINV(RAND(),$E$2,$G$2)+1)*FZ4</f>
        <v>14277.529827793289</v>
      </c>
      <c r="GA5" s="29">
        <f t="shared" ref="GA5:GA23" ca="1" si="222">(NORMINV(RAND(),$E$2,$G$2)+1)*GA4</f>
        <v>14171.481069536245</v>
      </c>
      <c r="GB5" s="29">
        <f t="shared" ref="GB5:GB23" ca="1" si="223">(NORMINV(RAND(),$E$2,$G$2)+1)*GB4</f>
        <v>14666.577539151358</v>
      </c>
      <c r="GC5" s="29">
        <f t="shared" ref="GC5:GC23" ca="1" si="224">(NORMINV(RAND(),$E$2,$G$2)+1)*GC4</f>
        <v>14322.178543657988</v>
      </c>
      <c r="GD5" s="29">
        <f t="shared" ref="GD5:GD23" ca="1" si="225">(NORMINV(RAND(),$E$2,$G$2)+1)*GD4</f>
        <v>14023.714166264022</v>
      </c>
      <c r="GE5" s="29">
        <f t="shared" ref="GE5:GE23" ca="1" si="226">(NORMINV(RAND(),$E$2,$G$2)+1)*GE4</f>
        <v>14851.527354692866</v>
      </c>
      <c r="GF5" s="29">
        <f t="shared" ref="GF5:GF23" ca="1" si="227">(NORMINV(RAND(),$E$2,$G$2)+1)*GF4</f>
        <v>14573.026551399789</v>
      </c>
      <c r="GG5" s="29">
        <f t="shared" ref="GG5:GG23" ca="1" si="228">(NORMINV(RAND(),$E$2,$G$2)+1)*GG4</f>
        <v>14562.180681451271</v>
      </c>
      <c r="GH5" s="29">
        <f t="shared" ref="GH5:GH23" ca="1" si="229">(NORMINV(RAND(),$E$2,$G$2)+1)*GH4</f>
        <v>14437.883137015126</v>
      </c>
      <c r="GI5" s="29">
        <f t="shared" ref="GI5:GI23" ca="1" si="230">(NORMINV(RAND(),$E$2,$G$2)+1)*GI4</f>
        <v>14277.354677925559</v>
      </c>
      <c r="GJ5" s="29">
        <f t="shared" ref="GJ5:GJ23" ca="1" si="231">(NORMINV(RAND(),$E$2,$G$2)+1)*GJ4</f>
        <v>14442.755425573461</v>
      </c>
      <c r="GK5" s="29">
        <f t="shared" ref="GK5:GK23" ca="1" si="232">(NORMINV(RAND(),$E$2,$G$2)+1)*GK4</f>
        <v>14199.525336335346</v>
      </c>
      <c r="GL5" s="29">
        <f t="shared" ref="GL5:GL23" ca="1" si="233">(NORMINV(RAND(),$E$2,$G$2)+1)*GL4</f>
        <v>14486.691249669369</v>
      </c>
      <c r="GM5" s="29">
        <f t="shared" ref="GM5:GM23" ca="1" si="234">(NORMINV(RAND(),$E$2,$G$2)+1)*GM4</f>
        <v>14125.500955429932</v>
      </c>
      <c r="GN5" s="29">
        <f t="shared" ref="GN5:GN23" ca="1" si="235">(NORMINV(RAND(),$E$2,$G$2)+1)*GN4</f>
        <v>14332.697806419261</v>
      </c>
      <c r="GO5" s="29">
        <f t="shared" ref="GO5:GO23" ca="1" si="236">(NORMINV(RAND(),$E$2,$G$2)+1)*GO4</f>
        <v>14082.216294705191</v>
      </c>
      <c r="GP5" s="29">
        <f t="shared" ref="GP5:GP23" ca="1" si="237">(NORMINV(RAND(),$E$2,$G$2)+1)*GP4</f>
        <v>14598.536938194115</v>
      </c>
      <c r="GQ5" s="29">
        <f t="shared" ref="GQ5:GQ23" ca="1" si="238">(NORMINV(RAND(),$E$2,$G$2)+1)*GQ4</f>
        <v>14119.82521782105</v>
      </c>
      <c r="GR5" s="29">
        <f t="shared" ref="GR5:GR23" ca="1" si="239">(NORMINV(RAND(),$E$2,$G$2)+1)*GR4</f>
        <v>14223.637657399662</v>
      </c>
      <c r="GS5" s="29">
        <f t="shared" ref="GS5:GS23" ca="1" si="240">(NORMINV(RAND(),$E$2,$G$2)+1)*GS4</f>
        <v>14857.802329470449</v>
      </c>
      <c r="GT5" s="29">
        <f t="shared" ref="GT5:GT23" ca="1" si="241">(NORMINV(RAND(),$E$2,$G$2)+1)*GT4</f>
        <v>14553.955508424906</v>
      </c>
      <c r="GU5" s="29">
        <f t="shared" ref="GU5:GU23" ca="1" si="242">(NORMINV(RAND(),$E$2,$G$2)+1)*GU4</f>
        <v>14099.636420466981</v>
      </c>
      <c r="GV5" s="29">
        <f t="shared" ref="GV5:GV23" ca="1" si="243">(NORMINV(RAND(),$E$2,$G$2)+1)*GV4</f>
        <v>14230.447234889576</v>
      </c>
      <c r="GW5" s="29">
        <f t="shared" ref="GW5:GW23" ca="1" si="244">(NORMINV(RAND(),$E$2,$G$2)+1)*GW4</f>
        <v>13999.103757084615</v>
      </c>
      <c r="GX5" s="29">
        <f t="shared" ref="GX5:GX23" ca="1" si="245">(NORMINV(RAND(),$E$2,$G$2)+1)*GX4</f>
        <v>14183.919778498012</v>
      </c>
      <c r="GY5" s="29">
        <f t="shared" ref="GY5:GY23" ca="1" si="246">(NORMINV(RAND(),$E$2,$G$2)+1)*GY4</f>
        <v>14399.667499911402</v>
      </c>
      <c r="GZ5" s="29">
        <f t="shared" ref="GZ5:GZ23" ca="1" si="247">(NORMINV(RAND(),$E$2,$G$2)+1)*GZ4</f>
        <v>14502.88126579647</v>
      </c>
      <c r="HA5" s="29">
        <f t="shared" ref="HA5:HA23" ca="1" si="248">(NORMINV(RAND(),$E$2,$G$2)+1)*HA4</f>
        <v>14718.689841082949</v>
      </c>
      <c r="HB5" s="29">
        <f t="shared" ref="HB5:HB23" ca="1" si="249">(NORMINV(RAND(),$E$2,$G$2)+1)*HB4</f>
        <v>14478.122840434684</v>
      </c>
      <c r="HC5" s="29">
        <f t="shared" ref="HC5:HC23" ca="1" si="250">(NORMINV(RAND(),$E$2,$G$2)+1)*HC4</f>
        <v>14425.449108975785</v>
      </c>
      <c r="HD5" s="29">
        <f t="shared" ref="HD5:HD23" ca="1" si="251">(NORMINV(RAND(),$E$2,$G$2)+1)*HD4</f>
        <v>14211.424806238641</v>
      </c>
      <c r="HE5" s="29">
        <f t="shared" ref="HE5:HE23" ca="1" si="252">(NORMINV(RAND(),$E$2,$G$2)+1)*HE4</f>
        <v>14352.046096449129</v>
      </c>
      <c r="HF5" s="29">
        <f t="shared" ref="HF5:HF23" ca="1" si="253">(NORMINV(RAND(),$E$2,$G$2)+1)*HF4</f>
        <v>14532.31259654598</v>
      </c>
      <c r="HG5" s="29">
        <f t="shared" ref="HG5:HG23" ca="1" si="254">(NORMINV(RAND(),$E$2,$G$2)+1)*HG4</f>
        <v>14200.157432315127</v>
      </c>
      <c r="HH5" s="29">
        <f t="shared" ref="HH5:HH23" ca="1" si="255">(NORMINV(RAND(),$E$2,$G$2)+1)*HH4</f>
        <v>13976.090284066348</v>
      </c>
      <c r="HI5" s="29">
        <f t="shared" ref="HI5:HI23" ca="1" si="256">(NORMINV(RAND(),$E$2,$G$2)+1)*HI4</f>
        <v>14082.943611018085</v>
      </c>
      <c r="HJ5" s="29">
        <f t="shared" ref="HJ5:HJ23" ca="1" si="257">(NORMINV(RAND(),$E$2,$G$2)+1)*HJ4</f>
        <v>14585.801681854167</v>
      </c>
      <c r="HK5" s="29">
        <f t="shared" ref="HK5:HK23" ca="1" si="258">(NORMINV(RAND(),$E$2,$G$2)+1)*HK4</f>
        <v>14249.304644189819</v>
      </c>
      <c r="HL5" s="29">
        <f t="shared" ref="HL5:HL23" ca="1" si="259">(NORMINV(RAND(),$E$2,$G$2)+1)*HL4</f>
        <v>14018.768172651966</v>
      </c>
      <c r="HM5" s="29">
        <f t="shared" ref="HM5:HM23" ca="1" si="260">(NORMINV(RAND(),$E$2,$G$2)+1)*HM4</f>
        <v>13960.443751598666</v>
      </c>
      <c r="HN5" s="29">
        <f t="shared" ref="HN5:HN23" ca="1" si="261">(NORMINV(RAND(),$E$2,$G$2)+1)*HN4</f>
        <v>14645.698490159581</v>
      </c>
      <c r="HO5" s="29">
        <f t="shared" ref="HO5:HO23" ca="1" si="262">(NORMINV(RAND(),$E$2,$G$2)+1)*HO4</f>
        <v>14247.31759642191</v>
      </c>
      <c r="HP5" s="29">
        <f t="shared" ref="HP5:HP23" ca="1" si="263">(NORMINV(RAND(),$E$2,$G$2)+1)*HP4</f>
        <v>14398.848913066866</v>
      </c>
      <c r="HQ5" s="29">
        <f t="shared" ref="HQ5:HQ23" ca="1" si="264">(NORMINV(RAND(),$E$2,$G$2)+1)*HQ4</f>
        <v>14334.512100030557</v>
      </c>
      <c r="HR5" s="29">
        <f t="shared" ref="HR5:HR23" ca="1" si="265">(NORMINV(RAND(),$E$2,$G$2)+1)*HR4</f>
        <v>14509.796957496314</v>
      </c>
      <c r="HS5" s="29">
        <f t="shared" ref="HS5:HS23" ca="1" si="266">(NORMINV(RAND(),$E$2,$G$2)+1)*HS4</f>
        <v>14428.098197682419</v>
      </c>
      <c r="HT5" s="29">
        <f t="shared" ref="HT5:HT23" ca="1" si="267">(NORMINV(RAND(),$E$2,$G$2)+1)*HT4</f>
        <v>14378.033687815318</v>
      </c>
      <c r="HU5" s="29">
        <f t="shared" ref="HU5:HU23" ca="1" si="268">(NORMINV(RAND(),$E$2,$G$2)+1)*HU4</f>
        <v>14283.165734958158</v>
      </c>
      <c r="HV5" s="29">
        <f t="shared" ref="HV5:HV23" ca="1" si="269">(NORMINV(RAND(),$E$2,$G$2)+1)*HV4</f>
        <v>14283.195709517639</v>
      </c>
      <c r="HW5" s="29">
        <f t="shared" ref="HW5:HW23" ca="1" si="270">(NORMINV(RAND(),$E$2,$G$2)+1)*HW4</f>
        <v>14490.936901259834</v>
      </c>
      <c r="HX5" s="29">
        <f t="shared" ref="HX5:HX23" ca="1" si="271">(NORMINV(RAND(),$E$2,$G$2)+1)*HX4</f>
        <v>14343.880838992849</v>
      </c>
      <c r="HY5" s="29">
        <f t="shared" ref="HY5:HY23" ca="1" si="272">(NORMINV(RAND(),$E$2,$G$2)+1)*HY4</f>
        <v>14648.453871201824</v>
      </c>
      <c r="HZ5" s="29">
        <f t="shared" ref="HZ5:HZ23" ca="1" si="273">(NORMINV(RAND(),$E$2,$G$2)+1)*HZ4</f>
        <v>14451.591585610789</v>
      </c>
      <c r="IA5" s="29">
        <f t="shared" ref="IA5:IA23" ca="1" si="274">(NORMINV(RAND(),$E$2,$G$2)+1)*IA4</f>
        <v>14436.787709345053</v>
      </c>
      <c r="IB5" s="29">
        <f t="shared" ref="IB5:IB23" ca="1" si="275">(NORMINV(RAND(),$E$2,$G$2)+1)*IB4</f>
        <v>14464.950769273555</v>
      </c>
      <c r="IC5" s="29">
        <f t="shared" ref="IC5:IC23" ca="1" si="276">(NORMINV(RAND(),$E$2,$G$2)+1)*IC4</f>
        <v>14196.056561790459</v>
      </c>
      <c r="ID5" s="29">
        <f t="shared" ref="ID5:ID23" ca="1" si="277">(NORMINV(RAND(),$E$2,$G$2)+1)*ID4</f>
        <v>14418.25611093931</v>
      </c>
      <c r="IE5" s="29">
        <f t="shared" ref="IE5:IE23" ca="1" si="278">(NORMINV(RAND(),$E$2,$G$2)+1)*IE4</f>
        <v>14321.985423257191</v>
      </c>
      <c r="IF5" s="29">
        <f t="shared" ref="IF5:IF23" ca="1" si="279">(NORMINV(RAND(),$E$2,$G$2)+1)*IF4</f>
        <v>14477.314740919091</v>
      </c>
      <c r="IG5" s="29">
        <f t="shared" ref="IG5:IG23" ca="1" si="280">(NORMINV(RAND(),$E$2,$G$2)+1)*IG4</f>
        <v>14422.1083839988</v>
      </c>
      <c r="IH5" s="29">
        <f t="shared" ref="IH5:IH23" ca="1" si="281">(NORMINV(RAND(),$E$2,$G$2)+1)*IH4</f>
        <v>14246.244174241003</v>
      </c>
      <c r="II5" s="29">
        <f t="shared" ref="II5:II23" ca="1" si="282">(NORMINV(RAND(),$E$2,$G$2)+1)*II4</f>
        <v>14355.763300735327</v>
      </c>
      <c r="IJ5" s="29">
        <f t="shared" ref="IJ5:IJ23" ca="1" si="283">(NORMINV(RAND(),$E$2,$G$2)+1)*IJ4</f>
        <v>14822.348210898625</v>
      </c>
      <c r="IK5" s="29">
        <f t="shared" ref="IK5:IK23" ca="1" si="284">(NORMINV(RAND(),$E$2,$G$2)+1)*IK4</f>
        <v>14137.224168349283</v>
      </c>
      <c r="IL5" s="29">
        <f t="shared" ref="IL5:IL23" ca="1" si="285">(NORMINV(RAND(),$E$2,$G$2)+1)*IL4</f>
        <v>14607.143007451872</v>
      </c>
      <c r="IM5" s="29">
        <f t="shared" ref="IM5:IM23" ca="1" si="286">(NORMINV(RAND(),$E$2,$G$2)+1)*IM4</f>
        <v>14512.68150279992</v>
      </c>
      <c r="IN5" s="29">
        <f t="shared" ref="IN5:IN23" ca="1" si="287">(NORMINV(RAND(),$E$2,$G$2)+1)*IN4</f>
        <v>14350.858868822892</v>
      </c>
      <c r="IO5" s="29">
        <f t="shared" ref="IO5:IO23" ca="1" si="288">(NORMINV(RAND(),$E$2,$G$2)+1)*IO4</f>
        <v>14285.061279054831</v>
      </c>
      <c r="IP5" s="29">
        <f t="shared" ref="IP5:IP23" ca="1" si="289">(NORMINV(RAND(),$E$2,$G$2)+1)*IP4</f>
        <v>14366.405800858807</v>
      </c>
      <c r="IQ5" s="29">
        <f t="shared" ref="IQ5:IQ23" ca="1" si="290">(NORMINV(RAND(),$E$2,$G$2)+1)*IQ4</f>
        <v>14214.445756045809</v>
      </c>
      <c r="IR5" s="29">
        <f t="shared" ref="IR5:IR23" ca="1" si="291">(NORMINV(RAND(),$E$2,$G$2)+1)*IR4</f>
        <v>14513.930910471508</v>
      </c>
      <c r="IS5" s="29">
        <f t="shared" ref="IS5:IS23" ca="1" si="292">(NORMINV(RAND(),$E$2,$G$2)+1)*IS4</f>
        <v>14429.21565832345</v>
      </c>
      <c r="IT5" s="29">
        <f t="shared" ref="IT5:IT23" ca="1" si="293">(NORMINV(RAND(),$E$2,$G$2)+1)*IT4</f>
        <v>14627.922120843006</v>
      </c>
      <c r="IU5" s="29">
        <f t="shared" ref="IU5:IU23" ca="1" si="294">(NORMINV(RAND(),$E$2,$G$2)+1)*IU4</f>
        <v>14642.065516601597</v>
      </c>
      <c r="IV5" s="29">
        <f t="shared" ref="IV5:IV23" ca="1" si="295">(NORMINV(RAND(),$E$2,$G$2)+1)*IV4</f>
        <v>14189.042316439754</v>
      </c>
      <c r="IW5" s="29">
        <f t="shared" ref="IW5:IW23" ca="1" si="296">(NORMINV(RAND(),$E$2,$G$2)+1)*IW4</f>
        <v>14964.103313376405</v>
      </c>
      <c r="IX5" s="29">
        <f t="shared" ref="IX5:IX23" ca="1" si="297">(NORMINV(RAND(),$E$2,$G$2)+1)*IX4</f>
        <v>14395.102138955681</v>
      </c>
      <c r="IY5" s="29">
        <f t="shared" ref="IY5:IY23" ca="1" si="298">(NORMINV(RAND(),$E$2,$G$2)+1)*IY4</f>
        <v>14042.767114736509</v>
      </c>
      <c r="IZ5" s="29">
        <f t="shared" ref="IZ5:IZ23" ca="1" si="299">(NORMINV(RAND(),$E$2,$G$2)+1)*IZ4</f>
        <v>14218.714789187372</v>
      </c>
      <c r="JA5" s="29">
        <f t="shared" ref="JA5:JA23" ca="1" si="300">(NORMINV(RAND(),$E$2,$G$2)+1)*JA4</f>
        <v>13674.028949814674</v>
      </c>
      <c r="JB5" s="29">
        <f t="shared" ref="JB5:JB23" ca="1" si="301">(NORMINV(RAND(),$E$2,$G$2)+1)*JB4</f>
        <v>14047.184804506998</v>
      </c>
      <c r="JC5" s="29">
        <f t="shared" ref="JC5:JC23" ca="1" si="302">(NORMINV(RAND(),$E$2,$G$2)+1)*JC4</f>
        <v>14419.746260189444</v>
      </c>
      <c r="JD5" s="29">
        <f t="shared" ref="JD5:JD23" ca="1" si="303">(NORMINV(RAND(),$E$2,$G$2)+1)*JD4</f>
        <v>14373.518369886686</v>
      </c>
      <c r="JE5" s="29">
        <f t="shared" ref="JE5:JE23" ca="1" si="304">(NORMINV(RAND(),$E$2,$G$2)+1)*JE4</f>
        <v>13947.806664094802</v>
      </c>
      <c r="JF5" s="29">
        <f t="shared" ref="JF5:JF23" ca="1" si="305">(NORMINV(RAND(),$E$2,$G$2)+1)*JF4</f>
        <v>14550.061540911107</v>
      </c>
      <c r="JG5" s="29">
        <f t="shared" ref="JG5:JG23" ca="1" si="306">(NORMINV(RAND(),$E$2,$G$2)+1)*JG4</f>
        <v>14590.889177140338</v>
      </c>
      <c r="JH5" s="29">
        <f t="shared" ref="JH5:JH23" ca="1" si="307">(NORMINV(RAND(),$E$2,$G$2)+1)*JH4</f>
        <v>14205.287991431564</v>
      </c>
      <c r="JI5" s="29">
        <f t="shared" ref="JI5:JI23" ca="1" si="308">(NORMINV(RAND(),$E$2,$G$2)+1)*JI4</f>
        <v>14199.337603414586</v>
      </c>
      <c r="JJ5" s="29">
        <f t="shared" ref="JJ5:JJ23" ca="1" si="309">(NORMINV(RAND(),$E$2,$G$2)+1)*JJ4</f>
        <v>14486.07657926546</v>
      </c>
      <c r="JK5" s="29">
        <f t="shared" ref="JK5:JK23" ca="1" si="310">(NORMINV(RAND(),$E$2,$G$2)+1)*JK4</f>
        <v>14390.732614437005</v>
      </c>
      <c r="JL5" s="29">
        <f t="shared" ref="JL5:JL23" ca="1" si="311">(NORMINV(RAND(),$E$2,$G$2)+1)*JL4</f>
        <v>14213.351941660565</v>
      </c>
      <c r="JM5" s="29">
        <f t="shared" ref="JM5:JM23" ca="1" si="312">(NORMINV(RAND(),$E$2,$G$2)+1)*JM4</f>
        <v>13932.885002036335</v>
      </c>
      <c r="JN5" s="29">
        <f t="shared" ref="JN5:JN23" ca="1" si="313">(NORMINV(RAND(),$E$2,$G$2)+1)*JN4</f>
        <v>15066.831044246308</v>
      </c>
      <c r="JO5" s="29">
        <f t="shared" ref="JO5:JO23" ca="1" si="314">(NORMINV(RAND(),$E$2,$G$2)+1)*JO4</f>
        <v>14905.602232733721</v>
      </c>
      <c r="JP5" s="29">
        <f t="shared" ref="JP5:JP23" ca="1" si="315">(NORMINV(RAND(),$E$2,$G$2)+1)*JP4</f>
        <v>14455.569593651724</v>
      </c>
      <c r="JQ5" s="29">
        <f t="shared" ref="JQ5:JQ23" ca="1" si="316">(NORMINV(RAND(),$E$2,$G$2)+1)*JQ4</f>
        <v>14074.143651680119</v>
      </c>
      <c r="JR5" s="29">
        <f t="shared" ref="JR5:JR23" ca="1" si="317">(NORMINV(RAND(),$E$2,$G$2)+1)*JR4</f>
        <v>14237.765542869782</v>
      </c>
      <c r="JS5" s="29">
        <f t="shared" ref="JS5:JS23" ca="1" si="318">(NORMINV(RAND(),$E$2,$G$2)+1)*JS4</f>
        <v>14490.936014941029</v>
      </c>
      <c r="JT5" s="29">
        <f t="shared" ref="JT5:JT23" ca="1" si="319">(NORMINV(RAND(),$E$2,$G$2)+1)*JT4</f>
        <v>14424.744046402284</v>
      </c>
      <c r="JU5" s="29">
        <f t="shared" ref="JU5:JU23" ca="1" si="320">(NORMINV(RAND(),$E$2,$G$2)+1)*JU4</f>
        <v>14458.347323067701</v>
      </c>
      <c r="JV5" s="29">
        <f t="shared" ref="JV5:JV23" ca="1" si="321">(NORMINV(RAND(),$E$2,$G$2)+1)*JV4</f>
        <v>14192.006580660682</v>
      </c>
      <c r="JW5" s="29">
        <f t="shared" ref="JW5:JW23" ca="1" si="322">(NORMINV(RAND(),$E$2,$G$2)+1)*JW4</f>
        <v>14527.069828016474</v>
      </c>
      <c r="JX5" s="29">
        <f t="shared" ref="JX5:JX23" ca="1" si="323">(NORMINV(RAND(),$E$2,$G$2)+1)*JX4</f>
        <v>14273.766276241764</v>
      </c>
      <c r="JY5" s="29">
        <f t="shared" ref="JY5:JY23" ca="1" si="324">(NORMINV(RAND(),$E$2,$G$2)+1)*JY4</f>
        <v>14392.374566493945</v>
      </c>
      <c r="JZ5" s="29">
        <f t="shared" ref="JZ5:JZ23" ca="1" si="325">(NORMINV(RAND(),$E$2,$G$2)+1)*JZ4</f>
        <v>14448.923544348381</v>
      </c>
      <c r="KA5" s="29">
        <f t="shared" ref="KA5:KA23" ca="1" si="326">(NORMINV(RAND(),$E$2,$G$2)+1)*KA4</f>
        <v>14268.89151271867</v>
      </c>
      <c r="KB5" s="29">
        <f t="shared" ref="KB5:KB23" ca="1" si="327">(NORMINV(RAND(),$E$2,$G$2)+1)*KB4</f>
        <v>14331.223560673441</v>
      </c>
      <c r="KC5" s="29">
        <f t="shared" ref="KC5:KC23" ca="1" si="328">(NORMINV(RAND(),$E$2,$G$2)+1)*KC4</f>
        <v>14388.34042711479</v>
      </c>
      <c r="KD5" s="29">
        <f t="shared" ref="KD5:KD23" ca="1" si="329">(NORMINV(RAND(),$E$2,$G$2)+1)*KD4</f>
        <v>14348.429787945697</v>
      </c>
      <c r="KE5" s="29">
        <f t="shared" ref="KE5:KE23" ca="1" si="330">(NORMINV(RAND(),$E$2,$G$2)+1)*KE4</f>
        <v>14461.228362883721</v>
      </c>
      <c r="KF5" s="29">
        <f t="shared" ref="KF5:KF23" ca="1" si="331">(NORMINV(RAND(),$E$2,$G$2)+1)*KF4</f>
        <v>14649.511800917986</v>
      </c>
      <c r="KG5" s="29">
        <f t="shared" ref="KG5:KG23" ca="1" si="332">(NORMINV(RAND(),$E$2,$G$2)+1)*KG4</f>
        <v>14516.272306356268</v>
      </c>
      <c r="KH5" s="29">
        <f t="shared" ref="KH5:KH23" ca="1" si="333">(NORMINV(RAND(),$E$2,$G$2)+1)*KH4</f>
        <v>14577.838423772917</v>
      </c>
      <c r="KI5" s="29">
        <f t="shared" ref="KI5:KI23" ca="1" si="334">(NORMINV(RAND(),$E$2,$G$2)+1)*KI4</f>
        <v>14420.80814171079</v>
      </c>
      <c r="KJ5" s="29">
        <f t="shared" ref="KJ5:KJ23" ca="1" si="335">(NORMINV(RAND(),$E$2,$G$2)+1)*KJ4</f>
        <v>14586.463914127222</v>
      </c>
      <c r="KK5" s="29">
        <f t="shared" ref="KK5:KK23" ca="1" si="336">(NORMINV(RAND(),$E$2,$G$2)+1)*KK4</f>
        <v>14009.283924897987</v>
      </c>
      <c r="KL5" s="29">
        <f t="shared" ref="KL5:KL23" ca="1" si="337">(NORMINV(RAND(),$E$2,$G$2)+1)*KL4</f>
        <v>14363.290760669504</v>
      </c>
      <c r="KM5" s="29">
        <f t="shared" ref="KM5:KM23" ca="1" si="338">(NORMINV(RAND(),$E$2,$G$2)+1)*KM4</f>
        <v>14471.64196048741</v>
      </c>
      <c r="KN5" s="29">
        <f t="shared" ref="KN5:KN23" ca="1" si="339">(NORMINV(RAND(),$E$2,$G$2)+1)*KN4</f>
        <v>14181.013157527621</v>
      </c>
      <c r="KO5" s="29">
        <f t="shared" ref="KO5:KO23" ca="1" si="340">(NORMINV(RAND(),$E$2,$G$2)+1)*KO4</f>
        <v>14663.104441735702</v>
      </c>
      <c r="KP5" s="29">
        <f t="shared" ref="KP5:KP23" ca="1" si="341">(NORMINV(RAND(),$E$2,$G$2)+1)*KP4</f>
        <v>14332.990389091374</v>
      </c>
      <c r="KQ5" s="29">
        <f t="shared" ref="KQ5:KQ23" ca="1" si="342">(NORMINV(RAND(),$E$2,$G$2)+1)*KQ4</f>
        <v>14217.009196697734</v>
      </c>
      <c r="KR5" s="29">
        <f t="shared" ref="KR5:KR23" ca="1" si="343">(NORMINV(RAND(),$E$2,$G$2)+1)*KR4</f>
        <v>14332.946423667618</v>
      </c>
      <c r="KS5" s="29">
        <f t="shared" ref="KS5:KS23" ca="1" si="344">(NORMINV(RAND(),$E$2,$G$2)+1)*KS4</f>
        <v>13672.307602965995</v>
      </c>
      <c r="KT5" s="29">
        <f t="shared" ref="KT5:KT23" ca="1" si="345">(NORMINV(RAND(),$E$2,$G$2)+1)*KT4</f>
        <v>14388.55303571014</v>
      </c>
      <c r="KU5" s="29">
        <f t="shared" ref="KU5:KU23" ca="1" si="346">(NORMINV(RAND(),$E$2,$G$2)+1)*KU4</f>
        <v>13999.282224553106</v>
      </c>
      <c r="KV5" s="29">
        <f t="shared" ref="KV5:KV23" ca="1" si="347">(NORMINV(RAND(),$E$2,$G$2)+1)*KV4</f>
        <v>14068.484075055392</v>
      </c>
      <c r="KW5" s="29">
        <f t="shared" ref="KW5:KW23" ca="1" si="348">(NORMINV(RAND(),$E$2,$G$2)+1)*KW4</f>
        <v>14454.814098026656</v>
      </c>
      <c r="KX5" s="29">
        <f t="shared" ref="KX5:KX23" ca="1" si="349">(NORMINV(RAND(),$E$2,$G$2)+1)*KX4</f>
        <v>14091.621080177596</v>
      </c>
      <c r="KY5" s="29">
        <f t="shared" ref="KY5:KY23" ca="1" si="350">(NORMINV(RAND(),$E$2,$G$2)+1)*KY4</f>
        <v>14420.599924469219</v>
      </c>
      <c r="KZ5" s="29">
        <f t="shared" ref="KZ5:KZ23" ca="1" si="351">(NORMINV(RAND(),$E$2,$G$2)+1)*KZ4</f>
        <v>14471.285080921067</v>
      </c>
      <c r="LA5" s="29">
        <f t="shared" ref="LA5:LA23" ca="1" si="352">(NORMINV(RAND(),$E$2,$G$2)+1)*LA4</f>
        <v>14827.681355117318</v>
      </c>
      <c r="LB5" s="29">
        <f t="shared" ref="LB5:LB23" ca="1" si="353">(NORMINV(RAND(),$E$2,$G$2)+1)*LB4</f>
        <v>14083.468990897158</v>
      </c>
      <c r="LC5" s="29">
        <f t="shared" ref="LC5:LC23" ca="1" si="354">(NORMINV(RAND(),$E$2,$G$2)+1)*LC4</f>
        <v>14028.16265059782</v>
      </c>
      <c r="LD5" s="29">
        <f t="shared" ref="LD5:LD23" ca="1" si="355">(NORMINV(RAND(),$E$2,$G$2)+1)*LD4</f>
        <v>14149.358241820899</v>
      </c>
      <c r="LE5" s="29">
        <f t="shared" ref="LE5:LE23" ca="1" si="356">(NORMINV(RAND(),$E$2,$G$2)+1)*LE4</f>
        <v>14278.237612282372</v>
      </c>
      <c r="LF5" s="29">
        <f t="shared" ref="LF5:LF23" ca="1" si="357">(NORMINV(RAND(),$E$2,$G$2)+1)*LF4</f>
        <v>14543.832898263043</v>
      </c>
      <c r="LG5" s="29">
        <f t="shared" ref="LG5:LG23" ca="1" si="358">(NORMINV(RAND(),$E$2,$G$2)+1)*LG4</f>
        <v>14308.455108399861</v>
      </c>
      <c r="LH5" s="29">
        <f t="shared" ref="LH5:LH23" ca="1" si="359">(NORMINV(RAND(),$E$2,$G$2)+1)*LH4</f>
        <v>14493.201772373233</v>
      </c>
      <c r="LI5" s="29">
        <f t="shared" ref="LI5:LI23" ca="1" si="360">(NORMINV(RAND(),$E$2,$G$2)+1)*LI4</f>
        <v>14391.105626769309</v>
      </c>
      <c r="LJ5" s="29">
        <f t="shared" ref="LJ5:LJ23" ca="1" si="361">(NORMINV(RAND(),$E$2,$G$2)+1)*LJ4</f>
        <v>14427.103753889749</v>
      </c>
      <c r="LK5" s="29">
        <f t="shared" ref="LK5:LK23" ca="1" si="362">(NORMINV(RAND(),$E$2,$G$2)+1)*LK4</f>
        <v>14150.097219600475</v>
      </c>
      <c r="LL5" s="29">
        <f t="shared" ref="LL5:LL23" ca="1" si="363">(NORMINV(RAND(),$E$2,$G$2)+1)*LL4</f>
        <v>14478.095602986927</v>
      </c>
      <c r="LM5" s="29">
        <f t="shared" ref="LM5:LM23" ca="1" si="364">(NORMINV(RAND(),$E$2,$G$2)+1)*LM4</f>
        <v>14355.706574974954</v>
      </c>
      <c r="LN5" s="29">
        <f t="shared" ref="LN5:LN23" ca="1" si="365">(NORMINV(RAND(),$E$2,$G$2)+1)*LN4</f>
        <v>14720.69370426665</v>
      </c>
      <c r="LO5" s="29">
        <f t="shared" ref="LO5:LO23" ca="1" si="366">(NORMINV(RAND(),$E$2,$G$2)+1)*LO4</f>
        <v>14096.79699169531</v>
      </c>
      <c r="LP5" s="29">
        <f t="shared" ref="LP5:LP23" ca="1" si="367">(NORMINV(RAND(),$E$2,$G$2)+1)*LP4</f>
        <v>14165.939366396427</v>
      </c>
      <c r="LQ5" s="29">
        <f t="shared" ref="LQ5:LQ23" ca="1" si="368">(NORMINV(RAND(),$E$2,$G$2)+1)*LQ4</f>
        <v>14401.699431964904</v>
      </c>
      <c r="LR5" s="29">
        <f t="shared" ref="LR5:LR23" ca="1" si="369">(NORMINV(RAND(),$E$2,$G$2)+1)*LR4</f>
        <v>14359.605447193253</v>
      </c>
      <c r="LS5" s="29">
        <f t="shared" ref="LS5:LS23" ca="1" si="370">(NORMINV(RAND(),$E$2,$G$2)+1)*LS4</f>
        <v>14211.693461273697</v>
      </c>
      <c r="LT5" s="29">
        <f t="shared" ref="LT5:LT23" ca="1" si="371">(NORMINV(RAND(),$E$2,$G$2)+1)*LT4</f>
        <v>13945.999782409048</v>
      </c>
      <c r="LU5" s="29">
        <f t="shared" ref="LU5:LU23" ca="1" si="372">(NORMINV(RAND(),$E$2,$G$2)+1)*LU4</f>
        <v>14434.304578893805</v>
      </c>
      <c r="LV5" s="29">
        <f t="shared" ref="LV5:LV23" ca="1" si="373">(NORMINV(RAND(),$E$2,$G$2)+1)*LV4</f>
        <v>14610.263512005542</v>
      </c>
      <c r="LW5" s="29">
        <f t="shared" ref="LW5:LW23" ca="1" si="374">(NORMINV(RAND(),$E$2,$G$2)+1)*LW4</f>
        <v>14724.89393733951</v>
      </c>
      <c r="LX5" s="29">
        <f t="shared" ref="LX5:LX23" ca="1" si="375">(NORMINV(RAND(),$E$2,$G$2)+1)*LX4</f>
        <v>14113.739587730613</v>
      </c>
      <c r="LY5" s="29">
        <f t="shared" ref="LY5:LY23" ca="1" si="376">(NORMINV(RAND(),$E$2,$G$2)+1)*LY4</f>
        <v>14668.121541984248</v>
      </c>
      <c r="LZ5" s="29">
        <f t="shared" ref="LZ5:LZ23" ca="1" si="377">(NORMINV(RAND(),$E$2,$G$2)+1)*LZ4</f>
        <v>14087.588998532181</v>
      </c>
      <c r="MA5" s="29">
        <f t="shared" ref="MA5:MA23" ca="1" si="378">(NORMINV(RAND(),$E$2,$G$2)+1)*MA4</f>
        <v>14128.745559777546</v>
      </c>
      <c r="MB5" s="29">
        <f t="shared" ref="MB5:MB23" ca="1" si="379">(NORMINV(RAND(),$E$2,$G$2)+1)*MB4</f>
        <v>14391.278603851522</v>
      </c>
      <c r="MC5" s="29">
        <f t="shared" ref="MC5:MC23" ca="1" si="380">(NORMINV(RAND(),$E$2,$G$2)+1)*MC4</f>
        <v>14706.133898841383</v>
      </c>
      <c r="MD5" s="29">
        <f t="shared" ref="MD5:MD23" ca="1" si="381">(NORMINV(RAND(),$E$2,$G$2)+1)*MD4</f>
        <v>14383.577746778083</v>
      </c>
      <c r="ME5" s="29">
        <f t="shared" ref="ME5:ME23" ca="1" si="382">(NORMINV(RAND(),$E$2,$G$2)+1)*ME4</f>
        <v>14189.615109955634</v>
      </c>
      <c r="MF5" s="29">
        <f t="shared" ref="MF5:MF23" ca="1" si="383">(NORMINV(RAND(),$E$2,$G$2)+1)*MF4</f>
        <v>14109.254333771878</v>
      </c>
      <c r="MG5" s="29">
        <f t="shared" ref="MG5:MG23" ca="1" si="384">(NORMINV(RAND(),$E$2,$G$2)+1)*MG4</f>
        <v>14437.215783096912</v>
      </c>
      <c r="MH5" s="29">
        <f t="shared" ref="MH5:MH23" ca="1" si="385">(NORMINV(RAND(),$E$2,$G$2)+1)*MH4</f>
        <v>14320.668219140845</v>
      </c>
      <c r="MI5" s="29">
        <f t="shared" ref="MI5:MI23" ca="1" si="386">(NORMINV(RAND(),$E$2,$G$2)+1)*MI4</f>
        <v>14403.950418693747</v>
      </c>
      <c r="MJ5" s="29">
        <f t="shared" ref="MJ5:MJ23" ca="1" si="387">(NORMINV(RAND(),$E$2,$G$2)+1)*MJ4</f>
        <v>14425.009871382117</v>
      </c>
      <c r="MK5" s="29">
        <f t="shared" ref="MK5:MK23" ca="1" si="388">(NORMINV(RAND(),$E$2,$G$2)+1)*MK4</f>
        <v>14672.225564170214</v>
      </c>
      <c r="ML5" s="29">
        <f t="shared" ref="ML5:ML23" ca="1" si="389">(NORMINV(RAND(),$E$2,$G$2)+1)*ML4</f>
        <v>14679.299091105564</v>
      </c>
      <c r="MM5" s="29">
        <f t="shared" ref="MM5:MM23" ca="1" si="390">(NORMINV(RAND(),$E$2,$G$2)+1)*MM4</f>
        <v>14586.415712496861</v>
      </c>
      <c r="MN5" s="29">
        <f t="shared" ref="MN5:MN23" ca="1" si="391">(NORMINV(RAND(),$E$2,$G$2)+1)*MN4</f>
        <v>14641.377855473531</v>
      </c>
      <c r="MO5" s="29">
        <f t="shared" ref="MO5:MO23" ca="1" si="392">(NORMINV(RAND(),$E$2,$G$2)+1)*MO4</f>
        <v>14665.286942098986</v>
      </c>
      <c r="MP5" s="29">
        <f t="shared" ref="MP5:MP23" ca="1" si="393">(NORMINV(RAND(),$E$2,$G$2)+1)*MP4</f>
        <v>14268.436480923123</v>
      </c>
      <c r="MQ5" s="29">
        <f t="shared" ref="MQ5:MQ23" ca="1" si="394">(NORMINV(RAND(),$E$2,$G$2)+1)*MQ4</f>
        <v>14489.119570461453</v>
      </c>
      <c r="MR5" s="29">
        <f t="shared" ref="MR5:MR23" ca="1" si="395">(NORMINV(RAND(),$E$2,$G$2)+1)*MR4</f>
        <v>14352.190860064393</v>
      </c>
      <c r="MS5" s="29">
        <f t="shared" ref="MS5:MS23" ca="1" si="396">(NORMINV(RAND(),$E$2,$G$2)+1)*MS4</f>
        <v>14322.936494491249</v>
      </c>
      <c r="MT5" s="29">
        <f t="shared" ref="MT5:MT23" ca="1" si="397">(NORMINV(RAND(),$E$2,$G$2)+1)*MT4</f>
        <v>14388.680542816463</v>
      </c>
      <c r="MU5" s="29">
        <f t="shared" ref="MU5:MU23" ca="1" si="398">(NORMINV(RAND(),$E$2,$G$2)+1)*MU4</f>
        <v>14521.793754557822</v>
      </c>
      <c r="MV5" s="29">
        <f t="shared" ref="MV5:MV23" ca="1" si="399">(NORMINV(RAND(),$E$2,$G$2)+1)*MV4</f>
        <v>14160.013249696784</v>
      </c>
      <c r="MW5" s="29">
        <f t="shared" ref="MW5:MW23" ca="1" si="400">(NORMINV(RAND(),$E$2,$G$2)+1)*MW4</f>
        <v>14415.951897273888</v>
      </c>
      <c r="MX5" s="29">
        <f t="shared" ref="MX5:MX23" ca="1" si="401">(NORMINV(RAND(),$E$2,$G$2)+1)*MX4</f>
        <v>14739.525628897509</v>
      </c>
      <c r="MY5" s="29">
        <f t="shared" ref="MY5:MY23" ca="1" si="402">(NORMINV(RAND(),$E$2,$G$2)+1)*MY4</f>
        <v>14489.266123102425</v>
      </c>
      <c r="MZ5" s="29">
        <f t="shared" ref="MZ5:MZ23" ca="1" si="403">(NORMINV(RAND(),$E$2,$G$2)+1)*MZ4</f>
        <v>14817.316420946961</v>
      </c>
      <c r="NA5" s="29">
        <f t="shared" ref="NA5:NA23" ca="1" si="404">(NORMINV(RAND(),$E$2,$G$2)+1)*NA4</f>
        <v>14527.08577437255</v>
      </c>
      <c r="NB5" s="29">
        <f t="shared" ref="NB5:NB23" ca="1" si="405">(NORMINV(RAND(),$E$2,$G$2)+1)*NB4</f>
        <v>14475.950252869638</v>
      </c>
      <c r="NC5" s="29">
        <f t="shared" ref="NC5:NC23" ca="1" si="406">(NORMINV(RAND(),$E$2,$G$2)+1)*NC4</f>
        <v>14148.03630617974</v>
      </c>
      <c r="ND5" s="29">
        <f t="shared" ref="ND5:ND23" ca="1" si="407">(NORMINV(RAND(),$E$2,$G$2)+1)*ND4</f>
        <v>14206.83993355201</v>
      </c>
      <c r="NE5" s="29">
        <f t="shared" ref="NE5:NE23" ca="1" si="408">(NORMINV(RAND(),$E$2,$G$2)+1)*NE4</f>
        <v>14627.483302002322</v>
      </c>
      <c r="NF5" s="29">
        <f t="shared" ref="NF5:NF23" ca="1" si="409">(NORMINV(RAND(),$E$2,$G$2)+1)*NF4</f>
        <v>14459.327874260271</v>
      </c>
      <c r="NG5" s="29">
        <f t="shared" ref="NG5:NG23" ca="1" si="410">(NORMINV(RAND(),$E$2,$G$2)+1)*NG4</f>
        <v>14358.961000325351</v>
      </c>
      <c r="NH5" s="29">
        <f t="shared" ref="NH5:NH23" ca="1" si="411">(NORMINV(RAND(),$E$2,$G$2)+1)*NH4</f>
        <v>14387.821578149393</v>
      </c>
      <c r="NI5" s="29">
        <f t="shared" ref="NI5:NI23" ca="1" si="412">(NORMINV(RAND(),$E$2,$G$2)+1)*NI4</f>
        <v>14371.196574512293</v>
      </c>
      <c r="NJ5" s="29">
        <f t="shared" ref="NJ5:NJ23" ca="1" si="413">(NORMINV(RAND(),$E$2,$G$2)+1)*NJ4</f>
        <v>14352.794655936374</v>
      </c>
      <c r="NK5" s="29">
        <f t="shared" ref="NK5:NK23" ca="1" si="414">(NORMINV(RAND(),$E$2,$G$2)+1)*NK4</f>
        <v>14647.07085609432</v>
      </c>
      <c r="NL5" s="29">
        <f t="shared" ref="NL5:NL23" ca="1" si="415">(NORMINV(RAND(),$E$2,$G$2)+1)*NL4</f>
        <v>14107.071133306363</v>
      </c>
      <c r="NM5" s="29">
        <f t="shared" ref="NM5:NM23" ca="1" si="416">(NORMINV(RAND(),$E$2,$G$2)+1)*NM4</f>
        <v>14582.371639506868</v>
      </c>
      <c r="NN5" s="29">
        <f t="shared" ref="NN5:NN23" ca="1" si="417">(NORMINV(RAND(),$E$2,$G$2)+1)*NN4</f>
        <v>14342.249252109124</v>
      </c>
      <c r="NO5" s="29">
        <f t="shared" ref="NO5:NO23" ca="1" si="418">(NORMINV(RAND(),$E$2,$G$2)+1)*NO4</f>
        <v>14183.607106607662</v>
      </c>
      <c r="NP5" s="29">
        <f t="shared" ref="NP5:NP23" ca="1" si="419">(NORMINV(RAND(),$E$2,$G$2)+1)*NP4</f>
        <v>13935.426234949675</v>
      </c>
      <c r="NQ5" s="29">
        <f t="shared" ref="NQ5:NQ23" ca="1" si="420">(NORMINV(RAND(),$E$2,$G$2)+1)*NQ4</f>
        <v>14280.295256151145</v>
      </c>
      <c r="NR5" s="29">
        <f t="shared" ref="NR5:NR23" ca="1" si="421">(NORMINV(RAND(),$E$2,$G$2)+1)*NR4</f>
        <v>14425.232288069472</v>
      </c>
      <c r="NS5" s="29">
        <f t="shared" ref="NS5:NS23" ca="1" si="422">(NORMINV(RAND(),$E$2,$G$2)+1)*NS4</f>
        <v>14378.308344153829</v>
      </c>
      <c r="NT5" s="29">
        <f t="shared" ref="NT5:NT23" ca="1" si="423">(NORMINV(RAND(),$E$2,$G$2)+1)*NT4</f>
        <v>14306.456025964926</v>
      </c>
      <c r="NU5" s="29">
        <f t="shared" ref="NU5:NU23" ca="1" si="424">(NORMINV(RAND(),$E$2,$G$2)+1)*NU4</f>
        <v>14527.726137264557</v>
      </c>
      <c r="NV5" s="29">
        <f t="shared" ref="NV5:NV23" ca="1" si="425">(NORMINV(RAND(),$E$2,$G$2)+1)*NV4</f>
        <v>14273.296941341481</v>
      </c>
      <c r="NW5" s="29">
        <f t="shared" ref="NW5:NW23" ca="1" si="426">(NORMINV(RAND(),$E$2,$G$2)+1)*NW4</f>
        <v>14035.569955567562</v>
      </c>
      <c r="NX5" s="29">
        <f t="shared" ref="NX5:NX23" ca="1" si="427">(NORMINV(RAND(),$E$2,$G$2)+1)*NX4</f>
        <v>14814.720852383183</v>
      </c>
      <c r="NY5" s="29">
        <f t="shared" ref="NY5:NY23" ca="1" si="428">(NORMINV(RAND(),$E$2,$G$2)+1)*NY4</f>
        <v>14111.431526268401</v>
      </c>
      <c r="NZ5" s="29">
        <f t="shared" ref="NZ5:NZ23" ca="1" si="429">(NORMINV(RAND(),$E$2,$G$2)+1)*NZ4</f>
        <v>14442.125235951335</v>
      </c>
      <c r="OA5" s="29">
        <f t="shared" ref="OA5:OA23" ca="1" si="430">(NORMINV(RAND(),$E$2,$G$2)+1)*OA4</f>
        <v>14393.400486953346</v>
      </c>
      <c r="OB5" s="29">
        <f t="shared" ref="OB5:OB23" ca="1" si="431">(NORMINV(RAND(),$E$2,$G$2)+1)*OB4</f>
        <v>14583.59625267005</v>
      </c>
      <c r="OC5" s="29">
        <f t="shared" ref="OC5:OC23" ca="1" si="432">(NORMINV(RAND(),$E$2,$G$2)+1)*OC4</f>
        <v>14103.701286271689</v>
      </c>
      <c r="OD5" s="29">
        <f t="shared" ref="OD5:OD23" ca="1" si="433">(NORMINV(RAND(),$E$2,$G$2)+1)*OD4</f>
        <v>14302.208002591233</v>
      </c>
      <c r="OE5" s="29">
        <f t="shared" ref="OE5:OE23" ca="1" si="434">(NORMINV(RAND(),$E$2,$G$2)+1)*OE4</f>
        <v>14710.228664919294</v>
      </c>
      <c r="OF5" s="29">
        <f t="shared" ref="OF5:OF23" ca="1" si="435">(NORMINV(RAND(),$E$2,$G$2)+1)*OF4</f>
        <v>14161.114937754188</v>
      </c>
      <c r="OG5" s="29">
        <f t="shared" ref="OG5:OG23" ca="1" si="436">(NORMINV(RAND(),$E$2,$G$2)+1)*OG4</f>
        <v>14608.624628782902</v>
      </c>
      <c r="OH5" s="29">
        <f t="shared" ref="OH5:OH23" ca="1" si="437">(NORMINV(RAND(),$E$2,$G$2)+1)*OH4</f>
        <v>14769.261765384477</v>
      </c>
      <c r="OI5" s="29">
        <f t="shared" ref="OI5:OI23" ca="1" si="438">(NORMINV(RAND(),$E$2,$G$2)+1)*OI4</f>
        <v>14016.049117453445</v>
      </c>
      <c r="OJ5" s="29">
        <f t="shared" ref="OJ5:OJ23" ca="1" si="439">(NORMINV(RAND(),$E$2,$G$2)+1)*OJ4</f>
        <v>14408.362194633897</v>
      </c>
      <c r="OK5" s="29">
        <f t="shared" ref="OK5:OK23" ca="1" si="440">(NORMINV(RAND(),$E$2,$G$2)+1)*OK4</f>
        <v>13736.511617565991</v>
      </c>
      <c r="OL5" s="29">
        <f t="shared" ref="OL5:OL23" ca="1" si="441">(NORMINV(RAND(),$E$2,$G$2)+1)*OL4</f>
        <v>14645.332572860321</v>
      </c>
      <c r="OM5" s="29">
        <f t="shared" ref="OM5:OM23" ca="1" si="442">(NORMINV(RAND(),$E$2,$G$2)+1)*OM4</f>
        <v>14097.744593580101</v>
      </c>
      <c r="ON5" s="29">
        <f t="shared" ref="ON5:ON23" ca="1" si="443">(NORMINV(RAND(),$E$2,$G$2)+1)*ON4</f>
        <v>14449.912930438457</v>
      </c>
      <c r="OO5" s="29">
        <f t="shared" ref="OO5:OO23" ca="1" si="444">(NORMINV(RAND(),$E$2,$G$2)+1)*OO4</f>
        <v>14233.06010233389</v>
      </c>
      <c r="OP5" s="29">
        <f t="shared" ref="OP5:OP23" ca="1" si="445">(NORMINV(RAND(),$E$2,$G$2)+1)*OP4</f>
        <v>14778.874833887687</v>
      </c>
      <c r="OQ5" s="29">
        <f t="shared" ref="OQ5:OQ23" ca="1" si="446">(NORMINV(RAND(),$E$2,$G$2)+1)*OQ4</f>
        <v>14174.707927353666</v>
      </c>
      <c r="OR5" s="29">
        <f t="shared" ref="OR5:OR23" ca="1" si="447">(NORMINV(RAND(),$E$2,$G$2)+1)*OR4</f>
        <v>14625.925095916928</v>
      </c>
      <c r="OS5" s="29">
        <f t="shared" ref="OS5:OS23" ca="1" si="448">(NORMINV(RAND(),$E$2,$G$2)+1)*OS4</f>
        <v>14041.697147591334</v>
      </c>
      <c r="OT5" s="29">
        <f t="shared" ref="OT5:OT23" ca="1" si="449">(NORMINV(RAND(),$E$2,$G$2)+1)*OT4</f>
        <v>14287.840206259949</v>
      </c>
      <c r="OU5" s="29">
        <f t="shared" ref="OU5:OU23" ca="1" si="450">(NORMINV(RAND(),$E$2,$G$2)+1)*OU4</f>
        <v>14616.275823165312</v>
      </c>
      <c r="OV5" s="29">
        <f t="shared" ref="OV5:OV23" ca="1" si="451">(NORMINV(RAND(),$E$2,$G$2)+1)*OV4</f>
        <v>14370.038990220257</v>
      </c>
      <c r="OW5" s="29">
        <f t="shared" ref="OW5:OW23" ca="1" si="452">(NORMINV(RAND(),$E$2,$G$2)+1)*OW4</f>
        <v>14505.890066564754</v>
      </c>
      <c r="OX5" s="29">
        <f t="shared" ref="OX5:OX23" ca="1" si="453">(NORMINV(RAND(),$E$2,$G$2)+1)*OX4</f>
        <v>14352.612274887701</v>
      </c>
      <c r="OY5" s="29">
        <f t="shared" ref="OY5:OY23" ca="1" si="454">(NORMINV(RAND(),$E$2,$G$2)+1)*OY4</f>
        <v>14504.230080691579</v>
      </c>
      <c r="OZ5" s="29">
        <f t="shared" ref="OZ5:OZ23" ca="1" si="455">(NORMINV(RAND(),$E$2,$G$2)+1)*OZ4</f>
        <v>14038.056437836058</v>
      </c>
      <c r="PA5" s="29">
        <f t="shared" ref="PA5:PA23" ca="1" si="456">(NORMINV(RAND(),$E$2,$G$2)+1)*PA4</f>
        <v>14162.465765185645</v>
      </c>
      <c r="PB5" s="29">
        <f t="shared" ref="PB5:PB23" ca="1" si="457">(NORMINV(RAND(),$E$2,$G$2)+1)*PB4</f>
        <v>14315.70181730321</v>
      </c>
      <c r="PC5" s="29">
        <f t="shared" ref="PC5:PC23" ca="1" si="458">(NORMINV(RAND(),$E$2,$G$2)+1)*PC4</f>
        <v>14013.248367021246</v>
      </c>
      <c r="PD5" s="29">
        <f t="shared" ref="PD5:PD23" ca="1" si="459">(NORMINV(RAND(),$E$2,$G$2)+1)*PD4</f>
        <v>14615.796533051211</v>
      </c>
      <c r="PE5" s="29">
        <f t="shared" ref="PE5:PE23" ca="1" si="460">(NORMINV(RAND(),$E$2,$G$2)+1)*PE4</f>
        <v>14261.138399741476</v>
      </c>
      <c r="PF5" s="29">
        <f t="shared" ref="PF5:PF23" ca="1" si="461">(NORMINV(RAND(),$E$2,$G$2)+1)*PF4</f>
        <v>14356.860738930491</v>
      </c>
      <c r="PG5" s="29">
        <f t="shared" ref="PG5:PG23" ca="1" si="462">(NORMINV(RAND(),$E$2,$G$2)+1)*PG4</f>
        <v>14244.962391701891</v>
      </c>
      <c r="PH5" s="29">
        <f t="shared" ref="PH5:PH23" ca="1" si="463">(NORMINV(RAND(),$E$2,$G$2)+1)*PH4</f>
        <v>14318.68459790288</v>
      </c>
      <c r="PI5" s="29">
        <f t="shared" ref="PI5:PI23" ca="1" si="464">(NORMINV(RAND(),$E$2,$G$2)+1)*PI4</f>
        <v>13930.993885107549</v>
      </c>
      <c r="PJ5" s="29">
        <f t="shared" ref="PJ5:PJ23" ca="1" si="465">(NORMINV(RAND(),$E$2,$G$2)+1)*PJ4</f>
        <v>14359.517883928818</v>
      </c>
      <c r="PK5" s="29">
        <f t="shared" ref="PK5:PK23" ca="1" si="466">(NORMINV(RAND(),$E$2,$G$2)+1)*PK4</f>
        <v>14238.194332884543</v>
      </c>
      <c r="PL5" s="29">
        <f t="shared" ref="PL5:PL23" ca="1" si="467">(NORMINV(RAND(),$E$2,$G$2)+1)*PL4</f>
        <v>14153.463476273191</v>
      </c>
      <c r="PM5" s="29">
        <f t="shared" ref="PM5:PM23" ca="1" si="468">(NORMINV(RAND(),$E$2,$G$2)+1)*PM4</f>
        <v>14529.900800010551</v>
      </c>
      <c r="PN5" s="29">
        <f t="shared" ref="PN5:PN23" ca="1" si="469">(NORMINV(RAND(),$E$2,$G$2)+1)*PN4</f>
        <v>14447.953575958089</v>
      </c>
      <c r="PO5" s="29">
        <f t="shared" ref="PO5:PO23" ca="1" si="470">(NORMINV(RAND(),$E$2,$G$2)+1)*PO4</f>
        <v>14312.674230314436</v>
      </c>
      <c r="PP5" s="29">
        <f t="shared" ref="PP5:PP23" ca="1" si="471">(NORMINV(RAND(),$E$2,$G$2)+1)*PP4</f>
        <v>14546.685097341617</v>
      </c>
      <c r="PQ5" s="29">
        <f t="shared" ref="PQ5:PQ23" ca="1" si="472">(NORMINV(RAND(),$E$2,$G$2)+1)*PQ4</f>
        <v>14325.138376261153</v>
      </c>
      <c r="PR5" s="29">
        <f t="shared" ref="PR5:PR23" ca="1" si="473">(NORMINV(RAND(),$E$2,$G$2)+1)*PR4</f>
        <v>14287.310435441172</v>
      </c>
      <c r="PS5" s="29">
        <f t="shared" ref="PS5:PS23" ca="1" si="474">(NORMINV(RAND(),$E$2,$G$2)+1)*PS4</f>
        <v>14470.894720001177</v>
      </c>
      <c r="PT5" s="29">
        <f t="shared" ref="PT5:PT23" ca="1" si="475">(NORMINV(RAND(),$E$2,$G$2)+1)*PT4</f>
        <v>14532.158491447079</v>
      </c>
      <c r="PU5" s="29">
        <f t="shared" ref="PU5:PU23" ca="1" si="476">(NORMINV(RAND(),$E$2,$G$2)+1)*PU4</f>
        <v>14194.303936686167</v>
      </c>
      <c r="PV5" s="29">
        <f t="shared" ref="PV5:PV23" ca="1" si="477">(NORMINV(RAND(),$E$2,$G$2)+1)*PV4</f>
        <v>14470.616665509338</v>
      </c>
      <c r="PW5" s="29">
        <f t="shared" ref="PW5:PW23" ca="1" si="478">(NORMINV(RAND(),$E$2,$G$2)+1)*PW4</f>
        <v>14209.417678307969</v>
      </c>
      <c r="PX5" s="29">
        <f t="shared" ref="PX5:PX23" ca="1" si="479">(NORMINV(RAND(),$E$2,$G$2)+1)*PX4</f>
        <v>14517.205491298617</v>
      </c>
      <c r="PY5" s="29">
        <f t="shared" ref="PY5:PY23" ca="1" si="480">(NORMINV(RAND(),$E$2,$G$2)+1)*PY4</f>
        <v>14229.841021093236</v>
      </c>
      <c r="PZ5" s="29">
        <f t="shared" ref="PZ5:PZ23" ca="1" si="481">(NORMINV(RAND(),$E$2,$G$2)+1)*PZ4</f>
        <v>14079.82446530997</v>
      </c>
      <c r="QA5" s="29">
        <f t="shared" ref="QA5:QA23" ca="1" si="482">(NORMINV(RAND(),$E$2,$G$2)+1)*QA4</f>
        <v>14590.511057357886</v>
      </c>
      <c r="QB5" s="29">
        <f t="shared" ref="QB5:QB23" ca="1" si="483">(NORMINV(RAND(),$E$2,$G$2)+1)*QB4</f>
        <v>14667.461227550837</v>
      </c>
      <c r="QC5" s="29">
        <f t="shared" ref="QC5:QC23" ca="1" si="484">(NORMINV(RAND(),$E$2,$G$2)+1)*QC4</f>
        <v>14169.701921462683</v>
      </c>
      <c r="QD5" s="29">
        <f t="shared" ref="QD5:QD23" ca="1" si="485">(NORMINV(RAND(),$E$2,$G$2)+1)*QD4</f>
        <v>14519.107034180117</v>
      </c>
      <c r="QE5" s="29">
        <f t="shared" ref="QE5:QE23" ca="1" si="486">(NORMINV(RAND(),$E$2,$G$2)+1)*QE4</f>
        <v>14597.808109472819</v>
      </c>
      <c r="QF5" s="29">
        <f t="shared" ref="QF5:QF23" ca="1" si="487">(NORMINV(RAND(),$E$2,$G$2)+1)*QF4</f>
        <v>14497.654323104562</v>
      </c>
      <c r="QG5" s="29">
        <f t="shared" ref="QG5:QG23" ca="1" si="488">(NORMINV(RAND(),$E$2,$G$2)+1)*QG4</f>
        <v>14563.000969437557</v>
      </c>
      <c r="QH5" s="29">
        <f t="shared" ref="QH5:QH23" ca="1" si="489">(NORMINV(RAND(),$E$2,$G$2)+1)*QH4</f>
        <v>14942.010783187225</v>
      </c>
      <c r="QI5" s="29">
        <f t="shared" ref="QI5:QI23" ca="1" si="490">(NORMINV(RAND(),$E$2,$G$2)+1)*QI4</f>
        <v>14846.879249708323</v>
      </c>
      <c r="QJ5" s="29">
        <f t="shared" ref="QJ5:QJ23" ca="1" si="491">(NORMINV(RAND(),$E$2,$G$2)+1)*QJ4</f>
        <v>14346.059655683121</v>
      </c>
      <c r="QK5" s="29">
        <f t="shared" ref="QK5:QK23" ca="1" si="492">(NORMINV(RAND(),$E$2,$G$2)+1)*QK4</f>
        <v>14541.569610758052</v>
      </c>
      <c r="QL5" s="29">
        <f t="shared" ref="QL5:QL23" ca="1" si="493">(NORMINV(RAND(),$E$2,$G$2)+1)*QL4</f>
        <v>14546.624553923604</v>
      </c>
      <c r="QM5" s="29">
        <f t="shared" ref="QM5:QM23" ca="1" si="494">(NORMINV(RAND(),$E$2,$G$2)+1)*QM4</f>
        <v>13982.579614695054</v>
      </c>
      <c r="QN5" s="29">
        <f t="shared" ref="QN5:QN23" ca="1" si="495">(NORMINV(RAND(),$E$2,$G$2)+1)*QN4</f>
        <v>14457.627347070606</v>
      </c>
      <c r="QO5" s="29">
        <f t="shared" ref="QO5:QO23" ca="1" si="496">(NORMINV(RAND(),$E$2,$G$2)+1)*QO4</f>
        <v>14628.371530538996</v>
      </c>
      <c r="QP5" s="29">
        <f t="shared" ref="QP5:QP23" ca="1" si="497">(NORMINV(RAND(),$E$2,$G$2)+1)*QP4</f>
        <v>14338.642305564777</v>
      </c>
      <c r="QQ5" s="29">
        <f t="shared" ref="QQ5:QQ23" ca="1" si="498">(NORMINV(RAND(),$E$2,$G$2)+1)*QQ4</f>
        <v>14349.034825781444</v>
      </c>
      <c r="QR5" s="29">
        <f t="shared" ref="QR5:QR23" ca="1" si="499">(NORMINV(RAND(),$E$2,$G$2)+1)*QR4</f>
        <v>14265.225614814613</v>
      </c>
      <c r="QS5" s="29">
        <f t="shared" ref="QS5:QS23" ca="1" si="500">(NORMINV(RAND(),$E$2,$G$2)+1)*QS4</f>
        <v>14716.4883846301</v>
      </c>
      <c r="QT5" s="29">
        <f t="shared" ref="QT5:QT23" ca="1" si="501">(NORMINV(RAND(),$E$2,$G$2)+1)*QT4</f>
        <v>14451.026368838537</v>
      </c>
      <c r="QU5" s="29">
        <f t="shared" ref="QU5:QU23" ca="1" si="502">(NORMINV(RAND(),$E$2,$G$2)+1)*QU4</f>
        <v>14281.598433012266</v>
      </c>
      <c r="QV5" s="29">
        <f t="shared" ref="QV5:QV23" ca="1" si="503">(NORMINV(RAND(),$E$2,$G$2)+1)*QV4</f>
        <v>14514.717380735876</v>
      </c>
      <c r="QW5" s="29">
        <f t="shared" ref="QW5:QW23" ca="1" si="504">(NORMINV(RAND(),$E$2,$G$2)+1)*QW4</f>
        <v>14341.282204882771</v>
      </c>
      <c r="QX5" s="29">
        <f t="shared" ref="QX5:QX23" ca="1" si="505">(NORMINV(RAND(),$E$2,$G$2)+1)*QX4</f>
        <v>14192.121948321805</v>
      </c>
      <c r="QY5" s="29">
        <f t="shared" ref="QY5:QY23" ca="1" si="506">(NORMINV(RAND(),$E$2,$G$2)+1)*QY4</f>
        <v>14420.952553165243</v>
      </c>
      <c r="QZ5" s="29">
        <f t="shared" ref="QZ5:QZ23" ca="1" si="507">(NORMINV(RAND(),$E$2,$G$2)+1)*QZ4</f>
        <v>14082.341747962731</v>
      </c>
      <c r="RA5" s="29">
        <f t="shared" ref="RA5:RA23" ca="1" si="508">(NORMINV(RAND(),$E$2,$G$2)+1)*RA4</f>
        <v>13928.059925159718</v>
      </c>
      <c r="RB5" s="29">
        <f t="shared" ref="RB5:RB23" ca="1" si="509">(NORMINV(RAND(),$E$2,$G$2)+1)*RB4</f>
        <v>14242.80812745099</v>
      </c>
      <c r="RC5" s="29">
        <f t="shared" ref="RC5:RC23" ca="1" si="510">(NORMINV(RAND(),$E$2,$G$2)+1)*RC4</f>
        <v>14028.330610138557</v>
      </c>
      <c r="RD5" s="29">
        <f t="shared" ref="RD5:RD23" ca="1" si="511">(NORMINV(RAND(),$E$2,$G$2)+1)*RD4</f>
        <v>14484.802152777456</v>
      </c>
      <c r="RE5" s="29">
        <f t="shared" ref="RE5:RE23" ca="1" si="512">(NORMINV(RAND(),$E$2,$G$2)+1)*RE4</f>
        <v>14234.353805289338</v>
      </c>
      <c r="RF5" s="29">
        <f t="shared" ref="RF5:RF23" ca="1" si="513">(NORMINV(RAND(),$E$2,$G$2)+1)*RF4</f>
        <v>14693.856179192091</v>
      </c>
      <c r="RG5" s="29">
        <f t="shared" ref="RG5:RG23" ca="1" si="514">(NORMINV(RAND(),$E$2,$G$2)+1)*RG4</f>
        <v>14304.678093805262</v>
      </c>
      <c r="RH5" s="29">
        <f t="shared" ref="RH5:RH23" ca="1" si="515">(NORMINV(RAND(),$E$2,$G$2)+1)*RH4</f>
        <v>14268.614286049435</v>
      </c>
      <c r="RI5" s="29">
        <f t="shared" ref="RI5:RI23" ca="1" si="516">(NORMINV(RAND(),$E$2,$G$2)+1)*RI4</f>
        <v>14230.558964793017</v>
      </c>
      <c r="RJ5" s="29">
        <f t="shared" ref="RJ5:RJ23" ca="1" si="517">(NORMINV(RAND(),$E$2,$G$2)+1)*RJ4</f>
        <v>14250.874870436362</v>
      </c>
      <c r="RK5" s="29">
        <f t="shared" ref="RK5:RK23" ca="1" si="518">(NORMINV(RAND(),$E$2,$G$2)+1)*RK4</f>
        <v>14031.052228729279</v>
      </c>
      <c r="RL5" s="29">
        <f t="shared" ref="RL5:RL23" ca="1" si="519">(NORMINV(RAND(),$E$2,$G$2)+1)*RL4</f>
        <v>14393.251676539887</v>
      </c>
      <c r="RM5" s="29">
        <f t="shared" ref="RM5:RM23" ca="1" si="520">(NORMINV(RAND(),$E$2,$G$2)+1)*RM4</f>
        <v>14857.369422156216</v>
      </c>
      <c r="RN5" s="29">
        <f t="shared" ref="RN5:RN23" ca="1" si="521">(NORMINV(RAND(),$E$2,$G$2)+1)*RN4</f>
        <v>14184.48063174762</v>
      </c>
      <c r="RO5" s="29">
        <f t="shared" ref="RO5:RO23" ca="1" si="522">(NORMINV(RAND(),$E$2,$G$2)+1)*RO4</f>
        <v>14636.434769999685</v>
      </c>
      <c r="RP5" s="29">
        <f t="shared" ref="RP5:RP23" ca="1" si="523">(NORMINV(RAND(),$E$2,$G$2)+1)*RP4</f>
        <v>14700.815932405696</v>
      </c>
      <c r="RQ5" s="29">
        <f t="shared" ref="RQ5:RQ23" ca="1" si="524">(NORMINV(RAND(),$E$2,$G$2)+1)*RQ4</f>
        <v>14902.490876471908</v>
      </c>
      <c r="RR5" s="29">
        <f t="shared" ref="RR5:RR23" ca="1" si="525">(NORMINV(RAND(),$E$2,$G$2)+1)*RR4</f>
        <v>14354.208498866257</v>
      </c>
      <c r="RS5" s="29">
        <f t="shared" ref="RS5:RS23" ca="1" si="526">(NORMINV(RAND(),$E$2,$G$2)+1)*RS4</f>
        <v>14457.730738147495</v>
      </c>
      <c r="RT5" s="29">
        <f t="shared" ref="RT5:RT23" ca="1" si="527">(NORMINV(RAND(),$E$2,$G$2)+1)*RT4</f>
        <v>14793.706232036624</v>
      </c>
      <c r="RU5" s="29">
        <f t="shared" ref="RU5:RU23" ca="1" si="528">(NORMINV(RAND(),$E$2,$G$2)+1)*RU4</f>
        <v>14201.453638056484</v>
      </c>
      <c r="RV5" s="29">
        <f t="shared" ref="RV5:RV23" ca="1" si="529">(NORMINV(RAND(),$E$2,$G$2)+1)*RV4</f>
        <v>14328.472444551964</v>
      </c>
      <c r="RW5" s="29">
        <f t="shared" ref="RW5:RW23" ca="1" si="530">(NORMINV(RAND(),$E$2,$G$2)+1)*RW4</f>
        <v>14857.235492984564</v>
      </c>
      <c r="RX5" s="29">
        <f t="shared" ref="RX5:RX23" ca="1" si="531">(NORMINV(RAND(),$E$2,$G$2)+1)*RX4</f>
        <v>14273.653347247047</v>
      </c>
      <c r="RY5" s="29">
        <f t="shared" ref="RY5:RY23" ca="1" si="532">(NORMINV(RAND(),$E$2,$G$2)+1)*RY4</f>
        <v>14287.133010446645</v>
      </c>
      <c r="RZ5" s="29">
        <f t="shared" ref="RZ5:RZ23" ca="1" si="533">(NORMINV(RAND(),$E$2,$G$2)+1)*RZ4</f>
        <v>14364.590129544624</v>
      </c>
      <c r="SA5" s="29">
        <f t="shared" ref="SA5:SA23" ca="1" si="534">(NORMINV(RAND(),$E$2,$G$2)+1)*SA4</f>
        <v>14488.963499054857</v>
      </c>
      <c r="SB5" s="29">
        <f t="shared" ref="SB5:SB23" ca="1" si="535">(NORMINV(RAND(),$E$2,$G$2)+1)*SB4</f>
        <v>14181.503386418848</v>
      </c>
      <c r="SC5" s="29">
        <f t="shared" ref="SC5:SC23" ca="1" si="536">(NORMINV(RAND(),$E$2,$G$2)+1)*SC4</f>
        <v>14723.103323578063</v>
      </c>
      <c r="SD5" s="29">
        <f t="shared" ref="SD5:SD23" ca="1" si="537">(NORMINV(RAND(),$E$2,$G$2)+1)*SD4</f>
        <v>14227.774056589391</v>
      </c>
      <c r="SE5" s="29">
        <f t="shared" ref="SE5:SE23" ca="1" si="538">(NORMINV(RAND(),$E$2,$G$2)+1)*SE4</f>
        <v>14471.045104085775</v>
      </c>
      <c r="SF5" s="29">
        <f t="shared" ref="SF5:SF23" ca="1" si="539">(NORMINV(RAND(),$E$2,$G$2)+1)*SF4</f>
        <v>14220.318090425655</v>
      </c>
      <c r="SG5" s="29">
        <f t="shared" ref="SG5:SG23" ca="1" si="540">(NORMINV(RAND(),$E$2,$G$2)+1)*SG4</f>
        <v>14806.667831650955</v>
      </c>
      <c r="SH5" s="29">
        <f t="shared" ref="SH5:SH23" ca="1" si="541">(NORMINV(RAND(),$E$2,$G$2)+1)*SH4</f>
        <v>15114.307293465819</v>
      </c>
      <c r="SI5" s="29">
        <f t="shared" ref="SI5:SI23" ca="1" si="542">(NORMINV(RAND(),$E$2,$G$2)+1)*SI4</f>
        <v>14027.012923621895</v>
      </c>
      <c r="SJ5" s="29">
        <f t="shared" ref="SJ5:SJ23" ca="1" si="543">(NORMINV(RAND(),$E$2,$G$2)+1)*SJ4</f>
        <v>14096.904599210839</v>
      </c>
      <c r="SK5" s="29">
        <f t="shared" ref="SK5:SK23" ca="1" si="544">(NORMINV(RAND(),$E$2,$G$2)+1)*SK4</f>
        <v>14720.633034222508</v>
      </c>
      <c r="SL5" s="29">
        <f t="shared" ref="SL5:SL23" ca="1" si="545">(NORMINV(RAND(),$E$2,$G$2)+1)*SL4</f>
        <v>14482.000424181624</v>
      </c>
      <c r="SM5" s="29">
        <f t="shared" ref="SM5:SM23" ca="1" si="546">(NORMINV(RAND(),$E$2,$G$2)+1)*SM4</f>
        <v>14520.58798865099</v>
      </c>
      <c r="SN5" s="29">
        <f t="shared" ref="SN5:SN23" ca="1" si="547">(NORMINV(RAND(),$E$2,$G$2)+1)*SN4</f>
        <v>14146.134094545465</v>
      </c>
      <c r="SO5" s="29">
        <f t="shared" ref="SO5:SO23" ca="1" si="548">(NORMINV(RAND(),$E$2,$G$2)+1)*SO4</f>
        <v>14305.398315274699</v>
      </c>
      <c r="SP5" s="29">
        <f t="shared" ref="SP5:SP23" ca="1" si="549">(NORMINV(RAND(),$E$2,$G$2)+1)*SP4</f>
        <v>14593.600922842343</v>
      </c>
      <c r="SQ5" s="29">
        <f t="shared" ref="SQ5:SQ23" ca="1" si="550">(NORMINV(RAND(),$E$2,$G$2)+1)*SQ4</f>
        <v>14264.519586832022</v>
      </c>
      <c r="SR5" s="29">
        <f t="shared" ref="SR5:SR23" ca="1" si="551">(NORMINV(RAND(),$E$2,$G$2)+1)*SR4</f>
        <v>14242.665007760561</v>
      </c>
      <c r="SS5" s="29">
        <f t="shared" ref="SS5:SS23" ca="1" si="552">(NORMINV(RAND(),$E$2,$G$2)+1)*SS4</f>
        <v>14293.905380176264</v>
      </c>
      <c r="ST5" s="29">
        <f t="shared" ref="ST5:ST23" ca="1" si="553">(NORMINV(RAND(),$E$2,$G$2)+1)*ST4</f>
        <v>14257.150746432966</v>
      </c>
      <c r="SU5" s="29">
        <f t="shared" ref="SU5:SU23" ca="1" si="554">(NORMINV(RAND(),$E$2,$G$2)+1)*SU4</f>
        <v>14794.206151601504</v>
      </c>
      <c r="SV5" s="29">
        <f t="shared" ref="SV5:SV23" ca="1" si="555">(NORMINV(RAND(),$E$2,$G$2)+1)*SV4</f>
        <v>14205.096225616941</v>
      </c>
      <c r="SW5" s="29">
        <f t="shared" ref="SW5:SW23" ca="1" si="556">(NORMINV(RAND(),$E$2,$G$2)+1)*SW4</f>
        <v>14305.318683947056</v>
      </c>
      <c r="SX5" s="29">
        <f t="shared" ref="SX5:SX23" ca="1" si="557">(NORMINV(RAND(),$E$2,$G$2)+1)*SX4</f>
        <v>14266.887006650655</v>
      </c>
      <c r="SY5" s="29">
        <f t="shared" ref="SY5:SY23" ca="1" si="558">(NORMINV(RAND(),$E$2,$G$2)+1)*SY4</f>
        <v>14058.785193917309</v>
      </c>
      <c r="SZ5" s="29">
        <f t="shared" ref="SZ5:SZ23" ca="1" si="559">(NORMINV(RAND(),$E$2,$G$2)+1)*SZ4</f>
        <v>14537.843081510675</v>
      </c>
      <c r="TA5" s="29">
        <f t="shared" ref="TA5:TA23" ca="1" si="560">(NORMINV(RAND(),$E$2,$G$2)+1)*TA4</f>
        <v>14464.533966879078</v>
      </c>
      <c r="TB5" s="29">
        <f t="shared" ref="TB5:TB23" ca="1" si="561">(NORMINV(RAND(),$E$2,$G$2)+1)*TB4</f>
        <v>14362.34687439855</v>
      </c>
      <c r="TC5" s="29">
        <f t="shared" ref="TC5:TC23" ca="1" si="562">(NORMINV(RAND(),$E$2,$G$2)+1)*TC4</f>
        <v>14432.686429888174</v>
      </c>
      <c r="TD5" s="29">
        <f t="shared" ref="TD5:TD23" ca="1" si="563">(NORMINV(RAND(),$E$2,$G$2)+1)*TD4</f>
        <v>14012.809842497922</v>
      </c>
      <c r="TE5" s="29">
        <f t="shared" ref="TE5:TE23" ca="1" si="564">(NORMINV(RAND(),$E$2,$G$2)+1)*TE4</f>
        <v>14099.30385233074</v>
      </c>
      <c r="TF5" s="29">
        <f t="shared" ref="TF5:TF23" ca="1" si="565">(NORMINV(RAND(),$E$2,$G$2)+1)*TF4</f>
        <v>14089.967744850916</v>
      </c>
      <c r="TG5" s="29">
        <f t="shared" ref="TG5:TG23" ca="1" si="566">(NORMINV(RAND(),$E$2,$G$2)+1)*TG4</f>
        <v>14101.647866422309</v>
      </c>
      <c r="TH5" s="29">
        <f t="shared" ref="TH5:TH23" ca="1" si="567">(NORMINV(RAND(),$E$2,$G$2)+1)*TH4</f>
        <v>14248.077110165514</v>
      </c>
      <c r="TI5" s="29">
        <f t="shared" ref="TI5:TI23" ca="1" si="568">(NORMINV(RAND(),$E$2,$G$2)+1)*TI4</f>
        <v>14219.041306060595</v>
      </c>
      <c r="TJ5" s="29">
        <f t="shared" ref="TJ5:TJ23" ca="1" si="569">(NORMINV(RAND(),$E$2,$G$2)+1)*TJ4</f>
        <v>14152.892856666886</v>
      </c>
      <c r="TK5" s="29">
        <f t="shared" ref="TK5:TK23" ca="1" si="570">(NORMINV(RAND(),$E$2,$G$2)+1)*TK4</f>
        <v>14179.723661431999</v>
      </c>
      <c r="TL5" s="29">
        <f t="shared" ref="TL5:TL23" ca="1" si="571">(NORMINV(RAND(),$E$2,$G$2)+1)*TL4</f>
        <v>14774.865478408656</v>
      </c>
      <c r="TM5" s="29">
        <f t="shared" ref="TM5:TM23" ca="1" si="572">(NORMINV(RAND(),$E$2,$G$2)+1)*TM4</f>
        <v>14150.979731803773</v>
      </c>
      <c r="TN5" s="29">
        <f t="shared" ref="TN5:TN23" ca="1" si="573">(NORMINV(RAND(),$E$2,$G$2)+1)*TN4</f>
        <v>14291.814142632526</v>
      </c>
      <c r="TO5" s="29">
        <f t="shared" ref="TO5:TO23" ca="1" si="574">(NORMINV(RAND(),$E$2,$G$2)+1)*TO4</f>
        <v>14453.765216998001</v>
      </c>
      <c r="TP5" s="29">
        <f t="shared" ref="TP5:TP23" ca="1" si="575">(NORMINV(RAND(),$E$2,$G$2)+1)*TP4</f>
        <v>14599.153673745472</v>
      </c>
      <c r="TQ5" s="29">
        <f t="shared" ref="TQ5:TQ23" ca="1" si="576">(NORMINV(RAND(),$E$2,$G$2)+1)*TQ4</f>
        <v>14414.631787171167</v>
      </c>
      <c r="TR5" s="29">
        <f t="shared" ref="TR5:TR23" ca="1" si="577">(NORMINV(RAND(),$E$2,$G$2)+1)*TR4</f>
        <v>14544.163820361808</v>
      </c>
      <c r="TS5" s="29">
        <f t="shared" ref="TS5:TS23" ca="1" si="578">(NORMINV(RAND(),$E$2,$G$2)+1)*TS4</f>
        <v>14660.838676552286</v>
      </c>
      <c r="TT5" s="29">
        <f t="shared" ref="TT5:TT23" ca="1" si="579">(NORMINV(RAND(),$E$2,$G$2)+1)*TT4</f>
        <v>14525.91112199909</v>
      </c>
      <c r="TU5" s="29">
        <f t="shared" ref="TU5:TU23" ca="1" si="580">(NORMINV(RAND(),$E$2,$G$2)+1)*TU4</f>
        <v>14564.402837835241</v>
      </c>
      <c r="TV5" s="29">
        <f t="shared" ref="TV5:TV23" ca="1" si="581">(NORMINV(RAND(),$E$2,$G$2)+1)*TV4</f>
        <v>14179.956852600819</v>
      </c>
      <c r="TW5" s="29">
        <f t="shared" ref="TW5:TW23" ca="1" si="582">(NORMINV(RAND(),$E$2,$G$2)+1)*TW4</f>
        <v>14492.338768637304</v>
      </c>
      <c r="TX5" s="29">
        <f t="shared" ref="TX5:TX23" ca="1" si="583">(NORMINV(RAND(),$E$2,$G$2)+1)*TX4</f>
        <v>14270.886211579433</v>
      </c>
      <c r="TY5" s="29">
        <f t="shared" ref="TY5:TY23" ca="1" si="584">(NORMINV(RAND(),$E$2,$G$2)+1)*TY4</f>
        <v>14672.945995430813</v>
      </c>
      <c r="TZ5" s="29">
        <f t="shared" ref="TZ5:TZ23" ca="1" si="585">(NORMINV(RAND(),$E$2,$G$2)+1)*TZ4</f>
        <v>14380.494137468366</v>
      </c>
      <c r="UA5" s="29">
        <f t="shared" ref="UA5:UA23" ca="1" si="586">(NORMINV(RAND(),$E$2,$G$2)+1)*UA4</f>
        <v>13957.915652820369</v>
      </c>
      <c r="UB5" s="29">
        <f t="shared" ref="UB5:UB23" ca="1" si="587">(NORMINV(RAND(),$E$2,$G$2)+1)*UB4</f>
        <v>14521.838702855352</v>
      </c>
      <c r="UC5" s="29">
        <f t="shared" ref="UC5:UC23" ca="1" si="588">(NORMINV(RAND(),$E$2,$G$2)+1)*UC4</f>
        <v>14384.54716145503</v>
      </c>
      <c r="UD5" s="29">
        <f t="shared" ref="UD5:UD23" ca="1" si="589">(NORMINV(RAND(),$E$2,$G$2)+1)*UD4</f>
        <v>14512.598121538866</v>
      </c>
      <c r="UE5" s="29">
        <f t="shared" ref="UE5:UE23" ca="1" si="590">(NORMINV(RAND(),$E$2,$G$2)+1)*UE4</f>
        <v>14283.175467992925</v>
      </c>
      <c r="UF5" s="29">
        <f t="shared" ref="UF5:UF23" ca="1" si="591">(NORMINV(RAND(),$E$2,$G$2)+1)*UF4</f>
        <v>14216.110142262305</v>
      </c>
      <c r="UG5" s="29">
        <f t="shared" ref="UG5:UG23" ca="1" si="592">(NORMINV(RAND(),$E$2,$G$2)+1)*UG4</f>
        <v>14099.053795641565</v>
      </c>
      <c r="UH5" s="29">
        <f t="shared" ref="UH5:UH23" ca="1" si="593">(NORMINV(RAND(),$E$2,$G$2)+1)*UH4</f>
        <v>14292.170130109385</v>
      </c>
      <c r="UI5" s="29">
        <f t="shared" ref="UI5:UI23" ca="1" si="594">(NORMINV(RAND(),$E$2,$G$2)+1)*UI4</f>
        <v>14297.030327409619</v>
      </c>
      <c r="UJ5" s="29">
        <f t="shared" ref="UJ5:UJ23" ca="1" si="595">(NORMINV(RAND(),$E$2,$G$2)+1)*UJ4</f>
        <v>14423.622644478555</v>
      </c>
      <c r="UK5" s="29">
        <f t="shared" ref="UK5:UK23" ca="1" si="596">(NORMINV(RAND(),$E$2,$G$2)+1)*UK4</f>
        <v>14532.604517247921</v>
      </c>
      <c r="UL5" s="29">
        <f t="shared" ref="UL5:UL23" ca="1" si="597">(NORMINV(RAND(),$E$2,$G$2)+1)*UL4</f>
        <v>14727.29234360026</v>
      </c>
      <c r="UM5" s="29">
        <f t="shared" ref="UM5:UM23" ca="1" si="598">(NORMINV(RAND(),$E$2,$G$2)+1)*UM4</f>
        <v>14329.174757966022</v>
      </c>
      <c r="UN5" s="29">
        <f t="shared" ref="UN5:UN23" ca="1" si="599">(NORMINV(RAND(),$E$2,$G$2)+1)*UN4</f>
        <v>14091.353093055819</v>
      </c>
      <c r="UO5" s="29">
        <f t="shared" ref="UO5:UO23" ca="1" si="600">(NORMINV(RAND(),$E$2,$G$2)+1)*UO4</f>
        <v>14509.42387004058</v>
      </c>
      <c r="UP5" s="29">
        <f t="shared" ref="UP5:UP23" ca="1" si="601">(NORMINV(RAND(),$E$2,$G$2)+1)*UP4</f>
        <v>14270.015176094465</v>
      </c>
      <c r="UQ5" s="29">
        <f t="shared" ref="UQ5:UQ23" ca="1" si="602">(NORMINV(RAND(),$E$2,$G$2)+1)*UQ4</f>
        <v>14944.203487186029</v>
      </c>
      <c r="UR5" s="29">
        <f t="shared" ref="UR5:UR23" ca="1" si="603">(NORMINV(RAND(),$E$2,$G$2)+1)*UR4</f>
        <v>14172.249065401309</v>
      </c>
      <c r="US5" s="29">
        <f t="shared" ref="US5:US23" ca="1" si="604">(NORMINV(RAND(),$E$2,$G$2)+1)*US4</f>
        <v>14707.610412428281</v>
      </c>
      <c r="UT5" s="29">
        <f t="shared" ref="UT5:UT23" ca="1" si="605">(NORMINV(RAND(),$E$2,$G$2)+1)*UT4</f>
        <v>14085.457555289382</v>
      </c>
      <c r="UU5" s="29">
        <f t="shared" ref="UU5:UU23" ca="1" si="606">(NORMINV(RAND(),$E$2,$G$2)+1)*UU4</f>
        <v>14393.782856834441</v>
      </c>
      <c r="UV5" s="29">
        <f t="shared" ref="UV5:UV23" ca="1" si="607">(NORMINV(RAND(),$E$2,$G$2)+1)*UV4</f>
        <v>14386.590847375926</v>
      </c>
      <c r="UW5" s="29">
        <f t="shared" ref="UW5:UW23" ca="1" si="608">(NORMINV(RAND(),$E$2,$G$2)+1)*UW4</f>
        <v>14259.324673645604</v>
      </c>
      <c r="UX5" s="29">
        <f t="shared" ref="UX5:UX23" ca="1" si="609">(NORMINV(RAND(),$E$2,$G$2)+1)*UX4</f>
        <v>14278.951954825367</v>
      </c>
      <c r="UY5" s="29">
        <f t="shared" ref="UY5:UY23" ca="1" si="610">(NORMINV(RAND(),$E$2,$G$2)+1)*UY4</f>
        <v>14501.246451779858</v>
      </c>
      <c r="UZ5" s="29">
        <f t="shared" ref="UZ5:UZ23" ca="1" si="611">(NORMINV(RAND(),$E$2,$G$2)+1)*UZ4</f>
        <v>14108.615534957296</v>
      </c>
      <c r="VA5" s="29">
        <f t="shared" ref="VA5:VA23" ca="1" si="612">(NORMINV(RAND(),$E$2,$G$2)+1)*VA4</f>
        <v>14699.978262443505</v>
      </c>
      <c r="VB5" s="29">
        <f t="shared" ref="VB5:VB23" ca="1" si="613">(NORMINV(RAND(),$E$2,$G$2)+1)*VB4</f>
        <v>14183.859151565784</v>
      </c>
      <c r="VC5" s="29">
        <f t="shared" ref="VC5:VC23" ca="1" si="614">(NORMINV(RAND(),$E$2,$G$2)+1)*VC4</f>
        <v>14383.510212813057</v>
      </c>
      <c r="VD5" s="29">
        <f t="shared" ref="VD5:VD23" ca="1" si="615">(NORMINV(RAND(),$E$2,$G$2)+1)*VD4</f>
        <v>14386.830064256317</v>
      </c>
      <c r="VE5" s="29">
        <f t="shared" ref="VE5:VE23" ca="1" si="616">(NORMINV(RAND(),$E$2,$G$2)+1)*VE4</f>
        <v>14900.509180058496</v>
      </c>
      <c r="VF5" s="29">
        <f t="shared" ref="VF5:VF23" ca="1" si="617">(NORMINV(RAND(),$E$2,$G$2)+1)*VF4</f>
        <v>14523.258337716767</v>
      </c>
      <c r="VG5" s="29">
        <f t="shared" ref="VG5:VG23" ca="1" si="618">(NORMINV(RAND(),$E$2,$G$2)+1)*VG4</f>
        <v>14490.049307290144</v>
      </c>
      <c r="VH5" s="29">
        <f t="shared" ref="VH5:VH23" ca="1" si="619">(NORMINV(RAND(),$E$2,$G$2)+1)*VH4</f>
        <v>14205.666110304539</v>
      </c>
      <c r="VI5" s="29">
        <f t="shared" ref="VI5:VI23" ca="1" si="620">(NORMINV(RAND(),$E$2,$G$2)+1)*VI4</f>
        <v>14432.038245550528</v>
      </c>
      <c r="VJ5" s="29">
        <f t="shared" ref="VJ5:VJ23" ca="1" si="621">(NORMINV(RAND(),$E$2,$G$2)+1)*VJ4</f>
        <v>14102.422443778729</v>
      </c>
      <c r="VK5" s="29">
        <f t="shared" ref="VK5:VK23" ca="1" si="622">(NORMINV(RAND(),$E$2,$G$2)+1)*VK4</f>
        <v>14575.037785733013</v>
      </c>
      <c r="VL5" s="29">
        <f t="shared" ref="VL5:VL23" ca="1" si="623">(NORMINV(RAND(),$E$2,$G$2)+1)*VL4</f>
        <v>13937.6964014859</v>
      </c>
      <c r="VM5" s="29">
        <f t="shared" ref="VM5:VM23" ca="1" si="624">(NORMINV(RAND(),$E$2,$G$2)+1)*VM4</f>
        <v>14380.057438227717</v>
      </c>
      <c r="VN5" s="29">
        <f t="shared" ref="VN5:VN23" ca="1" si="625">(NORMINV(RAND(),$E$2,$G$2)+1)*VN4</f>
        <v>14385.84899020838</v>
      </c>
      <c r="VO5" s="29">
        <f t="shared" ref="VO5:VO23" ca="1" si="626">(NORMINV(RAND(),$E$2,$G$2)+1)*VO4</f>
        <v>14611.316428476599</v>
      </c>
      <c r="VP5" s="29">
        <f t="shared" ref="VP5:VP23" ca="1" si="627">(NORMINV(RAND(),$E$2,$G$2)+1)*VP4</f>
        <v>14388.477974804437</v>
      </c>
      <c r="VQ5" s="29">
        <f t="shared" ref="VQ5:VQ23" ca="1" si="628">(NORMINV(RAND(),$E$2,$G$2)+1)*VQ4</f>
        <v>14388.68160873677</v>
      </c>
      <c r="VR5" s="29">
        <f t="shared" ref="VR5:VR23" ca="1" si="629">(NORMINV(RAND(),$E$2,$G$2)+1)*VR4</f>
        <v>14224.956193036194</v>
      </c>
      <c r="VS5" s="29">
        <f t="shared" ref="VS5:VS23" ca="1" si="630">(NORMINV(RAND(),$E$2,$G$2)+1)*VS4</f>
        <v>14304.850762761427</v>
      </c>
      <c r="VT5" s="29">
        <f t="shared" ref="VT5:VT23" ca="1" si="631">(NORMINV(RAND(),$E$2,$G$2)+1)*VT4</f>
        <v>14307.209124086314</v>
      </c>
      <c r="VU5" s="29">
        <f t="shared" ref="VU5:VU23" ca="1" si="632">(NORMINV(RAND(),$E$2,$G$2)+1)*VU4</f>
        <v>14319.180404048018</v>
      </c>
      <c r="VV5" s="29">
        <f t="shared" ref="VV5:VV23" ca="1" si="633">(NORMINV(RAND(),$E$2,$G$2)+1)*VV4</f>
        <v>14501.815795010561</v>
      </c>
      <c r="VW5" s="29">
        <f t="shared" ref="VW5:VW23" ca="1" si="634">(NORMINV(RAND(),$E$2,$G$2)+1)*VW4</f>
        <v>14202.449678973453</v>
      </c>
      <c r="VX5" s="29">
        <f t="shared" ref="VX5:VX23" ca="1" si="635">(NORMINV(RAND(),$E$2,$G$2)+1)*VX4</f>
        <v>14685.064812089853</v>
      </c>
      <c r="VY5" s="29">
        <f t="shared" ref="VY5:VY23" ca="1" si="636">(NORMINV(RAND(),$E$2,$G$2)+1)*VY4</f>
        <v>14877.745301958656</v>
      </c>
      <c r="VZ5" s="29">
        <f t="shared" ref="VZ5:VZ23" ca="1" si="637">(NORMINV(RAND(),$E$2,$G$2)+1)*VZ4</f>
        <v>14598.097857380164</v>
      </c>
      <c r="WA5" s="29">
        <f t="shared" ref="WA5:WA23" ca="1" si="638">(NORMINV(RAND(),$E$2,$G$2)+1)*WA4</f>
        <v>14564.571456558821</v>
      </c>
      <c r="WB5" s="29">
        <f t="shared" ref="WB5:WB23" ca="1" si="639">(NORMINV(RAND(),$E$2,$G$2)+1)*WB4</f>
        <v>14439.281756037468</v>
      </c>
      <c r="WC5" s="29">
        <f t="shared" ref="WC5:WC23" ca="1" si="640">(NORMINV(RAND(),$E$2,$G$2)+1)*WC4</f>
        <v>14314.631175086824</v>
      </c>
      <c r="WD5" s="29">
        <f t="shared" ref="WD5:WD23" ca="1" si="641">(NORMINV(RAND(),$E$2,$G$2)+1)*WD4</f>
        <v>14149.815849226236</v>
      </c>
      <c r="WE5" s="29">
        <f t="shared" ref="WE5:WE23" ca="1" si="642">(NORMINV(RAND(),$E$2,$G$2)+1)*WE4</f>
        <v>14511.675572960012</v>
      </c>
      <c r="WF5" s="29">
        <f t="shared" ref="WF5:WF23" ca="1" si="643">(NORMINV(RAND(),$E$2,$G$2)+1)*WF4</f>
        <v>14515.854252053759</v>
      </c>
      <c r="WG5" s="29">
        <f t="shared" ref="WG5:WG23" ca="1" si="644">(NORMINV(RAND(),$E$2,$G$2)+1)*WG4</f>
        <v>14353.619937348481</v>
      </c>
      <c r="WH5" s="29">
        <f t="shared" ref="WH5:WH23" ca="1" si="645">(NORMINV(RAND(),$E$2,$G$2)+1)*WH4</f>
        <v>14096.672309560945</v>
      </c>
      <c r="WI5" s="29">
        <f t="shared" ref="WI5:WI23" ca="1" si="646">(NORMINV(RAND(),$E$2,$G$2)+1)*WI4</f>
        <v>14479.550530018836</v>
      </c>
      <c r="WJ5" s="29">
        <f t="shared" ref="WJ5:WJ23" ca="1" si="647">(NORMINV(RAND(),$E$2,$G$2)+1)*WJ4</f>
        <v>14250.566914976558</v>
      </c>
      <c r="WK5" s="29">
        <f t="shared" ref="WK5:WK23" ca="1" si="648">(NORMINV(RAND(),$E$2,$G$2)+1)*WK4</f>
        <v>13758.227366819898</v>
      </c>
      <c r="WL5" s="29">
        <f t="shared" ref="WL5:WL23" ca="1" si="649">(NORMINV(RAND(),$E$2,$G$2)+1)*WL4</f>
        <v>14230.810507404518</v>
      </c>
      <c r="WM5" s="29">
        <f t="shared" ref="WM5:WM23" ca="1" si="650">(NORMINV(RAND(),$E$2,$G$2)+1)*WM4</f>
        <v>14461.345246037554</v>
      </c>
      <c r="WN5" s="29">
        <f t="shared" ref="WN5:WN23" ca="1" si="651">(NORMINV(RAND(),$E$2,$G$2)+1)*WN4</f>
        <v>14599.932597146559</v>
      </c>
      <c r="WO5" s="29">
        <f t="shared" ref="WO5:WO23" ca="1" si="652">(NORMINV(RAND(),$E$2,$G$2)+1)*WO4</f>
        <v>14546.179005226586</v>
      </c>
      <c r="WP5" s="29">
        <f t="shared" ref="WP5:WP23" ca="1" si="653">(NORMINV(RAND(),$E$2,$G$2)+1)*WP4</f>
        <v>14308.512353358237</v>
      </c>
      <c r="WQ5" s="29">
        <f t="shared" ref="WQ5:WQ23" ca="1" si="654">(NORMINV(RAND(),$E$2,$G$2)+1)*WQ4</f>
        <v>14197.249306261429</v>
      </c>
      <c r="WR5" s="29">
        <f t="shared" ref="WR5:WR23" ca="1" si="655">(NORMINV(RAND(),$E$2,$G$2)+1)*WR4</f>
        <v>14567.113052581222</v>
      </c>
      <c r="WS5" s="29">
        <f t="shared" ref="WS5:WS23" ca="1" si="656">(NORMINV(RAND(),$E$2,$G$2)+1)*WS4</f>
        <v>14011.06585266068</v>
      </c>
      <c r="WT5" s="29">
        <f t="shared" ref="WT5:WT23" ca="1" si="657">(NORMINV(RAND(),$E$2,$G$2)+1)*WT4</f>
        <v>14562.810756420846</v>
      </c>
      <c r="WU5" s="29">
        <f t="shared" ref="WU5:WU23" ca="1" si="658">(NORMINV(RAND(),$E$2,$G$2)+1)*WU4</f>
        <v>14625.955545497161</v>
      </c>
      <c r="WV5" s="29">
        <f t="shared" ref="WV5:WV23" ca="1" si="659">(NORMINV(RAND(),$E$2,$G$2)+1)*WV4</f>
        <v>14396.910154991527</v>
      </c>
      <c r="WW5" s="29">
        <f t="shared" ref="WW5:WW23" ca="1" si="660">(NORMINV(RAND(),$E$2,$G$2)+1)*WW4</f>
        <v>14078.640008493723</v>
      </c>
      <c r="WX5" s="29">
        <f t="shared" ref="WX5:WX23" ca="1" si="661">(NORMINV(RAND(),$E$2,$G$2)+1)*WX4</f>
        <v>14614.726128972103</v>
      </c>
      <c r="WY5" s="29">
        <f t="shared" ref="WY5:WY23" ca="1" si="662">(NORMINV(RAND(),$E$2,$G$2)+1)*WY4</f>
        <v>14180.582129593824</v>
      </c>
      <c r="WZ5" s="29">
        <f t="shared" ref="WZ5:WZ23" ca="1" si="663">(NORMINV(RAND(),$E$2,$G$2)+1)*WZ4</f>
        <v>14521.106945671632</v>
      </c>
      <c r="XA5" s="29">
        <f t="shared" ref="XA5:XA23" ca="1" si="664">(NORMINV(RAND(),$E$2,$G$2)+1)*XA4</f>
        <v>14364.367226982115</v>
      </c>
      <c r="XB5" s="29">
        <f t="shared" ref="XB5:XB23" ca="1" si="665">(NORMINV(RAND(),$E$2,$G$2)+1)*XB4</f>
        <v>14493.28768303142</v>
      </c>
      <c r="XC5" s="29">
        <f t="shared" ref="XC5:XC23" ca="1" si="666">(NORMINV(RAND(),$E$2,$G$2)+1)*XC4</f>
        <v>14651.957468565985</v>
      </c>
      <c r="XD5" s="29">
        <f t="shared" ref="XD5:XD23" ca="1" si="667">(NORMINV(RAND(),$E$2,$G$2)+1)*XD4</f>
        <v>14253.287188167053</v>
      </c>
      <c r="XE5" s="29">
        <f t="shared" ref="XE5:XE23" ca="1" si="668">(NORMINV(RAND(),$E$2,$G$2)+1)*XE4</f>
        <v>14071.156162402627</v>
      </c>
      <c r="XF5" s="29">
        <f t="shared" ref="XF5:XF23" ca="1" si="669">(NORMINV(RAND(),$E$2,$G$2)+1)*XF4</f>
        <v>14061.60700911564</v>
      </c>
      <c r="XG5" s="29">
        <f t="shared" ref="XG5:XG23" ca="1" si="670">(NORMINV(RAND(),$E$2,$G$2)+1)*XG4</f>
        <v>14114.097806073783</v>
      </c>
      <c r="XH5" s="29">
        <f t="shared" ref="XH5:XH23" ca="1" si="671">(NORMINV(RAND(),$E$2,$G$2)+1)*XH4</f>
        <v>14207.260245958472</v>
      </c>
      <c r="XI5" s="29">
        <f t="shared" ref="XI5:XI23" ca="1" si="672">(NORMINV(RAND(),$E$2,$G$2)+1)*XI4</f>
        <v>14856.906734550028</v>
      </c>
      <c r="XJ5" s="29">
        <f t="shared" ref="XJ5:XJ23" ca="1" si="673">(NORMINV(RAND(),$E$2,$G$2)+1)*XJ4</f>
        <v>14421.746974955493</v>
      </c>
      <c r="XK5" s="29">
        <f t="shared" ref="XK5:XK23" ca="1" si="674">(NORMINV(RAND(),$E$2,$G$2)+1)*XK4</f>
        <v>14319.866929879856</v>
      </c>
      <c r="XL5" s="29">
        <f t="shared" ref="XL5:XL23" ca="1" si="675">(NORMINV(RAND(),$E$2,$G$2)+1)*XL4</f>
        <v>14080.968443065482</v>
      </c>
      <c r="XM5" s="29">
        <f t="shared" ref="XM5:XM23" ca="1" si="676">(NORMINV(RAND(),$E$2,$G$2)+1)*XM4</f>
        <v>14464.824893915757</v>
      </c>
      <c r="XN5" s="29">
        <f t="shared" ref="XN5:XN23" ca="1" si="677">(NORMINV(RAND(),$E$2,$G$2)+1)*XN4</f>
        <v>14190.923985839789</v>
      </c>
      <c r="XO5" s="29">
        <f t="shared" ref="XO5:XO23" ca="1" si="678">(NORMINV(RAND(),$E$2,$G$2)+1)*XO4</f>
        <v>14469.009701050083</v>
      </c>
      <c r="XP5" s="29">
        <f t="shared" ref="XP5:XP23" ca="1" si="679">(NORMINV(RAND(),$E$2,$G$2)+1)*XP4</f>
        <v>14409.843997908834</v>
      </c>
      <c r="XQ5" s="29">
        <f t="shared" ref="XQ5:XQ23" ca="1" si="680">(NORMINV(RAND(),$E$2,$G$2)+1)*XQ4</f>
        <v>14228.544697266403</v>
      </c>
      <c r="XR5" s="29">
        <f t="shared" ref="XR5:XR23" ca="1" si="681">(NORMINV(RAND(),$E$2,$G$2)+1)*XR4</f>
        <v>14412.024297508893</v>
      </c>
      <c r="XS5" s="29">
        <f t="shared" ref="XS5:XS23" ca="1" si="682">(NORMINV(RAND(),$E$2,$G$2)+1)*XS4</f>
        <v>14310.14207250978</v>
      </c>
      <c r="XT5" s="29">
        <f t="shared" ref="XT5:XT23" ca="1" si="683">(NORMINV(RAND(),$E$2,$G$2)+1)*XT4</f>
        <v>14554.483619163962</v>
      </c>
      <c r="XU5" s="29">
        <f t="shared" ref="XU5:XU23" ca="1" si="684">(NORMINV(RAND(),$E$2,$G$2)+1)*XU4</f>
        <v>14202.93888298311</v>
      </c>
      <c r="XV5" s="29">
        <f t="shared" ref="XV5:XV23" ca="1" si="685">(NORMINV(RAND(),$E$2,$G$2)+1)*XV4</f>
        <v>14562.579065296406</v>
      </c>
      <c r="XW5" s="29">
        <f t="shared" ref="XW5:XW23" ca="1" si="686">(NORMINV(RAND(),$E$2,$G$2)+1)*XW4</f>
        <v>14500.380679768341</v>
      </c>
      <c r="XX5" s="29">
        <f t="shared" ref="XX5:XX23" ca="1" si="687">(NORMINV(RAND(),$E$2,$G$2)+1)*XX4</f>
        <v>14022.254508737011</v>
      </c>
      <c r="XY5" s="29">
        <f t="shared" ref="XY5:XY23" ca="1" si="688">(NORMINV(RAND(),$E$2,$G$2)+1)*XY4</f>
        <v>14540.363442543468</v>
      </c>
      <c r="XZ5" s="29">
        <f t="shared" ref="XZ5:XZ23" ca="1" si="689">(NORMINV(RAND(),$E$2,$G$2)+1)*XZ4</f>
        <v>14382.951308075177</v>
      </c>
      <c r="YA5" s="29">
        <f t="shared" ref="YA5:YA23" ca="1" si="690">(NORMINV(RAND(),$E$2,$G$2)+1)*YA4</f>
        <v>14752.493671901631</v>
      </c>
      <c r="YB5" s="29">
        <f t="shared" ref="YB5:YB23" ca="1" si="691">(NORMINV(RAND(),$E$2,$G$2)+1)*YB4</f>
        <v>14268.587696316601</v>
      </c>
      <c r="YC5" s="29">
        <f t="shared" ref="YC5:YC23" ca="1" si="692">(NORMINV(RAND(),$E$2,$G$2)+1)*YC4</f>
        <v>14460.058792897962</v>
      </c>
      <c r="YD5" s="29">
        <f t="shared" ref="YD5:YD23" ca="1" si="693">(NORMINV(RAND(),$E$2,$G$2)+1)*YD4</f>
        <v>13934.845772569863</v>
      </c>
      <c r="YE5" s="29">
        <f t="shared" ref="YE5:YE23" ca="1" si="694">(NORMINV(RAND(),$E$2,$G$2)+1)*YE4</f>
        <v>14630.718689160367</v>
      </c>
      <c r="YF5" s="29">
        <f t="shared" ref="YF5:YF23" ca="1" si="695">(NORMINV(RAND(),$E$2,$G$2)+1)*YF4</f>
        <v>14323.003010533637</v>
      </c>
      <c r="YG5" s="29">
        <f t="shared" ref="YG5:YG23" ca="1" si="696">(NORMINV(RAND(),$E$2,$G$2)+1)*YG4</f>
        <v>14445.674563282852</v>
      </c>
      <c r="YH5" s="29">
        <f t="shared" ref="YH5:YH23" ca="1" si="697">(NORMINV(RAND(),$E$2,$G$2)+1)*YH4</f>
        <v>14649.941125965484</v>
      </c>
      <c r="YI5" s="29">
        <f t="shared" ref="YI5:YI23" ca="1" si="698">(NORMINV(RAND(),$E$2,$G$2)+1)*YI4</f>
        <v>14235.256025075463</v>
      </c>
      <c r="YJ5" s="29">
        <f t="shared" ref="YJ5:YJ23" ca="1" si="699">(NORMINV(RAND(),$E$2,$G$2)+1)*YJ4</f>
        <v>14202.530747224948</v>
      </c>
      <c r="YK5" s="29">
        <f t="shared" ref="YK5:YK23" ca="1" si="700">(NORMINV(RAND(),$E$2,$G$2)+1)*YK4</f>
        <v>14277.393772113341</v>
      </c>
      <c r="YL5" s="29">
        <f t="shared" ref="YL5:YL23" ca="1" si="701">(NORMINV(RAND(),$E$2,$G$2)+1)*YL4</f>
        <v>14397.843341069731</v>
      </c>
      <c r="YM5" s="29">
        <f t="shared" ref="YM5:YM23" ca="1" si="702">(NORMINV(RAND(),$E$2,$G$2)+1)*YM4</f>
        <v>14322.90838575678</v>
      </c>
      <c r="YN5" s="29">
        <f t="shared" ref="YN5:YN23" ca="1" si="703">(NORMINV(RAND(),$E$2,$G$2)+1)*YN4</f>
        <v>14567.493229621139</v>
      </c>
      <c r="YO5" s="29">
        <f t="shared" ref="YO5:YO23" ca="1" si="704">(NORMINV(RAND(),$E$2,$G$2)+1)*YO4</f>
        <v>14147.179609130659</v>
      </c>
      <c r="YP5" s="29">
        <f t="shared" ref="YP5:YP23" ca="1" si="705">(NORMINV(RAND(),$E$2,$G$2)+1)*YP4</f>
        <v>14543.727552241575</v>
      </c>
      <c r="YQ5" s="29">
        <f t="shared" ref="YQ5:YQ23" ca="1" si="706">(NORMINV(RAND(),$E$2,$G$2)+1)*YQ4</f>
        <v>14359.966540510666</v>
      </c>
      <c r="YR5" s="29">
        <f t="shared" ref="YR5:YR23" ca="1" si="707">(NORMINV(RAND(),$E$2,$G$2)+1)*YR4</f>
        <v>14138.299602445913</v>
      </c>
      <c r="YS5" s="29">
        <f t="shared" ref="YS5:YS23" ca="1" si="708">(NORMINV(RAND(),$E$2,$G$2)+1)*YS4</f>
        <v>14518.515056364167</v>
      </c>
      <c r="YT5" s="29">
        <f t="shared" ref="YT5:YT23" ca="1" si="709">(NORMINV(RAND(),$E$2,$G$2)+1)*YT4</f>
        <v>14111.858080460663</v>
      </c>
      <c r="YU5" s="29">
        <f t="shared" ref="YU5:YU23" ca="1" si="710">(NORMINV(RAND(),$E$2,$G$2)+1)*YU4</f>
        <v>14492.792457647569</v>
      </c>
      <c r="YV5" s="29">
        <f t="shared" ref="YV5:YV23" ca="1" si="711">(NORMINV(RAND(),$E$2,$G$2)+1)*YV4</f>
        <v>14003.082908405913</v>
      </c>
      <c r="YW5" s="29">
        <f t="shared" ref="YW5:YW23" ca="1" si="712">(NORMINV(RAND(),$E$2,$G$2)+1)*YW4</f>
        <v>14393.05398557381</v>
      </c>
      <c r="YX5" s="29">
        <f t="shared" ref="YX5:YX23" ca="1" si="713">(NORMINV(RAND(),$E$2,$G$2)+1)*YX4</f>
        <v>14606.066666501978</v>
      </c>
      <c r="YY5" s="29">
        <f t="shared" ref="YY5:YY23" ca="1" si="714">(NORMINV(RAND(),$E$2,$G$2)+1)*YY4</f>
        <v>14415.124025604737</v>
      </c>
      <c r="YZ5" s="29">
        <f t="shared" ref="YZ5:YZ23" ca="1" si="715">(NORMINV(RAND(),$E$2,$G$2)+1)*YZ4</f>
        <v>14650.330717963812</v>
      </c>
      <c r="ZA5" s="29">
        <f t="shared" ref="ZA5:ZA23" ca="1" si="716">(NORMINV(RAND(),$E$2,$G$2)+1)*ZA4</f>
        <v>14487.562527131617</v>
      </c>
      <c r="ZB5" s="29">
        <f t="shared" ref="ZB5:ZB23" ca="1" si="717">(NORMINV(RAND(),$E$2,$G$2)+1)*ZB4</f>
        <v>14270.807827604125</v>
      </c>
      <c r="ZC5" s="29">
        <f t="shared" ref="ZC5:ZC23" ca="1" si="718">(NORMINV(RAND(),$E$2,$G$2)+1)*ZC4</f>
        <v>14190.296785110029</v>
      </c>
      <c r="ZD5" s="29">
        <f t="shared" ref="ZD5:ZD23" ca="1" si="719">(NORMINV(RAND(),$E$2,$G$2)+1)*ZD4</f>
        <v>14297.922092168226</v>
      </c>
      <c r="ZE5" s="29">
        <f t="shared" ref="ZE5:ZE23" ca="1" si="720">(NORMINV(RAND(),$E$2,$G$2)+1)*ZE4</f>
        <v>14068.867860794053</v>
      </c>
      <c r="ZF5" s="29">
        <f t="shared" ref="ZF5:ZF23" ca="1" si="721">(NORMINV(RAND(),$E$2,$G$2)+1)*ZF4</f>
        <v>14391.285908409556</v>
      </c>
      <c r="ZG5" s="29">
        <f t="shared" ref="ZG5:ZG23" ca="1" si="722">(NORMINV(RAND(),$E$2,$G$2)+1)*ZG4</f>
        <v>14082.156963973706</v>
      </c>
      <c r="ZH5" s="29">
        <f t="shared" ref="ZH5:ZH23" ca="1" si="723">(NORMINV(RAND(),$E$2,$G$2)+1)*ZH4</f>
        <v>14505.025182135874</v>
      </c>
      <c r="ZI5" s="29">
        <f t="shared" ref="ZI5:ZI23" ca="1" si="724">(NORMINV(RAND(),$E$2,$G$2)+1)*ZI4</f>
        <v>14282.5945712387</v>
      </c>
      <c r="ZJ5" s="29">
        <f t="shared" ref="ZJ5:ZJ23" ca="1" si="725">(NORMINV(RAND(),$E$2,$G$2)+1)*ZJ4</f>
        <v>14411.756833663025</v>
      </c>
      <c r="ZK5" s="29">
        <f t="shared" ref="ZK5:ZK23" ca="1" si="726">(NORMINV(RAND(),$E$2,$G$2)+1)*ZK4</f>
        <v>14013.207479834442</v>
      </c>
      <c r="ZL5" s="29">
        <f t="shared" ref="ZL5:ZL23" ca="1" si="727">(NORMINV(RAND(),$E$2,$G$2)+1)*ZL4</f>
        <v>14349.622587200769</v>
      </c>
      <c r="ZM5" s="29">
        <f t="shared" ref="ZM5:ZM23" ca="1" si="728">(NORMINV(RAND(),$E$2,$G$2)+1)*ZM4</f>
        <v>14005.732544674729</v>
      </c>
      <c r="ZN5" s="29">
        <f t="shared" ref="ZN5:ZN23" ca="1" si="729">(NORMINV(RAND(),$E$2,$G$2)+1)*ZN4</f>
        <v>14472.556310709107</v>
      </c>
      <c r="ZO5" s="29">
        <f t="shared" ref="ZO5:ZO23" ca="1" si="730">(NORMINV(RAND(),$E$2,$G$2)+1)*ZO4</f>
        <v>14496.048167989295</v>
      </c>
      <c r="ZP5" s="29">
        <f t="shared" ref="ZP5:ZP23" ca="1" si="731">(NORMINV(RAND(),$E$2,$G$2)+1)*ZP4</f>
        <v>14115.18244312376</v>
      </c>
      <c r="ZQ5" s="29">
        <f t="shared" ref="ZQ5:ZQ23" ca="1" si="732">(NORMINV(RAND(),$E$2,$G$2)+1)*ZQ4</f>
        <v>14159.86770496216</v>
      </c>
      <c r="ZR5" s="29">
        <f t="shared" ref="ZR5:ZR23" ca="1" si="733">(NORMINV(RAND(),$E$2,$G$2)+1)*ZR4</f>
        <v>14470.099146664414</v>
      </c>
      <c r="ZS5" s="29">
        <f t="shared" ref="ZS5:ZS23" ca="1" si="734">(NORMINV(RAND(),$E$2,$G$2)+1)*ZS4</f>
        <v>14472.301219860952</v>
      </c>
      <c r="ZT5" s="29">
        <f t="shared" ref="ZT5:ZT23" ca="1" si="735">(NORMINV(RAND(),$E$2,$G$2)+1)*ZT4</f>
        <v>14306.355496194217</v>
      </c>
      <c r="ZU5" s="29">
        <f t="shared" ref="ZU5:ZU23" ca="1" si="736">(NORMINV(RAND(),$E$2,$G$2)+1)*ZU4</f>
        <v>14290.491097849228</v>
      </c>
      <c r="ZV5" s="29">
        <f t="shared" ref="ZV5:ZV23" ca="1" si="737">(NORMINV(RAND(),$E$2,$G$2)+1)*ZV4</f>
        <v>14372.221053931235</v>
      </c>
      <c r="ZW5" s="29">
        <f t="shared" ref="ZW5:ZW23" ca="1" si="738">(NORMINV(RAND(),$E$2,$G$2)+1)*ZW4</f>
        <v>14352.88012356907</v>
      </c>
      <c r="ZX5" s="29">
        <f t="shared" ref="ZX5:ZX23" ca="1" si="739">(NORMINV(RAND(),$E$2,$G$2)+1)*ZX4</f>
        <v>14756.108330241712</v>
      </c>
      <c r="ZY5" s="29">
        <f t="shared" ref="ZY5:ZY23" ca="1" si="740">(NORMINV(RAND(),$E$2,$G$2)+1)*ZY4</f>
        <v>14758.001085356234</v>
      </c>
      <c r="ZZ5" s="29">
        <f t="shared" ref="ZZ5:ZZ23" ca="1" si="741">(NORMINV(RAND(),$E$2,$G$2)+1)*ZZ4</f>
        <v>14583.473763625738</v>
      </c>
      <c r="AAA5" s="29">
        <f t="shared" ref="AAA5:AAA23" ca="1" si="742">(NORMINV(RAND(),$E$2,$G$2)+1)*AAA4</f>
        <v>15020.569728215291</v>
      </c>
      <c r="AAB5" s="29">
        <f t="shared" ref="AAB5:AAB23" ca="1" si="743">(NORMINV(RAND(),$E$2,$G$2)+1)*AAB4</f>
        <v>14159.007466739758</v>
      </c>
      <c r="AAC5" s="29">
        <f t="shared" ref="AAC5:AAC23" ca="1" si="744">(NORMINV(RAND(),$E$2,$G$2)+1)*AAC4</f>
        <v>14849.400597739008</v>
      </c>
      <c r="AAD5" s="29">
        <f t="shared" ref="AAD5:AAD23" ca="1" si="745">(NORMINV(RAND(),$E$2,$G$2)+1)*AAD4</f>
        <v>14471.93661256849</v>
      </c>
      <c r="AAE5" s="29">
        <f t="shared" ref="AAE5:AAE23" ca="1" si="746">(NORMINV(RAND(),$E$2,$G$2)+1)*AAE4</f>
        <v>14001.940127501166</v>
      </c>
      <c r="AAF5" s="29">
        <f t="shared" ref="AAF5:AAF23" ca="1" si="747">(NORMINV(RAND(),$E$2,$G$2)+1)*AAF4</f>
        <v>14798.70299673796</v>
      </c>
      <c r="AAG5" s="29">
        <f t="shared" ref="AAG5:AAG23" ca="1" si="748">(NORMINV(RAND(),$E$2,$G$2)+1)*AAG4</f>
        <v>14226.020346224686</v>
      </c>
      <c r="AAH5" s="29">
        <f t="shared" ref="AAH5:AAH23" ca="1" si="749">(NORMINV(RAND(),$E$2,$G$2)+1)*AAH4</f>
        <v>14570.259796885004</v>
      </c>
      <c r="AAI5" s="29">
        <f t="shared" ref="AAI5:AAI23" ca="1" si="750">(NORMINV(RAND(),$E$2,$G$2)+1)*AAI4</f>
        <v>14460.79143471663</v>
      </c>
      <c r="AAJ5" s="29">
        <f t="shared" ref="AAJ5:AAJ23" ca="1" si="751">(NORMINV(RAND(),$E$2,$G$2)+1)*AAJ4</f>
        <v>14096.160865649294</v>
      </c>
      <c r="AAK5" s="29">
        <f t="shared" ref="AAK5:AAK23" ca="1" si="752">(NORMINV(RAND(),$E$2,$G$2)+1)*AAK4</f>
        <v>14540.763564045415</v>
      </c>
      <c r="AAL5" s="29">
        <f t="shared" ref="AAL5:AAL23" ca="1" si="753">(NORMINV(RAND(),$E$2,$G$2)+1)*AAL4</f>
        <v>14477.609674718791</v>
      </c>
      <c r="AAM5" s="29">
        <f t="shared" ref="AAM5:AAM23" ca="1" si="754">(NORMINV(RAND(),$E$2,$G$2)+1)*AAM4</f>
        <v>14458.485658533195</v>
      </c>
      <c r="AAN5" s="29">
        <f t="shared" ref="AAN5:AAN23" ca="1" si="755">(NORMINV(RAND(),$E$2,$G$2)+1)*AAN4</f>
        <v>14545.105775953638</v>
      </c>
      <c r="AAO5" s="29">
        <f t="shared" ref="AAO5:AAO23" ca="1" si="756">(NORMINV(RAND(),$E$2,$G$2)+1)*AAO4</f>
        <v>14629.793125572132</v>
      </c>
      <c r="AAP5" s="29">
        <f t="shared" ref="AAP5:AAP23" ca="1" si="757">(NORMINV(RAND(),$E$2,$G$2)+1)*AAP4</f>
        <v>14869.704379073304</v>
      </c>
      <c r="AAQ5" s="29">
        <f t="shared" ref="AAQ5:AAQ23" ca="1" si="758">(NORMINV(RAND(),$E$2,$G$2)+1)*AAQ4</f>
        <v>14193.780125337342</v>
      </c>
      <c r="AAR5" s="29">
        <f t="shared" ref="AAR5:AAR23" ca="1" si="759">(NORMINV(RAND(),$E$2,$G$2)+1)*AAR4</f>
        <v>14453.490915038279</v>
      </c>
      <c r="AAS5" s="29">
        <f t="shared" ref="AAS5:AAS23" ca="1" si="760">(NORMINV(RAND(),$E$2,$G$2)+1)*AAS4</f>
        <v>14564.709060793351</v>
      </c>
      <c r="AAT5" s="29">
        <f t="shared" ref="AAT5:AAT23" ca="1" si="761">(NORMINV(RAND(),$E$2,$G$2)+1)*AAT4</f>
        <v>14601.881646898441</v>
      </c>
      <c r="AAU5" s="29">
        <f t="shared" ref="AAU5:AAU23" ca="1" si="762">(NORMINV(RAND(),$E$2,$G$2)+1)*AAU4</f>
        <v>14419.10522145775</v>
      </c>
      <c r="AAV5" s="29">
        <f t="shared" ref="AAV5:AAV23" ca="1" si="763">(NORMINV(RAND(),$E$2,$G$2)+1)*AAV4</f>
        <v>14518.236962885163</v>
      </c>
      <c r="AAW5" s="29">
        <f t="shared" ref="AAW5:AAW23" ca="1" si="764">(NORMINV(RAND(),$E$2,$G$2)+1)*AAW4</f>
        <v>14071.042082169766</v>
      </c>
      <c r="AAX5" s="29">
        <f t="shared" ref="AAX5:AAX23" ca="1" si="765">(NORMINV(RAND(),$E$2,$G$2)+1)*AAX4</f>
        <v>14510.416673603086</v>
      </c>
      <c r="AAY5" s="29">
        <f t="shared" ref="AAY5:AAY23" ca="1" si="766">(NORMINV(RAND(),$E$2,$G$2)+1)*AAY4</f>
        <v>14275.147875645993</v>
      </c>
      <c r="AAZ5" s="29">
        <f t="shared" ref="AAZ5:AAZ23" ca="1" si="767">(NORMINV(RAND(),$E$2,$G$2)+1)*AAZ4</f>
        <v>14396.469052412423</v>
      </c>
      <c r="ABA5" s="29">
        <f t="shared" ref="ABA5:ABA23" ca="1" si="768">(NORMINV(RAND(),$E$2,$G$2)+1)*ABA4</f>
        <v>14272.251101529067</v>
      </c>
      <c r="ABB5" s="29">
        <f t="shared" ref="ABB5:ABB23" ca="1" si="769">(NORMINV(RAND(),$E$2,$G$2)+1)*ABB4</f>
        <v>14528.405682759167</v>
      </c>
      <c r="ABC5" s="29">
        <f t="shared" ref="ABC5:ABC23" ca="1" si="770">(NORMINV(RAND(),$E$2,$G$2)+1)*ABC4</f>
        <v>14399.529942240717</v>
      </c>
      <c r="ABD5" s="29">
        <f t="shared" ref="ABD5:ABD23" ca="1" si="771">(NORMINV(RAND(),$E$2,$G$2)+1)*ABD4</f>
        <v>13986.067605983717</v>
      </c>
      <c r="ABE5" s="29">
        <f t="shared" ref="ABE5:ABE23" ca="1" si="772">(NORMINV(RAND(),$E$2,$G$2)+1)*ABE4</f>
        <v>14017.672646321738</v>
      </c>
      <c r="ABF5" s="29">
        <f t="shared" ref="ABF5:ABF23" ca="1" si="773">(NORMINV(RAND(),$E$2,$G$2)+1)*ABF4</f>
        <v>14665.859285364964</v>
      </c>
      <c r="ABG5" s="29">
        <f t="shared" ref="ABG5:ABG23" ca="1" si="774">(NORMINV(RAND(),$E$2,$G$2)+1)*ABG4</f>
        <v>14292.904085941338</v>
      </c>
      <c r="ABH5" s="29">
        <f t="shared" ref="ABH5:ABH23" ca="1" si="775">(NORMINV(RAND(),$E$2,$G$2)+1)*ABH4</f>
        <v>14512.000409495929</v>
      </c>
      <c r="ABI5" s="29">
        <f t="shared" ref="ABI5:ABI23" ca="1" si="776">(NORMINV(RAND(),$E$2,$G$2)+1)*ABI4</f>
        <v>14372.130157633439</v>
      </c>
      <c r="ABJ5" s="29">
        <f t="shared" ref="ABJ5:ABJ23" ca="1" si="777">(NORMINV(RAND(),$E$2,$G$2)+1)*ABJ4</f>
        <v>14268.973063692256</v>
      </c>
      <c r="ABK5" s="29">
        <f t="shared" ref="ABK5:ABK23" ca="1" si="778">(NORMINV(RAND(),$E$2,$G$2)+1)*ABK4</f>
        <v>14583.593266319993</v>
      </c>
      <c r="ABL5" s="29">
        <f t="shared" ref="ABL5:ABL23" ca="1" si="779">(NORMINV(RAND(),$E$2,$G$2)+1)*ABL4</f>
        <v>14500.474537689379</v>
      </c>
      <c r="ABM5" s="29">
        <f t="shared" ref="ABM5:ABM23" ca="1" si="780">(NORMINV(RAND(),$E$2,$G$2)+1)*ABM4</f>
        <v>14668.934755413791</v>
      </c>
      <c r="ABN5" s="29">
        <f t="shared" ref="ABN5:ABN23" ca="1" si="781">(NORMINV(RAND(),$E$2,$G$2)+1)*ABN4</f>
        <v>14376.036613725451</v>
      </c>
      <c r="ABO5" s="29">
        <f t="shared" ref="ABO5:ABO23" ca="1" si="782">(NORMINV(RAND(),$E$2,$G$2)+1)*ABO4</f>
        <v>14459.435191929579</v>
      </c>
      <c r="ABP5" s="29">
        <f t="shared" ref="ABP5:ABP23" ca="1" si="783">(NORMINV(RAND(),$E$2,$G$2)+1)*ABP4</f>
        <v>14453.760863157335</v>
      </c>
      <c r="ABQ5" s="29">
        <f t="shared" ref="ABQ5:ABQ23" ca="1" si="784">(NORMINV(RAND(),$E$2,$G$2)+1)*ABQ4</f>
        <v>14428.052854967655</v>
      </c>
      <c r="ABR5" s="29">
        <f t="shared" ref="ABR5:ABR23" ca="1" si="785">(NORMINV(RAND(),$E$2,$G$2)+1)*ABR4</f>
        <v>14139.087668265549</v>
      </c>
      <c r="ABS5" s="29">
        <f t="shared" ref="ABS5:ABS23" ca="1" si="786">(NORMINV(RAND(),$E$2,$G$2)+1)*ABS4</f>
        <v>14454.595208436574</v>
      </c>
      <c r="ABT5" s="29">
        <f t="shared" ref="ABT5:ABT23" ca="1" si="787">(NORMINV(RAND(),$E$2,$G$2)+1)*ABT4</f>
        <v>14518.881293582357</v>
      </c>
      <c r="ABU5" s="29">
        <f t="shared" ref="ABU5:ABU23" ca="1" si="788">(NORMINV(RAND(),$E$2,$G$2)+1)*ABU4</f>
        <v>14569.847740358855</v>
      </c>
      <c r="ABV5" s="29">
        <f t="shared" ref="ABV5:ABV23" ca="1" si="789">(NORMINV(RAND(),$E$2,$G$2)+1)*ABV4</f>
        <v>14565.805680483258</v>
      </c>
      <c r="ABW5" s="29">
        <f t="shared" ref="ABW5:ABW23" ca="1" si="790">(NORMINV(RAND(),$E$2,$G$2)+1)*ABW4</f>
        <v>14485.246638038952</v>
      </c>
      <c r="ABX5" s="29">
        <f t="shared" ref="ABX5:ABX23" ca="1" si="791">(NORMINV(RAND(),$E$2,$G$2)+1)*ABX4</f>
        <v>14784.22773721404</v>
      </c>
      <c r="ABY5" s="29">
        <f t="shared" ref="ABY5:ABY23" ca="1" si="792">(NORMINV(RAND(),$E$2,$G$2)+1)*ABY4</f>
        <v>14336.670491297298</v>
      </c>
      <c r="ABZ5" s="29">
        <f t="shared" ref="ABZ5:ABZ23" ca="1" si="793">(NORMINV(RAND(),$E$2,$G$2)+1)*ABZ4</f>
        <v>14436.030728575815</v>
      </c>
      <c r="ACA5" s="29">
        <f t="shared" ref="ACA5:ACA23" ca="1" si="794">(NORMINV(RAND(),$E$2,$G$2)+1)*ACA4</f>
        <v>14595.056169628398</v>
      </c>
      <c r="ACB5" s="29">
        <f t="shared" ref="ACB5:ACB23" ca="1" si="795">(NORMINV(RAND(),$E$2,$G$2)+1)*ACB4</f>
        <v>14733.904890273829</v>
      </c>
      <c r="ACC5" s="29">
        <f t="shared" ref="ACC5:ACC23" ca="1" si="796">(NORMINV(RAND(),$E$2,$G$2)+1)*ACC4</f>
        <v>14286.744797716226</v>
      </c>
      <c r="ACD5" s="29">
        <f t="shared" ref="ACD5:ACD23" ca="1" si="797">(NORMINV(RAND(),$E$2,$G$2)+1)*ACD4</f>
        <v>14525.717454898628</v>
      </c>
      <c r="ACE5" s="29">
        <f t="shared" ref="ACE5:ACE23" ca="1" si="798">(NORMINV(RAND(),$E$2,$G$2)+1)*ACE4</f>
        <v>14594.302152557766</v>
      </c>
      <c r="ACF5" s="29">
        <f t="shared" ref="ACF5:ACF23" ca="1" si="799">(NORMINV(RAND(),$E$2,$G$2)+1)*ACF4</f>
        <v>14362.240678329767</v>
      </c>
      <c r="ACG5" s="29">
        <f t="shared" ref="ACG5:ACG23" ca="1" si="800">(NORMINV(RAND(),$E$2,$G$2)+1)*ACG4</f>
        <v>14585.500455840218</v>
      </c>
      <c r="ACH5" s="29">
        <f t="shared" ref="ACH5:ACH23" ca="1" si="801">(NORMINV(RAND(),$E$2,$G$2)+1)*ACH4</f>
        <v>14248.932234106496</v>
      </c>
      <c r="ACI5" s="29">
        <f t="shared" ref="ACI5:ACI23" ca="1" si="802">(NORMINV(RAND(),$E$2,$G$2)+1)*ACI4</f>
        <v>14780.427453143551</v>
      </c>
      <c r="ACJ5" s="29">
        <f t="shared" ref="ACJ5:ACJ23" ca="1" si="803">(NORMINV(RAND(),$E$2,$G$2)+1)*ACJ4</f>
        <v>14485.298288075801</v>
      </c>
      <c r="ACK5" s="29">
        <f t="shared" ref="ACK5:ACK23" ca="1" si="804">(NORMINV(RAND(),$E$2,$G$2)+1)*ACK4</f>
        <v>14404.573574833552</v>
      </c>
      <c r="ACL5" s="29">
        <f t="shared" ref="ACL5:ACL23" ca="1" si="805">(NORMINV(RAND(),$E$2,$G$2)+1)*ACL4</f>
        <v>13884.615914036842</v>
      </c>
      <c r="ACM5" s="29">
        <f t="shared" ref="ACM5:ACM23" ca="1" si="806">(NORMINV(RAND(),$E$2,$G$2)+1)*ACM4</f>
        <v>14321.945082726113</v>
      </c>
      <c r="ACN5" s="29">
        <f t="shared" ref="ACN5:ACN23" ca="1" si="807">(NORMINV(RAND(),$E$2,$G$2)+1)*ACN4</f>
        <v>14493.582854248798</v>
      </c>
      <c r="ACO5" s="29">
        <f t="shared" ref="ACO5:ACO23" ca="1" si="808">(NORMINV(RAND(),$E$2,$G$2)+1)*ACO4</f>
        <v>15175.022062168156</v>
      </c>
      <c r="ACP5" s="29">
        <f t="shared" ref="ACP5:ACP23" ca="1" si="809">(NORMINV(RAND(),$E$2,$G$2)+1)*ACP4</f>
        <v>14737.9100231432</v>
      </c>
      <c r="ACQ5" s="29">
        <f t="shared" ref="ACQ5:ACQ23" ca="1" si="810">(NORMINV(RAND(),$E$2,$G$2)+1)*ACQ4</f>
        <v>14452.177382010212</v>
      </c>
      <c r="ACR5" s="29">
        <f t="shared" ref="ACR5:ACR23" ca="1" si="811">(NORMINV(RAND(),$E$2,$G$2)+1)*ACR4</f>
        <v>14522.23689792219</v>
      </c>
      <c r="ACS5" s="29">
        <f t="shared" ref="ACS5:ACS23" ca="1" si="812">(NORMINV(RAND(),$E$2,$G$2)+1)*ACS4</f>
        <v>14216.84028224129</v>
      </c>
      <c r="ACT5" s="29">
        <f t="shared" ref="ACT5:ACT23" ca="1" si="813">(NORMINV(RAND(),$E$2,$G$2)+1)*ACT4</f>
        <v>14352.527752205679</v>
      </c>
      <c r="ACU5" s="29">
        <f t="shared" ref="ACU5:ACU23" ca="1" si="814">(NORMINV(RAND(),$E$2,$G$2)+1)*ACU4</f>
        <v>14411.857870990045</v>
      </c>
      <c r="ACV5" s="29">
        <f t="shared" ref="ACV5:ACV23" ca="1" si="815">(NORMINV(RAND(),$E$2,$G$2)+1)*ACV4</f>
        <v>14374.202911723045</v>
      </c>
      <c r="ACW5" s="29">
        <f t="shared" ref="ACW5:ACW23" ca="1" si="816">(NORMINV(RAND(),$E$2,$G$2)+1)*ACW4</f>
        <v>14125.219846451926</v>
      </c>
      <c r="ACX5" s="29">
        <f t="shared" ref="ACX5:ACX23" ca="1" si="817">(NORMINV(RAND(),$E$2,$G$2)+1)*ACX4</f>
        <v>14445.941082863465</v>
      </c>
      <c r="ACY5" s="29">
        <f t="shared" ref="ACY5:ACY23" ca="1" si="818">(NORMINV(RAND(),$E$2,$G$2)+1)*ACY4</f>
        <v>14311.799643856679</v>
      </c>
      <c r="ACZ5" s="29">
        <f t="shared" ref="ACZ5:ACZ23" ca="1" si="819">(NORMINV(RAND(),$E$2,$G$2)+1)*ACZ4</f>
        <v>14364.995441695795</v>
      </c>
      <c r="ADA5" s="29">
        <f t="shared" ref="ADA5:ADA23" ca="1" si="820">(NORMINV(RAND(),$E$2,$G$2)+1)*ADA4</f>
        <v>14150.968984354604</v>
      </c>
      <c r="ADB5" s="29">
        <f t="shared" ref="ADB5:ADB23" ca="1" si="821">(NORMINV(RAND(),$E$2,$G$2)+1)*ADB4</f>
        <v>13819.449815450447</v>
      </c>
      <c r="ADC5" s="29">
        <f t="shared" ref="ADC5:ADC23" ca="1" si="822">(NORMINV(RAND(),$E$2,$G$2)+1)*ADC4</f>
        <v>14270.863548825373</v>
      </c>
      <c r="ADD5" s="29">
        <f t="shared" ref="ADD5:ADD23" ca="1" si="823">(NORMINV(RAND(),$E$2,$G$2)+1)*ADD4</f>
        <v>14760.710140531184</v>
      </c>
      <c r="ADE5" s="29">
        <f t="shared" ref="ADE5:ADE23" ca="1" si="824">(NORMINV(RAND(),$E$2,$G$2)+1)*ADE4</f>
        <v>14796.01216949624</v>
      </c>
      <c r="ADF5" s="29">
        <f t="shared" ref="ADF5:ADF23" ca="1" si="825">(NORMINV(RAND(),$E$2,$G$2)+1)*ADF4</f>
        <v>14256.937504302072</v>
      </c>
      <c r="ADG5" s="29">
        <f t="shared" ref="ADG5:ADG23" ca="1" si="826">(NORMINV(RAND(),$E$2,$G$2)+1)*ADG4</f>
        <v>14806.100733430627</v>
      </c>
      <c r="ADH5" s="29">
        <f t="shared" ref="ADH5:ADH23" ca="1" si="827">(NORMINV(RAND(),$E$2,$G$2)+1)*ADH4</f>
        <v>14554.636238303021</v>
      </c>
      <c r="ADI5" s="29">
        <f t="shared" ref="ADI5:ADI23" ca="1" si="828">(NORMINV(RAND(),$E$2,$G$2)+1)*ADI4</f>
        <v>14444.916255274013</v>
      </c>
      <c r="ADJ5" s="29">
        <f t="shared" ref="ADJ5:ADJ23" ca="1" si="829">(NORMINV(RAND(),$E$2,$G$2)+1)*ADJ4</f>
        <v>14612.818767954694</v>
      </c>
      <c r="ADK5" s="29">
        <f t="shared" ref="ADK5:ADK23" ca="1" si="830">(NORMINV(RAND(),$E$2,$G$2)+1)*ADK4</f>
        <v>14679.693898092495</v>
      </c>
      <c r="ADL5" s="29">
        <f t="shared" ref="ADL5:ADL23" ca="1" si="831">(NORMINV(RAND(),$E$2,$G$2)+1)*ADL4</f>
        <v>14267.217188415976</v>
      </c>
      <c r="ADM5" s="29">
        <f t="shared" ref="ADM5:ADM23" ca="1" si="832">(NORMINV(RAND(),$E$2,$G$2)+1)*ADM4</f>
        <v>14624.862894748223</v>
      </c>
      <c r="ADN5" s="29">
        <f t="shared" ref="ADN5:ADN23" ca="1" si="833">(NORMINV(RAND(),$E$2,$G$2)+1)*ADN4</f>
        <v>14123.559855104928</v>
      </c>
      <c r="ADO5" s="29">
        <f t="shared" ref="ADO5:ADO23" ca="1" si="834">(NORMINV(RAND(),$E$2,$G$2)+1)*ADO4</f>
        <v>14584.497875536361</v>
      </c>
      <c r="ADP5" s="29">
        <f t="shared" ref="ADP5:ADP23" ca="1" si="835">(NORMINV(RAND(),$E$2,$G$2)+1)*ADP4</f>
        <v>14311.871847035382</v>
      </c>
      <c r="ADQ5" s="29">
        <f t="shared" ref="ADQ5:ADQ23" ca="1" si="836">(NORMINV(RAND(),$E$2,$G$2)+1)*ADQ4</f>
        <v>14797.564599819787</v>
      </c>
      <c r="ADR5" s="29">
        <f t="shared" ref="ADR5:ADR23" ca="1" si="837">(NORMINV(RAND(),$E$2,$G$2)+1)*ADR4</f>
        <v>14546.54696222645</v>
      </c>
      <c r="ADS5" s="29">
        <f t="shared" ref="ADS5:ADS23" ca="1" si="838">(NORMINV(RAND(),$E$2,$G$2)+1)*ADS4</f>
        <v>14579.903632761734</v>
      </c>
      <c r="ADT5" s="29">
        <f t="shared" ref="ADT5:ADT23" ca="1" si="839">(NORMINV(RAND(),$E$2,$G$2)+1)*ADT4</f>
        <v>14514.941128197283</v>
      </c>
      <c r="ADU5" s="29">
        <f t="shared" ref="ADU5:ADU23" ca="1" si="840">(NORMINV(RAND(),$E$2,$G$2)+1)*ADU4</f>
        <v>14526.292707136708</v>
      </c>
      <c r="ADV5" s="29">
        <f t="shared" ref="ADV5:ADV23" ca="1" si="841">(NORMINV(RAND(),$E$2,$G$2)+1)*ADV4</f>
        <v>14244.040761364446</v>
      </c>
      <c r="ADW5" s="29">
        <f t="shared" ref="ADW5:ADW23" ca="1" si="842">(NORMINV(RAND(),$E$2,$G$2)+1)*ADW4</f>
        <v>14647.960081092704</v>
      </c>
      <c r="ADX5" s="29">
        <f t="shared" ref="ADX5:ADX23" ca="1" si="843">(NORMINV(RAND(),$E$2,$G$2)+1)*ADX4</f>
        <v>14311.778967400554</v>
      </c>
      <c r="ADY5" s="29">
        <f t="shared" ref="ADY5:ADY23" ca="1" si="844">(NORMINV(RAND(),$E$2,$G$2)+1)*ADY4</f>
        <v>14621.376875643473</v>
      </c>
      <c r="ADZ5" s="29">
        <f t="shared" ref="ADZ5:ADZ23" ca="1" si="845">(NORMINV(RAND(),$E$2,$G$2)+1)*ADZ4</f>
        <v>14471.549988880277</v>
      </c>
      <c r="AEA5" s="29">
        <f t="shared" ref="AEA5:AEA23" ca="1" si="846">(NORMINV(RAND(),$E$2,$G$2)+1)*AEA4</f>
        <v>14450.291261068096</v>
      </c>
      <c r="AEB5" s="29">
        <f t="shared" ref="AEB5:AEB23" ca="1" si="847">(NORMINV(RAND(),$E$2,$G$2)+1)*AEB4</f>
        <v>14443.755192852319</v>
      </c>
      <c r="AEC5" s="29">
        <f t="shared" ref="AEC5:AEC23" ca="1" si="848">(NORMINV(RAND(),$E$2,$G$2)+1)*AEC4</f>
        <v>14111.014174506307</v>
      </c>
      <c r="AED5" s="29">
        <f t="shared" ref="AED5:AED23" ca="1" si="849">(NORMINV(RAND(),$E$2,$G$2)+1)*AED4</f>
        <v>14318.862428160492</v>
      </c>
      <c r="AEE5" s="29">
        <f t="shared" ref="AEE5:AEE23" ca="1" si="850">(NORMINV(RAND(),$E$2,$G$2)+1)*AEE4</f>
        <v>14473.517502552466</v>
      </c>
      <c r="AEF5" s="29">
        <f t="shared" ref="AEF5:AEF23" ca="1" si="851">(NORMINV(RAND(),$E$2,$G$2)+1)*AEF4</f>
        <v>14519.918577662998</v>
      </c>
      <c r="AEG5" s="29">
        <f t="shared" ref="AEG5:AEG23" ca="1" si="852">(NORMINV(RAND(),$E$2,$G$2)+1)*AEG4</f>
        <v>14176.026481613177</v>
      </c>
      <c r="AEH5" s="29">
        <f t="shared" ref="AEH5:AEH23" ca="1" si="853">(NORMINV(RAND(),$E$2,$G$2)+1)*AEH4</f>
        <v>14126.988095304261</v>
      </c>
      <c r="AEI5" s="29">
        <f t="shared" ref="AEI5:AEI23" ca="1" si="854">(NORMINV(RAND(),$E$2,$G$2)+1)*AEI4</f>
        <v>14187.004615464737</v>
      </c>
      <c r="AEJ5" s="29">
        <f t="shared" ref="AEJ5:AEJ23" ca="1" si="855">(NORMINV(RAND(),$E$2,$G$2)+1)*AEJ4</f>
        <v>14417.400609955039</v>
      </c>
      <c r="AEK5" s="29">
        <f t="shared" ref="AEK5:AEK23" ca="1" si="856">(NORMINV(RAND(),$E$2,$G$2)+1)*AEK4</f>
        <v>14332.071654240694</v>
      </c>
      <c r="AEL5" s="29">
        <f t="shared" ref="AEL5:AEL23" ca="1" si="857">(NORMINV(RAND(),$E$2,$G$2)+1)*AEL4</f>
        <v>14285.526803502238</v>
      </c>
      <c r="AEM5" s="29">
        <f t="shared" ref="AEM5:AEM23" ca="1" si="858">(NORMINV(RAND(),$E$2,$G$2)+1)*AEM4</f>
        <v>14297.050012729856</v>
      </c>
      <c r="AEN5" s="29">
        <f t="shared" ref="AEN5:AEN23" ca="1" si="859">(NORMINV(RAND(),$E$2,$G$2)+1)*AEN4</f>
        <v>14468.255323575151</v>
      </c>
      <c r="AEO5" s="29">
        <f t="shared" ref="AEO5:AEO23" ca="1" si="860">(NORMINV(RAND(),$E$2,$G$2)+1)*AEO4</f>
        <v>14359.190981754735</v>
      </c>
      <c r="AEP5" s="29">
        <f t="shared" ref="AEP5:AEP23" ca="1" si="861">(NORMINV(RAND(),$E$2,$G$2)+1)*AEP4</f>
        <v>14619.830899103856</v>
      </c>
      <c r="AEQ5" s="29">
        <f t="shared" ref="AEQ5:AEQ23" ca="1" si="862">(NORMINV(RAND(),$E$2,$G$2)+1)*AEQ4</f>
        <v>14343.504249570649</v>
      </c>
      <c r="AER5" s="29">
        <f t="shared" ref="AER5:AER23" ca="1" si="863">(NORMINV(RAND(),$E$2,$G$2)+1)*AER4</f>
        <v>14701.635773673628</v>
      </c>
      <c r="AES5" s="29">
        <f t="shared" ref="AES5:AES23" ca="1" si="864">(NORMINV(RAND(),$E$2,$G$2)+1)*AES4</f>
        <v>14313.798208887605</v>
      </c>
      <c r="AET5" s="29">
        <f t="shared" ref="AET5:AET23" ca="1" si="865">(NORMINV(RAND(),$E$2,$G$2)+1)*AET4</f>
        <v>14551.151983504089</v>
      </c>
      <c r="AEU5" s="29">
        <f t="shared" ref="AEU5:AEU23" ca="1" si="866">(NORMINV(RAND(),$E$2,$G$2)+1)*AEU4</f>
        <v>13961.976034728532</v>
      </c>
      <c r="AEV5" s="29">
        <f t="shared" ref="AEV5:AEV23" ca="1" si="867">(NORMINV(RAND(),$E$2,$G$2)+1)*AEV4</f>
        <v>14448.722845419139</v>
      </c>
      <c r="AEW5" s="29">
        <f t="shared" ref="AEW5:AEW23" ca="1" si="868">(NORMINV(RAND(),$E$2,$G$2)+1)*AEW4</f>
        <v>14567.526758882708</v>
      </c>
      <c r="AEX5" s="29">
        <f t="shared" ref="AEX5:AEX23" ca="1" si="869">(NORMINV(RAND(),$E$2,$G$2)+1)*AEX4</f>
        <v>14521.753593109775</v>
      </c>
      <c r="AEY5" s="29">
        <f t="shared" ref="AEY5:AEY23" ca="1" si="870">(NORMINV(RAND(),$E$2,$G$2)+1)*AEY4</f>
        <v>14571.984689904401</v>
      </c>
      <c r="AEZ5" s="29">
        <f t="shared" ref="AEZ5:AEZ23" ca="1" si="871">(NORMINV(RAND(),$E$2,$G$2)+1)*AEZ4</f>
        <v>14094.298223908105</v>
      </c>
      <c r="AFA5" s="29">
        <f t="shared" ref="AFA5:AFA23" ca="1" si="872">(NORMINV(RAND(),$E$2,$G$2)+1)*AFA4</f>
        <v>14667.929526595983</v>
      </c>
      <c r="AFB5" s="29">
        <f t="shared" ref="AFB5:AFB23" ca="1" si="873">(NORMINV(RAND(),$E$2,$G$2)+1)*AFB4</f>
        <v>14234.303056152448</v>
      </c>
      <c r="AFC5" s="29">
        <f t="shared" ref="AFC5:AFC23" ca="1" si="874">(NORMINV(RAND(),$E$2,$G$2)+1)*AFC4</f>
        <v>14464.851051442058</v>
      </c>
      <c r="AFD5" s="29">
        <f t="shared" ref="AFD5:AFD23" ca="1" si="875">(NORMINV(RAND(),$E$2,$G$2)+1)*AFD4</f>
        <v>14312.795743733102</v>
      </c>
      <c r="AFE5" s="29">
        <f t="shared" ref="AFE5:AFE23" ca="1" si="876">(NORMINV(RAND(),$E$2,$G$2)+1)*AFE4</f>
        <v>14612.971519868552</v>
      </c>
      <c r="AFF5" s="29">
        <f t="shared" ref="AFF5:AFF23" ca="1" si="877">(NORMINV(RAND(),$E$2,$G$2)+1)*AFF4</f>
        <v>14355.142417350353</v>
      </c>
      <c r="AFG5" s="29">
        <f t="shared" ref="AFG5:AFG23" ca="1" si="878">(NORMINV(RAND(),$E$2,$G$2)+1)*AFG4</f>
        <v>14478.800637964436</v>
      </c>
      <c r="AFH5" s="29">
        <f t="shared" ref="AFH5:AFH23" ca="1" si="879">(NORMINV(RAND(),$E$2,$G$2)+1)*AFH4</f>
        <v>14555.693893672771</v>
      </c>
      <c r="AFI5" s="29">
        <f t="shared" ref="AFI5:AFI23" ca="1" si="880">(NORMINV(RAND(),$E$2,$G$2)+1)*AFI4</f>
        <v>14331.879120581689</v>
      </c>
      <c r="AFJ5" s="29">
        <f t="shared" ref="AFJ5:AFJ23" ca="1" si="881">(NORMINV(RAND(),$E$2,$G$2)+1)*AFJ4</f>
        <v>14448.101080036467</v>
      </c>
      <c r="AFK5" s="29">
        <f t="shared" ref="AFK5:AFK23" ca="1" si="882">(NORMINV(RAND(),$E$2,$G$2)+1)*AFK4</f>
        <v>14480.217684435078</v>
      </c>
      <c r="AFL5" s="29">
        <f t="shared" ref="AFL5:AFL23" ca="1" si="883">(NORMINV(RAND(),$E$2,$G$2)+1)*AFL4</f>
        <v>14305.085113432138</v>
      </c>
      <c r="AFM5" s="29">
        <f t="shared" ref="AFM5:AFM23" ca="1" si="884">(NORMINV(RAND(),$E$2,$G$2)+1)*AFM4</f>
        <v>14160.879942883528</v>
      </c>
      <c r="AFN5" s="29">
        <f t="shared" ref="AFN5:AFN23" ca="1" si="885">(NORMINV(RAND(),$E$2,$G$2)+1)*AFN4</f>
        <v>14488.00807726725</v>
      </c>
      <c r="AFO5" s="29">
        <f t="shared" ref="AFO5:AFO23" ca="1" si="886">(NORMINV(RAND(),$E$2,$G$2)+1)*AFO4</f>
        <v>14348.939915903064</v>
      </c>
      <c r="AFP5" s="29">
        <f t="shared" ref="AFP5:AFP23" ca="1" si="887">(NORMINV(RAND(),$E$2,$G$2)+1)*AFP4</f>
        <v>14524.332734281945</v>
      </c>
      <c r="AFQ5" s="29">
        <f t="shared" ref="AFQ5:AFQ23" ca="1" si="888">(NORMINV(RAND(),$E$2,$G$2)+1)*AFQ4</f>
        <v>14388.861948424206</v>
      </c>
      <c r="AFR5" s="29">
        <f t="shared" ref="AFR5:AFR23" ca="1" si="889">(NORMINV(RAND(),$E$2,$G$2)+1)*AFR4</f>
        <v>14514.081815532061</v>
      </c>
      <c r="AFS5" s="29">
        <f t="shared" ref="AFS5:AFS23" ca="1" si="890">(NORMINV(RAND(),$E$2,$G$2)+1)*AFS4</f>
        <v>14631.427384809742</v>
      </c>
      <c r="AFT5" s="29">
        <f t="shared" ref="AFT5:AFT23" ca="1" si="891">(NORMINV(RAND(),$E$2,$G$2)+1)*AFT4</f>
        <v>14681.348177516447</v>
      </c>
      <c r="AFU5" s="29">
        <f t="shared" ref="AFU5:AFU23" ca="1" si="892">(NORMINV(RAND(),$E$2,$G$2)+1)*AFU4</f>
        <v>14392.197370523403</v>
      </c>
      <c r="AFV5" s="29">
        <f t="shared" ref="AFV5:AFV23" ca="1" si="893">(NORMINV(RAND(),$E$2,$G$2)+1)*AFV4</f>
        <v>14241.125824915294</v>
      </c>
      <c r="AFW5" s="29">
        <f t="shared" ref="AFW5:AFW23" ca="1" si="894">(NORMINV(RAND(),$E$2,$G$2)+1)*AFW4</f>
        <v>14358.271007924515</v>
      </c>
      <c r="AFX5" s="29">
        <f t="shared" ref="AFX5:AFX23" ca="1" si="895">(NORMINV(RAND(),$E$2,$G$2)+1)*AFX4</f>
        <v>14618.632688994894</v>
      </c>
      <c r="AFY5" s="29">
        <f t="shared" ref="AFY5:AFY23" ca="1" si="896">(NORMINV(RAND(),$E$2,$G$2)+1)*AFY4</f>
        <v>14466.646781679152</v>
      </c>
      <c r="AFZ5" s="29">
        <f t="shared" ref="AFZ5:AFZ23" ca="1" si="897">(NORMINV(RAND(),$E$2,$G$2)+1)*AFZ4</f>
        <v>14097.322813886227</v>
      </c>
      <c r="AGA5" s="29">
        <f t="shared" ref="AGA5:AGA23" ca="1" si="898">(NORMINV(RAND(),$E$2,$G$2)+1)*AGA4</f>
        <v>14393.394139984241</v>
      </c>
      <c r="AGB5" s="29">
        <f t="shared" ref="AGB5:AGB23" ca="1" si="899">(NORMINV(RAND(),$E$2,$G$2)+1)*AGB4</f>
        <v>14256.049139756868</v>
      </c>
      <c r="AGC5" s="29">
        <f t="shared" ref="AGC5:AGC23" ca="1" si="900">(NORMINV(RAND(),$E$2,$G$2)+1)*AGC4</f>
        <v>14522.554027020624</v>
      </c>
      <c r="AGD5" s="29">
        <f t="shared" ref="AGD5:AGD23" ca="1" si="901">(NORMINV(RAND(),$E$2,$G$2)+1)*AGD4</f>
        <v>14401.034630226803</v>
      </c>
      <c r="AGE5" s="29">
        <f t="shared" ref="AGE5:AGE23" ca="1" si="902">(NORMINV(RAND(),$E$2,$G$2)+1)*AGE4</f>
        <v>14122.905936856747</v>
      </c>
      <c r="AGF5" s="29">
        <f t="shared" ref="AGF5:AGF23" ca="1" si="903">(NORMINV(RAND(),$E$2,$G$2)+1)*AGF4</f>
        <v>14416.750256133839</v>
      </c>
      <c r="AGG5" s="29">
        <f t="shared" ref="AGG5:AGG23" ca="1" si="904">(NORMINV(RAND(),$E$2,$G$2)+1)*AGG4</f>
        <v>14251.441277471531</v>
      </c>
      <c r="AGH5" s="29">
        <f t="shared" ref="AGH5:AGH23" ca="1" si="905">(NORMINV(RAND(),$E$2,$G$2)+1)*AGH4</f>
        <v>14557.136179732794</v>
      </c>
      <c r="AGI5" s="29">
        <f t="shared" ref="AGI5:AGI23" ca="1" si="906">(NORMINV(RAND(),$E$2,$G$2)+1)*AGI4</f>
        <v>14551.565524370872</v>
      </c>
      <c r="AGJ5" s="29">
        <f t="shared" ref="AGJ5:AGJ23" ca="1" si="907">(NORMINV(RAND(),$E$2,$G$2)+1)*AGJ4</f>
        <v>14370.362154220787</v>
      </c>
      <c r="AGK5" s="29">
        <f t="shared" ref="AGK5:AGK23" ca="1" si="908">(NORMINV(RAND(),$E$2,$G$2)+1)*AGK4</f>
        <v>14296.386955090735</v>
      </c>
      <c r="AGL5" s="29">
        <f t="shared" ref="AGL5:AGL23" ca="1" si="909">(NORMINV(RAND(),$E$2,$G$2)+1)*AGL4</f>
        <v>14126.520391485508</v>
      </c>
      <c r="AGM5" s="29">
        <f t="shared" ref="AGM5:AGM23" ca="1" si="910">(NORMINV(RAND(),$E$2,$G$2)+1)*AGM4</f>
        <v>14564.294027197833</v>
      </c>
      <c r="AGN5" s="29">
        <f t="shared" ref="AGN5:AGN23" ca="1" si="911">(NORMINV(RAND(),$E$2,$G$2)+1)*AGN4</f>
        <v>14276.78747512251</v>
      </c>
      <c r="AGO5" s="29">
        <f t="shared" ref="AGO5:AGO23" ca="1" si="912">(NORMINV(RAND(),$E$2,$G$2)+1)*AGO4</f>
        <v>14354.365732162971</v>
      </c>
      <c r="AGP5" s="29">
        <f t="shared" ref="AGP5:AGP23" ca="1" si="913">(NORMINV(RAND(),$E$2,$G$2)+1)*AGP4</f>
        <v>13994.711440281377</v>
      </c>
      <c r="AGQ5" s="29">
        <f t="shared" ref="AGQ5:AGQ23" ca="1" si="914">(NORMINV(RAND(),$E$2,$G$2)+1)*AGQ4</f>
        <v>14706.347824498205</v>
      </c>
      <c r="AGR5" s="29">
        <f t="shared" ref="AGR5:AGR23" ca="1" si="915">(NORMINV(RAND(),$E$2,$G$2)+1)*AGR4</f>
        <v>14611.39301335345</v>
      </c>
      <c r="AGS5" s="29">
        <f t="shared" ref="AGS5:AGS23" ca="1" si="916">(NORMINV(RAND(),$E$2,$G$2)+1)*AGS4</f>
        <v>14233.929497608173</v>
      </c>
      <c r="AGT5" s="29">
        <f t="shared" ref="AGT5:AGT23" ca="1" si="917">(NORMINV(RAND(),$E$2,$G$2)+1)*AGT4</f>
        <v>14249.087229217566</v>
      </c>
      <c r="AGU5" s="29">
        <f t="shared" ref="AGU5:AGU23" ca="1" si="918">(NORMINV(RAND(),$E$2,$G$2)+1)*AGU4</f>
        <v>14353.698255170881</v>
      </c>
      <c r="AGV5" s="29">
        <f t="shared" ref="AGV5:AGV23" ca="1" si="919">(NORMINV(RAND(),$E$2,$G$2)+1)*AGV4</f>
        <v>14342.927110188015</v>
      </c>
      <c r="AGW5" s="29">
        <f t="shared" ref="AGW5:AGW23" ca="1" si="920">(NORMINV(RAND(),$E$2,$G$2)+1)*AGW4</f>
        <v>14575.397814121075</v>
      </c>
      <c r="AGX5" s="29">
        <f t="shared" ref="AGX5:AGX23" ca="1" si="921">(NORMINV(RAND(),$E$2,$G$2)+1)*AGX4</f>
        <v>13995.105854614361</v>
      </c>
      <c r="AGY5" s="29">
        <f t="shared" ref="AGY5:AGY23" ca="1" si="922">(NORMINV(RAND(),$E$2,$G$2)+1)*AGY4</f>
        <v>14376.361280776213</v>
      </c>
      <c r="AGZ5" s="29">
        <f t="shared" ref="AGZ5:AGZ23" ca="1" si="923">(NORMINV(RAND(),$E$2,$G$2)+1)*AGZ4</f>
        <v>14677.139003037571</v>
      </c>
      <c r="AHA5" s="29">
        <f t="shared" ref="AHA5:AHA23" ca="1" si="924">(NORMINV(RAND(),$E$2,$G$2)+1)*AHA4</f>
        <v>14223.657811849553</v>
      </c>
      <c r="AHB5" s="29">
        <f t="shared" ref="AHB5:AHB23" ca="1" si="925">(NORMINV(RAND(),$E$2,$G$2)+1)*AHB4</f>
        <v>14033.659850406275</v>
      </c>
      <c r="AHC5" s="29">
        <f t="shared" ref="AHC5:AHC23" ca="1" si="926">(NORMINV(RAND(),$E$2,$G$2)+1)*AHC4</f>
        <v>14403.774830465074</v>
      </c>
      <c r="AHD5" s="29">
        <f t="shared" ref="AHD5:AHD23" ca="1" si="927">(NORMINV(RAND(),$E$2,$G$2)+1)*AHD4</f>
        <v>14024.2453659568</v>
      </c>
      <c r="AHE5" s="29">
        <f t="shared" ref="AHE5:AHE23" ca="1" si="928">(NORMINV(RAND(),$E$2,$G$2)+1)*AHE4</f>
        <v>14733.65806057587</v>
      </c>
      <c r="AHF5" s="29">
        <f t="shared" ref="AHF5:AHF23" ca="1" si="929">(NORMINV(RAND(),$E$2,$G$2)+1)*AHF4</f>
        <v>14452.843959264257</v>
      </c>
      <c r="AHG5" s="29">
        <f t="shared" ref="AHG5:AHG23" ca="1" si="930">(NORMINV(RAND(),$E$2,$G$2)+1)*AHG4</f>
        <v>14422.107704307164</v>
      </c>
      <c r="AHH5" s="29">
        <f t="shared" ref="AHH5:AHH23" ca="1" si="931">(NORMINV(RAND(),$E$2,$G$2)+1)*AHH4</f>
        <v>14248.06190974118</v>
      </c>
      <c r="AHI5" s="29">
        <f t="shared" ref="AHI5:AHI23" ca="1" si="932">(NORMINV(RAND(),$E$2,$G$2)+1)*AHI4</f>
        <v>14596.309812391024</v>
      </c>
      <c r="AHJ5" s="29">
        <f t="shared" ref="AHJ5:AHJ23" ca="1" si="933">(NORMINV(RAND(),$E$2,$G$2)+1)*AHJ4</f>
        <v>14355.034019983737</v>
      </c>
      <c r="AHK5" s="29">
        <f t="shared" ref="AHK5:AHK23" ca="1" si="934">(NORMINV(RAND(),$E$2,$G$2)+1)*AHK4</f>
        <v>14859.401108199498</v>
      </c>
      <c r="AHL5" s="29">
        <f t="shared" ref="AHL5:AHL23" ca="1" si="935">(NORMINV(RAND(),$E$2,$G$2)+1)*AHL4</f>
        <v>14359.250348489073</v>
      </c>
      <c r="AHM5" s="29">
        <f t="shared" ref="AHM5:AHM23" ca="1" si="936">(NORMINV(RAND(),$E$2,$G$2)+1)*AHM4</f>
        <v>14449.510998217649</v>
      </c>
      <c r="AHN5" s="29">
        <f t="shared" ref="AHN5:AHN23" ca="1" si="937">(NORMINV(RAND(),$E$2,$G$2)+1)*AHN4</f>
        <v>14424.919298485682</v>
      </c>
      <c r="AHO5" s="29">
        <f t="shared" ref="AHO5:AHO23" ca="1" si="938">(NORMINV(RAND(),$E$2,$G$2)+1)*AHO4</f>
        <v>14382.837340360571</v>
      </c>
      <c r="AHP5" s="29">
        <f t="shared" ref="AHP5:AHP23" ca="1" si="939">(NORMINV(RAND(),$E$2,$G$2)+1)*AHP4</f>
        <v>14496.851710722756</v>
      </c>
      <c r="AHQ5" s="29">
        <f t="shared" ref="AHQ5:AHQ23" ca="1" si="940">(NORMINV(RAND(),$E$2,$G$2)+1)*AHQ4</f>
        <v>14534.02982539832</v>
      </c>
      <c r="AHR5" s="29">
        <f t="shared" ref="AHR5:AHR23" ca="1" si="941">(NORMINV(RAND(),$E$2,$G$2)+1)*AHR4</f>
        <v>14773.780886669292</v>
      </c>
      <c r="AHS5" s="29">
        <f t="shared" ref="AHS5:AHS23" ca="1" si="942">(NORMINV(RAND(),$E$2,$G$2)+1)*AHS4</f>
        <v>14255.4544398771</v>
      </c>
      <c r="AHT5" s="29">
        <f t="shared" ref="AHT5:AHT23" ca="1" si="943">(NORMINV(RAND(),$E$2,$G$2)+1)*AHT4</f>
        <v>14239.369792835281</v>
      </c>
      <c r="AHU5" s="29">
        <f t="shared" ref="AHU5:AHU23" ca="1" si="944">(NORMINV(RAND(),$E$2,$G$2)+1)*AHU4</f>
        <v>14160.05269714508</v>
      </c>
      <c r="AHV5" s="29">
        <f t="shared" ref="AHV5:AHV23" ca="1" si="945">(NORMINV(RAND(),$E$2,$G$2)+1)*AHV4</f>
        <v>14159.150400922645</v>
      </c>
      <c r="AHW5" s="29">
        <f t="shared" ref="AHW5:AHW23" ca="1" si="946">(NORMINV(RAND(),$E$2,$G$2)+1)*AHW4</f>
        <v>14203.119654724085</v>
      </c>
      <c r="AHX5" s="29">
        <f t="shared" ref="AHX5:AHX23" ca="1" si="947">(NORMINV(RAND(),$E$2,$G$2)+1)*AHX4</f>
        <v>14458.231269459853</v>
      </c>
      <c r="AHY5" s="29">
        <f t="shared" ref="AHY5:AHY23" ca="1" si="948">(NORMINV(RAND(),$E$2,$G$2)+1)*AHY4</f>
        <v>14305.054884758871</v>
      </c>
      <c r="AHZ5" s="29">
        <f t="shared" ref="AHZ5:AHZ23" ca="1" si="949">(NORMINV(RAND(),$E$2,$G$2)+1)*AHZ4</f>
        <v>14050.089948675812</v>
      </c>
      <c r="AIA5" s="29">
        <f t="shared" ref="AIA5:AIA23" ca="1" si="950">(NORMINV(RAND(),$E$2,$G$2)+1)*AIA4</f>
        <v>14579.859217411564</v>
      </c>
      <c r="AIB5" s="29">
        <f t="shared" ref="AIB5:AIB23" ca="1" si="951">(NORMINV(RAND(),$E$2,$G$2)+1)*AIB4</f>
        <v>14440.444639019941</v>
      </c>
      <c r="AIC5" s="29">
        <f t="shared" ref="AIC5:AIC23" ca="1" si="952">(NORMINV(RAND(),$E$2,$G$2)+1)*AIC4</f>
        <v>14666.41643323248</v>
      </c>
      <c r="AID5" s="29">
        <f t="shared" ref="AID5:AID23" ca="1" si="953">(NORMINV(RAND(),$E$2,$G$2)+1)*AID4</f>
        <v>14552.516167007245</v>
      </c>
      <c r="AIE5" s="29">
        <f t="shared" ref="AIE5:AIE23" ca="1" si="954">(NORMINV(RAND(),$E$2,$G$2)+1)*AIE4</f>
        <v>14403.631405051485</v>
      </c>
      <c r="AIF5" s="29">
        <f t="shared" ref="AIF5:AIF23" ca="1" si="955">(NORMINV(RAND(),$E$2,$G$2)+1)*AIF4</f>
        <v>14270.078438556657</v>
      </c>
      <c r="AIG5" s="29">
        <f t="shared" ref="AIG5:AIG23" ca="1" si="956">(NORMINV(RAND(),$E$2,$G$2)+1)*AIG4</f>
        <v>14377.273051117059</v>
      </c>
      <c r="AIH5" s="29">
        <f t="shared" ref="AIH5:AIH23" ca="1" si="957">(NORMINV(RAND(),$E$2,$G$2)+1)*AIH4</f>
        <v>14076.22218319471</v>
      </c>
      <c r="AII5" s="29">
        <f t="shared" ref="AII5:AII23" ca="1" si="958">(NORMINV(RAND(),$E$2,$G$2)+1)*AII4</f>
        <v>14301.7004428688</v>
      </c>
      <c r="AIJ5" s="29">
        <f t="shared" ref="AIJ5:AIJ23" ca="1" si="959">(NORMINV(RAND(),$E$2,$G$2)+1)*AIJ4</f>
        <v>14262.520517492598</v>
      </c>
      <c r="AIK5" s="29">
        <f t="shared" ref="AIK5:AIK23" ca="1" si="960">(NORMINV(RAND(),$E$2,$G$2)+1)*AIK4</f>
        <v>14365.107702453121</v>
      </c>
      <c r="AIL5" s="29">
        <f t="shared" ref="AIL5:AIL23" ca="1" si="961">(NORMINV(RAND(),$E$2,$G$2)+1)*AIL4</f>
        <v>14587.244758044724</v>
      </c>
      <c r="AIM5" s="29">
        <f t="shared" ref="AIM5:AIM23" ca="1" si="962">(NORMINV(RAND(),$E$2,$G$2)+1)*AIM4</f>
        <v>14446.195673686678</v>
      </c>
      <c r="AIN5" s="29">
        <f t="shared" ref="AIN5:AIN23" ca="1" si="963">(NORMINV(RAND(),$E$2,$G$2)+1)*AIN4</f>
        <v>14788.177697493345</v>
      </c>
      <c r="AIO5" s="29">
        <f t="shared" ref="AIO5:AIO23" ca="1" si="964">(NORMINV(RAND(),$E$2,$G$2)+1)*AIO4</f>
        <v>14592.463935269257</v>
      </c>
      <c r="AIP5" s="29">
        <f t="shared" ref="AIP5:AIP23" ca="1" si="965">(NORMINV(RAND(),$E$2,$G$2)+1)*AIP4</f>
        <v>14317.914098015328</v>
      </c>
      <c r="AIQ5" s="29">
        <f t="shared" ref="AIQ5:AIQ23" ca="1" si="966">(NORMINV(RAND(),$E$2,$G$2)+1)*AIQ4</f>
        <v>14154.70589313169</v>
      </c>
      <c r="AIR5" s="29">
        <f t="shared" ref="AIR5:AIR23" ca="1" si="967">(NORMINV(RAND(),$E$2,$G$2)+1)*AIR4</f>
        <v>13748.572760680849</v>
      </c>
      <c r="AIS5" s="29">
        <f t="shared" ref="AIS5:AIS23" ca="1" si="968">(NORMINV(RAND(),$E$2,$G$2)+1)*AIS4</f>
        <v>14579.88571790907</v>
      </c>
      <c r="AIT5" s="29">
        <f t="shared" ref="AIT5:AIT23" ca="1" si="969">(NORMINV(RAND(),$E$2,$G$2)+1)*AIT4</f>
        <v>14231.12630854435</v>
      </c>
      <c r="AIU5" s="29">
        <f t="shared" ref="AIU5:AIU23" ca="1" si="970">(NORMINV(RAND(),$E$2,$G$2)+1)*AIU4</f>
        <v>14103.420823803786</v>
      </c>
      <c r="AIV5" s="29">
        <f t="shared" ref="AIV5:AIV23" ca="1" si="971">(NORMINV(RAND(),$E$2,$G$2)+1)*AIV4</f>
        <v>14495.526412477435</v>
      </c>
      <c r="AIW5" s="29">
        <f t="shared" ref="AIW5:AIW23" ca="1" si="972">(NORMINV(RAND(),$E$2,$G$2)+1)*AIW4</f>
        <v>13933.847960215477</v>
      </c>
      <c r="AIX5" s="29">
        <f t="shared" ref="AIX5:AIX23" ca="1" si="973">(NORMINV(RAND(),$E$2,$G$2)+1)*AIX4</f>
        <v>14332.817975618014</v>
      </c>
      <c r="AIY5" s="29">
        <f t="shared" ref="AIY5:AIY23" ca="1" si="974">(NORMINV(RAND(),$E$2,$G$2)+1)*AIY4</f>
        <v>14615.083688179146</v>
      </c>
      <c r="AIZ5" s="29">
        <f t="shared" ref="AIZ5:AIZ23" ca="1" si="975">(NORMINV(RAND(),$E$2,$G$2)+1)*AIZ4</f>
        <v>14642.997017045596</v>
      </c>
      <c r="AJA5" s="29">
        <f t="shared" ref="AJA5:AJA23" ca="1" si="976">(NORMINV(RAND(),$E$2,$G$2)+1)*AJA4</f>
        <v>14252.233215463188</v>
      </c>
      <c r="AJB5" s="29">
        <f t="shared" ref="AJB5:AJB23" ca="1" si="977">(NORMINV(RAND(),$E$2,$G$2)+1)*AJB4</f>
        <v>14420.769012387218</v>
      </c>
      <c r="AJC5" s="29">
        <f t="shared" ref="AJC5:AJC23" ca="1" si="978">(NORMINV(RAND(),$E$2,$G$2)+1)*AJC4</f>
        <v>14662.368113433564</v>
      </c>
      <c r="AJD5" s="29">
        <f t="shared" ref="AJD5:AJD23" ca="1" si="979">(NORMINV(RAND(),$E$2,$G$2)+1)*AJD4</f>
        <v>14183.227176243248</v>
      </c>
      <c r="AJE5" s="29">
        <f t="shared" ref="AJE5:AJE23" ca="1" si="980">(NORMINV(RAND(),$E$2,$G$2)+1)*AJE4</f>
        <v>14520.937059476497</v>
      </c>
      <c r="AJF5" s="29">
        <f t="shared" ref="AJF5:AJF23" ca="1" si="981">(NORMINV(RAND(),$E$2,$G$2)+1)*AJF4</f>
        <v>14734.14656566452</v>
      </c>
      <c r="AJG5" s="29">
        <f t="shared" ref="AJG5:AJG23" ca="1" si="982">(NORMINV(RAND(),$E$2,$G$2)+1)*AJG4</f>
        <v>14319.594218075456</v>
      </c>
      <c r="AJH5" s="29">
        <f t="shared" ref="AJH5:AJH23" ca="1" si="983">(NORMINV(RAND(),$E$2,$G$2)+1)*AJH4</f>
        <v>14189.571230924303</v>
      </c>
      <c r="AJI5" s="29">
        <f t="shared" ref="AJI5:AJI23" ca="1" si="984">(NORMINV(RAND(),$E$2,$G$2)+1)*AJI4</f>
        <v>14578.534300059791</v>
      </c>
      <c r="AJJ5" s="29">
        <f t="shared" ref="AJJ5:AJJ23" ca="1" si="985">(NORMINV(RAND(),$E$2,$G$2)+1)*AJJ4</f>
        <v>14375.996172716419</v>
      </c>
      <c r="AJK5" s="29">
        <f t="shared" ref="AJK5:AJK23" ca="1" si="986">(NORMINV(RAND(),$E$2,$G$2)+1)*AJK4</f>
        <v>14301.618472988073</v>
      </c>
      <c r="AJL5" s="29">
        <f t="shared" ref="AJL5:AJL23" ca="1" si="987">(NORMINV(RAND(),$E$2,$G$2)+1)*AJL4</f>
        <v>14479.126587940558</v>
      </c>
      <c r="AJM5" s="29">
        <f t="shared" ref="AJM5:AJM23" ca="1" si="988">(NORMINV(RAND(),$E$2,$G$2)+1)*AJM4</f>
        <v>13994.633044026119</v>
      </c>
      <c r="AJN5" s="29">
        <f t="shared" ref="AJN5:AJN23" ca="1" si="989">(NORMINV(RAND(),$E$2,$G$2)+1)*AJN4</f>
        <v>14172.491229992696</v>
      </c>
      <c r="AJO5" s="29">
        <f t="shared" ref="AJO5:AJO23" ca="1" si="990">(NORMINV(RAND(),$E$2,$G$2)+1)*AJO4</f>
        <v>14287.195266976973</v>
      </c>
      <c r="AJP5" s="29">
        <f t="shared" ref="AJP5:AJP23" ca="1" si="991">(NORMINV(RAND(),$E$2,$G$2)+1)*AJP4</f>
        <v>14399.439813477811</v>
      </c>
      <c r="AJQ5" s="29">
        <f t="shared" ref="AJQ5:AJQ23" ca="1" si="992">(NORMINV(RAND(),$E$2,$G$2)+1)*AJQ4</f>
        <v>14205.765797095479</v>
      </c>
      <c r="AJR5" s="29">
        <f t="shared" ref="AJR5:AJR23" ca="1" si="993">(NORMINV(RAND(),$E$2,$G$2)+1)*AJR4</f>
        <v>14450.744614363854</v>
      </c>
      <c r="AJS5" s="29">
        <f t="shared" ref="AJS5:AJS23" ca="1" si="994">(NORMINV(RAND(),$E$2,$G$2)+1)*AJS4</f>
        <v>14785.867712087715</v>
      </c>
      <c r="AJT5" s="29">
        <f t="shared" ref="AJT5:AJT23" ca="1" si="995">(NORMINV(RAND(),$E$2,$G$2)+1)*AJT4</f>
        <v>14488.172849366278</v>
      </c>
      <c r="AJU5" s="29">
        <f t="shared" ref="AJU5:AJU23" ca="1" si="996">(NORMINV(RAND(),$E$2,$G$2)+1)*AJU4</f>
        <v>14178.398880542529</v>
      </c>
      <c r="AJV5" s="29">
        <f t="shared" ref="AJV5:AJV23" ca="1" si="997">(NORMINV(RAND(),$E$2,$G$2)+1)*AJV4</f>
        <v>14158.67972005427</v>
      </c>
      <c r="AJW5" s="29">
        <f t="shared" ref="AJW5:AJW23" ca="1" si="998">(NORMINV(RAND(),$E$2,$G$2)+1)*AJW4</f>
        <v>14604.368381041295</v>
      </c>
      <c r="AJX5" s="29">
        <f t="shared" ref="AJX5:AJX23" ca="1" si="999">(NORMINV(RAND(),$E$2,$G$2)+1)*AJX4</f>
        <v>14751.454648398441</v>
      </c>
      <c r="AJY5" s="29">
        <f t="shared" ref="AJY5:AJY23" ca="1" si="1000">(NORMINV(RAND(),$E$2,$G$2)+1)*AJY4</f>
        <v>14624.862483464214</v>
      </c>
      <c r="AJZ5" s="29">
        <f t="shared" ref="AJZ5:AJZ23" ca="1" si="1001">(NORMINV(RAND(),$E$2,$G$2)+1)*AJZ4</f>
        <v>14201.047850707859</v>
      </c>
      <c r="AKA5" s="29">
        <f t="shared" ref="AKA5:AKA23" ca="1" si="1002">(NORMINV(RAND(),$E$2,$G$2)+1)*AKA4</f>
        <v>14516.741908726648</v>
      </c>
      <c r="AKB5" s="29">
        <f t="shared" ref="AKB5:AKB23" ca="1" si="1003">(NORMINV(RAND(),$E$2,$G$2)+1)*AKB4</f>
        <v>14486.831026540467</v>
      </c>
      <c r="AKC5" s="29">
        <f t="shared" ref="AKC5:AKC23" ca="1" si="1004">(NORMINV(RAND(),$E$2,$G$2)+1)*AKC4</f>
        <v>14932.141037955555</v>
      </c>
      <c r="AKD5" s="29">
        <f t="shared" ref="AKD5:AKD23" ca="1" si="1005">(NORMINV(RAND(),$E$2,$G$2)+1)*AKD4</f>
        <v>14362.743182809303</v>
      </c>
      <c r="AKE5" s="29">
        <f t="shared" ref="AKE5:AKE23" ca="1" si="1006">(NORMINV(RAND(),$E$2,$G$2)+1)*AKE4</f>
        <v>14280.81753403716</v>
      </c>
      <c r="AKF5" s="29">
        <f t="shared" ref="AKF5:AKF23" ca="1" si="1007">(NORMINV(RAND(),$E$2,$G$2)+1)*AKF4</f>
        <v>14461.537661730474</v>
      </c>
      <c r="AKG5" s="29">
        <f t="shared" ref="AKG5:AKG23" ca="1" si="1008">(NORMINV(RAND(),$E$2,$G$2)+1)*AKG4</f>
        <v>14439.099967266189</v>
      </c>
      <c r="AKH5" s="29">
        <f t="shared" ref="AKH5:AKH23" ca="1" si="1009">(NORMINV(RAND(),$E$2,$G$2)+1)*AKH4</f>
        <v>14530.126970756093</v>
      </c>
      <c r="AKI5" s="29">
        <f t="shared" ref="AKI5:AKI23" ca="1" si="1010">(NORMINV(RAND(),$E$2,$G$2)+1)*AKI4</f>
        <v>14117.070485272494</v>
      </c>
      <c r="AKJ5" s="29">
        <f t="shared" ref="AKJ5:AKJ23" ca="1" si="1011">(NORMINV(RAND(),$E$2,$G$2)+1)*AKJ4</f>
        <v>14018.95760175567</v>
      </c>
      <c r="AKK5" s="29">
        <f t="shared" ref="AKK5:AKK23" ca="1" si="1012">(NORMINV(RAND(),$E$2,$G$2)+1)*AKK4</f>
        <v>14438.387883862782</v>
      </c>
      <c r="AKL5" s="29">
        <f t="shared" ref="AKL5:AKL23" ca="1" si="1013">(NORMINV(RAND(),$E$2,$G$2)+1)*AKL4</f>
        <v>14232.720348168294</v>
      </c>
      <c r="AKM5" s="29">
        <f t="shared" ref="AKM5:AKM23" ca="1" si="1014">(NORMINV(RAND(),$E$2,$G$2)+1)*AKM4</f>
        <v>14098.407380595614</v>
      </c>
      <c r="AKN5" s="29">
        <f t="shared" ref="AKN5:AKN23" ca="1" si="1015">(NORMINV(RAND(),$E$2,$G$2)+1)*AKN4</f>
        <v>14363.090191781548</v>
      </c>
      <c r="AKO5" s="29">
        <f t="shared" ref="AKO5:AKO23" ca="1" si="1016">(NORMINV(RAND(),$E$2,$G$2)+1)*AKO4</f>
        <v>14215.590603604865</v>
      </c>
      <c r="AKP5" s="29">
        <f t="shared" ref="AKP5:AKP23" ca="1" si="1017">(NORMINV(RAND(),$E$2,$G$2)+1)*AKP4</f>
        <v>14798.800280451593</v>
      </c>
      <c r="AKQ5" s="29">
        <f t="shared" ref="AKQ5:AKQ23" ca="1" si="1018">(NORMINV(RAND(),$E$2,$G$2)+1)*AKQ4</f>
        <v>14028.257860139813</v>
      </c>
      <c r="AKR5" s="29">
        <f t="shared" ref="AKR5:AKR23" ca="1" si="1019">(NORMINV(RAND(),$E$2,$G$2)+1)*AKR4</f>
        <v>14520.636220085953</v>
      </c>
      <c r="AKS5" s="29">
        <f t="shared" ref="AKS5:AKS23" ca="1" si="1020">(NORMINV(RAND(),$E$2,$G$2)+1)*AKS4</f>
        <v>14253.516239085564</v>
      </c>
      <c r="AKT5" s="29">
        <f t="shared" ref="AKT5:AKT23" ca="1" si="1021">(NORMINV(RAND(),$E$2,$G$2)+1)*AKT4</f>
        <v>14362.172074451862</v>
      </c>
      <c r="AKU5" s="29">
        <f t="shared" ref="AKU5:AKU23" ca="1" si="1022">(NORMINV(RAND(),$E$2,$G$2)+1)*AKU4</f>
        <v>14637.32181205602</v>
      </c>
      <c r="AKV5" s="29">
        <f t="shared" ref="AKV5:AKV23" ca="1" si="1023">(NORMINV(RAND(),$E$2,$G$2)+1)*AKV4</f>
        <v>13845.122020128974</v>
      </c>
      <c r="AKW5" s="29">
        <f t="shared" ref="AKW5:AKW23" ca="1" si="1024">(NORMINV(RAND(),$E$2,$G$2)+1)*AKW4</f>
        <v>14532.879120592934</v>
      </c>
      <c r="AKX5" s="29">
        <f t="shared" ref="AKX5:AKX23" ca="1" si="1025">(NORMINV(RAND(),$E$2,$G$2)+1)*AKX4</f>
        <v>14303.798695917847</v>
      </c>
      <c r="AKY5" s="29">
        <f t="shared" ref="AKY5:AKY23" ca="1" si="1026">(NORMINV(RAND(),$E$2,$G$2)+1)*AKY4</f>
        <v>14602.137644064413</v>
      </c>
      <c r="AKZ5" s="29">
        <f t="shared" ref="AKZ5:AKZ23" ca="1" si="1027">(NORMINV(RAND(),$E$2,$G$2)+1)*AKZ4</f>
        <v>14157.356674253777</v>
      </c>
      <c r="ALA5" s="29">
        <f t="shared" ref="ALA5:ALA23" ca="1" si="1028">(NORMINV(RAND(),$E$2,$G$2)+1)*ALA4</f>
        <v>14552.170022731063</v>
      </c>
      <c r="ALB5" s="29">
        <f t="shared" ref="ALB5:ALB23" ca="1" si="1029">(NORMINV(RAND(),$E$2,$G$2)+1)*ALB4</f>
        <v>14357.448508756253</v>
      </c>
      <c r="ALC5" s="29">
        <f t="shared" ref="ALC5:ALC23" ca="1" si="1030">(NORMINV(RAND(),$E$2,$G$2)+1)*ALC4</f>
        <v>15121.59078835555</v>
      </c>
      <c r="ALD5" s="29">
        <f t="shared" ref="ALD5:ALD23" ca="1" si="1031">(NORMINV(RAND(),$E$2,$G$2)+1)*ALD4</f>
        <v>14674.663868256835</v>
      </c>
      <c r="ALE5" s="29">
        <f t="shared" ref="ALE5:ALE23" ca="1" si="1032">(NORMINV(RAND(),$E$2,$G$2)+1)*ALE4</f>
        <v>14220.648834691538</v>
      </c>
      <c r="ALF5" s="29">
        <f t="shared" ref="ALF5:ALF23" ca="1" si="1033">(NORMINV(RAND(),$E$2,$G$2)+1)*ALF4</f>
        <v>14351.045036978076</v>
      </c>
      <c r="ALG5" s="29">
        <f t="shared" ref="ALG5:ALG23" ca="1" si="1034">(NORMINV(RAND(),$E$2,$G$2)+1)*ALG4</f>
        <v>14318.479515069364</v>
      </c>
      <c r="ALH5" s="29">
        <f t="shared" ref="ALH5:ALH23" ca="1" si="1035">(NORMINV(RAND(),$E$2,$G$2)+1)*ALH4</f>
        <v>14412.496271143251</v>
      </c>
      <c r="ALI5" s="29">
        <f t="shared" ref="ALI5:ALI23" ca="1" si="1036">(NORMINV(RAND(),$E$2,$G$2)+1)*ALI4</f>
        <v>14650.984952037243</v>
      </c>
      <c r="ALJ5" s="29">
        <f t="shared" ref="ALJ5:ALJ23" ca="1" si="1037">(NORMINV(RAND(),$E$2,$G$2)+1)*ALJ4</f>
        <v>14703.608148265987</v>
      </c>
      <c r="ALK5" s="29">
        <f t="shared" ref="ALK5:ALK23" ca="1" si="1038">(NORMINV(RAND(),$E$2,$G$2)+1)*ALK4</f>
        <v>14684.851770982816</v>
      </c>
      <c r="ALL5" s="29">
        <f t="shared" ref="ALL5:ALL23" ca="1" si="1039">(NORMINV(RAND(),$E$2,$G$2)+1)*ALL4</f>
        <v>14127.725578031121</v>
      </c>
      <c r="ALM5" s="29">
        <f t="shared" ref="ALM5:ALM23" ca="1" si="1040">(NORMINV(RAND(),$E$2,$G$2)+1)*ALM4</f>
        <v>14206.261650409451</v>
      </c>
      <c r="ALN5" s="29">
        <f t="shared" ref="ALN5:ALN23" ca="1" si="1041">(NORMINV(RAND(),$E$2,$G$2)+1)*ALN4</f>
        <v>14652.738783972432</v>
      </c>
      <c r="ALO5" s="29">
        <f t="shared" ref="ALO5:ALO23" ca="1" si="1042">(NORMINV(RAND(),$E$2,$G$2)+1)*ALO4</f>
        <v>14097.408699498015</v>
      </c>
      <c r="ALP5" s="29">
        <f t="shared" ref="ALP5:ALP23" ca="1" si="1043">(NORMINV(RAND(),$E$2,$G$2)+1)*ALP4</f>
        <v>14290.422174281764</v>
      </c>
      <c r="ALQ5" s="29">
        <f t="shared" ref="ALQ5:ALQ23" ca="1" si="1044">(NORMINV(RAND(),$E$2,$G$2)+1)*ALQ4</f>
        <v>14653.008766304707</v>
      </c>
      <c r="ALR5" s="29">
        <f t="shared" ref="ALR5:ALR23" ca="1" si="1045">(NORMINV(RAND(),$E$2,$G$2)+1)*ALR4</f>
        <v>13894.548746264249</v>
      </c>
      <c r="ALS5" s="29">
        <f t="shared" ref="ALS5:ALS23" ca="1" si="1046">(NORMINV(RAND(),$E$2,$G$2)+1)*ALS4</f>
        <v>14324.799193184399</v>
      </c>
      <c r="ALT5" s="29">
        <f t="shared" ref="ALT5:ALT23" ca="1" si="1047">(NORMINV(RAND(),$E$2,$G$2)+1)*ALT4</f>
        <v>14492.673692413637</v>
      </c>
      <c r="ALU5" s="29">
        <f t="shared" ref="ALU5:ALU23" ca="1" si="1048">(NORMINV(RAND(),$E$2,$G$2)+1)*ALU4</f>
        <v>14373.747840610757</v>
      </c>
      <c r="ALV5" s="29">
        <f t="shared" ref="ALV5:ALV23" ca="1" si="1049">(NORMINV(RAND(),$E$2,$G$2)+1)*ALV4</f>
        <v>14328.189319167246</v>
      </c>
    </row>
    <row r="6" spans="1:1258" x14ac:dyDescent="0.25">
      <c r="A6" s="1">
        <v>40480</v>
      </c>
      <c r="B6" s="2">
        <v>6017.7001950000003</v>
      </c>
      <c r="C6" s="16">
        <f t="shared" si="32"/>
        <v>4.9977612523454265E-3</v>
      </c>
      <c r="E6" s="18" t="s">
        <v>47</v>
      </c>
      <c r="F6" s="18" t="s">
        <v>50</v>
      </c>
      <c r="G6" s="18" t="s">
        <v>51</v>
      </c>
      <c r="J6" s="29">
        <f t="shared" si="49"/>
        <v>3</v>
      </c>
      <c r="K6" s="29">
        <f t="shared" ca="1" si="50"/>
        <v>14076.950064033603</v>
      </c>
      <c r="L6" s="29">
        <f t="shared" ca="1" si="51"/>
        <v>14175.822853715312</v>
      </c>
      <c r="M6" s="29">
        <f t="shared" ca="1" si="52"/>
        <v>15059.502095536503</v>
      </c>
      <c r="N6" s="29">
        <f t="shared" ca="1" si="53"/>
        <v>13679.240799514133</v>
      </c>
      <c r="O6" s="29">
        <f t="shared" ca="1" si="54"/>
        <v>14572.202960732469</v>
      </c>
      <c r="P6" s="29">
        <f t="shared" ca="1" si="55"/>
        <v>14637.845870830442</v>
      </c>
      <c r="Q6" s="29">
        <f t="shared" ca="1" si="56"/>
        <v>13805.543708716907</v>
      </c>
      <c r="R6" s="29">
        <f t="shared" ca="1" si="57"/>
        <v>14187.800844303925</v>
      </c>
      <c r="S6" s="29">
        <f t="shared" ca="1" si="58"/>
        <v>14845.128069911651</v>
      </c>
      <c r="T6" s="29">
        <f t="shared" ca="1" si="59"/>
        <v>15258.995357549151</v>
      </c>
      <c r="U6" s="29">
        <f t="shared" ca="1" si="60"/>
        <v>14834.744259934298</v>
      </c>
      <c r="V6" s="29">
        <f t="shared" ca="1" si="61"/>
        <v>14812.029514627398</v>
      </c>
      <c r="W6" s="29">
        <f t="shared" ca="1" si="62"/>
        <v>14256.67188341791</v>
      </c>
      <c r="X6" s="29">
        <f t="shared" ca="1" si="63"/>
        <v>14458.064587833875</v>
      </c>
      <c r="Y6" s="29">
        <f t="shared" ca="1" si="64"/>
        <v>14099.60691251085</v>
      </c>
      <c r="Z6" s="29">
        <f t="shared" ca="1" si="65"/>
        <v>13930.909859334892</v>
      </c>
      <c r="AA6" s="29">
        <f t="shared" ca="1" si="66"/>
        <v>14399.580557370295</v>
      </c>
      <c r="AB6" s="29">
        <f t="shared" ca="1" si="67"/>
        <v>14768.302150398589</v>
      </c>
      <c r="AC6" s="29">
        <f t="shared" ca="1" si="68"/>
        <v>14347.107719773825</v>
      </c>
      <c r="AD6" s="29">
        <f t="shared" ca="1" si="69"/>
        <v>14646.528316938882</v>
      </c>
      <c r="AE6" s="29">
        <f t="shared" ca="1" si="70"/>
        <v>15064.522357020458</v>
      </c>
      <c r="AF6" s="29">
        <f t="shared" ca="1" si="71"/>
        <v>14029.154906660167</v>
      </c>
      <c r="AG6" s="29">
        <f t="shared" ca="1" si="72"/>
        <v>13806.678696099263</v>
      </c>
      <c r="AH6" s="29">
        <f t="shared" ca="1" si="73"/>
        <v>14588.418747014966</v>
      </c>
      <c r="AI6" s="29">
        <f t="shared" ca="1" si="74"/>
        <v>14099.960478629542</v>
      </c>
      <c r="AJ6" s="29">
        <f t="shared" ca="1" si="75"/>
        <v>14393.82160589016</v>
      </c>
      <c r="AK6" s="29">
        <f t="shared" ca="1" si="76"/>
        <v>14295.583545520787</v>
      </c>
      <c r="AL6" s="29">
        <f t="shared" ca="1" si="77"/>
        <v>14353.061152465598</v>
      </c>
      <c r="AM6" s="29">
        <f t="shared" ca="1" si="78"/>
        <v>14642.169175529043</v>
      </c>
      <c r="AN6" s="29">
        <f t="shared" ca="1" si="79"/>
        <v>14472.206300699445</v>
      </c>
      <c r="AO6" s="29">
        <f t="shared" ca="1" si="80"/>
        <v>14323.530239365777</v>
      </c>
      <c r="AP6" s="29">
        <f t="shared" ca="1" si="81"/>
        <v>14086.053518585617</v>
      </c>
      <c r="AQ6" s="29">
        <f t="shared" ca="1" si="82"/>
        <v>14161.194665817984</v>
      </c>
      <c r="AR6" s="29">
        <f t="shared" ca="1" si="83"/>
        <v>14711.300158603344</v>
      </c>
      <c r="AS6" s="29">
        <f t="shared" ca="1" si="84"/>
        <v>14241.963084342005</v>
      </c>
      <c r="AT6" s="29">
        <f t="shared" ca="1" si="85"/>
        <v>14136.153897216316</v>
      </c>
      <c r="AU6" s="29">
        <f t="shared" ca="1" si="86"/>
        <v>14171.577440169185</v>
      </c>
      <c r="AV6" s="29">
        <f t="shared" ca="1" si="87"/>
        <v>14285.211401402861</v>
      </c>
      <c r="AW6" s="29">
        <f t="shared" ca="1" si="88"/>
        <v>14934.447821703139</v>
      </c>
      <c r="AX6" s="29">
        <f t="shared" ca="1" si="89"/>
        <v>14201.069583407061</v>
      </c>
      <c r="AY6" s="29">
        <f t="shared" ca="1" si="90"/>
        <v>14461.275014904582</v>
      </c>
      <c r="AZ6" s="29">
        <f t="shared" ca="1" si="91"/>
        <v>14475.884380890015</v>
      </c>
      <c r="BA6" s="29">
        <f t="shared" ca="1" si="92"/>
        <v>14424.76439965703</v>
      </c>
      <c r="BB6" s="29">
        <f t="shared" ca="1" si="93"/>
        <v>14213.737116095903</v>
      </c>
      <c r="BC6" s="29">
        <f t="shared" ca="1" si="94"/>
        <v>14067.504209328215</v>
      </c>
      <c r="BD6" s="29">
        <f t="shared" ca="1" si="95"/>
        <v>13974.12688252123</v>
      </c>
      <c r="BE6" s="29">
        <f t="shared" ca="1" si="96"/>
        <v>14455.846941438336</v>
      </c>
      <c r="BF6" s="29">
        <f t="shared" ca="1" si="97"/>
        <v>14353.962273236821</v>
      </c>
      <c r="BG6" s="29">
        <f t="shared" ca="1" si="98"/>
        <v>14458.53522988439</v>
      </c>
      <c r="BH6" s="29">
        <f t="shared" ca="1" si="99"/>
        <v>14907.36997268573</v>
      </c>
      <c r="BI6" s="29">
        <f t="shared" ca="1" si="100"/>
        <v>14312.171617080719</v>
      </c>
      <c r="BJ6" s="29">
        <f t="shared" ca="1" si="101"/>
        <v>14212.178356741388</v>
      </c>
      <c r="BK6" s="29">
        <f t="shared" ca="1" si="102"/>
        <v>13886.847172147283</v>
      </c>
      <c r="BL6" s="29">
        <f t="shared" ca="1" si="103"/>
        <v>14558.650244026978</v>
      </c>
      <c r="BM6" s="29">
        <f t="shared" ca="1" si="104"/>
        <v>14523.351426021916</v>
      </c>
      <c r="BN6" s="29">
        <f t="shared" ca="1" si="105"/>
        <v>14635.619306242901</v>
      </c>
      <c r="BO6" s="29">
        <f t="shared" ca="1" si="106"/>
        <v>14373.07984551622</v>
      </c>
      <c r="BP6" s="29">
        <f t="shared" ca="1" si="107"/>
        <v>14402.029022093498</v>
      </c>
      <c r="BQ6" s="29">
        <f t="shared" ca="1" si="108"/>
        <v>14562.49514595164</v>
      </c>
      <c r="BR6" s="29">
        <f t="shared" ca="1" si="109"/>
        <v>14156.826795466923</v>
      </c>
      <c r="BS6" s="29">
        <f t="shared" ca="1" si="110"/>
        <v>14803.521105272164</v>
      </c>
      <c r="BT6" s="29">
        <f t="shared" ca="1" si="111"/>
        <v>14315.255098569529</v>
      </c>
      <c r="BU6" s="29">
        <f t="shared" ca="1" si="112"/>
        <v>14261.687488075482</v>
      </c>
      <c r="BV6" s="29">
        <f t="shared" ca="1" si="113"/>
        <v>14463.070665531748</v>
      </c>
      <c r="BW6" s="29">
        <f t="shared" ca="1" si="114"/>
        <v>14475.967694158258</v>
      </c>
      <c r="BX6" s="29">
        <f t="shared" ca="1" si="115"/>
        <v>14294.526738837507</v>
      </c>
      <c r="BY6" s="29">
        <f t="shared" ca="1" si="116"/>
        <v>14247.542504249514</v>
      </c>
      <c r="BZ6" s="29">
        <f t="shared" ca="1" si="117"/>
        <v>14329.777947829843</v>
      </c>
      <c r="CA6" s="29">
        <f t="shared" ca="1" si="118"/>
        <v>14403.181919510751</v>
      </c>
      <c r="CB6" s="29">
        <f t="shared" ca="1" si="119"/>
        <v>14708.813331143567</v>
      </c>
      <c r="CC6" s="29">
        <f t="shared" ca="1" si="120"/>
        <v>13533.020822845219</v>
      </c>
      <c r="CD6" s="29">
        <f t="shared" ca="1" si="121"/>
        <v>14531.871179957392</v>
      </c>
      <c r="CE6" s="29">
        <f t="shared" ca="1" si="122"/>
        <v>14657.685903792797</v>
      </c>
      <c r="CF6" s="29">
        <f t="shared" ca="1" si="123"/>
        <v>14841.972060393091</v>
      </c>
      <c r="CG6" s="29">
        <f t="shared" ca="1" si="124"/>
        <v>14371.282042353774</v>
      </c>
      <c r="CH6" s="29">
        <f t="shared" ca="1" si="125"/>
        <v>14640.151178845423</v>
      </c>
      <c r="CI6" s="29">
        <f t="shared" ca="1" si="126"/>
        <v>14102.447135958495</v>
      </c>
      <c r="CJ6" s="29">
        <f t="shared" ca="1" si="127"/>
        <v>14189.70704974038</v>
      </c>
      <c r="CK6" s="29">
        <f t="shared" ca="1" si="128"/>
        <v>14271.160523562425</v>
      </c>
      <c r="CL6" s="29">
        <f t="shared" ca="1" si="129"/>
        <v>14482.220606539522</v>
      </c>
      <c r="CM6" s="29">
        <f t="shared" ca="1" si="130"/>
        <v>14314.497224117562</v>
      </c>
      <c r="CN6" s="29">
        <f t="shared" ca="1" si="131"/>
        <v>14350.241070545013</v>
      </c>
      <c r="CO6" s="29">
        <f t="shared" ca="1" si="132"/>
        <v>14446.34502912957</v>
      </c>
      <c r="CP6" s="29">
        <f t="shared" ca="1" si="133"/>
        <v>14507.570222612385</v>
      </c>
      <c r="CQ6" s="29">
        <f t="shared" ca="1" si="134"/>
        <v>14211.899180170651</v>
      </c>
      <c r="CR6" s="29">
        <f t="shared" ca="1" si="135"/>
        <v>14743.55874362553</v>
      </c>
      <c r="CS6" s="29">
        <f t="shared" ca="1" si="136"/>
        <v>13973.225031212338</v>
      </c>
      <c r="CT6" s="29">
        <f t="shared" ca="1" si="137"/>
        <v>14552.904784470169</v>
      </c>
      <c r="CU6" s="29">
        <f t="shared" ca="1" si="138"/>
        <v>14191.098804347668</v>
      </c>
      <c r="CV6" s="29">
        <f t="shared" ca="1" si="139"/>
        <v>14574.391739013872</v>
      </c>
      <c r="CW6" s="29">
        <f t="shared" ca="1" si="140"/>
        <v>14497.689443115927</v>
      </c>
      <c r="CX6" s="29">
        <f t="shared" ca="1" si="141"/>
        <v>14553.581092108654</v>
      </c>
      <c r="CY6" s="29">
        <f t="shared" ca="1" si="142"/>
        <v>14437.326056929747</v>
      </c>
      <c r="CZ6" s="29">
        <f t="shared" ca="1" si="143"/>
        <v>14069.065528891397</v>
      </c>
      <c r="DA6" s="29">
        <f t="shared" ca="1" si="144"/>
        <v>14351.373913171054</v>
      </c>
      <c r="DB6" s="29">
        <f t="shared" ca="1" si="145"/>
        <v>15041.617614655635</v>
      </c>
      <c r="DC6" s="29">
        <f t="shared" ca="1" si="146"/>
        <v>14300.218245747408</v>
      </c>
      <c r="DD6" s="29">
        <f t="shared" ca="1" si="147"/>
        <v>14471.411775647211</v>
      </c>
      <c r="DE6" s="29">
        <f t="shared" ca="1" si="148"/>
        <v>14425.878938141723</v>
      </c>
      <c r="DF6" s="29">
        <f t="shared" ca="1" si="149"/>
        <v>14229.739752993602</v>
      </c>
      <c r="DG6" s="29">
        <f t="shared" ca="1" si="150"/>
        <v>14173.805865346834</v>
      </c>
      <c r="DH6" s="29">
        <f t="shared" ca="1" si="151"/>
        <v>14047.914630823354</v>
      </c>
      <c r="DI6" s="29">
        <f t="shared" ca="1" si="152"/>
        <v>14464.482950672178</v>
      </c>
      <c r="DJ6" s="29">
        <f t="shared" ca="1" si="153"/>
        <v>14685.886594512082</v>
      </c>
      <c r="DK6" s="29">
        <f t="shared" ca="1" si="154"/>
        <v>14399.955020156471</v>
      </c>
      <c r="DL6" s="29">
        <f t="shared" ca="1" si="155"/>
        <v>14618.370386497741</v>
      </c>
      <c r="DM6" s="29">
        <f t="shared" ca="1" si="156"/>
        <v>14169.494229347771</v>
      </c>
      <c r="DN6" s="29">
        <f t="shared" ca="1" si="157"/>
        <v>14604.113515760389</v>
      </c>
      <c r="DO6" s="29">
        <f t="shared" ca="1" si="158"/>
        <v>14119.069198769366</v>
      </c>
      <c r="DP6" s="29">
        <f t="shared" ca="1" si="159"/>
        <v>14529.036976722349</v>
      </c>
      <c r="DQ6" s="29">
        <f t="shared" ca="1" si="160"/>
        <v>14403.753039238867</v>
      </c>
      <c r="DR6" s="29">
        <f t="shared" ca="1" si="161"/>
        <v>13885.079043103873</v>
      </c>
      <c r="DS6" s="29">
        <f t="shared" ca="1" si="162"/>
        <v>14590.104710090682</v>
      </c>
      <c r="DT6" s="29">
        <f t="shared" ca="1" si="163"/>
        <v>14266.200726815267</v>
      </c>
      <c r="DU6" s="29">
        <f t="shared" ca="1" si="164"/>
        <v>14447.034436837581</v>
      </c>
      <c r="DV6" s="29">
        <f t="shared" ca="1" si="165"/>
        <v>14343.458200977106</v>
      </c>
      <c r="DW6" s="29">
        <f t="shared" ca="1" si="166"/>
        <v>14372.698450366972</v>
      </c>
      <c r="DX6" s="29">
        <f t="shared" ca="1" si="167"/>
        <v>14092.577126412885</v>
      </c>
      <c r="DY6" s="29">
        <f t="shared" ca="1" si="168"/>
        <v>14385.161349274242</v>
      </c>
      <c r="DZ6" s="29">
        <f t="shared" ca="1" si="169"/>
        <v>14548.134073656971</v>
      </c>
      <c r="EA6" s="29">
        <f t="shared" ca="1" si="170"/>
        <v>13903.280207898875</v>
      </c>
      <c r="EB6" s="29">
        <f t="shared" ca="1" si="171"/>
        <v>14145.667393673219</v>
      </c>
      <c r="EC6" s="29">
        <f t="shared" ca="1" si="172"/>
        <v>14487.348613954562</v>
      </c>
      <c r="ED6" s="29">
        <f t="shared" ca="1" si="173"/>
        <v>14788.508271917461</v>
      </c>
      <c r="EE6" s="29">
        <f t="shared" ca="1" si="174"/>
        <v>14822.310927442204</v>
      </c>
      <c r="EF6" s="29">
        <f t="shared" ca="1" si="175"/>
        <v>14650.682828242403</v>
      </c>
      <c r="EG6" s="29">
        <f t="shared" ca="1" si="176"/>
        <v>14810.489454992998</v>
      </c>
      <c r="EH6" s="29">
        <f t="shared" ca="1" si="177"/>
        <v>13746.183806717221</v>
      </c>
      <c r="EI6" s="29">
        <f t="shared" ca="1" si="178"/>
        <v>14362.04719518668</v>
      </c>
      <c r="EJ6" s="29">
        <f t="shared" ca="1" si="179"/>
        <v>14245.936071088478</v>
      </c>
      <c r="EK6" s="29">
        <f t="shared" ca="1" si="180"/>
        <v>14061.40328165028</v>
      </c>
      <c r="EL6" s="29">
        <f t="shared" ca="1" si="181"/>
        <v>14662.36913333556</v>
      </c>
      <c r="EM6" s="29">
        <f t="shared" ca="1" si="182"/>
        <v>13607.556790254201</v>
      </c>
      <c r="EN6" s="29">
        <f t="shared" ca="1" si="183"/>
        <v>14891.944740768053</v>
      </c>
      <c r="EO6" s="29">
        <f t="shared" ca="1" si="184"/>
        <v>14142.449774879326</v>
      </c>
      <c r="EP6" s="29">
        <f t="shared" ca="1" si="185"/>
        <v>14635.141094030369</v>
      </c>
      <c r="EQ6" s="29">
        <f t="shared" ca="1" si="186"/>
        <v>14482.618027172264</v>
      </c>
      <c r="ER6" s="29">
        <f t="shared" ca="1" si="187"/>
        <v>13893.764904579972</v>
      </c>
      <c r="ES6" s="29">
        <f t="shared" ca="1" si="188"/>
        <v>14434.688676460855</v>
      </c>
      <c r="ET6" s="29">
        <f t="shared" ca="1" si="189"/>
        <v>14595.444823478965</v>
      </c>
      <c r="EU6" s="29">
        <f t="shared" ca="1" si="190"/>
        <v>14546.542514008106</v>
      </c>
      <c r="EV6" s="29">
        <f t="shared" ca="1" si="191"/>
        <v>14662.145004260294</v>
      </c>
      <c r="EW6" s="29">
        <f t="shared" ca="1" si="192"/>
        <v>14192.214287759658</v>
      </c>
      <c r="EX6" s="29">
        <f t="shared" ca="1" si="193"/>
        <v>14706.955294133753</v>
      </c>
      <c r="EY6" s="29">
        <f t="shared" ca="1" si="194"/>
        <v>14221.947511908811</v>
      </c>
      <c r="EZ6" s="29">
        <f t="shared" ca="1" si="195"/>
        <v>14319.886412264646</v>
      </c>
      <c r="FA6" s="29">
        <f t="shared" ca="1" si="196"/>
        <v>14526.472238454306</v>
      </c>
      <c r="FB6" s="29">
        <f t="shared" ca="1" si="197"/>
        <v>14622.859214339003</v>
      </c>
      <c r="FC6" s="29">
        <f t="shared" ca="1" si="198"/>
        <v>14706.31871486916</v>
      </c>
      <c r="FD6" s="29">
        <f t="shared" ca="1" si="199"/>
        <v>14357.6123914033</v>
      </c>
      <c r="FE6" s="29">
        <f t="shared" ca="1" si="200"/>
        <v>14320.53383207488</v>
      </c>
      <c r="FF6" s="29">
        <f t="shared" ca="1" si="201"/>
        <v>14476.885013383042</v>
      </c>
      <c r="FG6" s="29">
        <f t="shared" ca="1" si="202"/>
        <v>14158.070288288154</v>
      </c>
      <c r="FH6" s="29">
        <f t="shared" ca="1" si="203"/>
        <v>14198.076646292246</v>
      </c>
      <c r="FI6" s="29">
        <f t="shared" ca="1" si="204"/>
        <v>14295.705801416139</v>
      </c>
      <c r="FJ6" s="29">
        <f t="shared" ca="1" si="205"/>
        <v>14641.595543279711</v>
      </c>
      <c r="FK6" s="29">
        <f t="shared" ca="1" si="206"/>
        <v>14307.024377780761</v>
      </c>
      <c r="FL6" s="29">
        <f t="shared" ca="1" si="207"/>
        <v>13883.947259700521</v>
      </c>
      <c r="FM6" s="29">
        <f t="shared" ca="1" si="208"/>
        <v>14722.799486894679</v>
      </c>
      <c r="FN6" s="29">
        <f t="shared" ca="1" si="209"/>
        <v>13908.28783506113</v>
      </c>
      <c r="FO6" s="29">
        <f t="shared" ca="1" si="210"/>
        <v>14331.213993850124</v>
      </c>
      <c r="FP6" s="29">
        <f t="shared" ca="1" si="211"/>
        <v>14437.475164304527</v>
      </c>
      <c r="FQ6" s="29">
        <f t="shared" ca="1" si="212"/>
        <v>14488.543662622176</v>
      </c>
      <c r="FR6" s="29">
        <f t="shared" ca="1" si="213"/>
        <v>14035.872386099411</v>
      </c>
      <c r="FS6" s="29">
        <f t="shared" ca="1" si="214"/>
        <v>14779.248932784172</v>
      </c>
      <c r="FT6" s="29">
        <f t="shared" ca="1" si="215"/>
        <v>14228.913100942202</v>
      </c>
      <c r="FU6" s="29">
        <f t="shared" ca="1" si="216"/>
        <v>14505.920211979601</v>
      </c>
      <c r="FV6" s="29">
        <f t="shared" ca="1" si="217"/>
        <v>14109.490981899931</v>
      </c>
      <c r="FW6" s="29">
        <f t="shared" ca="1" si="218"/>
        <v>14235.1683083933</v>
      </c>
      <c r="FX6" s="29">
        <f t="shared" ca="1" si="219"/>
        <v>14414.133617574098</v>
      </c>
      <c r="FY6" s="29">
        <f t="shared" ca="1" si="220"/>
        <v>14797.855390436864</v>
      </c>
      <c r="FZ6" s="29">
        <f t="shared" ca="1" si="221"/>
        <v>14143.111987727241</v>
      </c>
      <c r="GA6" s="29">
        <f t="shared" ca="1" si="222"/>
        <v>13896.18944218855</v>
      </c>
      <c r="GB6" s="29">
        <f t="shared" ca="1" si="223"/>
        <v>14749.89381173999</v>
      </c>
      <c r="GC6" s="29">
        <f t="shared" ca="1" si="224"/>
        <v>14679.988179877691</v>
      </c>
      <c r="GD6" s="29">
        <f t="shared" ca="1" si="225"/>
        <v>14098.47976989117</v>
      </c>
      <c r="GE6" s="29">
        <f t="shared" ca="1" si="226"/>
        <v>14537.807644369617</v>
      </c>
      <c r="GF6" s="29">
        <f t="shared" ca="1" si="227"/>
        <v>14717.588536954032</v>
      </c>
      <c r="GG6" s="29">
        <f t="shared" ca="1" si="228"/>
        <v>14798.699372209747</v>
      </c>
      <c r="GH6" s="29">
        <f t="shared" ca="1" si="229"/>
        <v>14294.705237827235</v>
      </c>
      <c r="GI6" s="29">
        <f t="shared" ca="1" si="230"/>
        <v>14240.75043259027</v>
      </c>
      <c r="GJ6" s="29">
        <f t="shared" ca="1" si="231"/>
        <v>14207.277129540189</v>
      </c>
      <c r="GK6" s="29">
        <f t="shared" ca="1" si="232"/>
        <v>14035.106892994829</v>
      </c>
      <c r="GL6" s="29">
        <f t="shared" ca="1" si="233"/>
        <v>14344.063536146175</v>
      </c>
      <c r="GM6" s="29">
        <f t="shared" ca="1" si="234"/>
        <v>13934.792523533401</v>
      </c>
      <c r="GN6" s="29">
        <f t="shared" ca="1" si="235"/>
        <v>14352.140712440434</v>
      </c>
      <c r="GO6" s="29">
        <f t="shared" ca="1" si="236"/>
        <v>14135.992614756356</v>
      </c>
      <c r="GP6" s="29">
        <f t="shared" ca="1" si="237"/>
        <v>14760.242800577727</v>
      </c>
      <c r="GQ6" s="29">
        <f t="shared" ca="1" si="238"/>
        <v>14161.261457475512</v>
      </c>
      <c r="GR6" s="29">
        <f t="shared" ca="1" si="239"/>
        <v>13976.240593911807</v>
      </c>
      <c r="GS6" s="29">
        <f t="shared" ca="1" si="240"/>
        <v>14782.443905804534</v>
      </c>
      <c r="GT6" s="29">
        <f t="shared" ca="1" si="241"/>
        <v>14424.675214892517</v>
      </c>
      <c r="GU6" s="29">
        <f t="shared" ca="1" si="242"/>
        <v>14023.364598604139</v>
      </c>
      <c r="GV6" s="29">
        <f t="shared" ca="1" si="243"/>
        <v>14255.542506287453</v>
      </c>
      <c r="GW6" s="29">
        <f t="shared" ca="1" si="244"/>
        <v>13830.634555680108</v>
      </c>
      <c r="GX6" s="29">
        <f t="shared" ca="1" si="245"/>
        <v>14155.594690377078</v>
      </c>
      <c r="GY6" s="29">
        <f t="shared" ca="1" si="246"/>
        <v>14258.348390416073</v>
      </c>
      <c r="GZ6" s="29">
        <f t="shared" ca="1" si="247"/>
        <v>14664.748971642948</v>
      </c>
      <c r="HA6" s="29">
        <f t="shared" ca="1" si="248"/>
        <v>14661.270238733861</v>
      </c>
      <c r="HB6" s="29">
        <f t="shared" ca="1" si="249"/>
        <v>14719.601985713241</v>
      </c>
      <c r="HC6" s="29">
        <f t="shared" ca="1" si="250"/>
        <v>14193.060233268301</v>
      </c>
      <c r="HD6" s="29">
        <f t="shared" ca="1" si="251"/>
        <v>14161.117019022036</v>
      </c>
      <c r="HE6" s="29">
        <f t="shared" ca="1" si="252"/>
        <v>14377.100204074059</v>
      </c>
      <c r="HF6" s="29">
        <f t="shared" ca="1" si="253"/>
        <v>14314.861264256539</v>
      </c>
      <c r="HG6" s="29">
        <f t="shared" ca="1" si="254"/>
        <v>14302.361852884556</v>
      </c>
      <c r="HH6" s="29">
        <f t="shared" ca="1" si="255"/>
        <v>13679.751616962636</v>
      </c>
      <c r="HI6" s="29">
        <f t="shared" ca="1" si="256"/>
        <v>14109.614235196825</v>
      </c>
      <c r="HJ6" s="29">
        <f t="shared" ca="1" si="257"/>
        <v>14629.853189302039</v>
      </c>
      <c r="HK6" s="29">
        <f t="shared" ca="1" si="258"/>
        <v>14287.904484529538</v>
      </c>
      <c r="HL6" s="29">
        <f t="shared" ca="1" si="259"/>
        <v>14174.657781652064</v>
      </c>
      <c r="HM6" s="29">
        <f t="shared" ca="1" si="260"/>
        <v>14087.121601805728</v>
      </c>
      <c r="HN6" s="29">
        <f t="shared" ca="1" si="261"/>
        <v>14391.368442447789</v>
      </c>
      <c r="HO6" s="29">
        <f t="shared" ca="1" si="262"/>
        <v>14265.755361138808</v>
      </c>
      <c r="HP6" s="29">
        <f t="shared" ca="1" si="263"/>
        <v>14358.45004294745</v>
      </c>
      <c r="HQ6" s="29">
        <f t="shared" ca="1" si="264"/>
        <v>14266.302445525351</v>
      </c>
      <c r="HR6" s="29">
        <f t="shared" ca="1" si="265"/>
        <v>14498.292466633668</v>
      </c>
      <c r="HS6" s="29">
        <f t="shared" ca="1" si="266"/>
        <v>14684.166393141295</v>
      </c>
      <c r="HT6" s="29">
        <f t="shared" ca="1" si="267"/>
        <v>14115.375044915576</v>
      </c>
      <c r="HU6" s="29">
        <f t="shared" ca="1" si="268"/>
        <v>14335.046083281837</v>
      </c>
      <c r="HV6" s="29">
        <f t="shared" ca="1" si="269"/>
        <v>14375.293581625991</v>
      </c>
      <c r="HW6" s="29">
        <f t="shared" ca="1" si="270"/>
        <v>14477.859653466418</v>
      </c>
      <c r="HX6" s="29">
        <f t="shared" ca="1" si="271"/>
        <v>14183.394084238455</v>
      </c>
      <c r="HY6" s="29">
        <f t="shared" ca="1" si="272"/>
        <v>14818.283045337503</v>
      </c>
      <c r="HZ6" s="29">
        <f t="shared" ca="1" si="273"/>
        <v>14159.597078943425</v>
      </c>
      <c r="IA6" s="29">
        <f t="shared" ca="1" si="274"/>
        <v>14765.871445555164</v>
      </c>
      <c r="IB6" s="29">
        <f t="shared" ca="1" si="275"/>
        <v>14879.968813675534</v>
      </c>
      <c r="IC6" s="29">
        <f t="shared" ca="1" si="276"/>
        <v>14239.669330208235</v>
      </c>
      <c r="ID6" s="29">
        <f t="shared" ca="1" si="277"/>
        <v>14620.049349992743</v>
      </c>
      <c r="IE6" s="29">
        <f t="shared" ca="1" si="278"/>
        <v>14272.73478239229</v>
      </c>
      <c r="IF6" s="29">
        <f t="shared" ca="1" si="279"/>
        <v>14335.211722025368</v>
      </c>
      <c r="IG6" s="29">
        <f t="shared" ca="1" si="280"/>
        <v>14221.157396796672</v>
      </c>
      <c r="IH6" s="29">
        <f t="shared" ca="1" si="281"/>
        <v>14361.970655931744</v>
      </c>
      <c r="II6" s="29">
        <f t="shared" ca="1" si="282"/>
        <v>14078.718275920273</v>
      </c>
      <c r="IJ6" s="29">
        <f t="shared" ca="1" si="283"/>
        <v>14895.923428516571</v>
      </c>
      <c r="IK6" s="29">
        <f t="shared" ca="1" si="284"/>
        <v>13912.165378068488</v>
      </c>
      <c r="IL6" s="29">
        <f t="shared" ca="1" si="285"/>
        <v>14551.658346231687</v>
      </c>
      <c r="IM6" s="29">
        <f t="shared" ca="1" si="286"/>
        <v>14542.618596987975</v>
      </c>
      <c r="IN6" s="29">
        <f t="shared" ca="1" si="287"/>
        <v>14462.087051379831</v>
      </c>
      <c r="IO6" s="29">
        <f t="shared" ca="1" si="288"/>
        <v>14545.997103849006</v>
      </c>
      <c r="IP6" s="29">
        <f t="shared" ca="1" si="289"/>
        <v>14284.354846785045</v>
      </c>
      <c r="IQ6" s="29">
        <f t="shared" ca="1" si="290"/>
        <v>14368.384907136789</v>
      </c>
      <c r="IR6" s="29">
        <f t="shared" ca="1" si="291"/>
        <v>14856.021177287963</v>
      </c>
      <c r="IS6" s="29">
        <f t="shared" ca="1" si="292"/>
        <v>14281.726180839425</v>
      </c>
      <c r="IT6" s="29">
        <f t="shared" ca="1" si="293"/>
        <v>14524.719062416721</v>
      </c>
      <c r="IU6" s="29">
        <f t="shared" ca="1" si="294"/>
        <v>15008.528749284456</v>
      </c>
      <c r="IV6" s="29">
        <f t="shared" ca="1" si="295"/>
        <v>14188.475903200017</v>
      </c>
      <c r="IW6" s="29">
        <f t="shared" ca="1" si="296"/>
        <v>14943.275242506917</v>
      </c>
      <c r="IX6" s="29">
        <f t="shared" ca="1" si="297"/>
        <v>14365.249009249228</v>
      </c>
      <c r="IY6" s="29">
        <f t="shared" ca="1" si="298"/>
        <v>13897.715748237742</v>
      </c>
      <c r="IZ6" s="29">
        <f t="shared" ca="1" si="299"/>
        <v>14230.204903741209</v>
      </c>
      <c r="JA6" s="29">
        <f t="shared" ca="1" si="300"/>
        <v>13882.119181682272</v>
      </c>
      <c r="JB6" s="29">
        <f t="shared" ca="1" si="301"/>
        <v>14017.508859117253</v>
      </c>
      <c r="JC6" s="29">
        <f t="shared" ca="1" si="302"/>
        <v>14099.589577318324</v>
      </c>
      <c r="JD6" s="29">
        <f t="shared" ca="1" si="303"/>
        <v>14370.760359959027</v>
      </c>
      <c r="JE6" s="29">
        <f t="shared" ca="1" si="304"/>
        <v>13807.582159227568</v>
      </c>
      <c r="JF6" s="29">
        <f t="shared" ca="1" si="305"/>
        <v>14652.787530913452</v>
      </c>
      <c r="JG6" s="29">
        <f t="shared" ca="1" si="306"/>
        <v>14752.569394915508</v>
      </c>
      <c r="JH6" s="29">
        <f t="shared" ca="1" si="307"/>
        <v>14198.385276375282</v>
      </c>
      <c r="JI6" s="29">
        <f t="shared" ca="1" si="308"/>
        <v>13856.980093886539</v>
      </c>
      <c r="JJ6" s="29">
        <f t="shared" ca="1" si="309"/>
        <v>14487.394195613055</v>
      </c>
      <c r="JK6" s="29">
        <f t="shared" ca="1" si="310"/>
        <v>14341.086628618357</v>
      </c>
      <c r="JL6" s="29">
        <f t="shared" ca="1" si="311"/>
        <v>14227.575872379211</v>
      </c>
      <c r="JM6" s="29">
        <f t="shared" ca="1" si="312"/>
        <v>13912.59688715845</v>
      </c>
      <c r="JN6" s="29">
        <f t="shared" ca="1" si="313"/>
        <v>14918.766738995728</v>
      </c>
      <c r="JO6" s="29">
        <f t="shared" ca="1" si="314"/>
        <v>14723.885088571134</v>
      </c>
      <c r="JP6" s="29">
        <f t="shared" ca="1" si="315"/>
        <v>14773.685722526425</v>
      </c>
      <c r="JQ6" s="29">
        <f t="shared" ca="1" si="316"/>
        <v>14054.711502902195</v>
      </c>
      <c r="JR6" s="29">
        <f t="shared" ca="1" si="317"/>
        <v>14202.49995252312</v>
      </c>
      <c r="JS6" s="29">
        <f t="shared" ca="1" si="318"/>
        <v>14557.010527785753</v>
      </c>
      <c r="JT6" s="29">
        <f t="shared" ca="1" si="319"/>
        <v>14566.668859012294</v>
      </c>
      <c r="JU6" s="29">
        <f t="shared" ca="1" si="320"/>
        <v>14406.129892706047</v>
      </c>
      <c r="JV6" s="29">
        <f t="shared" ca="1" si="321"/>
        <v>14333.092409401359</v>
      </c>
      <c r="JW6" s="29">
        <f t="shared" ca="1" si="322"/>
        <v>14517.057454512611</v>
      </c>
      <c r="JX6" s="29">
        <f t="shared" ca="1" si="323"/>
        <v>14621.332815258784</v>
      </c>
      <c r="JY6" s="29">
        <f t="shared" ca="1" si="324"/>
        <v>14435.036831031732</v>
      </c>
      <c r="JZ6" s="29">
        <f t="shared" ca="1" si="325"/>
        <v>14560.85013368398</v>
      </c>
      <c r="KA6" s="29">
        <f t="shared" ca="1" si="326"/>
        <v>13903.272813214953</v>
      </c>
      <c r="KB6" s="29">
        <f t="shared" ca="1" si="327"/>
        <v>14457.809322774918</v>
      </c>
      <c r="KC6" s="29">
        <f t="shared" ca="1" si="328"/>
        <v>14343.38030490343</v>
      </c>
      <c r="KD6" s="29">
        <f t="shared" ca="1" si="329"/>
        <v>14299.341464728446</v>
      </c>
      <c r="KE6" s="29">
        <f t="shared" ca="1" si="330"/>
        <v>14996.003339412386</v>
      </c>
      <c r="KF6" s="29">
        <f t="shared" ca="1" si="331"/>
        <v>14556.0947543603</v>
      </c>
      <c r="KG6" s="29">
        <f t="shared" ca="1" si="332"/>
        <v>14509.665374402899</v>
      </c>
      <c r="KH6" s="29">
        <f t="shared" ca="1" si="333"/>
        <v>14792.055430747472</v>
      </c>
      <c r="KI6" s="29">
        <f t="shared" ca="1" si="334"/>
        <v>14218.175934319232</v>
      </c>
      <c r="KJ6" s="29">
        <f t="shared" ca="1" si="335"/>
        <v>14798.714085973372</v>
      </c>
      <c r="KK6" s="29">
        <f t="shared" ca="1" si="336"/>
        <v>14185.942543763513</v>
      </c>
      <c r="KL6" s="29">
        <f t="shared" ca="1" si="337"/>
        <v>14393.915815386679</v>
      </c>
      <c r="KM6" s="29">
        <f t="shared" ca="1" si="338"/>
        <v>15073.004725151906</v>
      </c>
      <c r="KN6" s="29">
        <f t="shared" ca="1" si="339"/>
        <v>14106.017387977045</v>
      </c>
      <c r="KO6" s="29">
        <f t="shared" ca="1" si="340"/>
        <v>14868.119929722357</v>
      </c>
      <c r="KP6" s="29">
        <f t="shared" ca="1" si="341"/>
        <v>14283.840892138893</v>
      </c>
      <c r="KQ6" s="29">
        <f t="shared" ca="1" si="342"/>
        <v>14095.147546361321</v>
      </c>
      <c r="KR6" s="29">
        <f t="shared" ca="1" si="343"/>
        <v>14158.017236832684</v>
      </c>
      <c r="KS6" s="29">
        <f t="shared" ca="1" si="344"/>
        <v>13520.281742105757</v>
      </c>
      <c r="KT6" s="29">
        <f t="shared" ca="1" si="345"/>
        <v>14146.522879278538</v>
      </c>
      <c r="KU6" s="29">
        <f t="shared" ca="1" si="346"/>
        <v>14025.508179056216</v>
      </c>
      <c r="KV6" s="29">
        <f t="shared" ca="1" si="347"/>
        <v>13860.763727498759</v>
      </c>
      <c r="KW6" s="29">
        <f t="shared" ca="1" si="348"/>
        <v>14553.612395286766</v>
      </c>
      <c r="KX6" s="29">
        <f t="shared" ca="1" si="349"/>
        <v>14132.812334576456</v>
      </c>
      <c r="KY6" s="29">
        <f t="shared" ca="1" si="350"/>
        <v>14329.304611203101</v>
      </c>
      <c r="KZ6" s="29">
        <f t="shared" ca="1" si="351"/>
        <v>14205.469161185638</v>
      </c>
      <c r="LA6" s="29">
        <f t="shared" ca="1" si="352"/>
        <v>14642.41547007882</v>
      </c>
      <c r="LB6" s="29">
        <f t="shared" ca="1" si="353"/>
        <v>13760.742469427458</v>
      </c>
      <c r="LC6" s="29">
        <f t="shared" ca="1" si="354"/>
        <v>14065.193184031561</v>
      </c>
      <c r="LD6" s="29">
        <f t="shared" ca="1" si="355"/>
        <v>13732.81263750114</v>
      </c>
      <c r="LE6" s="29">
        <f t="shared" ca="1" si="356"/>
        <v>14148.753444694947</v>
      </c>
      <c r="LF6" s="29">
        <f t="shared" ca="1" si="357"/>
        <v>14350.647942945432</v>
      </c>
      <c r="LG6" s="29">
        <f t="shared" ca="1" si="358"/>
        <v>14347.239581852093</v>
      </c>
      <c r="LH6" s="29">
        <f t="shared" ca="1" si="359"/>
        <v>14157.419565751938</v>
      </c>
      <c r="LI6" s="29">
        <f t="shared" ca="1" si="360"/>
        <v>14254.104301871663</v>
      </c>
      <c r="LJ6" s="29">
        <f t="shared" ca="1" si="361"/>
        <v>14454.77101930907</v>
      </c>
      <c r="LK6" s="29">
        <f t="shared" ca="1" si="362"/>
        <v>14008.67418552444</v>
      </c>
      <c r="LL6" s="29">
        <f t="shared" ca="1" si="363"/>
        <v>14491.035688642814</v>
      </c>
      <c r="LM6" s="29">
        <f t="shared" ca="1" si="364"/>
        <v>14465.08216897216</v>
      </c>
      <c r="LN6" s="29">
        <f t="shared" ca="1" si="365"/>
        <v>14604.85540768678</v>
      </c>
      <c r="LO6" s="29">
        <f t="shared" ca="1" si="366"/>
        <v>13974.344671038763</v>
      </c>
      <c r="LP6" s="29">
        <f t="shared" ca="1" si="367"/>
        <v>14136.037087608465</v>
      </c>
      <c r="LQ6" s="29">
        <f t="shared" ca="1" si="368"/>
        <v>14599.890411137521</v>
      </c>
      <c r="LR6" s="29">
        <f t="shared" ca="1" si="369"/>
        <v>14283.1080909926</v>
      </c>
      <c r="LS6" s="29">
        <f t="shared" ca="1" si="370"/>
        <v>13971.887931816986</v>
      </c>
      <c r="LT6" s="29">
        <f t="shared" ca="1" si="371"/>
        <v>14096.354631316424</v>
      </c>
      <c r="LU6" s="29">
        <f t="shared" ca="1" si="372"/>
        <v>14773.345325833765</v>
      </c>
      <c r="LV6" s="29">
        <f t="shared" ca="1" si="373"/>
        <v>14429.352297752586</v>
      </c>
      <c r="LW6" s="29">
        <f t="shared" ca="1" si="374"/>
        <v>14592.81224166965</v>
      </c>
      <c r="LX6" s="29">
        <f t="shared" ca="1" si="375"/>
        <v>14142.798296836156</v>
      </c>
      <c r="LY6" s="29">
        <f t="shared" ca="1" si="376"/>
        <v>14739.215206376995</v>
      </c>
      <c r="LZ6" s="29">
        <f t="shared" ca="1" si="377"/>
        <v>14240.091087716828</v>
      </c>
      <c r="MA6" s="29">
        <f t="shared" ca="1" si="378"/>
        <v>14388.083731003626</v>
      </c>
      <c r="MB6" s="29">
        <f t="shared" ca="1" si="379"/>
        <v>14145.32243703072</v>
      </c>
      <c r="MC6" s="29">
        <f t="shared" ca="1" si="380"/>
        <v>14508.026064341528</v>
      </c>
      <c r="MD6" s="29">
        <f t="shared" ca="1" si="381"/>
        <v>14693.490813744547</v>
      </c>
      <c r="ME6" s="29">
        <f t="shared" ca="1" si="382"/>
        <v>14243.974481580544</v>
      </c>
      <c r="MF6" s="29">
        <f t="shared" ca="1" si="383"/>
        <v>14144.476127648011</v>
      </c>
      <c r="MG6" s="29">
        <f t="shared" ca="1" si="384"/>
        <v>14616.354805659079</v>
      </c>
      <c r="MH6" s="29">
        <f t="shared" ca="1" si="385"/>
        <v>14433.486822940278</v>
      </c>
      <c r="MI6" s="29">
        <f t="shared" ca="1" si="386"/>
        <v>14540.147224601264</v>
      </c>
      <c r="MJ6" s="29">
        <f t="shared" ca="1" si="387"/>
        <v>14787.248242006805</v>
      </c>
      <c r="MK6" s="29">
        <f t="shared" ca="1" si="388"/>
        <v>14631.501535342646</v>
      </c>
      <c r="ML6" s="29">
        <f t="shared" ca="1" si="389"/>
        <v>14751.313609530727</v>
      </c>
      <c r="MM6" s="29">
        <f t="shared" ca="1" si="390"/>
        <v>14761.868193972397</v>
      </c>
      <c r="MN6" s="29">
        <f t="shared" ca="1" si="391"/>
        <v>14743.732923673435</v>
      </c>
      <c r="MO6" s="29">
        <f t="shared" ca="1" si="392"/>
        <v>14503.04605167722</v>
      </c>
      <c r="MP6" s="29">
        <f t="shared" ca="1" si="393"/>
        <v>14073.541167002368</v>
      </c>
      <c r="MQ6" s="29">
        <f t="shared" ca="1" si="394"/>
        <v>14271.372949822335</v>
      </c>
      <c r="MR6" s="29">
        <f t="shared" ca="1" si="395"/>
        <v>14174.771547528879</v>
      </c>
      <c r="MS6" s="29">
        <f t="shared" ca="1" si="396"/>
        <v>14183.713240097619</v>
      </c>
      <c r="MT6" s="29">
        <f t="shared" ca="1" si="397"/>
        <v>14421.075720687857</v>
      </c>
      <c r="MU6" s="29">
        <f t="shared" ca="1" si="398"/>
        <v>14265.169832457072</v>
      </c>
      <c r="MV6" s="29">
        <f t="shared" ca="1" si="399"/>
        <v>14060.377178229606</v>
      </c>
      <c r="MW6" s="29">
        <f t="shared" ca="1" si="400"/>
        <v>14255.878374524107</v>
      </c>
      <c r="MX6" s="29">
        <f t="shared" ca="1" si="401"/>
        <v>14565.432857614745</v>
      </c>
      <c r="MY6" s="29">
        <f t="shared" ca="1" si="402"/>
        <v>14297.05468601396</v>
      </c>
      <c r="MZ6" s="29">
        <f t="shared" ca="1" si="403"/>
        <v>14932.720840652708</v>
      </c>
      <c r="NA6" s="29">
        <f t="shared" ca="1" si="404"/>
        <v>14479.320176866051</v>
      </c>
      <c r="NB6" s="29">
        <f t="shared" ca="1" si="405"/>
        <v>14652.14217436179</v>
      </c>
      <c r="NC6" s="29">
        <f t="shared" ca="1" si="406"/>
        <v>14051.916821089488</v>
      </c>
      <c r="ND6" s="29">
        <f t="shared" ca="1" si="407"/>
        <v>13935.565453799287</v>
      </c>
      <c r="NE6" s="29">
        <f t="shared" ca="1" si="408"/>
        <v>14548.942901976852</v>
      </c>
      <c r="NF6" s="29">
        <f t="shared" ca="1" si="409"/>
        <v>14511.529522757171</v>
      </c>
      <c r="NG6" s="29">
        <f t="shared" ca="1" si="410"/>
        <v>14408.173399855279</v>
      </c>
      <c r="NH6" s="29">
        <f t="shared" ca="1" si="411"/>
        <v>14283.377237531115</v>
      </c>
      <c r="NI6" s="29">
        <f t="shared" ca="1" si="412"/>
        <v>14352.613480693628</v>
      </c>
      <c r="NJ6" s="29">
        <f t="shared" ca="1" si="413"/>
        <v>14277.979501639295</v>
      </c>
      <c r="NK6" s="29">
        <f t="shared" ca="1" si="414"/>
        <v>14703.127649985248</v>
      </c>
      <c r="NL6" s="29">
        <f t="shared" ca="1" si="415"/>
        <v>14114.6656822514</v>
      </c>
      <c r="NM6" s="29">
        <f t="shared" ca="1" si="416"/>
        <v>14368.739208138459</v>
      </c>
      <c r="NN6" s="29">
        <f t="shared" ca="1" si="417"/>
        <v>14520.23636057341</v>
      </c>
      <c r="NO6" s="29">
        <f t="shared" ca="1" si="418"/>
        <v>14191.389661434703</v>
      </c>
      <c r="NP6" s="29">
        <f t="shared" ca="1" si="419"/>
        <v>13797.639005384075</v>
      </c>
      <c r="NQ6" s="29">
        <f t="shared" ca="1" si="420"/>
        <v>14339.199907082171</v>
      </c>
      <c r="NR6" s="29">
        <f t="shared" ca="1" si="421"/>
        <v>14417.386136668996</v>
      </c>
      <c r="NS6" s="29">
        <f t="shared" ca="1" si="422"/>
        <v>14415.462747877227</v>
      </c>
      <c r="NT6" s="29">
        <f t="shared" ca="1" si="423"/>
        <v>14269.59837146688</v>
      </c>
      <c r="NU6" s="29">
        <f t="shared" ca="1" si="424"/>
        <v>14670.867048486121</v>
      </c>
      <c r="NV6" s="29">
        <f t="shared" ca="1" si="425"/>
        <v>14365.561755651937</v>
      </c>
      <c r="NW6" s="29">
        <f t="shared" ca="1" si="426"/>
        <v>13740.144990674455</v>
      </c>
      <c r="NX6" s="29">
        <f t="shared" ca="1" si="427"/>
        <v>14813.904996402012</v>
      </c>
      <c r="NY6" s="29">
        <f t="shared" ca="1" si="428"/>
        <v>14054.491138577338</v>
      </c>
      <c r="NZ6" s="29">
        <f t="shared" ca="1" si="429"/>
        <v>14435.080347243846</v>
      </c>
      <c r="OA6" s="29">
        <f t="shared" ca="1" si="430"/>
        <v>14303.761723887304</v>
      </c>
      <c r="OB6" s="29">
        <f t="shared" ca="1" si="431"/>
        <v>14523.395627045671</v>
      </c>
      <c r="OC6" s="29">
        <f t="shared" ca="1" si="432"/>
        <v>13845.272639659197</v>
      </c>
      <c r="OD6" s="29">
        <f t="shared" ca="1" si="433"/>
        <v>14368.449080922046</v>
      </c>
      <c r="OE6" s="29">
        <f t="shared" ca="1" si="434"/>
        <v>14757.272191296846</v>
      </c>
      <c r="OF6" s="29">
        <f t="shared" ca="1" si="435"/>
        <v>13905.268618287313</v>
      </c>
      <c r="OG6" s="29">
        <f t="shared" ca="1" si="436"/>
        <v>14733.806495354504</v>
      </c>
      <c r="OH6" s="29">
        <f t="shared" ca="1" si="437"/>
        <v>14864.791398568206</v>
      </c>
      <c r="OI6" s="29">
        <f t="shared" ca="1" si="438"/>
        <v>14002.837432469667</v>
      </c>
      <c r="OJ6" s="29">
        <f t="shared" ca="1" si="439"/>
        <v>14441.810029604108</v>
      </c>
      <c r="OK6" s="29">
        <f t="shared" ca="1" si="440"/>
        <v>13738.086629151032</v>
      </c>
      <c r="OL6" s="29">
        <f t="shared" ca="1" si="441"/>
        <v>14636.360136782494</v>
      </c>
      <c r="OM6" s="29">
        <f t="shared" ca="1" si="442"/>
        <v>13833.074476930105</v>
      </c>
      <c r="ON6" s="29">
        <f t="shared" ca="1" si="443"/>
        <v>14678.406554546231</v>
      </c>
      <c r="OO6" s="29">
        <f t="shared" ca="1" si="444"/>
        <v>13815.367997703857</v>
      </c>
      <c r="OP6" s="29">
        <f t="shared" ca="1" si="445"/>
        <v>14969.727567589627</v>
      </c>
      <c r="OQ6" s="29">
        <f t="shared" ca="1" si="446"/>
        <v>14137.623032826741</v>
      </c>
      <c r="OR6" s="29">
        <f t="shared" ca="1" si="447"/>
        <v>14404.769533454386</v>
      </c>
      <c r="OS6" s="29">
        <f t="shared" ca="1" si="448"/>
        <v>13934.613650420339</v>
      </c>
      <c r="OT6" s="29">
        <f t="shared" ca="1" si="449"/>
        <v>14090.483453300443</v>
      </c>
      <c r="OU6" s="29">
        <f t="shared" ca="1" si="450"/>
        <v>14510.392866900844</v>
      </c>
      <c r="OV6" s="29">
        <f t="shared" ca="1" si="451"/>
        <v>14529.601935656478</v>
      </c>
      <c r="OW6" s="29">
        <f t="shared" ca="1" si="452"/>
        <v>14501.451900872366</v>
      </c>
      <c r="OX6" s="29">
        <f t="shared" ca="1" si="453"/>
        <v>14399.340296614646</v>
      </c>
      <c r="OY6" s="29">
        <f t="shared" ca="1" si="454"/>
        <v>14466.506153097473</v>
      </c>
      <c r="OZ6" s="29">
        <f t="shared" ca="1" si="455"/>
        <v>14018.203249807542</v>
      </c>
      <c r="PA6" s="29">
        <f t="shared" ca="1" si="456"/>
        <v>14275.419755585071</v>
      </c>
      <c r="PB6" s="29">
        <f t="shared" ca="1" si="457"/>
        <v>14108.749529623718</v>
      </c>
      <c r="PC6" s="29">
        <f t="shared" ca="1" si="458"/>
        <v>14071.73683851193</v>
      </c>
      <c r="PD6" s="29">
        <f t="shared" ca="1" si="459"/>
        <v>14700.775032011514</v>
      </c>
      <c r="PE6" s="29">
        <f t="shared" ca="1" si="460"/>
        <v>14603.234591262095</v>
      </c>
      <c r="PF6" s="29">
        <f t="shared" ca="1" si="461"/>
        <v>14308.301230740133</v>
      </c>
      <c r="PG6" s="29">
        <f t="shared" ca="1" si="462"/>
        <v>14344.390309872861</v>
      </c>
      <c r="PH6" s="29">
        <f t="shared" ca="1" si="463"/>
        <v>14360.798015211643</v>
      </c>
      <c r="PI6" s="29">
        <f t="shared" ca="1" si="464"/>
        <v>13487.510411147077</v>
      </c>
      <c r="PJ6" s="29">
        <f t="shared" ca="1" si="465"/>
        <v>14305.07390011849</v>
      </c>
      <c r="PK6" s="29">
        <f t="shared" ca="1" si="466"/>
        <v>14172.643117404728</v>
      </c>
      <c r="PL6" s="29">
        <f t="shared" ca="1" si="467"/>
        <v>13858.820324933522</v>
      </c>
      <c r="PM6" s="29">
        <f t="shared" ca="1" si="468"/>
        <v>14437.295525189887</v>
      </c>
      <c r="PN6" s="29">
        <f t="shared" ca="1" si="469"/>
        <v>14296.69558699681</v>
      </c>
      <c r="PO6" s="29">
        <f t="shared" ca="1" si="470"/>
        <v>14170.5504213247</v>
      </c>
      <c r="PP6" s="29">
        <f t="shared" ca="1" si="471"/>
        <v>14486.119296150226</v>
      </c>
      <c r="PQ6" s="29">
        <f t="shared" ca="1" si="472"/>
        <v>14161.002672844235</v>
      </c>
      <c r="PR6" s="29">
        <f t="shared" ca="1" si="473"/>
        <v>14056.146248214072</v>
      </c>
      <c r="PS6" s="29">
        <f t="shared" ca="1" si="474"/>
        <v>14568.588940624806</v>
      </c>
      <c r="PT6" s="29">
        <f t="shared" ca="1" si="475"/>
        <v>14453.359182314589</v>
      </c>
      <c r="PU6" s="29">
        <f t="shared" ca="1" si="476"/>
        <v>14249.975692077182</v>
      </c>
      <c r="PV6" s="29">
        <f t="shared" ca="1" si="477"/>
        <v>14444.626724491414</v>
      </c>
      <c r="PW6" s="29">
        <f t="shared" ca="1" si="478"/>
        <v>14337.475258497429</v>
      </c>
      <c r="PX6" s="29">
        <f t="shared" ca="1" si="479"/>
        <v>14537.001673770301</v>
      </c>
      <c r="PY6" s="29">
        <f t="shared" ca="1" si="480"/>
        <v>14152.43538879804</v>
      </c>
      <c r="PZ6" s="29">
        <f t="shared" ca="1" si="481"/>
        <v>13985.205631753024</v>
      </c>
      <c r="QA6" s="29">
        <f t="shared" ca="1" si="482"/>
        <v>14575.513767085202</v>
      </c>
      <c r="QB6" s="29">
        <f t="shared" ca="1" si="483"/>
        <v>14792.019550635843</v>
      </c>
      <c r="QC6" s="29">
        <f t="shared" ca="1" si="484"/>
        <v>14144.474286198305</v>
      </c>
      <c r="QD6" s="29">
        <f t="shared" ca="1" si="485"/>
        <v>14492.979115569253</v>
      </c>
      <c r="QE6" s="29">
        <f t="shared" ca="1" si="486"/>
        <v>14497.811554643715</v>
      </c>
      <c r="QF6" s="29">
        <f t="shared" ca="1" si="487"/>
        <v>14653.051989616937</v>
      </c>
      <c r="QG6" s="29">
        <f t="shared" ca="1" si="488"/>
        <v>14762.165686093949</v>
      </c>
      <c r="QH6" s="29">
        <f t="shared" ca="1" si="489"/>
        <v>14776.870629259602</v>
      </c>
      <c r="QI6" s="29">
        <f t="shared" ca="1" si="490"/>
        <v>14653.917526770254</v>
      </c>
      <c r="QJ6" s="29">
        <f t="shared" ca="1" si="491"/>
        <v>14289.292485920074</v>
      </c>
      <c r="QK6" s="29">
        <f t="shared" ca="1" si="492"/>
        <v>14783.542844631615</v>
      </c>
      <c r="QL6" s="29">
        <f t="shared" ca="1" si="493"/>
        <v>14727.375241885722</v>
      </c>
      <c r="QM6" s="29">
        <f t="shared" ca="1" si="494"/>
        <v>14089.779186281945</v>
      </c>
      <c r="QN6" s="29">
        <f t="shared" ca="1" si="495"/>
        <v>14559.076833091167</v>
      </c>
      <c r="QO6" s="29">
        <f t="shared" ca="1" si="496"/>
        <v>14585.405518865346</v>
      </c>
      <c r="QP6" s="29">
        <f t="shared" ca="1" si="497"/>
        <v>14307.443684396207</v>
      </c>
      <c r="QQ6" s="29">
        <f t="shared" ca="1" si="498"/>
        <v>14510.581113854958</v>
      </c>
      <c r="QR6" s="29">
        <f t="shared" ca="1" si="499"/>
        <v>14396.919841348099</v>
      </c>
      <c r="QS6" s="29">
        <f t="shared" ca="1" si="500"/>
        <v>14781.758485427981</v>
      </c>
      <c r="QT6" s="29">
        <f t="shared" ca="1" si="501"/>
        <v>14464.59162306426</v>
      </c>
      <c r="QU6" s="29">
        <f t="shared" ca="1" si="502"/>
        <v>14352.993381427759</v>
      </c>
      <c r="QV6" s="29">
        <f t="shared" ca="1" si="503"/>
        <v>14525.025594693241</v>
      </c>
      <c r="QW6" s="29">
        <f t="shared" ca="1" si="504"/>
        <v>14580.789863691163</v>
      </c>
      <c r="QX6" s="29">
        <f t="shared" ca="1" si="505"/>
        <v>14408.646911822325</v>
      </c>
      <c r="QY6" s="29">
        <f t="shared" ca="1" si="506"/>
        <v>14603.77237009379</v>
      </c>
      <c r="QZ6" s="29">
        <f t="shared" ca="1" si="507"/>
        <v>14238.652922125886</v>
      </c>
      <c r="RA6" s="29">
        <f t="shared" ca="1" si="508"/>
        <v>14039.905380677832</v>
      </c>
      <c r="RB6" s="29">
        <f t="shared" ca="1" si="509"/>
        <v>14102.653937290366</v>
      </c>
      <c r="RC6" s="29">
        <f t="shared" ca="1" si="510"/>
        <v>13875.276130421125</v>
      </c>
      <c r="RD6" s="29">
        <f t="shared" ca="1" si="511"/>
        <v>14564.092461889308</v>
      </c>
      <c r="RE6" s="29">
        <f t="shared" ca="1" si="512"/>
        <v>14258.348787267831</v>
      </c>
      <c r="RF6" s="29">
        <f t="shared" ca="1" si="513"/>
        <v>14414.172988556413</v>
      </c>
      <c r="RG6" s="29">
        <f t="shared" ca="1" si="514"/>
        <v>14545.210761733633</v>
      </c>
      <c r="RH6" s="29">
        <f t="shared" ca="1" si="515"/>
        <v>14311.160823915003</v>
      </c>
      <c r="RI6" s="29">
        <f t="shared" ca="1" si="516"/>
        <v>14249.254566485577</v>
      </c>
      <c r="RJ6" s="29">
        <f t="shared" ca="1" si="517"/>
        <v>14309.428861639226</v>
      </c>
      <c r="RK6" s="29">
        <f t="shared" ca="1" si="518"/>
        <v>14186.549866277555</v>
      </c>
      <c r="RL6" s="29">
        <f t="shared" ca="1" si="519"/>
        <v>14276.762256669495</v>
      </c>
      <c r="RM6" s="29">
        <f t="shared" ca="1" si="520"/>
        <v>14819.656153394284</v>
      </c>
      <c r="RN6" s="29">
        <f t="shared" ca="1" si="521"/>
        <v>14373.833529162635</v>
      </c>
      <c r="RO6" s="29">
        <f t="shared" ca="1" si="522"/>
        <v>14584.337318637687</v>
      </c>
      <c r="RP6" s="29">
        <f t="shared" ca="1" si="523"/>
        <v>14729.324107513898</v>
      </c>
      <c r="RQ6" s="29">
        <f t="shared" ca="1" si="524"/>
        <v>14843.829867606582</v>
      </c>
      <c r="RR6" s="29">
        <f t="shared" ca="1" si="525"/>
        <v>14371.183063158393</v>
      </c>
      <c r="RS6" s="29">
        <f t="shared" ca="1" si="526"/>
        <v>14455.025583532017</v>
      </c>
      <c r="RT6" s="29">
        <f t="shared" ca="1" si="527"/>
        <v>14655.853841038164</v>
      </c>
      <c r="RU6" s="29">
        <f t="shared" ca="1" si="528"/>
        <v>13740.269947199879</v>
      </c>
      <c r="RV6" s="29">
        <f t="shared" ca="1" si="529"/>
        <v>13907.21070889252</v>
      </c>
      <c r="RW6" s="29">
        <f t="shared" ca="1" si="530"/>
        <v>15025.168800033649</v>
      </c>
      <c r="RX6" s="29">
        <f t="shared" ca="1" si="531"/>
        <v>14428.461427281332</v>
      </c>
      <c r="RY6" s="29">
        <f t="shared" ca="1" si="532"/>
        <v>14382.918100338573</v>
      </c>
      <c r="RZ6" s="29">
        <f t="shared" ca="1" si="533"/>
        <v>14562.821743939328</v>
      </c>
      <c r="SA6" s="29">
        <f t="shared" ca="1" si="534"/>
        <v>14512.584464244841</v>
      </c>
      <c r="SB6" s="29">
        <f t="shared" ca="1" si="535"/>
        <v>14095.900439598301</v>
      </c>
      <c r="SC6" s="29">
        <f t="shared" ca="1" si="536"/>
        <v>14525.964281222405</v>
      </c>
      <c r="SD6" s="29">
        <f t="shared" ca="1" si="537"/>
        <v>14226.408318917571</v>
      </c>
      <c r="SE6" s="29">
        <f t="shared" ca="1" si="538"/>
        <v>14532.502758809707</v>
      </c>
      <c r="SF6" s="29">
        <f t="shared" ca="1" si="539"/>
        <v>14198.875115772636</v>
      </c>
      <c r="SG6" s="29">
        <f t="shared" ca="1" si="540"/>
        <v>14929.204778590916</v>
      </c>
      <c r="SH6" s="29">
        <f t="shared" ca="1" si="541"/>
        <v>15329.799688790914</v>
      </c>
      <c r="SI6" s="29">
        <f t="shared" ca="1" si="542"/>
        <v>14302.007130829779</v>
      </c>
      <c r="SJ6" s="29">
        <f t="shared" ca="1" si="543"/>
        <v>14212.673274091911</v>
      </c>
      <c r="SK6" s="29">
        <f t="shared" ca="1" si="544"/>
        <v>14715.169383074499</v>
      </c>
      <c r="SL6" s="29">
        <f t="shared" ca="1" si="545"/>
        <v>14365.968801415276</v>
      </c>
      <c r="SM6" s="29">
        <f t="shared" ca="1" si="546"/>
        <v>14564.917085659916</v>
      </c>
      <c r="SN6" s="29">
        <f t="shared" ca="1" si="547"/>
        <v>14180.278225450314</v>
      </c>
      <c r="SO6" s="29">
        <f t="shared" ca="1" si="548"/>
        <v>14065.048640859828</v>
      </c>
      <c r="SP6" s="29">
        <f t="shared" ca="1" si="549"/>
        <v>14537.571965843312</v>
      </c>
      <c r="SQ6" s="29">
        <f t="shared" ca="1" si="550"/>
        <v>14397.264184739024</v>
      </c>
      <c r="SR6" s="29">
        <f t="shared" ca="1" si="551"/>
        <v>14004.253027665362</v>
      </c>
      <c r="SS6" s="29">
        <f t="shared" ca="1" si="552"/>
        <v>14153.922456444958</v>
      </c>
      <c r="ST6" s="29">
        <f t="shared" ca="1" si="553"/>
        <v>14076.85537008042</v>
      </c>
      <c r="SU6" s="29">
        <f t="shared" ca="1" si="554"/>
        <v>14970.795530822603</v>
      </c>
      <c r="SV6" s="29">
        <f t="shared" ca="1" si="555"/>
        <v>14111.162615949199</v>
      </c>
      <c r="SW6" s="29">
        <f t="shared" ca="1" si="556"/>
        <v>14465.547287657797</v>
      </c>
      <c r="SX6" s="29">
        <f t="shared" ca="1" si="557"/>
        <v>14222.792265288386</v>
      </c>
      <c r="SY6" s="29">
        <f t="shared" ca="1" si="558"/>
        <v>14097.174191868387</v>
      </c>
      <c r="SZ6" s="29">
        <f t="shared" ca="1" si="559"/>
        <v>14621.879450418042</v>
      </c>
      <c r="TA6" s="29">
        <f t="shared" ca="1" si="560"/>
        <v>14412.299903319137</v>
      </c>
      <c r="TB6" s="29">
        <f t="shared" ca="1" si="561"/>
        <v>14403.243600500389</v>
      </c>
      <c r="TC6" s="29">
        <f t="shared" ca="1" si="562"/>
        <v>14319.996332869994</v>
      </c>
      <c r="TD6" s="29">
        <f t="shared" ca="1" si="563"/>
        <v>13983.539334589617</v>
      </c>
      <c r="TE6" s="29">
        <f t="shared" ca="1" si="564"/>
        <v>14328.82119536101</v>
      </c>
      <c r="TF6" s="29">
        <f t="shared" ca="1" si="565"/>
        <v>14131.757987573121</v>
      </c>
      <c r="TG6" s="29">
        <f t="shared" ca="1" si="566"/>
        <v>13964.90232672095</v>
      </c>
      <c r="TH6" s="29">
        <f t="shared" ca="1" si="567"/>
        <v>14099.002169049994</v>
      </c>
      <c r="TI6" s="29">
        <f t="shared" ca="1" si="568"/>
        <v>14066.844963422358</v>
      </c>
      <c r="TJ6" s="29">
        <f t="shared" ca="1" si="569"/>
        <v>14165.680576765883</v>
      </c>
      <c r="TK6" s="29">
        <f t="shared" ca="1" si="570"/>
        <v>14359.883304088809</v>
      </c>
      <c r="TL6" s="29">
        <f t="shared" ca="1" si="571"/>
        <v>14646.979304711271</v>
      </c>
      <c r="TM6" s="29">
        <f t="shared" ca="1" si="572"/>
        <v>14241.750108026004</v>
      </c>
      <c r="TN6" s="29">
        <f t="shared" ca="1" si="573"/>
        <v>14352.337231341728</v>
      </c>
      <c r="TO6" s="29">
        <f t="shared" ca="1" si="574"/>
        <v>14547.075506455763</v>
      </c>
      <c r="TP6" s="29">
        <f t="shared" ca="1" si="575"/>
        <v>14499.16010043102</v>
      </c>
      <c r="TQ6" s="29">
        <f t="shared" ca="1" si="576"/>
        <v>14697.886679811645</v>
      </c>
      <c r="TR6" s="29">
        <f t="shared" ca="1" si="577"/>
        <v>14423.951430836258</v>
      </c>
      <c r="TS6" s="29">
        <f t="shared" ca="1" si="578"/>
        <v>14712.974797872119</v>
      </c>
      <c r="TT6" s="29">
        <f t="shared" ca="1" si="579"/>
        <v>14527.997471060768</v>
      </c>
      <c r="TU6" s="29">
        <f t="shared" ca="1" si="580"/>
        <v>14573.757860274522</v>
      </c>
      <c r="TV6" s="29">
        <f t="shared" ca="1" si="581"/>
        <v>13986.28753699568</v>
      </c>
      <c r="TW6" s="29">
        <f t="shared" ca="1" si="582"/>
        <v>14722.967327084287</v>
      </c>
      <c r="TX6" s="29">
        <f t="shared" ca="1" si="583"/>
        <v>14211.203723949584</v>
      </c>
      <c r="TY6" s="29">
        <f t="shared" ca="1" si="584"/>
        <v>14817.405188559596</v>
      </c>
      <c r="TZ6" s="29">
        <f t="shared" ca="1" si="585"/>
        <v>14204.870916973599</v>
      </c>
      <c r="UA6" s="29">
        <f t="shared" ca="1" si="586"/>
        <v>14071.583023167135</v>
      </c>
      <c r="UB6" s="29">
        <f t="shared" ca="1" si="587"/>
        <v>14441.271216146508</v>
      </c>
      <c r="UC6" s="29">
        <f t="shared" ca="1" si="588"/>
        <v>14448.189757412198</v>
      </c>
      <c r="UD6" s="29">
        <f t="shared" ca="1" si="589"/>
        <v>14409.681792821506</v>
      </c>
      <c r="UE6" s="29">
        <f t="shared" ca="1" si="590"/>
        <v>14227.132766092314</v>
      </c>
      <c r="UF6" s="29">
        <f t="shared" ca="1" si="591"/>
        <v>14111.120727153324</v>
      </c>
      <c r="UG6" s="29">
        <f t="shared" ca="1" si="592"/>
        <v>14220.426133256564</v>
      </c>
      <c r="UH6" s="29">
        <f t="shared" ca="1" si="593"/>
        <v>13967.176665017962</v>
      </c>
      <c r="UI6" s="29">
        <f t="shared" ca="1" si="594"/>
        <v>14643.045770668818</v>
      </c>
      <c r="UJ6" s="29">
        <f t="shared" ca="1" si="595"/>
        <v>14373.431101584578</v>
      </c>
      <c r="UK6" s="29">
        <f t="shared" ca="1" si="596"/>
        <v>14471.823516548733</v>
      </c>
      <c r="UL6" s="29">
        <f t="shared" ca="1" si="597"/>
        <v>14902.643615023006</v>
      </c>
      <c r="UM6" s="29">
        <f t="shared" ca="1" si="598"/>
        <v>14282.650620813818</v>
      </c>
      <c r="UN6" s="29">
        <f t="shared" ca="1" si="599"/>
        <v>14153.185397911702</v>
      </c>
      <c r="UO6" s="29">
        <f t="shared" ca="1" si="600"/>
        <v>14724.157519228525</v>
      </c>
      <c r="UP6" s="29">
        <f t="shared" ca="1" si="601"/>
        <v>14278.296386778586</v>
      </c>
      <c r="UQ6" s="29">
        <f t="shared" ca="1" si="602"/>
        <v>14806.424676621715</v>
      </c>
      <c r="UR6" s="29">
        <f t="shared" ca="1" si="603"/>
        <v>14550.296198912723</v>
      </c>
      <c r="US6" s="29">
        <f t="shared" ca="1" si="604"/>
        <v>15046.131290437084</v>
      </c>
      <c r="UT6" s="29">
        <f t="shared" ca="1" si="605"/>
        <v>14075.752030391981</v>
      </c>
      <c r="UU6" s="29">
        <f t="shared" ca="1" si="606"/>
        <v>14275.595299126357</v>
      </c>
      <c r="UV6" s="29">
        <f t="shared" ca="1" si="607"/>
        <v>14572.393613936667</v>
      </c>
      <c r="UW6" s="29">
        <f t="shared" ca="1" si="608"/>
        <v>14268.312108767943</v>
      </c>
      <c r="UX6" s="29">
        <f t="shared" ca="1" si="609"/>
        <v>14253.430329530089</v>
      </c>
      <c r="UY6" s="29">
        <f t="shared" ca="1" si="610"/>
        <v>14498.182732717749</v>
      </c>
      <c r="UZ6" s="29">
        <f t="shared" ca="1" si="611"/>
        <v>14285.224596082911</v>
      </c>
      <c r="VA6" s="29">
        <f t="shared" ca="1" si="612"/>
        <v>14634.5505307037</v>
      </c>
      <c r="VB6" s="29">
        <f t="shared" ca="1" si="613"/>
        <v>14396.161476876874</v>
      </c>
      <c r="VC6" s="29">
        <f t="shared" ca="1" si="614"/>
        <v>14134.919853796653</v>
      </c>
      <c r="VD6" s="29">
        <f t="shared" ca="1" si="615"/>
        <v>14377.520272162454</v>
      </c>
      <c r="VE6" s="29">
        <f t="shared" ca="1" si="616"/>
        <v>14950.091871470107</v>
      </c>
      <c r="VF6" s="29">
        <f t="shared" ca="1" si="617"/>
        <v>14523.902858835745</v>
      </c>
      <c r="VG6" s="29">
        <f t="shared" ca="1" si="618"/>
        <v>14778.329978328553</v>
      </c>
      <c r="VH6" s="29">
        <f t="shared" ca="1" si="619"/>
        <v>14167.657960289112</v>
      </c>
      <c r="VI6" s="29">
        <f t="shared" ca="1" si="620"/>
        <v>14601.482139660628</v>
      </c>
      <c r="VJ6" s="29">
        <f t="shared" ca="1" si="621"/>
        <v>14000.476560072157</v>
      </c>
      <c r="VK6" s="29">
        <f t="shared" ca="1" si="622"/>
        <v>14478.135650389742</v>
      </c>
      <c r="VL6" s="29">
        <f t="shared" ca="1" si="623"/>
        <v>13681.715306436327</v>
      </c>
      <c r="VM6" s="29">
        <f t="shared" ca="1" si="624"/>
        <v>14206.934513721946</v>
      </c>
      <c r="VN6" s="29">
        <f t="shared" ca="1" si="625"/>
        <v>14386.219581986366</v>
      </c>
      <c r="VO6" s="29">
        <f t="shared" ca="1" si="626"/>
        <v>14857.206919553202</v>
      </c>
      <c r="VP6" s="29">
        <f t="shared" ca="1" si="627"/>
        <v>14091.104531912164</v>
      </c>
      <c r="VQ6" s="29">
        <f t="shared" ca="1" si="628"/>
        <v>14302.44939290243</v>
      </c>
      <c r="VR6" s="29">
        <f t="shared" ca="1" si="629"/>
        <v>14138.063262043965</v>
      </c>
      <c r="VS6" s="29">
        <f t="shared" ca="1" si="630"/>
        <v>14154.244836373551</v>
      </c>
      <c r="VT6" s="29">
        <f t="shared" ca="1" si="631"/>
        <v>14255.808979068173</v>
      </c>
      <c r="VU6" s="29">
        <f t="shared" ca="1" si="632"/>
        <v>14491.993450090502</v>
      </c>
      <c r="VV6" s="29">
        <f t="shared" ca="1" si="633"/>
        <v>14646.230188171579</v>
      </c>
      <c r="VW6" s="29">
        <f t="shared" ca="1" si="634"/>
        <v>14306.14770548601</v>
      </c>
      <c r="VX6" s="29">
        <f t="shared" ca="1" si="635"/>
        <v>14789.561230093981</v>
      </c>
      <c r="VY6" s="29">
        <f t="shared" ca="1" si="636"/>
        <v>14930.637655600323</v>
      </c>
      <c r="VZ6" s="29">
        <f t="shared" ca="1" si="637"/>
        <v>14301.336543119691</v>
      </c>
      <c r="WA6" s="29">
        <f t="shared" ca="1" si="638"/>
        <v>14437.191537477276</v>
      </c>
      <c r="WB6" s="29">
        <f t="shared" ca="1" si="639"/>
        <v>14617.747833392548</v>
      </c>
      <c r="WC6" s="29">
        <f t="shared" ca="1" si="640"/>
        <v>14448.74689803623</v>
      </c>
      <c r="WD6" s="29">
        <f t="shared" ca="1" si="641"/>
        <v>14169.962734895869</v>
      </c>
      <c r="WE6" s="29">
        <f t="shared" ca="1" si="642"/>
        <v>14877.207588800924</v>
      </c>
      <c r="WF6" s="29">
        <f t="shared" ca="1" si="643"/>
        <v>14517.120776748519</v>
      </c>
      <c r="WG6" s="29">
        <f t="shared" ca="1" si="644"/>
        <v>14406.972982146235</v>
      </c>
      <c r="WH6" s="29">
        <f t="shared" ca="1" si="645"/>
        <v>14046.356382726326</v>
      </c>
      <c r="WI6" s="29">
        <f t="shared" ca="1" si="646"/>
        <v>14629.903119610501</v>
      </c>
      <c r="WJ6" s="29">
        <f t="shared" ca="1" si="647"/>
        <v>14288.903899078276</v>
      </c>
      <c r="WK6" s="29">
        <f t="shared" ca="1" si="648"/>
        <v>13623.337204248943</v>
      </c>
      <c r="WL6" s="29">
        <f t="shared" ca="1" si="649"/>
        <v>14326.897768377525</v>
      </c>
      <c r="WM6" s="29">
        <f t="shared" ca="1" si="650"/>
        <v>14208.970150774685</v>
      </c>
      <c r="WN6" s="29">
        <f t="shared" ca="1" si="651"/>
        <v>14671.000351221694</v>
      </c>
      <c r="WO6" s="29">
        <f t="shared" ca="1" si="652"/>
        <v>14602.139670540986</v>
      </c>
      <c r="WP6" s="29">
        <f t="shared" ca="1" si="653"/>
        <v>14544.358439941416</v>
      </c>
      <c r="WQ6" s="29">
        <f t="shared" ca="1" si="654"/>
        <v>14478.803152263528</v>
      </c>
      <c r="WR6" s="29">
        <f t="shared" ca="1" si="655"/>
        <v>14305.393035428862</v>
      </c>
      <c r="WS6" s="29">
        <f t="shared" ca="1" si="656"/>
        <v>13945.609633538181</v>
      </c>
      <c r="WT6" s="29">
        <f t="shared" ca="1" si="657"/>
        <v>14567.094015061368</v>
      </c>
      <c r="WU6" s="29">
        <f t="shared" ca="1" si="658"/>
        <v>14481.571326066965</v>
      </c>
      <c r="WV6" s="29">
        <f t="shared" ca="1" si="659"/>
        <v>14227.856284771755</v>
      </c>
      <c r="WW6" s="29">
        <f t="shared" ca="1" si="660"/>
        <v>13656.699947806317</v>
      </c>
      <c r="WX6" s="29">
        <f t="shared" ca="1" si="661"/>
        <v>14712.621884257092</v>
      </c>
      <c r="WY6" s="29">
        <f t="shared" ca="1" si="662"/>
        <v>14351.083843694312</v>
      </c>
      <c r="WZ6" s="29">
        <f t="shared" ca="1" si="663"/>
        <v>14400.153234752401</v>
      </c>
      <c r="XA6" s="29">
        <f t="shared" ca="1" si="664"/>
        <v>14439.426058443505</v>
      </c>
      <c r="XB6" s="29">
        <f t="shared" ca="1" si="665"/>
        <v>14250.022185798845</v>
      </c>
      <c r="XC6" s="29">
        <f t="shared" ca="1" si="666"/>
        <v>14296.025393614837</v>
      </c>
      <c r="XD6" s="29">
        <f t="shared" ca="1" si="667"/>
        <v>13980.60323963975</v>
      </c>
      <c r="XE6" s="29">
        <f t="shared" ca="1" si="668"/>
        <v>14218.519118243812</v>
      </c>
      <c r="XF6" s="29">
        <f t="shared" ca="1" si="669"/>
        <v>14372.308357636817</v>
      </c>
      <c r="XG6" s="29">
        <f t="shared" ca="1" si="670"/>
        <v>14268.516604458342</v>
      </c>
      <c r="XH6" s="29">
        <f t="shared" ca="1" si="671"/>
        <v>14141.532906742248</v>
      </c>
      <c r="XI6" s="29">
        <f t="shared" ca="1" si="672"/>
        <v>15165.395688485543</v>
      </c>
      <c r="XJ6" s="29">
        <f t="shared" ca="1" si="673"/>
        <v>14632.431968249019</v>
      </c>
      <c r="XK6" s="29">
        <f t="shared" ca="1" si="674"/>
        <v>14065.898927749569</v>
      </c>
      <c r="XL6" s="29">
        <f t="shared" ca="1" si="675"/>
        <v>14070.841490318984</v>
      </c>
      <c r="XM6" s="29">
        <f t="shared" ca="1" si="676"/>
        <v>14289.148893411124</v>
      </c>
      <c r="XN6" s="29">
        <f t="shared" ca="1" si="677"/>
        <v>14252.515869975525</v>
      </c>
      <c r="XO6" s="29">
        <f t="shared" ca="1" si="678"/>
        <v>14476.496941211635</v>
      </c>
      <c r="XP6" s="29">
        <f t="shared" ca="1" si="679"/>
        <v>14766.697567833779</v>
      </c>
      <c r="XQ6" s="29">
        <f t="shared" ca="1" si="680"/>
        <v>14267.521801432456</v>
      </c>
      <c r="XR6" s="29">
        <f t="shared" ca="1" si="681"/>
        <v>14193.900059424644</v>
      </c>
      <c r="XS6" s="29">
        <f t="shared" ca="1" si="682"/>
        <v>14037.086080927462</v>
      </c>
      <c r="XT6" s="29">
        <f t="shared" ca="1" si="683"/>
        <v>14550.918177411108</v>
      </c>
      <c r="XU6" s="29">
        <f t="shared" ca="1" si="684"/>
        <v>14511.493875203281</v>
      </c>
      <c r="XV6" s="29">
        <f t="shared" ca="1" si="685"/>
        <v>14725.844182832438</v>
      </c>
      <c r="XW6" s="29">
        <f t="shared" ca="1" si="686"/>
        <v>14447.855576770735</v>
      </c>
      <c r="XX6" s="29">
        <f t="shared" ca="1" si="687"/>
        <v>13974.684682724777</v>
      </c>
      <c r="XY6" s="29">
        <f t="shared" ca="1" si="688"/>
        <v>14575.031447695917</v>
      </c>
      <c r="XZ6" s="29">
        <f t="shared" ca="1" si="689"/>
        <v>14442.642895332183</v>
      </c>
      <c r="YA6" s="29">
        <f t="shared" ca="1" si="690"/>
        <v>14816.41486794573</v>
      </c>
      <c r="YB6" s="29">
        <f t="shared" ca="1" si="691"/>
        <v>14406.916361744969</v>
      </c>
      <c r="YC6" s="29">
        <f t="shared" ca="1" si="692"/>
        <v>14216.701905224529</v>
      </c>
      <c r="YD6" s="29">
        <f t="shared" ca="1" si="693"/>
        <v>13911.005596423493</v>
      </c>
      <c r="YE6" s="29">
        <f t="shared" ca="1" si="694"/>
        <v>14732.966469454881</v>
      </c>
      <c r="YF6" s="29">
        <f t="shared" ca="1" si="695"/>
        <v>14287.46970276253</v>
      </c>
      <c r="YG6" s="29">
        <f t="shared" ca="1" si="696"/>
        <v>14315.20368626291</v>
      </c>
      <c r="YH6" s="29">
        <f t="shared" ca="1" si="697"/>
        <v>14200.568088256439</v>
      </c>
      <c r="YI6" s="29">
        <f t="shared" ca="1" si="698"/>
        <v>14311.34194144601</v>
      </c>
      <c r="YJ6" s="29">
        <f t="shared" ca="1" si="699"/>
        <v>14188.645375413349</v>
      </c>
      <c r="YK6" s="29">
        <f t="shared" ca="1" si="700"/>
        <v>14126.663034074918</v>
      </c>
      <c r="YL6" s="29">
        <f t="shared" ca="1" si="701"/>
        <v>14387.595872255588</v>
      </c>
      <c r="YM6" s="29">
        <f t="shared" ca="1" si="702"/>
        <v>14227.787839897681</v>
      </c>
      <c r="YN6" s="29">
        <f t="shared" ca="1" si="703"/>
        <v>14480.345891500647</v>
      </c>
      <c r="YO6" s="29">
        <f t="shared" ca="1" si="704"/>
        <v>14001.084917743672</v>
      </c>
      <c r="YP6" s="29">
        <f t="shared" ca="1" si="705"/>
        <v>14492.535213498075</v>
      </c>
      <c r="YQ6" s="29">
        <f t="shared" ca="1" si="706"/>
        <v>14462.955654758023</v>
      </c>
      <c r="YR6" s="29">
        <f t="shared" ca="1" si="707"/>
        <v>13959.907498764811</v>
      </c>
      <c r="YS6" s="29">
        <f t="shared" ca="1" si="708"/>
        <v>14719.947306861146</v>
      </c>
      <c r="YT6" s="29">
        <f t="shared" ca="1" si="709"/>
        <v>14164.999461356016</v>
      </c>
      <c r="YU6" s="29">
        <f t="shared" ca="1" si="710"/>
        <v>14341.766874679428</v>
      </c>
      <c r="YV6" s="29">
        <f t="shared" ca="1" si="711"/>
        <v>14151.628236309351</v>
      </c>
      <c r="YW6" s="29">
        <f t="shared" ca="1" si="712"/>
        <v>14264.504280531472</v>
      </c>
      <c r="YX6" s="29">
        <f t="shared" ca="1" si="713"/>
        <v>14611.947867836863</v>
      </c>
      <c r="YY6" s="29">
        <f t="shared" ca="1" si="714"/>
        <v>14242.379161513065</v>
      </c>
      <c r="YZ6" s="29">
        <f t="shared" ca="1" si="715"/>
        <v>15079.655184442756</v>
      </c>
      <c r="ZA6" s="29">
        <f t="shared" ca="1" si="716"/>
        <v>14432.972526183654</v>
      </c>
      <c r="ZB6" s="29">
        <f t="shared" ca="1" si="717"/>
        <v>14237.455228958393</v>
      </c>
      <c r="ZC6" s="29">
        <f t="shared" ca="1" si="718"/>
        <v>14128.193129119105</v>
      </c>
      <c r="ZD6" s="29">
        <f t="shared" ca="1" si="719"/>
        <v>14203.500463651017</v>
      </c>
      <c r="ZE6" s="29">
        <f t="shared" ca="1" si="720"/>
        <v>13896.623136614284</v>
      </c>
      <c r="ZF6" s="29">
        <f t="shared" ca="1" si="721"/>
        <v>14335.846258528585</v>
      </c>
      <c r="ZG6" s="29">
        <f t="shared" ca="1" si="722"/>
        <v>13846.545667109825</v>
      </c>
      <c r="ZH6" s="29">
        <f t="shared" ca="1" si="723"/>
        <v>14268.238760238562</v>
      </c>
      <c r="ZI6" s="29">
        <f t="shared" ca="1" si="724"/>
        <v>14111.874717966291</v>
      </c>
      <c r="ZJ6" s="29">
        <f t="shared" ca="1" si="725"/>
        <v>14547.62111542952</v>
      </c>
      <c r="ZK6" s="29">
        <f t="shared" ca="1" si="726"/>
        <v>13885.769797301842</v>
      </c>
      <c r="ZL6" s="29">
        <f t="shared" ca="1" si="727"/>
        <v>14204.012114542737</v>
      </c>
      <c r="ZM6" s="29">
        <f t="shared" ca="1" si="728"/>
        <v>13817.479974403819</v>
      </c>
      <c r="ZN6" s="29">
        <f t="shared" ca="1" si="729"/>
        <v>14224.155492471775</v>
      </c>
      <c r="ZO6" s="29">
        <f t="shared" ca="1" si="730"/>
        <v>14483.726607030634</v>
      </c>
      <c r="ZP6" s="29">
        <f t="shared" ca="1" si="731"/>
        <v>14028.699116912478</v>
      </c>
      <c r="ZQ6" s="29">
        <f t="shared" ca="1" si="732"/>
        <v>14047.513291335234</v>
      </c>
      <c r="ZR6" s="29">
        <f t="shared" ca="1" si="733"/>
        <v>14585.333385783411</v>
      </c>
      <c r="ZS6" s="29">
        <f t="shared" ca="1" si="734"/>
        <v>14432.098658105373</v>
      </c>
      <c r="ZT6" s="29">
        <f t="shared" ca="1" si="735"/>
        <v>14277.126810434291</v>
      </c>
      <c r="ZU6" s="29">
        <f t="shared" ca="1" si="736"/>
        <v>14113.395107259617</v>
      </c>
      <c r="ZV6" s="29">
        <f t="shared" ca="1" si="737"/>
        <v>14204.616696518593</v>
      </c>
      <c r="ZW6" s="29">
        <f t="shared" ca="1" si="738"/>
        <v>14434.649573611057</v>
      </c>
      <c r="ZX6" s="29">
        <f t="shared" ca="1" si="739"/>
        <v>14717.115864031057</v>
      </c>
      <c r="ZY6" s="29">
        <f t="shared" ca="1" si="740"/>
        <v>14677.019075732507</v>
      </c>
      <c r="ZZ6" s="29">
        <f t="shared" ca="1" si="741"/>
        <v>14588.880519574064</v>
      </c>
      <c r="AAA6" s="29">
        <f t="shared" ca="1" si="742"/>
        <v>14982.514655020928</v>
      </c>
      <c r="AAB6" s="29">
        <f t="shared" ca="1" si="743"/>
        <v>14158.242149311716</v>
      </c>
      <c r="AAC6" s="29">
        <f t="shared" ca="1" si="744"/>
        <v>14664.220609421089</v>
      </c>
      <c r="AAD6" s="29">
        <f t="shared" ca="1" si="745"/>
        <v>14448.709404795969</v>
      </c>
      <c r="AAE6" s="29">
        <f t="shared" ca="1" si="746"/>
        <v>13784.829208113235</v>
      </c>
      <c r="AAF6" s="29">
        <f t="shared" ca="1" si="747"/>
        <v>14869.684653609833</v>
      </c>
      <c r="AAG6" s="29">
        <f t="shared" ca="1" si="748"/>
        <v>14179.446870739381</v>
      </c>
      <c r="AAH6" s="29">
        <f t="shared" ca="1" si="749"/>
        <v>14755.305726464512</v>
      </c>
      <c r="AAI6" s="29">
        <f t="shared" ca="1" si="750"/>
        <v>14490.605118876065</v>
      </c>
      <c r="AAJ6" s="29">
        <f t="shared" ca="1" si="751"/>
        <v>13929.112102056202</v>
      </c>
      <c r="AAK6" s="29">
        <f t="shared" ca="1" si="752"/>
        <v>14542.839299911269</v>
      </c>
      <c r="AAL6" s="29">
        <f t="shared" ca="1" si="753"/>
        <v>14435.32187447172</v>
      </c>
      <c r="AAM6" s="29">
        <f t="shared" ca="1" si="754"/>
        <v>14572.546665520436</v>
      </c>
      <c r="AAN6" s="29">
        <f t="shared" ca="1" si="755"/>
        <v>14942.23829037665</v>
      </c>
      <c r="AAO6" s="29">
        <f t="shared" ca="1" si="756"/>
        <v>14655.848607155036</v>
      </c>
      <c r="AAP6" s="29">
        <f t="shared" ca="1" si="757"/>
        <v>14945.814452606422</v>
      </c>
      <c r="AAQ6" s="29">
        <f t="shared" ca="1" si="758"/>
        <v>14332.171640269084</v>
      </c>
      <c r="AAR6" s="29">
        <f t="shared" ca="1" si="759"/>
        <v>14644.921079282973</v>
      </c>
      <c r="AAS6" s="29">
        <f t="shared" ca="1" si="760"/>
        <v>14538.802479339585</v>
      </c>
      <c r="AAT6" s="29">
        <f t="shared" ca="1" si="761"/>
        <v>14557.604337222487</v>
      </c>
      <c r="AAU6" s="29">
        <f t="shared" ca="1" si="762"/>
        <v>14496.25300143912</v>
      </c>
      <c r="AAV6" s="29">
        <f t="shared" ca="1" si="763"/>
        <v>14119.587284252133</v>
      </c>
      <c r="AAW6" s="29">
        <f t="shared" ca="1" si="764"/>
        <v>14154.752709524366</v>
      </c>
      <c r="AAX6" s="29">
        <f t="shared" ca="1" si="765"/>
        <v>14550.365146462487</v>
      </c>
      <c r="AAY6" s="29">
        <f t="shared" ca="1" si="766"/>
        <v>14414.065203343087</v>
      </c>
      <c r="AAZ6" s="29">
        <f t="shared" ca="1" si="767"/>
        <v>14415.420276830309</v>
      </c>
      <c r="ABA6" s="29">
        <f t="shared" ca="1" si="768"/>
        <v>14383.119096356111</v>
      </c>
      <c r="ABB6" s="29">
        <f t="shared" ca="1" si="769"/>
        <v>14557.074314655943</v>
      </c>
      <c r="ABC6" s="29">
        <f t="shared" ca="1" si="770"/>
        <v>14481.822207491157</v>
      </c>
      <c r="ABD6" s="29">
        <f t="shared" ca="1" si="771"/>
        <v>14060.346398656302</v>
      </c>
      <c r="ABE6" s="29">
        <f t="shared" ca="1" si="772"/>
        <v>13736.425011247633</v>
      </c>
      <c r="ABF6" s="29">
        <f t="shared" ca="1" si="773"/>
        <v>14820.620191643424</v>
      </c>
      <c r="ABG6" s="29">
        <f t="shared" ca="1" si="774"/>
        <v>14205.299247982983</v>
      </c>
      <c r="ABH6" s="29">
        <f t="shared" ca="1" si="775"/>
        <v>14468.052011217476</v>
      </c>
      <c r="ABI6" s="29">
        <f t="shared" ca="1" si="776"/>
        <v>14514.628780351097</v>
      </c>
      <c r="ABJ6" s="29">
        <f t="shared" ca="1" si="777"/>
        <v>14418.338580279822</v>
      </c>
      <c r="ABK6" s="29">
        <f t="shared" ca="1" si="778"/>
        <v>14719.883738597162</v>
      </c>
      <c r="ABL6" s="29">
        <f t="shared" ca="1" si="779"/>
        <v>14588.630069645096</v>
      </c>
      <c r="ABM6" s="29">
        <f t="shared" ca="1" si="780"/>
        <v>15007.905334499777</v>
      </c>
      <c r="ABN6" s="29">
        <f t="shared" ca="1" si="781"/>
        <v>14445.02436005774</v>
      </c>
      <c r="ABO6" s="29">
        <f t="shared" ca="1" si="782"/>
        <v>14360.040734324813</v>
      </c>
      <c r="ABP6" s="29">
        <f t="shared" ca="1" si="783"/>
        <v>14217.247080217749</v>
      </c>
      <c r="ABQ6" s="29">
        <f t="shared" ca="1" si="784"/>
        <v>14477.792735995195</v>
      </c>
      <c r="ABR6" s="29">
        <f t="shared" ca="1" si="785"/>
        <v>13991.480594157621</v>
      </c>
      <c r="ABS6" s="29">
        <f t="shared" ca="1" si="786"/>
        <v>14440.282817477624</v>
      </c>
      <c r="ABT6" s="29">
        <f t="shared" ca="1" si="787"/>
        <v>14509.671808270412</v>
      </c>
      <c r="ABU6" s="29">
        <f t="shared" ca="1" si="788"/>
        <v>14260.435080807236</v>
      </c>
      <c r="ABV6" s="29">
        <f t="shared" ca="1" si="789"/>
        <v>14725.903157428842</v>
      </c>
      <c r="ABW6" s="29">
        <f t="shared" ca="1" si="790"/>
        <v>14664.735890369326</v>
      </c>
      <c r="ABX6" s="29">
        <f t="shared" ca="1" si="791"/>
        <v>14773.398200354384</v>
      </c>
      <c r="ABY6" s="29">
        <f t="shared" ca="1" si="792"/>
        <v>14417.943317508814</v>
      </c>
      <c r="ABZ6" s="29">
        <f t="shared" ca="1" si="793"/>
        <v>14672.035924415697</v>
      </c>
      <c r="ACA6" s="29">
        <f t="shared" ca="1" si="794"/>
        <v>14778.833965871445</v>
      </c>
      <c r="ACB6" s="29">
        <f t="shared" ca="1" si="795"/>
        <v>14673.569994956893</v>
      </c>
      <c r="ACC6" s="29">
        <f t="shared" ca="1" si="796"/>
        <v>14490.28908098584</v>
      </c>
      <c r="ACD6" s="29">
        <f t="shared" ca="1" si="797"/>
        <v>14441.149157247961</v>
      </c>
      <c r="ACE6" s="29">
        <f t="shared" ca="1" si="798"/>
        <v>14610.497045079226</v>
      </c>
      <c r="ACF6" s="29">
        <f t="shared" ca="1" si="799"/>
        <v>14187.332623249838</v>
      </c>
      <c r="ACG6" s="29">
        <f t="shared" ca="1" si="800"/>
        <v>14226.76617345257</v>
      </c>
      <c r="ACH6" s="29">
        <f t="shared" ca="1" si="801"/>
        <v>14325.556818576719</v>
      </c>
      <c r="ACI6" s="29">
        <f t="shared" ca="1" si="802"/>
        <v>14853.011764875291</v>
      </c>
      <c r="ACJ6" s="29">
        <f t="shared" ca="1" si="803"/>
        <v>14532.636911783384</v>
      </c>
      <c r="ACK6" s="29">
        <f t="shared" ca="1" si="804"/>
        <v>14243.215283152353</v>
      </c>
      <c r="ACL6" s="29">
        <f t="shared" ca="1" si="805"/>
        <v>13709.289299743357</v>
      </c>
      <c r="ACM6" s="29">
        <f t="shared" ca="1" si="806"/>
        <v>14352.137908072444</v>
      </c>
      <c r="ACN6" s="29">
        <f t="shared" ca="1" si="807"/>
        <v>14735.019440028365</v>
      </c>
      <c r="ACO6" s="29">
        <f t="shared" ca="1" si="808"/>
        <v>15181.746768026025</v>
      </c>
      <c r="ACP6" s="29">
        <f t="shared" ca="1" si="809"/>
        <v>14436.177823784503</v>
      </c>
      <c r="ACQ6" s="29">
        <f t="shared" ca="1" si="810"/>
        <v>14590.164670713215</v>
      </c>
      <c r="ACR6" s="29">
        <f t="shared" ca="1" si="811"/>
        <v>14307.977600810507</v>
      </c>
      <c r="ACS6" s="29">
        <f t="shared" ca="1" si="812"/>
        <v>14050.92464584184</v>
      </c>
      <c r="ACT6" s="29">
        <f t="shared" ca="1" si="813"/>
        <v>14395.66121880217</v>
      </c>
      <c r="ACU6" s="29">
        <f t="shared" ca="1" si="814"/>
        <v>14387.607433359481</v>
      </c>
      <c r="ACV6" s="29">
        <f t="shared" ca="1" si="815"/>
        <v>14595.505274384854</v>
      </c>
      <c r="ACW6" s="29">
        <f t="shared" ca="1" si="816"/>
        <v>14192.396828653656</v>
      </c>
      <c r="ACX6" s="29">
        <f t="shared" ca="1" si="817"/>
        <v>14603.643134845446</v>
      </c>
      <c r="ACY6" s="29">
        <f t="shared" ca="1" si="818"/>
        <v>14384.455837738098</v>
      </c>
      <c r="ACZ6" s="29">
        <f t="shared" ca="1" si="819"/>
        <v>14289.07302371394</v>
      </c>
      <c r="ADA6" s="29">
        <f t="shared" ca="1" si="820"/>
        <v>14278.45370529898</v>
      </c>
      <c r="ADB6" s="29">
        <f t="shared" ca="1" si="821"/>
        <v>13990.296011465814</v>
      </c>
      <c r="ADC6" s="29">
        <f t="shared" ca="1" si="822"/>
        <v>14254.933933735099</v>
      </c>
      <c r="ADD6" s="29">
        <f t="shared" ca="1" si="823"/>
        <v>14603.422675079672</v>
      </c>
      <c r="ADE6" s="29">
        <f t="shared" ca="1" si="824"/>
        <v>14924.497722712262</v>
      </c>
      <c r="ADF6" s="29">
        <f t="shared" ca="1" si="825"/>
        <v>13933.012083217172</v>
      </c>
      <c r="ADG6" s="29">
        <f t="shared" ca="1" si="826"/>
        <v>14826.024743033307</v>
      </c>
      <c r="ADH6" s="29">
        <f t="shared" ca="1" si="827"/>
        <v>14784.370398905776</v>
      </c>
      <c r="ADI6" s="29">
        <f t="shared" ca="1" si="828"/>
        <v>14210.620028546942</v>
      </c>
      <c r="ADJ6" s="29">
        <f t="shared" ca="1" si="829"/>
        <v>14830.533331093462</v>
      </c>
      <c r="ADK6" s="29">
        <f t="shared" ca="1" si="830"/>
        <v>14983.5099673449</v>
      </c>
      <c r="ADL6" s="29">
        <f t="shared" ca="1" si="831"/>
        <v>14280.095089746108</v>
      </c>
      <c r="ADM6" s="29">
        <f t="shared" ca="1" si="832"/>
        <v>14268.166992483548</v>
      </c>
      <c r="ADN6" s="29">
        <f t="shared" ca="1" si="833"/>
        <v>13945.486068850374</v>
      </c>
      <c r="ADO6" s="29">
        <f t="shared" ca="1" si="834"/>
        <v>14626.38428873852</v>
      </c>
      <c r="ADP6" s="29">
        <f t="shared" ca="1" si="835"/>
        <v>14346.571192617643</v>
      </c>
      <c r="ADQ6" s="29">
        <f t="shared" ca="1" si="836"/>
        <v>14793.939493670792</v>
      </c>
      <c r="ADR6" s="29">
        <f t="shared" ca="1" si="837"/>
        <v>14582.075189453501</v>
      </c>
      <c r="ADS6" s="29">
        <f t="shared" ca="1" si="838"/>
        <v>14422.911749717081</v>
      </c>
      <c r="ADT6" s="29">
        <f t="shared" ca="1" si="839"/>
        <v>14591.522984743187</v>
      </c>
      <c r="ADU6" s="29">
        <f t="shared" ca="1" si="840"/>
        <v>14564.523020751745</v>
      </c>
      <c r="ADV6" s="29">
        <f t="shared" ca="1" si="841"/>
        <v>14155.594513500597</v>
      </c>
      <c r="ADW6" s="29">
        <f t="shared" ca="1" si="842"/>
        <v>14840.390284579726</v>
      </c>
      <c r="ADX6" s="29">
        <f t="shared" ca="1" si="843"/>
        <v>14321.29799384225</v>
      </c>
      <c r="ADY6" s="29">
        <f t="shared" ca="1" si="844"/>
        <v>15138.504174107407</v>
      </c>
      <c r="ADZ6" s="29">
        <f t="shared" ca="1" si="845"/>
        <v>14226.221940344492</v>
      </c>
      <c r="AEA6" s="29">
        <f t="shared" ca="1" si="846"/>
        <v>14650.72496071798</v>
      </c>
      <c r="AEB6" s="29">
        <f t="shared" ca="1" si="847"/>
        <v>14364.946752001184</v>
      </c>
      <c r="AEC6" s="29">
        <f t="shared" ca="1" si="848"/>
        <v>14508.2564310244</v>
      </c>
      <c r="AED6" s="29">
        <f t="shared" ca="1" si="849"/>
        <v>14040.427372178297</v>
      </c>
      <c r="AEE6" s="29">
        <f t="shared" ca="1" si="850"/>
        <v>14546.1312804715</v>
      </c>
      <c r="AEF6" s="29">
        <f t="shared" ca="1" si="851"/>
        <v>14557.006884927272</v>
      </c>
      <c r="AEG6" s="29">
        <f t="shared" ca="1" si="852"/>
        <v>14537.824696786351</v>
      </c>
      <c r="AEH6" s="29">
        <f t="shared" ca="1" si="853"/>
        <v>14073.712102157453</v>
      </c>
      <c r="AEI6" s="29">
        <f t="shared" ca="1" si="854"/>
        <v>14255.02663317005</v>
      </c>
      <c r="AEJ6" s="29">
        <f t="shared" ca="1" si="855"/>
        <v>14255.943948931374</v>
      </c>
      <c r="AEK6" s="29">
        <f t="shared" ca="1" si="856"/>
        <v>14405.589526808913</v>
      </c>
      <c r="AEL6" s="29">
        <f t="shared" ca="1" si="857"/>
        <v>14228.417944148641</v>
      </c>
      <c r="AEM6" s="29">
        <f t="shared" ca="1" si="858"/>
        <v>14499.151604748895</v>
      </c>
      <c r="AEN6" s="29">
        <f t="shared" ca="1" si="859"/>
        <v>14532.77401697496</v>
      </c>
      <c r="AEO6" s="29">
        <f t="shared" ca="1" si="860"/>
        <v>14274.198138220112</v>
      </c>
      <c r="AEP6" s="29">
        <f t="shared" ca="1" si="861"/>
        <v>14477.27681708765</v>
      </c>
      <c r="AEQ6" s="29">
        <f t="shared" ca="1" si="862"/>
        <v>14277.350851093504</v>
      </c>
      <c r="AER6" s="29">
        <f t="shared" ca="1" si="863"/>
        <v>14655.167615473985</v>
      </c>
      <c r="AES6" s="29">
        <f t="shared" ca="1" si="864"/>
        <v>14332.539698553841</v>
      </c>
      <c r="AET6" s="29">
        <f t="shared" ca="1" si="865"/>
        <v>14475.62455520507</v>
      </c>
      <c r="AEU6" s="29">
        <f t="shared" ca="1" si="866"/>
        <v>13842.794233787354</v>
      </c>
      <c r="AEV6" s="29">
        <f t="shared" ca="1" si="867"/>
        <v>14625.96262577171</v>
      </c>
      <c r="AEW6" s="29">
        <f t="shared" ca="1" si="868"/>
        <v>14569.880553119594</v>
      </c>
      <c r="AEX6" s="29">
        <f t="shared" ca="1" si="869"/>
        <v>14461.443559780757</v>
      </c>
      <c r="AEY6" s="29">
        <f t="shared" ca="1" si="870"/>
        <v>14302.938963271179</v>
      </c>
      <c r="AEZ6" s="29">
        <f t="shared" ca="1" si="871"/>
        <v>14206.685558533245</v>
      </c>
      <c r="AFA6" s="29">
        <f t="shared" ca="1" si="872"/>
        <v>14463.165473988327</v>
      </c>
      <c r="AFB6" s="29">
        <f t="shared" ca="1" si="873"/>
        <v>13934.702377049005</v>
      </c>
      <c r="AFC6" s="29">
        <f t="shared" ca="1" si="874"/>
        <v>14598.854209183517</v>
      </c>
      <c r="AFD6" s="29">
        <f t="shared" ca="1" si="875"/>
        <v>14771.424344217727</v>
      </c>
      <c r="AFE6" s="29">
        <f t="shared" ca="1" si="876"/>
        <v>14852.762748459449</v>
      </c>
      <c r="AFF6" s="29">
        <f t="shared" ca="1" si="877"/>
        <v>14281.206934348438</v>
      </c>
      <c r="AFG6" s="29">
        <f t="shared" ca="1" si="878"/>
        <v>14549.873499722591</v>
      </c>
      <c r="AFH6" s="29">
        <f t="shared" ca="1" si="879"/>
        <v>14451.223339671531</v>
      </c>
      <c r="AFI6" s="29">
        <f t="shared" ca="1" si="880"/>
        <v>14487.620701482952</v>
      </c>
      <c r="AFJ6" s="29">
        <f t="shared" ca="1" si="881"/>
        <v>14486.627309622691</v>
      </c>
      <c r="AFK6" s="29">
        <f t="shared" ca="1" si="882"/>
        <v>14426.608849711507</v>
      </c>
      <c r="AFL6" s="29">
        <f t="shared" ca="1" si="883"/>
        <v>14531.611315209182</v>
      </c>
      <c r="AFM6" s="29">
        <f t="shared" ca="1" si="884"/>
        <v>13953.074403979954</v>
      </c>
      <c r="AFN6" s="29">
        <f t="shared" ca="1" si="885"/>
        <v>14326.847470489582</v>
      </c>
      <c r="AFO6" s="29">
        <f t="shared" ca="1" si="886"/>
        <v>14617.015808541477</v>
      </c>
      <c r="AFP6" s="29">
        <f t="shared" ca="1" si="887"/>
        <v>14616.762113021872</v>
      </c>
      <c r="AFQ6" s="29">
        <f t="shared" ca="1" si="888"/>
        <v>14332.580422954679</v>
      </c>
      <c r="AFR6" s="29">
        <f t="shared" ca="1" si="889"/>
        <v>14278.004007536927</v>
      </c>
      <c r="AFS6" s="29">
        <f t="shared" ca="1" si="890"/>
        <v>14632.27517297096</v>
      </c>
      <c r="AFT6" s="29">
        <f t="shared" ca="1" si="891"/>
        <v>14836.200243502153</v>
      </c>
      <c r="AFU6" s="29">
        <f t="shared" ca="1" si="892"/>
        <v>14315.229636523387</v>
      </c>
      <c r="AFV6" s="29">
        <f t="shared" ca="1" si="893"/>
        <v>14328.507903064288</v>
      </c>
      <c r="AFW6" s="29">
        <f t="shared" ca="1" si="894"/>
        <v>14318.203167004058</v>
      </c>
      <c r="AFX6" s="29">
        <f t="shared" ca="1" si="895"/>
        <v>14579.273620022621</v>
      </c>
      <c r="AFY6" s="29">
        <f t="shared" ca="1" si="896"/>
        <v>14931.403113671086</v>
      </c>
      <c r="AFZ6" s="29">
        <f t="shared" ca="1" si="897"/>
        <v>14204.402563038446</v>
      </c>
      <c r="AGA6" s="29">
        <f t="shared" ca="1" si="898"/>
        <v>14283.557999309183</v>
      </c>
      <c r="AGB6" s="29">
        <f t="shared" ca="1" si="899"/>
        <v>14371.214367409302</v>
      </c>
      <c r="AGC6" s="29">
        <f t="shared" ca="1" si="900"/>
        <v>14702.668833577414</v>
      </c>
      <c r="AGD6" s="29">
        <f t="shared" ca="1" si="901"/>
        <v>14444.140774105837</v>
      </c>
      <c r="AGE6" s="29">
        <f t="shared" ca="1" si="902"/>
        <v>14254.508490539685</v>
      </c>
      <c r="AGF6" s="29">
        <f t="shared" ca="1" si="903"/>
        <v>14347.695364114443</v>
      </c>
      <c r="AGG6" s="29">
        <f t="shared" ca="1" si="904"/>
        <v>14247.287661613092</v>
      </c>
      <c r="AGH6" s="29">
        <f t="shared" ca="1" si="905"/>
        <v>14590.955601677591</v>
      </c>
      <c r="AGI6" s="29">
        <f t="shared" ca="1" si="906"/>
        <v>14430.527329077106</v>
      </c>
      <c r="AGJ6" s="29">
        <f t="shared" ca="1" si="907"/>
        <v>14788.780173102168</v>
      </c>
      <c r="AGK6" s="29">
        <f t="shared" ca="1" si="908"/>
        <v>14446.723231869595</v>
      </c>
      <c r="AGL6" s="29">
        <f t="shared" ca="1" si="909"/>
        <v>14073.880459718535</v>
      </c>
      <c r="AGM6" s="29">
        <f t="shared" ca="1" si="910"/>
        <v>14772.990094081011</v>
      </c>
      <c r="AGN6" s="29">
        <f t="shared" ca="1" si="911"/>
        <v>14062.959265438731</v>
      </c>
      <c r="AGO6" s="29">
        <f t="shared" ca="1" si="912"/>
        <v>14288.457771345504</v>
      </c>
      <c r="AGP6" s="29">
        <f t="shared" ca="1" si="913"/>
        <v>13901.761492256181</v>
      </c>
      <c r="AGQ6" s="29">
        <f t="shared" ca="1" si="914"/>
        <v>14728.008314003688</v>
      </c>
      <c r="AGR6" s="29">
        <f t="shared" ca="1" si="915"/>
        <v>14159.108156782975</v>
      </c>
      <c r="AGS6" s="29">
        <f t="shared" ca="1" si="916"/>
        <v>14478.665796361018</v>
      </c>
      <c r="AGT6" s="29">
        <f t="shared" ca="1" si="917"/>
        <v>14261.999969541053</v>
      </c>
      <c r="AGU6" s="29">
        <f t="shared" ca="1" si="918"/>
        <v>14448.215073984664</v>
      </c>
      <c r="AGV6" s="29">
        <f t="shared" ca="1" si="919"/>
        <v>14281.492470145035</v>
      </c>
      <c r="AGW6" s="29">
        <f t="shared" ca="1" si="920"/>
        <v>14683.001638705229</v>
      </c>
      <c r="AGX6" s="29">
        <f t="shared" ca="1" si="921"/>
        <v>14090.748841044733</v>
      </c>
      <c r="AGY6" s="29">
        <f t="shared" ca="1" si="922"/>
        <v>14519.023638815663</v>
      </c>
      <c r="AGZ6" s="29">
        <f t="shared" ca="1" si="923"/>
        <v>14568.109465055824</v>
      </c>
      <c r="AHA6" s="29">
        <f t="shared" ca="1" si="924"/>
        <v>13928.22216096115</v>
      </c>
      <c r="AHB6" s="29">
        <f t="shared" ca="1" si="925"/>
        <v>14179.726385563761</v>
      </c>
      <c r="AHC6" s="29">
        <f t="shared" ca="1" si="926"/>
        <v>14535.929756487747</v>
      </c>
      <c r="AHD6" s="29">
        <f t="shared" ca="1" si="927"/>
        <v>14040.887064080875</v>
      </c>
      <c r="AHE6" s="29">
        <f t="shared" ca="1" si="928"/>
        <v>14680.03247878832</v>
      </c>
      <c r="AHF6" s="29">
        <f t="shared" ca="1" si="929"/>
        <v>14247.669353208721</v>
      </c>
      <c r="AHG6" s="29">
        <f t="shared" ca="1" si="930"/>
        <v>14748.803928580744</v>
      </c>
      <c r="AHH6" s="29">
        <f t="shared" ca="1" si="931"/>
        <v>14555.468547724933</v>
      </c>
      <c r="AHI6" s="29">
        <f t="shared" ca="1" si="932"/>
        <v>14415.305717828902</v>
      </c>
      <c r="AHJ6" s="29">
        <f t="shared" ca="1" si="933"/>
        <v>14434.69578947033</v>
      </c>
      <c r="AHK6" s="29">
        <f t="shared" ca="1" si="934"/>
        <v>15031.632851662291</v>
      </c>
      <c r="AHL6" s="29">
        <f t="shared" ca="1" si="935"/>
        <v>14535.250024323723</v>
      </c>
      <c r="AHM6" s="29">
        <f t="shared" ca="1" si="936"/>
        <v>14994.858972933942</v>
      </c>
      <c r="AHN6" s="29">
        <f t="shared" ca="1" si="937"/>
        <v>14371.034158961722</v>
      </c>
      <c r="AHO6" s="29">
        <f t="shared" ca="1" si="938"/>
        <v>14715.302172200791</v>
      </c>
      <c r="AHP6" s="29">
        <f t="shared" ca="1" si="939"/>
        <v>14420.915211660576</v>
      </c>
      <c r="AHQ6" s="29">
        <f t="shared" ca="1" si="940"/>
        <v>14564.420122602767</v>
      </c>
      <c r="AHR6" s="29">
        <f t="shared" ca="1" si="941"/>
        <v>14640.702677683841</v>
      </c>
      <c r="AHS6" s="29">
        <f t="shared" ca="1" si="942"/>
        <v>13953.442453239541</v>
      </c>
      <c r="AHT6" s="29">
        <f t="shared" ca="1" si="943"/>
        <v>14291.781526970064</v>
      </c>
      <c r="AHU6" s="29">
        <f t="shared" ca="1" si="944"/>
        <v>14309.662223429752</v>
      </c>
      <c r="AHV6" s="29">
        <f t="shared" ca="1" si="945"/>
        <v>14046.578248843713</v>
      </c>
      <c r="AHW6" s="29">
        <f t="shared" ca="1" si="946"/>
        <v>14283.109548073511</v>
      </c>
      <c r="AHX6" s="29">
        <f t="shared" ca="1" si="947"/>
        <v>14488.723094247947</v>
      </c>
      <c r="AHY6" s="29">
        <f t="shared" ca="1" si="948"/>
        <v>14319.60301397152</v>
      </c>
      <c r="AHZ6" s="29">
        <f t="shared" ca="1" si="949"/>
        <v>13774.124330327255</v>
      </c>
      <c r="AIA6" s="29">
        <f t="shared" ca="1" si="950"/>
        <v>14542.138108350542</v>
      </c>
      <c r="AIB6" s="29">
        <f t="shared" ca="1" si="951"/>
        <v>14276.149650159299</v>
      </c>
      <c r="AIC6" s="29">
        <f t="shared" ca="1" si="952"/>
        <v>14513.246660781066</v>
      </c>
      <c r="AID6" s="29">
        <f t="shared" ca="1" si="953"/>
        <v>14499.269550650231</v>
      </c>
      <c r="AIE6" s="29">
        <f t="shared" ca="1" si="954"/>
        <v>14167.073669220696</v>
      </c>
      <c r="AIF6" s="29">
        <f t="shared" ca="1" si="955"/>
        <v>14108.207416821546</v>
      </c>
      <c r="AIG6" s="29">
        <f t="shared" ca="1" si="956"/>
        <v>14513.495140946601</v>
      </c>
      <c r="AIH6" s="29">
        <f t="shared" ca="1" si="957"/>
        <v>14348.853960019936</v>
      </c>
      <c r="AII6" s="29">
        <f t="shared" ca="1" si="958"/>
        <v>14009.359678407058</v>
      </c>
      <c r="AIJ6" s="29">
        <f t="shared" ca="1" si="959"/>
        <v>14069.893202644695</v>
      </c>
      <c r="AIK6" s="29">
        <f t="shared" ca="1" si="960"/>
        <v>14549.55235712833</v>
      </c>
      <c r="AIL6" s="29">
        <f t="shared" ca="1" si="961"/>
        <v>14526.115632120674</v>
      </c>
      <c r="AIM6" s="29">
        <f t="shared" ca="1" si="962"/>
        <v>14380.66256454806</v>
      </c>
      <c r="AIN6" s="29">
        <f t="shared" ca="1" si="963"/>
        <v>14911.51127092256</v>
      </c>
      <c r="AIO6" s="29">
        <f t="shared" ca="1" si="964"/>
        <v>14158.760990601979</v>
      </c>
      <c r="AIP6" s="29">
        <f t="shared" ca="1" si="965"/>
        <v>14210.659991687979</v>
      </c>
      <c r="AIQ6" s="29">
        <f t="shared" ca="1" si="966"/>
        <v>13977.753816236256</v>
      </c>
      <c r="AIR6" s="29">
        <f t="shared" ca="1" si="967"/>
        <v>13956.345877545446</v>
      </c>
      <c r="AIS6" s="29">
        <f t="shared" ca="1" si="968"/>
        <v>14612.158197041723</v>
      </c>
      <c r="AIT6" s="29">
        <f t="shared" ca="1" si="969"/>
        <v>14243.39339392534</v>
      </c>
      <c r="AIU6" s="29">
        <f t="shared" ca="1" si="970"/>
        <v>13939.806238141065</v>
      </c>
      <c r="AIV6" s="29">
        <f t="shared" ca="1" si="971"/>
        <v>14404.927906540774</v>
      </c>
      <c r="AIW6" s="29">
        <f t="shared" ca="1" si="972"/>
        <v>13670.529405012499</v>
      </c>
      <c r="AIX6" s="29">
        <f t="shared" ca="1" si="973"/>
        <v>14375.748897405992</v>
      </c>
      <c r="AIY6" s="29">
        <f t="shared" ca="1" si="974"/>
        <v>14426.692777859762</v>
      </c>
      <c r="AIZ6" s="29">
        <f t="shared" ca="1" si="975"/>
        <v>14735.825747112458</v>
      </c>
      <c r="AJA6" s="29">
        <f t="shared" ca="1" si="976"/>
        <v>14392.240012934779</v>
      </c>
      <c r="AJB6" s="29">
        <f t="shared" ca="1" si="977"/>
        <v>14668.1436378208</v>
      </c>
      <c r="AJC6" s="29">
        <f t="shared" ca="1" si="978"/>
        <v>14658.882853719328</v>
      </c>
      <c r="AJD6" s="29">
        <f t="shared" ca="1" si="979"/>
        <v>13859.283451786261</v>
      </c>
      <c r="AJE6" s="29">
        <f t="shared" ca="1" si="980"/>
        <v>14535.710525784731</v>
      </c>
      <c r="AJF6" s="29">
        <f t="shared" ca="1" si="981"/>
        <v>14566.774334089503</v>
      </c>
      <c r="AJG6" s="29">
        <f t="shared" ca="1" si="982"/>
        <v>14392.204652477101</v>
      </c>
      <c r="AJH6" s="29">
        <f t="shared" ca="1" si="983"/>
        <v>13978.820676363741</v>
      </c>
      <c r="AJI6" s="29">
        <f t="shared" ca="1" si="984"/>
        <v>14636.840625581846</v>
      </c>
      <c r="AJJ6" s="29">
        <f t="shared" ca="1" si="985"/>
        <v>14602.435315928729</v>
      </c>
      <c r="AJK6" s="29">
        <f t="shared" ca="1" si="986"/>
        <v>13978.208224443952</v>
      </c>
      <c r="AJL6" s="29">
        <f t="shared" ca="1" si="987"/>
        <v>14823.862124318661</v>
      </c>
      <c r="AJM6" s="29">
        <f t="shared" ca="1" si="988"/>
        <v>14110.011453269959</v>
      </c>
      <c r="AJN6" s="29">
        <f t="shared" ca="1" si="989"/>
        <v>14361.353164693144</v>
      </c>
      <c r="AJO6" s="29">
        <f t="shared" ca="1" si="990"/>
        <v>14111.083122614298</v>
      </c>
      <c r="AJP6" s="29">
        <f t="shared" ca="1" si="991"/>
        <v>14569.47369687424</v>
      </c>
      <c r="AJQ6" s="29">
        <f t="shared" ca="1" si="992"/>
        <v>14253.597691012494</v>
      </c>
      <c r="AJR6" s="29">
        <f t="shared" ca="1" si="993"/>
        <v>14643.483726591456</v>
      </c>
      <c r="AJS6" s="29">
        <f t="shared" ca="1" si="994"/>
        <v>14963.886210289516</v>
      </c>
      <c r="AJT6" s="29">
        <f t="shared" ca="1" si="995"/>
        <v>14285.878136916837</v>
      </c>
      <c r="AJU6" s="29">
        <f t="shared" ca="1" si="996"/>
        <v>14316.546049104874</v>
      </c>
      <c r="AJV6" s="29">
        <f t="shared" ca="1" si="997"/>
        <v>14230.807422607912</v>
      </c>
      <c r="AJW6" s="29">
        <f t="shared" ca="1" si="998"/>
        <v>14352.050438430842</v>
      </c>
      <c r="AJX6" s="29">
        <f t="shared" ca="1" si="999"/>
        <v>14436.282334315949</v>
      </c>
      <c r="AJY6" s="29">
        <f t="shared" ca="1" si="1000"/>
        <v>14709.966288604537</v>
      </c>
      <c r="AJZ6" s="29">
        <f t="shared" ca="1" si="1001"/>
        <v>14298.867220093325</v>
      </c>
      <c r="AKA6" s="29">
        <f t="shared" ca="1" si="1002"/>
        <v>14640.289032894572</v>
      </c>
      <c r="AKB6" s="29">
        <f t="shared" ca="1" si="1003"/>
        <v>14469.582457340803</v>
      </c>
      <c r="AKC6" s="29">
        <f t="shared" ca="1" si="1004"/>
        <v>14844.593353135448</v>
      </c>
      <c r="AKD6" s="29">
        <f t="shared" ca="1" si="1005"/>
        <v>14408.140789032926</v>
      </c>
      <c r="AKE6" s="29">
        <f t="shared" ca="1" si="1006"/>
        <v>13976.959375400311</v>
      </c>
      <c r="AKF6" s="29">
        <f t="shared" ca="1" si="1007"/>
        <v>14543.601337881344</v>
      </c>
      <c r="AKG6" s="29">
        <f t="shared" ca="1" si="1008"/>
        <v>14407.086143566556</v>
      </c>
      <c r="AKH6" s="29">
        <f t="shared" ca="1" si="1009"/>
        <v>14621.772020795403</v>
      </c>
      <c r="AKI6" s="29">
        <f t="shared" ca="1" si="1010"/>
        <v>14379.581350158076</v>
      </c>
      <c r="AKJ6" s="29">
        <f t="shared" ca="1" si="1011"/>
        <v>13897.469929264271</v>
      </c>
      <c r="AKK6" s="29">
        <f t="shared" ca="1" si="1012"/>
        <v>14707.743402123866</v>
      </c>
      <c r="AKL6" s="29">
        <f t="shared" ca="1" si="1013"/>
        <v>14232.174100028427</v>
      </c>
      <c r="AKM6" s="29">
        <f t="shared" ca="1" si="1014"/>
        <v>14126.732530349385</v>
      </c>
      <c r="AKN6" s="29">
        <f t="shared" ca="1" si="1015"/>
        <v>14080.404925439962</v>
      </c>
      <c r="AKO6" s="29">
        <f t="shared" ca="1" si="1016"/>
        <v>14348.539204503351</v>
      </c>
      <c r="AKP6" s="29">
        <f t="shared" ca="1" si="1017"/>
        <v>14753.177761479028</v>
      </c>
      <c r="AKQ6" s="29">
        <f t="shared" ca="1" si="1018"/>
        <v>13835.950701653761</v>
      </c>
      <c r="AKR6" s="29">
        <f t="shared" ca="1" si="1019"/>
        <v>14417.658432441258</v>
      </c>
      <c r="AKS6" s="29">
        <f t="shared" ca="1" si="1020"/>
        <v>14264.824658870679</v>
      </c>
      <c r="AKT6" s="29">
        <f t="shared" ca="1" si="1021"/>
        <v>14114.24470401508</v>
      </c>
      <c r="AKU6" s="29">
        <f t="shared" ca="1" si="1022"/>
        <v>14595.64736976608</v>
      </c>
      <c r="AKV6" s="29">
        <f t="shared" ca="1" si="1023"/>
        <v>13620.249326863872</v>
      </c>
      <c r="AKW6" s="29">
        <f t="shared" ca="1" si="1024"/>
        <v>14607.031009384185</v>
      </c>
      <c r="AKX6" s="29">
        <f t="shared" ca="1" si="1025"/>
        <v>14223.424457517389</v>
      </c>
      <c r="AKY6" s="29">
        <f t="shared" ca="1" si="1026"/>
        <v>14541.459036116135</v>
      </c>
      <c r="AKZ6" s="29">
        <f t="shared" ca="1" si="1027"/>
        <v>14302.744006127321</v>
      </c>
      <c r="ALA6" s="29">
        <f t="shared" ca="1" si="1028"/>
        <v>14612.475858912301</v>
      </c>
      <c r="ALB6" s="29">
        <f t="shared" ca="1" si="1029"/>
        <v>14334.056873304551</v>
      </c>
      <c r="ALC6" s="29">
        <f t="shared" ca="1" si="1030"/>
        <v>15126.029874336338</v>
      </c>
      <c r="ALD6" s="29">
        <f t="shared" ca="1" si="1031"/>
        <v>14579.982089082578</v>
      </c>
      <c r="ALE6" s="29">
        <f t="shared" ca="1" si="1032"/>
        <v>14289.813239693054</v>
      </c>
      <c r="ALF6" s="29">
        <f t="shared" ca="1" si="1033"/>
        <v>14325.342961165314</v>
      </c>
      <c r="ALG6" s="29">
        <f t="shared" ca="1" si="1034"/>
        <v>14481.561240743238</v>
      </c>
      <c r="ALH6" s="29">
        <f t="shared" ca="1" si="1035"/>
        <v>14451.03607972496</v>
      </c>
      <c r="ALI6" s="29">
        <f t="shared" ca="1" si="1036"/>
        <v>14569.076951978168</v>
      </c>
      <c r="ALJ6" s="29">
        <f t="shared" ca="1" si="1037"/>
        <v>14858.769326077674</v>
      </c>
      <c r="ALK6" s="29">
        <f t="shared" ca="1" si="1038"/>
        <v>14679.984152135328</v>
      </c>
      <c r="ALL6" s="29">
        <f t="shared" ca="1" si="1039"/>
        <v>14080.469243868894</v>
      </c>
      <c r="ALM6" s="29">
        <f t="shared" ca="1" si="1040"/>
        <v>14202.764797654947</v>
      </c>
      <c r="ALN6" s="29">
        <f t="shared" ca="1" si="1041"/>
        <v>14455.718230834487</v>
      </c>
      <c r="ALO6" s="29">
        <f t="shared" ca="1" si="1042"/>
        <v>14315.72334459042</v>
      </c>
      <c r="ALP6" s="29">
        <f t="shared" ca="1" si="1043"/>
        <v>14225.48125427483</v>
      </c>
      <c r="ALQ6" s="29">
        <f t="shared" ca="1" si="1044"/>
        <v>14719.674238907142</v>
      </c>
      <c r="ALR6" s="29">
        <f t="shared" ca="1" si="1045"/>
        <v>13987.232143606287</v>
      </c>
      <c r="ALS6" s="29">
        <f t="shared" ca="1" si="1046"/>
        <v>14473.698727664445</v>
      </c>
      <c r="ALT6" s="29">
        <f t="shared" ca="1" si="1047"/>
        <v>14213.644214649623</v>
      </c>
      <c r="ALU6" s="29">
        <f t="shared" ca="1" si="1048"/>
        <v>14526.876927737443</v>
      </c>
      <c r="ALV6" s="29">
        <f t="shared" ca="1" si="1049"/>
        <v>14033.999279366995</v>
      </c>
    </row>
    <row r="7" spans="1:1258" x14ac:dyDescent="0.25">
      <c r="A7" s="1">
        <v>40483</v>
      </c>
      <c r="B7" s="2">
        <v>6117.5498049999997</v>
      </c>
      <c r="C7" s="16">
        <f t="shared" si="32"/>
        <v>1.6456498778147276E-2</v>
      </c>
      <c r="E7" s="15">
        <f>(E2-(H2/2))*20</f>
        <v>5.58489114676761E-3</v>
      </c>
      <c r="F7" s="15">
        <f>H2*20</f>
        <v>2.4939979345132328E-3</v>
      </c>
      <c r="G7" s="15">
        <f>SQRT(F7)</f>
        <v>4.9939943277032592E-2</v>
      </c>
      <c r="J7" s="29">
        <f t="shared" si="49"/>
        <v>4</v>
      </c>
      <c r="K7" s="29">
        <f t="shared" ca="1" si="50"/>
        <v>13943.294890848003</v>
      </c>
      <c r="L7" s="29">
        <f t="shared" ca="1" si="51"/>
        <v>14140.384823667539</v>
      </c>
      <c r="M7" s="29">
        <f t="shared" ca="1" si="52"/>
        <v>15337.569187307601</v>
      </c>
      <c r="N7" s="29">
        <f t="shared" ca="1" si="53"/>
        <v>13653.889024852358</v>
      </c>
      <c r="O7" s="29">
        <f t="shared" ca="1" si="54"/>
        <v>14348.654304591395</v>
      </c>
      <c r="P7" s="29">
        <f t="shared" ca="1" si="55"/>
        <v>14800.88794812643</v>
      </c>
      <c r="Q7" s="29">
        <f t="shared" ca="1" si="56"/>
        <v>13722.413876061311</v>
      </c>
      <c r="R7" s="29">
        <f t="shared" ca="1" si="57"/>
        <v>14196.902062289022</v>
      </c>
      <c r="S7" s="29">
        <f t="shared" ca="1" si="58"/>
        <v>14899.797515708602</v>
      </c>
      <c r="T7" s="29">
        <f t="shared" ca="1" si="59"/>
        <v>15171.483510087288</v>
      </c>
      <c r="U7" s="29">
        <f t="shared" ca="1" si="60"/>
        <v>15075.639363460843</v>
      </c>
      <c r="V7" s="29">
        <f t="shared" ca="1" si="61"/>
        <v>14831.833358154248</v>
      </c>
      <c r="W7" s="29">
        <f t="shared" ca="1" si="62"/>
        <v>14396.357769839637</v>
      </c>
      <c r="X7" s="29">
        <f t="shared" ca="1" si="63"/>
        <v>14167.773382605794</v>
      </c>
      <c r="Y7" s="29">
        <f t="shared" ca="1" si="64"/>
        <v>14147.126086830856</v>
      </c>
      <c r="Z7" s="29">
        <f t="shared" ca="1" si="65"/>
        <v>13796.865330438797</v>
      </c>
      <c r="AA7" s="29">
        <f t="shared" ca="1" si="66"/>
        <v>14641.204025579371</v>
      </c>
      <c r="AB7" s="29">
        <f t="shared" ca="1" si="67"/>
        <v>14651.768177290023</v>
      </c>
      <c r="AC7" s="29">
        <f t="shared" ca="1" si="68"/>
        <v>14521.083251728294</v>
      </c>
      <c r="AD7" s="29">
        <f t="shared" ca="1" si="69"/>
        <v>14766.877479827812</v>
      </c>
      <c r="AE7" s="29">
        <f t="shared" ca="1" si="70"/>
        <v>15257.302938664174</v>
      </c>
      <c r="AF7" s="29">
        <f t="shared" ca="1" si="71"/>
        <v>14029.882902813379</v>
      </c>
      <c r="AG7" s="29">
        <f t="shared" ca="1" si="72"/>
        <v>13883.843996168514</v>
      </c>
      <c r="AH7" s="29">
        <f t="shared" ca="1" si="73"/>
        <v>14426.753223080002</v>
      </c>
      <c r="AI7" s="29">
        <f t="shared" ca="1" si="74"/>
        <v>14216.922498219426</v>
      </c>
      <c r="AJ7" s="29">
        <f t="shared" ca="1" si="75"/>
        <v>14300.274396274905</v>
      </c>
      <c r="AK7" s="29">
        <f t="shared" ca="1" si="76"/>
        <v>14035.866619957795</v>
      </c>
      <c r="AL7" s="29">
        <f t="shared" ca="1" si="77"/>
        <v>14233.113896033445</v>
      </c>
      <c r="AM7" s="29">
        <f t="shared" ca="1" si="78"/>
        <v>14593.273770958289</v>
      </c>
      <c r="AN7" s="29">
        <f t="shared" ca="1" si="79"/>
        <v>14639.257369709989</v>
      </c>
      <c r="AO7" s="29">
        <f t="shared" ca="1" si="80"/>
        <v>14293.761839769799</v>
      </c>
      <c r="AP7" s="29">
        <f t="shared" ca="1" si="81"/>
        <v>13975.454953056726</v>
      </c>
      <c r="AQ7" s="29">
        <f t="shared" ca="1" si="82"/>
        <v>14508.227379959784</v>
      </c>
      <c r="AR7" s="29">
        <f t="shared" ca="1" si="83"/>
        <v>14765.807008928017</v>
      </c>
      <c r="AS7" s="29">
        <f t="shared" ca="1" si="84"/>
        <v>14337.094671644392</v>
      </c>
      <c r="AT7" s="29">
        <f t="shared" ca="1" si="85"/>
        <v>14092.441638871545</v>
      </c>
      <c r="AU7" s="29">
        <f t="shared" ca="1" si="86"/>
        <v>14124.606786866514</v>
      </c>
      <c r="AV7" s="29">
        <f t="shared" ca="1" si="87"/>
        <v>14388.830458391392</v>
      </c>
      <c r="AW7" s="29">
        <f t="shared" ca="1" si="88"/>
        <v>14910.481733867853</v>
      </c>
      <c r="AX7" s="29">
        <f t="shared" ca="1" si="89"/>
        <v>14591.388190124988</v>
      </c>
      <c r="AY7" s="29">
        <f t="shared" ca="1" si="90"/>
        <v>14536.807353982911</v>
      </c>
      <c r="AZ7" s="29">
        <f t="shared" ca="1" si="91"/>
        <v>14250.523845639653</v>
      </c>
      <c r="BA7" s="29">
        <f t="shared" ca="1" si="92"/>
        <v>14326.314999695343</v>
      </c>
      <c r="BB7" s="29">
        <f t="shared" ca="1" si="93"/>
        <v>14076.471711116958</v>
      </c>
      <c r="BC7" s="29">
        <f t="shared" ca="1" si="94"/>
        <v>13966.622114471569</v>
      </c>
      <c r="BD7" s="29">
        <f t="shared" ca="1" si="95"/>
        <v>13982.811494859159</v>
      </c>
      <c r="BE7" s="29">
        <f t="shared" ca="1" si="96"/>
        <v>14293.529865159953</v>
      </c>
      <c r="BF7" s="29">
        <f t="shared" ca="1" si="97"/>
        <v>14418.847045071907</v>
      </c>
      <c r="BG7" s="29">
        <f t="shared" ca="1" si="98"/>
        <v>14525.62688152965</v>
      </c>
      <c r="BH7" s="29">
        <f t="shared" ca="1" si="99"/>
        <v>14954.46554520692</v>
      </c>
      <c r="BI7" s="29">
        <f t="shared" ca="1" si="100"/>
        <v>14471.471021087387</v>
      </c>
      <c r="BJ7" s="29">
        <f t="shared" ca="1" si="101"/>
        <v>14285.452709932773</v>
      </c>
      <c r="BK7" s="29">
        <f t="shared" ca="1" si="102"/>
        <v>14055.665936283982</v>
      </c>
      <c r="BL7" s="29">
        <f t="shared" ca="1" si="103"/>
        <v>14580.043720160513</v>
      </c>
      <c r="BM7" s="29">
        <f t="shared" ca="1" si="104"/>
        <v>14422.447342624344</v>
      </c>
      <c r="BN7" s="29">
        <f t="shared" ca="1" si="105"/>
        <v>14576.904423444652</v>
      </c>
      <c r="BO7" s="29">
        <f t="shared" ca="1" si="106"/>
        <v>14570.908679105067</v>
      </c>
      <c r="BP7" s="29">
        <f t="shared" ca="1" si="107"/>
        <v>14420.632324558819</v>
      </c>
      <c r="BQ7" s="29">
        <f t="shared" ca="1" si="108"/>
        <v>14560.389024909882</v>
      </c>
      <c r="BR7" s="29">
        <f t="shared" ca="1" si="109"/>
        <v>14292.449014430398</v>
      </c>
      <c r="BS7" s="29">
        <f t="shared" ca="1" si="110"/>
        <v>14575.615709572214</v>
      </c>
      <c r="BT7" s="29">
        <f t="shared" ca="1" si="111"/>
        <v>14300.050438768751</v>
      </c>
      <c r="BU7" s="29">
        <f t="shared" ca="1" si="112"/>
        <v>14358.217171598522</v>
      </c>
      <c r="BV7" s="29">
        <f t="shared" ca="1" si="113"/>
        <v>14937.140404160982</v>
      </c>
      <c r="BW7" s="29">
        <f t="shared" ca="1" si="114"/>
        <v>14646.836284100516</v>
      </c>
      <c r="BX7" s="29">
        <f t="shared" ca="1" si="115"/>
        <v>14359.995772070879</v>
      </c>
      <c r="BY7" s="29">
        <f t="shared" ca="1" si="116"/>
        <v>14215.580381434713</v>
      </c>
      <c r="BZ7" s="29">
        <f t="shared" ca="1" si="117"/>
        <v>14386.392696408764</v>
      </c>
      <c r="CA7" s="29">
        <f t="shared" ca="1" si="118"/>
        <v>14607.237603484728</v>
      </c>
      <c r="CB7" s="29">
        <f t="shared" ca="1" si="119"/>
        <v>14910.143084804291</v>
      </c>
      <c r="CC7" s="29">
        <f t="shared" ca="1" si="120"/>
        <v>13706.780982080789</v>
      </c>
      <c r="CD7" s="29">
        <f t="shared" ca="1" si="121"/>
        <v>14794.098096939402</v>
      </c>
      <c r="CE7" s="29">
        <f t="shared" ca="1" si="122"/>
        <v>14668.613740831508</v>
      </c>
      <c r="CF7" s="29">
        <f t="shared" ca="1" si="123"/>
        <v>14672.041968410585</v>
      </c>
      <c r="CG7" s="29">
        <f t="shared" ca="1" si="124"/>
        <v>14202.206626906116</v>
      </c>
      <c r="CH7" s="29">
        <f t="shared" ca="1" si="125"/>
        <v>14764.515606913837</v>
      </c>
      <c r="CI7" s="29">
        <f t="shared" ca="1" si="126"/>
        <v>14179.205131407783</v>
      </c>
      <c r="CJ7" s="29">
        <f t="shared" ca="1" si="127"/>
        <v>14123.051749812459</v>
      </c>
      <c r="CK7" s="29">
        <f t="shared" ca="1" si="128"/>
        <v>13993.131567083539</v>
      </c>
      <c r="CL7" s="29">
        <f t="shared" ca="1" si="129"/>
        <v>14630.37412075447</v>
      </c>
      <c r="CM7" s="29">
        <f t="shared" ca="1" si="130"/>
        <v>14273.757028286875</v>
      </c>
      <c r="CN7" s="29">
        <f t="shared" ca="1" si="131"/>
        <v>14543.881827300112</v>
      </c>
      <c r="CO7" s="29">
        <f t="shared" ca="1" si="132"/>
        <v>14856.122573440745</v>
      </c>
      <c r="CP7" s="29">
        <f t="shared" ca="1" si="133"/>
        <v>14469.676059657544</v>
      </c>
      <c r="CQ7" s="29">
        <f t="shared" ca="1" si="134"/>
        <v>14174.985796028332</v>
      </c>
      <c r="CR7" s="29">
        <f t="shared" ca="1" si="135"/>
        <v>14358.07448545296</v>
      </c>
      <c r="CS7" s="29">
        <f t="shared" ca="1" si="136"/>
        <v>14055.266380345411</v>
      </c>
      <c r="CT7" s="29">
        <f t="shared" ca="1" si="137"/>
        <v>14619.68736849979</v>
      </c>
      <c r="CU7" s="29">
        <f t="shared" ca="1" si="138"/>
        <v>13960.24574045247</v>
      </c>
      <c r="CV7" s="29">
        <f t="shared" ca="1" si="139"/>
        <v>14572.571182601854</v>
      </c>
      <c r="CW7" s="29">
        <f t="shared" ca="1" si="140"/>
        <v>14280.75385450174</v>
      </c>
      <c r="CX7" s="29">
        <f t="shared" ca="1" si="141"/>
        <v>14524.391911281195</v>
      </c>
      <c r="CY7" s="29">
        <f t="shared" ca="1" si="142"/>
        <v>14566.89106751701</v>
      </c>
      <c r="CZ7" s="29">
        <f t="shared" ca="1" si="143"/>
        <v>14197.745394228641</v>
      </c>
      <c r="DA7" s="29">
        <f t="shared" ca="1" si="144"/>
        <v>14466.619496447738</v>
      </c>
      <c r="DB7" s="29">
        <f t="shared" ca="1" si="145"/>
        <v>15067.178418138144</v>
      </c>
      <c r="DC7" s="29">
        <f t="shared" ca="1" si="146"/>
        <v>14478.801229500659</v>
      </c>
      <c r="DD7" s="29">
        <f t="shared" ca="1" si="147"/>
        <v>14395.167489482097</v>
      </c>
      <c r="DE7" s="29">
        <f t="shared" ca="1" si="148"/>
        <v>14701.683594807839</v>
      </c>
      <c r="DF7" s="29">
        <f t="shared" ca="1" si="149"/>
        <v>14159.31812379143</v>
      </c>
      <c r="DG7" s="29">
        <f t="shared" ca="1" si="150"/>
        <v>14037.396291092527</v>
      </c>
      <c r="DH7" s="29">
        <f t="shared" ca="1" si="151"/>
        <v>13987.447734804737</v>
      </c>
      <c r="DI7" s="29">
        <f t="shared" ca="1" si="152"/>
        <v>14333.171765025758</v>
      </c>
      <c r="DJ7" s="29">
        <f t="shared" ca="1" si="153"/>
        <v>14621.995388650686</v>
      </c>
      <c r="DK7" s="29">
        <f t="shared" ca="1" si="154"/>
        <v>14144.841954321782</v>
      </c>
      <c r="DL7" s="29">
        <f t="shared" ca="1" si="155"/>
        <v>14637.053846810946</v>
      </c>
      <c r="DM7" s="29">
        <f t="shared" ca="1" si="156"/>
        <v>14067.716762604106</v>
      </c>
      <c r="DN7" s="29">
        <f t="shared" ca="1" si="157"/>
        <v>14819.483732457267</v>
      </c>
      <c r="DO7" s="29">
        <f t="shared" ca="1" si="158"/>
        <v>13971.882829338594</v>
      </c>
      <c r="DP7" s="29">
        <f t="shared" ca="1" si="159"/>
        <v>14490.659740698075</v>
      </c>
      <c r="DQ7" s="29">
        <f t="shared" ca="1" si="160"/>
        <v>14334.04732742711</v>
      </c>
      <c r="DR7" s="29">
        <f t="shared" ca="1" si="161"/>
        <v>14028.756045418961</v>
      </c>
      <c r="DS7" s="29">
        <f t="shared" ca="1" si="162"/>
        <v>14323.537820430027</v>
      </c>
      <c r="DT7" s="29">
        <f t="shared" ca="1" si="163"/>
        <v>14445.082960091697</v>
      </c>
      <c r="DU7" s="29">
        <f t="shared" ca="1" si="164"/>
        <v>14582.936117982892</v>
      </c>
      <c r="DV7" s="29">
        <f t="shared" ca="1" si="165"/>
        <v>14086.648110228856</v>
      </c>
      <c r="DW7" s="29">
        <f t="shared" ca="1" si="166"/>
        <v>14132.891177625337</v>
      </c>
      <c r="DX7" s="29">
        <f t="shared" ca="1" si="167"/>
        <v>13974.753284329056</v>
      </c>
      <c r="DY7" s="29">
        <f t="shared" ca="1" si="168"/>
        <v>14057.398921289967</v>
      </c>
      <c r="DZ7" s="29">
        <f t="shared" ca="1" si="169"/>
        <v>14607.673172483539</v>
      </c>
      <c r="EA7" s="29">
        <f t="shared" ca="1" si="170"/>
        <v>14048.687990478873</v>
      </c>
      <c r="EB7" s="29">
        <f t="shared" ca="1" si="171"/>
        <v>14146.134772588928</v>
      </c>
      <c r="EC7" s="29">
        <f t="shared" ca="1" si="172"/>
        <v>14561.058956661122</v>
      </c>
      <c r="ED7" s="29">
        <f t="shared" ca="1" si="173"/>
        <v>15003.224013555217</v>
      </c>
      <c r="EE7" s="29">
        <f t="shared" ca="1" si="174"/>
        <v>14667.795854378783</v>
      </c>
      <c r="EF7" s="29">
        <f t="shared" ca="1" si="175"/>
        <v>14495.432660965165</v>
      </c>
      <c r="EG7" s="29">
        <f t="shared" ca="1" si="176"/>
        <v>14914.668727269325</v>
      </c>
      <c r="EH7" s="29">
        <f t="shared" ca="1" si="177"/>
        <v>13618.866261940342</v>
      </c>
      <c r="EI7" s="29">
        <f t="shared" ca="1" si="178"/>
        <v>14667.863959301832</v>
      </c>
      <c r="EJ7" s="29">
        <f t="shared" ca="1" si="179"/>
        <v>14148.909004378806</v>
      </c>
      <c r="EK7" s="29">
        <f t="shared" ca="1" si="180"/>
        <v>14112.629304550959</v>
      </c>
      <c r="EL7" s="29">
        <f t="shared" ca="1" si="181"/>
        <v>14486.01516383831</v>
      </c>
      <c r="EM7" s="29">
        <f t="shared" ca="1" si="182"/>
        <v>13430.662753696181</v>
      </c>
      <c r="EN7" s="29">
        <f t="shared" ca="1" si="183"/>
        <v>14700.81178928619</v>
      </c>
      <c r="EO7" s="29">
        <f t="shared" ca="1" si="184"/>
        <v>13773.879381819239</v>
      </c>
      <c r="EP7" s="29">
        <f t="shared" ca="1" si="185"/>
        <v>14641.223798494198</v>
      </c>
      <c r="EQ7" s="29">
        <f t="shared" ca="1" si="186"/>
        <v>14303.063959684194</v>
      </c>
      <c r="ER7" s="29">
        <f t="shared" ca="1" si="187"/>
        <v>13945.762546707751</v>
      </c>
      <c r="ES7" s="29">
        <f t="shared" ca="1" si="188"/>
        <v>14372.143034186609</v>
      </c>
      <c r="ET7" s="29">
        <f t="shared" ca="1" si="189"/>
        <v>14382.433127946719</v>
      </c>
      <c r="EU7" s="29">
        <f t="shared" ca="1" si="190"/>
        <v>14418.553149351706</v>
      </c>
      <c r="EV7" s="29">
        <f t="shared" ca="1" si="191"/>
        <v>14621.015158592852</v>
      </c>
      <c r="EW7" s="29">
        <f t="shared" ca="1" si="192"/>
        <v>14436.259349471246</v>
      </c>
      <c r="EX7" s="29">
        <f t="shared" ca="1" si="193"/>
        <v>15052.869519947071</v>
      </c>
      <c r="EY7" s="29">
        <f t="shared" ca="1" si="194"/>
        <v>14042.975033309627</v>
      </c>
      <c r="EZ7" s="29">
        <f t="shared" ca="1" si="195"/>
        <v>14248.211656665373</v>
      </c>
      <c r="FA7" s="29">
        <f t="shared" ca="1" si="196"/>
        <v>14437.806094377691</v>
      </c>
      <c r="FB7" s="29">
        <f t="shared" ca="1" si="197"/>
        <v>14605.355014885459</v>
      </c>
      <c r="FC7" s="29">
        <f t="shared" ca="1" si="198"/>
        <v>14914.444962161218</v>
      </c>
      <c r="FD7" s="29">
        <f t="shared" ca="1" si="199"/>
        <v>14342.219690130789</v>
      </c>
      <c r="FE7" s="29">
        <f t="shared" ca="1" si="200"/>
        <v>14349.695296612223</v>
      </c>
      <c r="FF7" s="29">
        <f t="shared" ca="1" si="201"/>
        <v>14301.749025811776</v>
      </c>
      <c r="FG7" s="29">
        <f t="shared" ca="1" si="202"/>
        <v>14072.070020966936</v>
      </c>
      <c r="FH7" s="29">
        <f t="shared" ca="1" si="203"/>
        <v>14127.192874017534</v>
      </c>
      <c r="FI7" s="29">
        <f t="shared" ca="1" si="204"/>
        <v>14240.862254000198</v>
      </c>
      <c r="FJ7" s="29">
        <f t="shared" ca="1" si="205"/>
        <v>14377.928775400283</v>
      </c>
      <c r="FK7" s="29">
        <f t="shared" ca="1" si="206"/>
        <v>14583.905676054137</v>
      </c>
      <c r="FL7" s="29">
        <f t="shared" ca="1" si="207"/>
        <v>13723.893654074984</v>
      </c>
      <c r="FM7" s="29">
        <f t="shared" ca="1" si="208"/>
        <v>14883.746125394566</v>
      </c>
      <c r="FN7" s="29">
        <f t="shared" ca="1" si="209"/>
        <v>13931.707713699314</v>
      </c>
      <c r="FO7" s="29">
        <f t="shared" ca="1" si="210"/>
        <v>14317.953403208521</v>
      </c>
      <c r="FP7" s="29">
        <f t="shared" ca="1" si="211"/>
        <v>14140.249368276322</v>
      </c>
      <c r="FQ7" s="29">
        <f t="shared" ca="1" si="212"/>
        <v>14434.068950806801</v>
      </c>
      <c r="FR7" s="29">
        <f t="shared" ca="1" si="213"/>
        <v>14031.647426876689</v>
      </c>
      <c r="FS7" s="29">
        <f t="shared" ca="1" si="214"/>
        <v>14672.583521727987</v>
      </c>
      <c r="FT7" s="29">
        <f t="shared" ca="1" si="215"/>
        <v>14327.789443275078</v>
      </c>
      <c r="FU7" s="29">
        <f t="shared" ca="1" si="216"/>
        <v>14637.710536421237</v>
      </c>
      <c r="FV7" s="29">
        <f t="shared" ca="1" si="217"/>
        <v>14449.969550253556</v>
      </c>
      <c r="FW7" s="29">
        <f t="shared" ca="1" si="218"/>
        <v>14019.616574626629</v>
      </c>
      <c r="FX7" s="29">
        <f t="shared" ca="1" si="219"/>
        <v>14566.814817151404</v>
      </c>
      <c r="FY7" s="29">
        <f t="shared" ca="1" si="220"/>
        <v>14457.392146292688</v>
      </c>
      <c r="FZ7" s="29">
        <f t="shared" ca="1" si="221"/>
        <v>14053.674430211182</v>
      </c>
      <c r="GA7" s="29">
        <f t="shared" ca="1" si="222"/>
        <v>14102.700482923468</v>
      </c>
      <c r="GB7" s="29">
        <f t="shared" ca="1" si="223"/>
        <v>14830.044656068028</v>
      </c>
      <c r="GC7" s="29">
        <f t="shared" ca="1" si="224"/>
        <v>14791.346471179786</v>
      </c>
      <c r="GD7" s="29">
        <f t="shared" ca="1" si="225"/>
        <v>14245.446804097997</v>
      </c>
      <c r="GE7" s="29">
        <f t="shared" ca="1" si="226"/>
        <v>14416.108570640903</v>
      </c>
      <c r="GF7" s="29">
        <f t="shared" ca="1" si="227"/>
        <v>14920.732273331552</v>
      </c>
      <c r="GG7" s="29">
        <f t="shared" ca="1" si="228"/>
        <v>14677.956341968515</v>
      </c>
      <c r="GH7" s="29">
        <f t="shared" ca="1" si="229"/>
        <v>14247.323017349083</v>
      </c>
      <c r="GI7" s="29">
        <f t="shared" ca="1" si="230"/>
        <v>13965.709132461743</v>
      </c>
      <c r="GJ7" s="29">
        <f t="shared" ca="1" si="231"/>
        <v>14384.739348808283</v>
      </c>
      <c r="GK7" s="29">
        <f t="shared" ca="1" si="232"/>
        <v>14338.850712774669</v>
      </c>
      <c r="GL7" s="29">
        <f t="shared" ca="1" si="233"/>
        <v>14208.267571926726</v>
      </c>
      <c r="GM7" s="29">
        <f t="shared" ca="1" si="234"/>
        <v>13955.122775647398</v>
      </c>
      <c r="GN7" s="29">
        <f t="shared" ca="1" si="235"/>
        <v>14371.040271061433</v>
      </c>
      <c r="GO7" s="29">
        <f t="shared" ca="1" si="236"/>
        <v>14022.63352691303</v>
      </c>
      <c r="GP7" s="29">
        <f t="shared" ca="1" si="237"/>
        <v>14881.254917814094</v>
      </c>
      <c r="GQ7" s="29">
        <f t="shared" ca="1" si="238"/>
        <v>14444.399253416328</v>
      </c>
      <c r="GR7" s="29">
        <f t="shared" ca="1" si="239"/>
        <v>14456.855046596223</v>
      </c>
      <c r="GS7" s="29">
        <f t="shared" ca="1" si="240"/>
        <v>14858.805695800744</v>
      </c>
      <c r="GT7" s="29">
        <f t="shared" ca="1" si="241"/>
        <v>14613.652942985867</v>
      </c>
      <c r="GU7" s="29">
        <f t="shared" ca="1" si="242"/>
        <v>14142.337218188553</v>
      </c>
      <c r="GV7" s="29">
        <f t="shared" ca="1" si="243"/>
        <v>14103.797443996425</v>
      </c>
      <c r="GW7" s="29">
        <f t="shared" ca="1" si="244"/>
        <v>13736.049423739267</v>
      </c>
      <c r="GX7" s="29">
        <f t="shared" ca="1" si="245"/>
        <v>14154.500148230805</v>
      </c>
      <c r="GY7" s="29">
        <f t="shared" ca="1" si="246"/>
        <v>14418.862356107711</v>
      </c>
      <c r="GZ7" s="29">
        <f t="shared" ca="1" si="247"/>
        <v>14633.148569208694</v>
      </c>
      <c r="HA7" s="29">
        <f t="shared" ca="1" si="248"/>
        <v>15079.641977539402</v>
      </c>
      <c r="HB7" s="29">
        <f t="shared" ca="1" si="249"/>
        <v>14708.927207508135</v>
      </c>
      <c r="HC7" s="29">
        <f t="shared" ca="1" si="250"/>
        <v>14122.278683871964</v>
      </c>
      <c r="HD7" s="29">
        <f t="shared" ca="1" si="251"/>
        <v>14146.892681312615</v>
      </c>
      <c r="HE7" s="29">
        <f t="shared" ca="1" si="252"/>
        <v>14253.150744903944</v>
      </c>
      <c r="HF7" s="29">
        <f t="shared" ca="1" si="253"/>
        <v>14004.550820874985</v>
      </c>
      <c r="HG7" s="29">
        <f t="shared" ca="1" si="254"/>
        <v>14243.34526483716</v>
      </c>
      <c r="HH7" s="29">
        <f t="shared" ca="1" si="255"/>
        <v>13584.526409167036</v>
      </c>
      <c r="HI7" s="29">
        <f t="shared" ca="1" si="256"/>
        <v>14062.963649306015</v>
      </c>
      <c r="HJ7" s="29">
        <f t="shared" ca="1" si="257"/>
        <v>14612.615305739619</v>
      </c>
      <c r="HK7" s="29">
        <f t="shared" ca="1" si="258"/>
        <v>14505.562495714132</v>
      </c>
      <c r="HL7" s="29">
        <f t="shared" ca="1" si="259"/>
        <v>14379.503812526551</v>
      </c>
      <c r="HM7" s="29">
        <f t="shared" ca="1" si="260"/>
        <v>14120.159123650948</v>
      </c>
      <c r="HN7" s="29">
        <f t="shared" ca="1" si="261"/>
        <v>14233.665130940415</v>
      </c>
      <c r="HO7" s="29">
        <f t="shared" ca="1" si="262"/>
        <v>14153.986844135083</v>
      </c>
      <c r="HP7" s="29">
        <f t="shared" ca="1" si="263"/>
        <v>14367.934654816432</v>
      </c>
      <c r="HQ7" s="29">
        <f t="shared" ca="1" si="264"/>
        <v>14334.965297107407</v>
      </c>
      <c r="HR7" s="29">
        <f t="shared" ca="1" si="265"/>
        <v>14650.032169421789</v>
      </c>
      <c r="HS7" s="29">
        <f t="shared" ca="1" si="266"/>
        <v>14853.05129262485</v>
      </c>
      <c r="HT7" s="29">
        <f t="shared" ca="1" si="267"/>
        <v>14068.063936945518</v>
      </c>
      <c r="HU7" s="29">
        <f t="shared" ca="1" si="268"/>
        <v>14343.510085723323</v>
      </c>
      <c r="HV7" s="29">
        <f t="shared" ca="1" si="269"/>
        <v>14647.842347216381</v>
      </c>
      <c r="HW7" s="29">
        <f t="shared" ca="1" si="270"/>
        <v>14410.696728282846</v>
      </c>
      <c r="HX7" s="29">
        <f t="shared" ca="1" si="271"/>
        <v>14294.596037120531</v>
      </c>
      <c r="HY7" s="29">
        <f t="shared" ca="1" si="272"/>
        <v>14766.458755969537</v>
      </c>
      <c r="HZ7" s="29">
        <f t="shared" ca="1" si="273"/>
        <v>14416.235854150276</v>
      </c>
      <c r="IA7" s="29">
        <f t="shared" ca="1" si="274"/>
        <v>14786.042067401102</v>
      </c>
      <c r="IB7" s="29">
        <f t="shared" ca="1" si="275"/>
        <v>14791.569136357972</v>
      </c>
      <c r="IC7" s="29">
        <f t="shared" ca="1" si="276"/>
        <v>14393.143975598565</v>
      </c>
      <c r="ID7" s="29">
        <f t="shared" ca="1" si="277"/>
        <v>14775.78768512048</v>
      </c>
      <c r="IE7" s="29">
        <f t="shared" ca="1" si="278"/>
        <v>13998.703929789479</v>
      </c>
      <c r="IF7" s="29">
        <f t="shared" ca="1" si="279"/>
        <v>14664.079524708002</v>
      </c>
      <c r="IG7" s="29">
        <f t="shared" ca="1" si="280"/>
        <v>14233.350389223662</v>
      </c>
      <c r="IH7" s="29">
        <f t="shared" ca="1" si="281"/>
        <v>14254.140116905564</v>
      </c>
      <c r="II7" s="29">
        <f t="shared" ca="1" si="282"/>
        <v>14294.710430766707</v>
      </c>
      <c r="IJ7" s="29">
        <f t="shared" ca="1" si="283"/>
        <v>14562.900360342985</v>
      </c>
      <c r="IK7" s="29">
        <f t="shared" ca="1" si="284"/>
        <v>13430.682916573247</v>
      </c>
      <c r="IL7" s="29">
        <f t="shared" ca="1" si="285"/>
        <v>14695.465775382103</v>
      </c>
      <c r="IM7" s="29">
        <f t="shared" ca="1" si="286"/>
        <v>14584.912633225076</v>
      </c>
      <c r="IN7" s="29">
        <f t="shared" ca="1" si="287"/>
        <v>14613.557452227815</v>
      </c>
      <c r="IO7" s="29">
        <f t="shared" ca="1" si="288"/>
        <v>14315.82768661455</v>
      </c>
      <c r="IP7" s="29">
        <f t="shared" ca="1" si="289"/>
        <v>14279.228286272191</v>
      </c>
      <c r="IQ7" s="29">
        <f t="shared" ca="1" si="290"/>
        <v>14273.04265832732</v>
      </c>
      <c r="IR7" s="29">
        <f t="shared" ca="1" si="291"/>
        <v>15013.549781748299</v>
      </c>
      <c r="IS7" s="29">
        <f t="shared" ca="1" si="292"/>
        <v>14191.506345683863</v>
      </c>
      <c r="IT7" s="29">
        <f t="shared" ca="1" si="293"/>
        <v>14925.393061949218</v>
      </c>
      <c r="IU7" s="29">
        <f t="shared" ca="1" si="294"/>
        <v>15302.113720612497</v>
      </c>
      <c r="IV7" s="29">
        <f t="shared" ca="1" si="295"/>
        <v>14554.614910176186</v>
      </c>
      <c r="IW7" s="29">
        <f t="shared" ca="1" si="296"/>
        <v>14829.852426466683</v>
      </c>
      <c r="IX7" s="29">
        <f t="shared" ca="1" si="297"/>
        <v>14305.697023158145</v>
      </c>
      <c r="IY7" s="29">
        <f t="shared" ca="1" si="298"/>
        <v>13926.54128446299</v>
      </c>
      <c r="IZ7" s="29">
        <f t="shared" ca="1" si="299"/>
        <v>14054.848399308838</v>
      </c>
      <c r="JA7" s="29">
        <f t="shared" ca="1" si="300"/>
        <v>14127.1451746864</v>
      </c>
      <c r="JB7" s="29">
        <f t="shared" ca="1" si="301"/>
        <v>13985.664827118793</v>
      </c>
      <c r="JC7" s="29">
        <f t="shared" ca="1" si="302"/>
        <v>14402.891611665045</v>
      </c>
      <c r="JD7" s="29">
        <f t="shared" ca="1" si="303"/>
        <v>14153.749642399849</v>
      </c>
      <c r="JE7" s="29">
        <f t="shared" ca="1" si="304"/>
        <v>14003.48746804248</v>
      </c>
      <c r="JF7" s="29">
        <f t="shared" ca="1" si="305"/>
        <v>14560.985147193029</v>
      </c>
      <c r="JG7" s="29">
        <f t="shared" ca="1" si="306"/>
        <v>14770.944881639911</v>
      </c>
      <c r="JH7" s="29">
        <f t="shared" ca="1" si="307"/>
        <v>14339.350087402807</v>
      </c>
      <c r="JI7" s="29">
        <f t="shared" ca="1" si="308"/>
        <v>14046.892195795292</v>
      </c>
      <c r="JJ7" s="29">
        <f t="shared" ca="1" si="309"/>
        <v>14512.044261390643</v>
      </c>
      <c r="JK7" s="29">
        <f t="shared" ca="1" si="310"/>
        <v>14474.59377634478</v>
      </c>
      <c r="JL7" s="29">
        <f t="shared" ca="1" si="311"/>
        <v>14192.834718816754</v>
      </c>
      <c r="JM7" s="29">
        <f t="shared" ca="1" si="312"/>
        <v>13946.730939367299</v>
      </c>
      <c r="JN7" s="29">
        <f t="shared" ca="1" si="313"/>
        <v>14940.97854600714</v>
      </c>
      <c r="JO7" s="29">
        <f t="shared" ca="1" si="314"/>
        <v>14556.775084886764</v>
      </c>
      <c r="JP7" s="29">
        <f t="shared" ca="1" si="315"/>
        <v>14854.637363020596</v>
      </c>
      <c r="JQ7" s="29">
        <f t="shared" ca="1" si="316"/>
        <v>13764.398530237551</v>
      </c>
      <c r="JR7" s="29">
        <f t="shared" ca="1" si="317"/>
        <v>14380.249419932074</v>
      </c>
      <c r="JS7" s="29">
        <f t="shared" ca="1" si="318"/>
        <v>14499.019143299691</v>
      </c>
      <c r="JT7" s="29">
        <f t="shared" ca="1" si="319"/>
        <v>14775.43111335353</v>
      </c>
      <c r="JU7" s="29">
        <f t="shared" ca="1" si="320"/>
        <v>14254.300502209944</v>
      </c>
      <c r="JV7" s="29">
        <f t="shared" ca="1" si="321"/>
        <v>14303.472990689896</v>
      </c>
      <c r="JW7" s="29">
        <f t="shared" ca="1" si="322"/>
        <v>14527.527602319789</v>
      </c>
      <c r="JX7" s="29">
        <f t="shared" ca="1" si="323"/>
        <v>14926.152406869131</v>
      </c>
      <c r="JY7" s="29">
        <f t="shared" ca="1" si="324"/>
        <v>14350.063381219628</v>
      </c>
      <c r="JZ7" s="29">
        <f t="shared" ca="1" si="325"/>
        <v>14650.949341142205</v>
      </c>
      <c r="KA7" s="29">
        <f t="shared" ca="1" si="326"/>
        <v>13952.613863985474</v>
      </c>
      <c r="KB7" s="29">
        <f t="shared" ca="1" si="327"/>
        <v>14110.01974637565</v>
      </c>
      <c r="KC7" s="29">
        <f t="shared" ca="1" si="328"/>
        <v>14514.466308626041</v>
      </c>
      <c r="KD7" s="29">
        <f t="shared" ca="1" si="329"/>
        <v>14315.182190671147</v>
      </c>
      <c r="KE7" s="29">
        <f t="shared" ca="1" si="330"/>
        <v>15036.255503381535</v>
      </c>
      <c r="KF7" s="29">
        <f t="shared" ca="1" si="331"/>
        <v>14332.067830573047</v>
      </c>
      <c r="KG7" s="29">
        <f t="shared" ca="1" si="332"/>
        <v>14437.705316020809</v>
      </c>
      <c r="KH7" s="29">
        <f t="shared" ca="1" si="333"/>
        <v>14656.371456446706</v>
      </c>
      <c r="KI7" s="29">
        <f t="shared" ca="1" si="334"/>
        <v>14450.748653523471</v>
      </c>
      <c r="KJ7" s="29">
        <f t="shared" ca="1" si="335"/>
        <v>14950.109699002025</v>
      </c>
      <c r="KK7" s="29">
        <f t="shared" ca="1" si="336"/>
        <v>14010.829996418945</v>
      </c>
      <c r="KL7" s="29">
        <f t="shared" ca="1" si="337"/>
        <v>14344.062204382237</v>
      </c>
      <c r="KM7" s="29">
        <f t="shared" ca="1" si="338"/>
        <v>15345.03412302389</v>
      </c>
      <c r="KN7" s="29">
        <f t="shared" ca="1" si="339"/>
        <v>14210.700038372135</v>
      </c>
      <c r="KO7" s="29">
        <f t="shared" ca="1" si="340"/>
        <v>14662.325766857073</v>
      </c>
      <c r="KP7" s="29">
        <f t="shared" ca="1" si="341"/>
        <v>14219.594423586217</v>
      </c>
      <c r="KQ7" s="29">
        <f t="shared" ca="1" si="342"/>
        <v>14302.772558986233</v>
      </c>
      <c r="KR7" s="29">
        <f t="shared" ca="1" si="343"/>
        <v>14021.779243725352</v>
      </c>
      <c r="KS7" s="29">
        <f t="shared" ca="1" si="344"/>
        <v>13527.277709385307</v>
      </c>
      <c r="KT7" s="29">
        <f t="shared" ca="1" si="345"/>
        <v>14438.477437663492</v>
      </c>
      <c r="KU7" s="29">
        <f t="shared" ca="1" si="346"/>
        <v>14154.693863814135</v>
      </c>
      <c r="KV7" s="29">
        <f t="shared" ca="1" si="347"/>
        <v>13949.97273008318</v>
      </c>
      <c r="KW7" s="29">
        <f t="shared" ca="1" si="348"/>
        <v>14537.928739757726</v>
      </c>
      <c r="KX7" s="29">
        <f t="shared" ca="1" si="349"/>
        <v>13632.26977349781</v>
      </c>
      <c r="KY7" s="29">
        <f t="shared" ca="1" si="350"/>
        <v>14504.581051374153</v>
      </c>
      <c r="KZ7" s="29">
        <f t="shared" ca="1" si="351"/>
        <v>13903.034769137308</v>
      </c>
      <c r="LA7" s="29">
        <f t="shared" ca="1" si="352"/>
        <v>14936.37320807285</v>
      </c>
      <c r="LB7" s="29">
        <f t="shared" ca="1" si="353"/>
        <v>13678.379447076475</v>
      </c>
      <c r="LC7" s="29">
        <f t="shared" ca="1" si="354"/>
        <v>13882.204016602105</v>
      </c>
      <c r="LD7" s="29">
        <f t="shared" ca="1" si="355"/>
        <v>13965.905296206303</v>
      </c>
      <c r="LE7" s="29">
        <f t="shared" ca="1" si="356"/>
        <v>14086.75997859931</v>
      </c>
      <c r="LF7" s="29">
        <f t="shared" ca="1" si="357"/>
        <v>14244.839083426532</v>
      </c>
      <c r="LG7" s="29">
        <f t="shared" ca="1" si="358"/>
        <v>14238.981241036978</v>
      </c>
      <c r="LH7" s="29">
        <f t="shared" ca="1" si="359"/>
        <v>14055.167288654102</v>
      </c>
      <c r="LI7" s="29">
        <f t="shared" ca="1" si="360"/>
        <v>14240.778257355303</v>
      </c>
      <c r="LJ7" s="29">
        <f t="shared" ca="1" si="361"/>
        <v>14355.670264650791</v>
      </c>
      <c r="LK7" s="29">
        <f t="shared" ca="1" si="362"/>
        <v>14125.578678647578</v>
      </c>
      <c r="LL7" s="29">
        <f t="shared" ca="1" si="363"/>
        <v>14261.629829477586</v>
      </c>
      <c r="LM7" s="29">
        <f t="shared" ca="1" si="364"/>
        <v>14288.809925797017</v>
      </c>
      <c r="LN7" s="29">
        <f t="shared" ca="1" si="365"/>
        <v>14689.096240802843</v>
      </c>
      <c r="LO7" s="29">
        <f t="shared" ca="1" si="366"/>
        <v>14086.449658317242</v>
      </c>
      <c r="LP7" s="29">
        <f t="shared" ca="1" si="367"/>
        <v>14232.635287553525</v>
      </c>
      <c r="LQ7" s="29">
        <f t="shared" ca="1" si="368"/>
        <v>14684.05203522685</v>
      </c>
      <c r="LR7" s="29">
        <f t="shared" ca="1" si="369"/>
        <v>14369.706256341413</v>
      </c>
      <c r="LS7" s="29">
        <f t="shared" ca="1" si="370"/>
        <v>13911.871441554646</v>
      </c>
      <c r="LT7" s="29">
        <f t="shared" ca="1" si="371"/>
        <v>14053.298710913932</v>
      </c>
      <c r="LU7" s="29">
        <f t="shared" ca="1" si="372"/>
        <v>14791.200520575836</v>
      </c>
      <c r="LV7" s="29">
        <f t="shared" ca="1" si="373"/>
        <v>14138.00026306136</v>
      </c>
      <c r="LW7" s="29">
        <f t="shared" ca="1" si="374"/>
        <v>14358.669492683446</v>
      </c>
      <c r="LX7" s="29">
        <f t="shared" ca="1" si="375"/>
        <v>14417.039663016287</v>
      </c>
      <c r="LY7" s="29">
        <f t="shared" ca="1" si="376"/>
        <v>14841.736450188573</v>
      </c>
      <c r="LZ7" s="29">
        <f t="shared" ca="1" si="377"/>
        <v>14152.537682951242</v>
      </c>
      <c r="MA7" s="29">
        <f t="shared" ca="1" si="378"/>
        <v>14323.421505903269</v>
      </c>
      <c r="MB7" s="29">
        <f t="shared" ca="1" si="379"/>
        <v>14087.537537032033</v>
      </c>
      <c r="MC7" s="29">
        <f t="shared" ca="1" si="380"/>
        <v>14370.064076120643</v>
      </c>
      <c r="MD7" s="29">
        <f t="shared" ca="1" si="381"/>
        <v>14714.391211675807</v>
      </c>
      <c r="ME7" s="29">
        <f t="shared" ca="1" si="382"/>
        <v>13656.780637990491</v>
      </c>
      <c r="MF7" s="29">
        <f t="shared" ca="1" si="383"/>
        <v>14158.915313721462</v>
      </c>
      <c r="MG7" s="29">
        <f t="shared" ca="1" si="384"/>
        <v>14471.213602674581</v>
      </c>
      <c r="MH7" s="29">
        <f t="shared" ca="1" si="385"/>
        <v>14664.585761489285</v>
      </c>
      <c r="MI7" s="29">
        <f t="shared" ca="1" si="386"/>
        <v>14412.862916217666</v>
      </c>
      <c r="MJ7" s="29">
        <f t="shared" ca="1" si="387"/>
        <v>14738.628921851039</v>
      </c>
      <c r="MK7" s="29">
        <f t="shared" ca="1" si="388"/>
        <v>14509.645675280502</v>
      </c>
      <c r="ML7" s="29">
        <f t="shared" ca="1" si="389"/>
        <v>14781.521708539145</v>
      </c>
      <c r="MM7" s="29">
        <f t="shared" ca="1" si="390"/>
        <v>14668.610265285246</v>
      </c>
      <c r="MN7" s="29">
        <f t="shared" ca="1" si="391"/>
        <v>15026.219154093726</v>
      </c>
      <c r="MO7" s="29">
        <f t="shared" ca="1" si="392"/>
        <v>14452.210910596281</v>
      </c>
      <c r="MP7" s="29">
        <f t="shared" ca="1" si="393"/>
        <v>14313.716507033361</v>
      </c>
      <c r="MQ7" s="29">
        <f t="shared" ca="1" si="394"/>
        <v>14559.960122453251</v>
      </c>
      <c r="MR7" s="29">
        <f t="shared" ca="1" si="395"/>
        <v>14246.286532845954</v>
      </c>
      <c r="MS7" s="29">
        <f t="shared" ca="1" si="396"/>
        <v>14272.378809349177</v>
      </c>
      <c r="MT7" s="29">
        <f t="shared" ca="1" si="397"/>
        <v>14481.382842626703</v>
      </c>
      <c r="MU7" s="29">
        <f t="shared" ca="1" si="398"/>
        <v>14130.924577527632</v>
      </c>
      <c r="MV7" s="29">
        <f t="shared" ca="1" si="399"/>
        <v>13809.443108791027</v>
      </c>
      <c r="MW7" s="29">
        <f t="shared" ca="1" si="400"/>
        <v>14227.402193761638</v>
      </c>
      <c r="MX7" s="29">
        <f t="shared" ca="1" si="401"/>
        <v>14552.433495235415</v>
      </c>
      <c r="MY7" s="29">
        <f t="shared" ca="1" si="402"/>
        <v>14267.096052431236</v>
      </c>
      <c r="MZ7" s="29">
        <f t="shared" ca="1" si="403"/>
        <v>14963.845504870878</v>
      </c>
      <c r="NA7" s="29">
        <f t="shared" ca="1" si="404"/>
        <v>14721.764119219732</v>
      </c>
      <c r="NB7" s="29">
        <f t="shared" ca="1" si="405"/>
        <v>14700.576044529278</v>
      </c>
      <c r="NC7" s="29">
        <f t="shared" ca="1" si="406"/>
        <v>13846.70281145184</v>
      </c>
      <c r="ND7" s="29">
        <f t="shared" ca="1" si="407"/>
        <v>14027.305746863251</v>
      </c>
      <c r="NE7" s="29">
        <f t="shared" ca="1" si="408"/>
        <v>14875.84503623873</v>
      </c>
      <c r="NF7" s="29">
        <f t="shared" ca="1" si="409"/>
        <v>14522.967316789274</v>
      </c>
      <c r="NG7" s="29">
        <f t="shared" ca="1" si="410"/>
        <v>14226.858796289476</v>
      </c>
      <c r="NH7" s="29">
        <f t="shared" ca="1" si="411"/>
        <v>14200.527334904829</v>
      </c>
      <c r="NI7" s="29">
        <f t="shared" ca="1" si="412"/>
        <v>14772.272104790438</v>
      </c>
      <c r="NJ7" s="29">
        <f t="shared" ca="1" si="413"/>
        <v>14260.996680926952</v>
      </c>
      <c r="NK7" s="29">
        <f t="shared" ca="1" si="414"/>
        <v>14912.168136296546</v>
      </c>
      <c r="NL7" s="29">
        <f t="shared" ca="1" si="415"/>
        <v>14087.572390299702</v>
      </c>
      <c r="NM7" s="29">
        <f t="shared" ca="1" si="416"/>
        <v>14556.997761745408</v>
      </c>
      <c r="NN7" s="29">
        <f t="shared" ca="1" si="417"/>
        <v>14160.021161675146</v>
      </c>
      <c r="NO7" s="29">
        <f t="shared" ca="1" si="418"/>
        <v>14294.065713006335</v>
      </c>
      <c r="NP7" s="29">
        <f t="shared" ca="1" si="419"/>
        <v>13653.221485000648</v>
      </c>
      <c r="NQ7" s="29">
        <f t="shared" ca="1" si="420"/>
        <v>14368.705369419629</v>
      </c>
      <c r="NR7" s="29">
        <f t="shared" ca="1" si="421"/>
        <v>14361.696523388593</v>
      </c>
      <c r="NS7" s="29">
        <f t="shared" ca="1" si="422"/>
        <v>14555.550694498812</v>
      </c>
      <c r="NT7" s="29">
        <f t="shared" ca="1" si="423"/>
        <v>14814.103533572381</v>
      </c>
      <c r="NU7" s="29">
        <f t="shared" ca="1" si="424"/>
        <v>14685.250156545393</v>
      </c>
      <c r="NV7" s="29">
        <f t="shared" ca="1" si="425"/>
        <v>14210.258567805498</v>
      </c>
      <c r="NW7" s="29">
        <f t="shared" ca="1" si="426"/>
        <v>13626.725281871264</v>
      </c>
      <c r="NX7" s="29">
        <f t="shared" ca="1" si="427"/>
        <v>14469.148540304215</v>
      </c>
      <c r="NY7" s="29">
        <f t="shared" ca="1" si="428"/>
        <v>14263.662649099306</v>
      </c>
      <c r="NZ7" s="29">
        <f t="shared" ca="1" si="429"/>
        <v>14460.136316692971</v>
      </c>
      <c r="OA7" s="29">
        <f t="shared" ca="1" si="430"/>
        <v>14271.593885220946</v>
      </c>
      <c r="OB7" s="29">
        <f t="shared" ca="1" si="431"/>
        <v>14567.123299296696</v>
      </c>
      <c r="OC7" s="29">
        <f t="shared" ca="1" si="432"/>
        <v>13668.652197740352</v>
      </c>
      <c r="OD7" s="29">
        <f t="shared" ca="1" si="433"/>
        <v>14359.386798732699</v>
      </c>
      <c r="OE7" s="29">
        <f t="shared" ca="1" si="434"/>
        <v>15015.103883914659</v>
      </c>
      <c r="OF7" s="29">
        <f t="shared" ca="1" si="435"/>
        <v>13873.196631401399</v>
      </c>
      <c r="OG7" s="29">
        <f t="shared" ca="1" si="436"/>
        <v>14896.21424194817</v>
      </c>
      <c r="OH7" s="29">
        <f t="shared" ca="1" si="437"/>
        <v>14919.586606754347</v>
      </c>
      <c r="OI7" s="29">
        <f t="shared" ca="1" si="438"/>
        <v>13924.0578773288</v>
      </c>
      <c r="OJ7" s="29">
        <f t="shared" ca="1" si="439"/>
        <v>14394.307063713901</v>
      </c>
      <c r="OK7" s="29">
        <f t="shared" ca="1" si="440"/>
        <v>13757.856371270786</v>
      </c>
      <c r="OL7" s="29">
        <f t="shared" ca="1" si="441"/>
        <v>14527.855978620411</v>
      </c>
      <c r="OM7" s="29">
        <f t="shared" ca="1" si="442"/>
        <v>14039.782133128647</v>
      </c>
      <c r="ON7" s="29">
        <f t="shared" ca="1" si="443"/>
        <v>14591.372746389212</v>
      </c>
      <c r="OO7" s="29">
        <f t="shared" ca="1" si="444"/>
        <v>13728.20640070479</v>
      </c>
      <c r="OP7" s="29">
        <f t="shared" ca="1" si="445"/>
        <v>15006.229735520299</v>
      </c>
      <c r="OQ7" s="29">
        <f t="shared" ca="1" si="446"/>
        <v>14088.571467231537</v>
      </c>
      <c r="OR7" s="29">
        <f t="shared" ca="1" si="447"/>
        <v>14482.681017315888</v>
      </c>
      <c r="OS7" s="29">
        <f t="shared" ca="1" si="448"/>
        <v>13664.848181186988</v>
      </c>
      <c r="OT7" s="29">
        <f t="shared" ca="1" si="449"/>
        <v>14219.753743139459</v>
      </c>
      <c r="OU7" s="29">
        <f t="shared" ca="1" si="450"/>
        <v>14528.826399528152</v>
      </c>
      <c r="OV7" s="29">
        <f t="shared" ca="1" si="451"/>
        <v>14463.08729358356</v>
      </c>
      <c r="OW7" s="29">
        <f t="shared" ca="1" si="452"/>
        <v>14792.327719299205</v>
      </c>
      <c r="OX7" s="29">
        <f t="shared" ca="1" si="453"/>
        <v>14269.824310797192</v>
      </c>
      <c r="OY7" s="29">
        <f t="shared" ca="1" si="454"/>
        <v>14472.868480850078</v>
      </c>
      <c r="OZ7" s="29">
        <f t="shared" ca="1" si="455"/>
        <v>13973.921162773222</v>
      </c>
      <c r="PA7" s="29">
        <f t="shared" ca="1" si="456"/>
        <v>14382.866410673929</v>
      </c>
      <c r="PB7" s="29">
        <f t="shared" ca="1" si="457"/>
        <v>13925.850642864048</v>
      </c>
      <c r="PC7" s="29">
        <f t="shared" ca="1" si="458"/>
        <v>14211.553013363484</v>
      </c>
      <c r="PD7" s="29">
        <f t="shared" ca="1" si="459"/>
        <v>14542.37593553302</v>
      </c>
      <c r="PE7" s="29">
        <f t="shared" ca="1" si="460"/>
        <v>14694.199009513035</v>
      </c>
      <c r="PF7" s="29">
        <f t="shared" ca="1" si="461"/>
        <v>14332.404712432324</v>
      </c>
      <c r="PG7" s="29">
        <f t="shared" ca="1" si="462"/>
        <v>14274.8807593649</v>
      </c>
      <c r="PH7" s="29">
        <f t="shared" ca="1" si="463"/>
        <v>14592.296087401528</v>
      </c>
      <c r="PI7" s="29">
        <f t="shared" ca="1" si="464"/>
        <v>13593.095091801384</v>
      </c>
      <c r="PJ7" s="29">
        <f t="shared" ca="1" si="465"/>
        <v>14665.684790533378</v>
      </c>
      <c r="PK7" s="29">
        <f t="shared" ca="1" si="466"/>
        <v>14193.871075688821</v>
      </c>
      <c r="PL7" s="29">
        <f t="shared" ca="1" si="467"/>
        <v>13759.157488792802</v>
      </c>
      <c r="PM7" s="29">
        <f t="shared" ca="1" si="468"/>
        <v>14123.368667776014</v>
      </c>
      <c r="PN7" s="29">
        <f t="shared" ca="1" si="469"/>
        <v>14319.668065746975</v>
      </c>
      <c r="PO7" s="29">
        <f t="shared" ca="1" si="470"/>
        <v>14425.751905310564</v>
      </c>
      <c r="PP7" s="29">
        <f t="shared" ca="1" si="471"/>
        <v>14259.30673713603</v>
      </c>
      <c r="PQ7" s="29">
        <f t="shared" ca="1" si="472"/>
        <v>14471.737576364058</v>
      </c>
      <c r="PR7" s="29">
        <f t="shared" ca="1" si="473"/>
        <v>14150.821908847875</v>
      </c>
      <c r="PS7" s="29">
        <f t="shared" ca="1" si="474"/>
        <v>14642.546240685158</v>
      </c>
      <c r="PT7" s="29">
        <f t="shared" ca="1" si="475"/>
        <v>14364.215935847367</v>
      </c>
      <c r="PU7" s="29">
        <f t="shared" ca="1" si="476"/>
        <v>14344.553618108805</v>
      </c>
      <c r="PV7" s="29">
        <f t="shared" ca="1" si="477"/>
        <v>14414.618630700304</v>
      </c>
      <c r="PW7" s="29">
        <f t="shared" ca="1" si="478"/>
        <v>14266.794580546939</v>
      </c>
      <c r="PX7" s="29">
        <f t="shared" ca="1" si="479"/>
        <v>14427.183158640941</v>
      </c>
      <c r="PY7" s="29">
        <f t="shared" ca="1" si="480"/>
        <v>14099.954852679006</v>
      </c>
      <c r="PZ7" s="29">
        <f t="shared" ca="1" si="481"/>
        <v>13856.803207213636</v>
      </c>
      <c r="QA7" s="29">
        <f t="shared" ca="1" si="482"/>
        <v>14512.036484215105</v>
      </c>
      <c r="QB7" s="29">
        <f t="shared" ca="1" si="483"/>
        <v>14643.780812064424</v>
      </c>
      <c r="QC7" s="29">
        <f t="shared" ca="1" si="484"/>
        <v>14065.717229016222</v>
      </c>
      <c r="QD7" s="29">
        <f t="shared" ca="1" si="485"/>
        <v>14508.422245222619</v>
      </c>
      <c r="QE7" s="29">
        <f t="shared" ca="1" si="486"/>
        <v>14398.095632685585</v>
      </c>
      <c r="QF7" s="29">
        <f t="shared" ca="1" si="487"/>
        <v>14743.684884028626</v>
      </c>
      <c r="QG7" s="29">
        <f t="shared" ca="1" si="488"/>
        <v>14833.11263818161</v>
      </c>
      <c r="QH7" s="29">
        <f t="shared" ca="1" si="489"/>
        <v>14826.557685228117</v>
      </c>
      <c r="QI7" s="29">
        <f t="shared" ca="1" si="490"/>
        <v>14685.788585987397</v>
      </c>
      <c r="QJ7" s="29">
        <f t="shared" ca="1" si="491"/>
        <v>14016.584309667611</v>
      </c>
      <c r="QK7" s="29">
        <f t="shared" ca="1" si="492"/>
        <v>14771.153045127987</v>
      </c>
      <c r="QL7" s="29">
        <f t="shared" ca="1" si="493"/>
        <v>14902.219612506655</v>
      </c>
      <c r="QM7" s="29">
        <f t="shared" ca="1" si="494"/>
        <v>13929.629380420694</v>
      </c>
      <c r="QN7" s="29">
        <f t="shared" ca="1" si="495"/>
        <v>14735.1843972437</v>
      </c>
      <c r="QO7" s="29">
        <f t="shared" ca="1" si="496"/>
        <v>14508.466062706369</v>
      </c>
      <c r="QP7" s="29">
        <f t="shared" ca="1" si="497"/>
        <v>14388.818956035984</v>
      </c>
      <c r="QQ7" s="29">
        <f t="shared" ca="1" si="498"/>
        <v>14764.282251024819</v>
      </c>
      <c r="QR7" s="29">
        <f t="shared" ca="1" si="499"/>
        <v>14704.436758221236</v>
      </c>
      <c r="QS7" s="29">
        <f t="shared" ca="1" si="500"/>
        <v>14886.226765654583</v>
      </c>
      <c r="QT7" s="29">
        <f t="shared" ca="1" si="501"/>
        <v>14567.154987037022</v>
      </c>
      <c r="QU7" s="29">
        <f t="shared" ca="1" si="502"/>
        <v>14156.082910239638</v>
      </c>
      <c r="QV7" s="29">
        <f t="shared" ca="1" si="503"/>
        <v>14537.983770394223</v>
      </c>
      <c r="QW7" s="29">
        <f t="shared" ca="1" si="504"/>
        <v>14295.32498468536</v>
      </c>
      <c r="QX7" s="29">
        <f t="shared" ca="1" si="505"/>
        <v>14337.696900282324</v>
      </c>
      <c r="QY7" s="29">
        <f t="shared" ca="1" si="506"/>
        <v>14804.192639932609</v>
      </c>
      <c r="QZ7" s="29">
        <f t="shared" ca="1" si="507"/>
        <v>14187.694848289242</v>
      </c>
      <c r="RA7" s="29">
        <f t="shared" ca="1" si="508"/>
        <v>14282.5607143136</v>
      </c>
      <c r="RB7" s="29">
        <f t="shared" ca="1" si="509"/>
        <v>14149.453824160099</v>
      </c>
      <c r="RC7" s="29">
        <f t="shared" ca="1" si="510"/>
        <v>14005.824036425945</v>
      </c>
      <c r="RD7" s="29">
        <f t="shared" ca="1" si="511"/>
        <v>14526.893965527483</v>
      </c>
      <c r="RE7" s="29">
        <f t="shared" ca="1" si="512"/>
        <v>14309.208022290601</v>
      </c>
      <c r="RF7" s="29">
        <f t="shared" ca="1" si="513"/>
        <v>14255.58711250594</v>
      </c>
      <c r="RG7" s="29">
        <f t="shared" ca="1" si="514"/>
        <v>14610.673072192156</v>
      </c>
      <c r="RH7" s="29">
        <f t="shared" ca="1" si="515"/>
        <v>14207.133637855288</v>
      </c>
      <c r="RI7" s="29">
        <f t="shared" ca="1" si="516"/>
        <v>14191.414725268205</v>
      </c>
      <c r="RJ7" s="29">
        <f t="shared" ca="1" si="517"/>
        <v>14388.656678709738</v>
      </c>
      <c r="RK7" s="29">
        <f t="shared" ca="1" si="518"/>
        <v>14298.684114013267</v>
      </c>
      <c r="RL7" s="29">
        <f t="shared" ca="1" si="519"/>
        <v>14169.974587148483</v>
      </c>
      <c r="RM7" s="29">
        <f t="shared" ca="1" si="520"/>
        <v>14619.387729645872</v>
      </c>
      <c r="RN7" s="29">
        <f t="shared" ca="1" si="521"/>
        <v>14208.60304050541</v>
      </c>
      <c r="RO7" s="29">
        <f t="shared" ca="1" si="522"/>
        <v>14146.623619775954</v>
      </c>
      <c r="RP7" s="29">
        <f t="shared" ca="1" si="523"/>
        <v>14777.958476484429</v>
      </c>
      <c r="RQ7" s="29">
        <f t="shared" ca="1" si="524"/>
        <v>14985.852676287392</v>
      </c>
      <c r="RR7" s="29">
        <f t="shared" ca="1" si="525"/>
        <v>14326.323315571643</v>
      </c>
      <c r="RS7" s="29">
        <f t="shared" ca="1" si="526"/>
        <v>14329.16066096416</v>
      </c>
      <c r="RT7" s="29">
        <f t="shared" ca="1" si="527"/>
        <v>14762.438634450793</v>
      </c>
      <c r="RU7" s="29">
        <f t="shared" ca="1" si="528"/>
        <v>13993.422476292088</v>
      </c>
      <c r="RV7" s="29">
        <f t="shared" ca="1" si="529"/>
        <v>13835.729236489344</v>
      </c>
      <c r="RW7" s="29">
        <f t="shared" ca="1" si="530"/>
        <v>15144.58420318257</v>
      </c>
      <c r="RX7" s="29">
        <f t="shared" ca="1" si="531"/>
        <v>14289.830435687385</v>
      </c>
      <c r="RY7" s="29">
        <f t="shared" ca="1" si="532"/>
        <v>14663.351417780706</v>
      </c>
      <c r="RZ7" s="29">
        <f t="shared" ca="1" si="533"/>
        <v>14643.332674721023</v>
      </c>
      <c r="SA7" s="29">
        <f t="shared" ca="1" si="534"/>
        <v>14264.958544020603</v>
      </c>
      <c r="SB7" s="29">
        <f t="shared" ca="1" si="535"/>
        <v>14029.192649919067</v>
      </c>
      <c r="SC7" s="29">
        <f t="shared" ca="1" si="536"/>
        <v>14533.23990348912</v>
      </c>
      <c r="SD7" s="29">
        <f t="shared" ca="1" si="537"/>
        <v>14200.694046079061</v>
      </c>
      <c r="SE7" s="29">
        <f t="shared" ca="1" si="538"/>
        <v>14408.488310232009</v>
      </c>
      <c r="SF7" s="29">
        <f t="shared" ca="1" si="539"/>
        <v>14132.612591129357</v>
      </c>
      <c r="SG7" s="29">
        <f t="shared" ca="1" si="540"/>
        <v>14909.745929168126</v>
      </c>
      <c r="SH7" s="29">
        <f t="shared" ca="1" si="541"/>
        <v>15465.501498651456</v>
      </c>
      <c r="SI7" s="29">
        <f t="shared" ca="1" si="542"/>
        <v>14295.265442162543</v>
      </c>
      <c r="SJ7" s="29">
        <f t="shared" ca="1" si="543"/>
        <v>14314.649123604917</v>
      </c>
      <c r="SK7" s="29">
        <f t="shared" ca="1" si="544"/>
        <v>14801.718212529593</v>
      </c>
      <c r="SL7" s="29">
        <f t="shared" ca="1" si="545"/>
        <v>14435.864336595085</v>
      </c>
      <c r="SM7" s="29">
        <f t="shared" ca="1" si="546"/>
        <v>14725.500652377263</v>
      </c>
      <c r="SN7" s="29">
        <f t="shared" ca="1" si="547"/>
        <v>14061.340787975931</v>
      </c>
      <c r="SO7" s="29">
        <f t="shared" ca="1" si="548"/>
        <v>14104.427086690082</v>
      </c>
      <c r="SP7" s="29">
        <f t="shared" ca="1" si="549"/>
        <v>14586.375559822061</v>
      </c>
      <c r="SQ7" s="29">
        <f t="shared" ca="1" si="550"/>
        <v>14422.730080534173</v>
      </c>
      <c r="SR7" s="29">
        <f t="shared" ca="1" si="551"/>
        <v>13869.310749214459</v>
      </c>
      <c r="SS7" s="29">
        <f t="shared" ca="1" si="552"/>
        <v>14360.282377615571</v>
      </c>
      <c r="ST7" s="29">
        <f t="shared" ca="1" si="553"/>
        <v>14209.682680489645</v>
      </c>
      <c r="SU7" s="29">
        <f t="shared" ca="1" si="554"/>
        <v>14856.698055899347</v>
      </c>
      <c r="SV7" s="29">
        <f t="shared" ca="1" si="555"/>
        <v>14124.38499687783</v>
      </c>
      <c r="SW7" s="29">
        <f t="shared" ca="1" si="556"/>
        <v>14342.196787873638</v>
      </c>
      <c r="SX7" s="29">
        <f t="shared" ca="1" si="557"/>
        <v>14202.431432111225</v>
      </c>
      <c r="SY7" s="29">
        <f t="shared" ca="1" si="558"/>
        <v>14131.042726100468</v>
      </c>
      <c r="SZ7" s="29">
        <f t="shared" ca="1" si="559"/>
        <v>14603.973980823968</v>
      </c>
      <c r="TA7" s="29">
        <f t="shared" ca="1" si="560"/>
        <v>14347.58719874979</v>
      </c>
      <c r="TB7" s="29">
        <f t="shared" ca="1" si="561"/>
        <v>14339.52823345994</v>
      </c>
      <c r="TC7" s="29">
        <f t="shared" ca="1" si="562"/>
        <v>14502.126791110913</v>
      </c>
      <c r="TD7" s="29">
        <f t="shared" ca="1" si="563"/>
        <v>13826.557603167976</v>
      </c>
      <c r="TE7" s="29">
        <f t="shared" ca="1" si="564"/>
        <v>14149.151767332736</v>
      </c>
      <c r="TF7" s="29">
        <f t="shared" ca="1" si="565"/>
        <v>14084.856465673454</v>
      </c>
      <c r="TG7" s="29">
        <f t="shared" ca="1" si="566"/>
        <v>13960.037046798998</v>
      </c>
      <c r="TH7" s="29">
        <f t="shared" ca="1" si="567"/>
        <v>14116.214684107015</v>
      </c>
      <c r="TI7" s="29">
        <f t="shared" ca="1" si="568"/>
        <v>13797.601250948417</v>
      </c>
      <c r="TJ7" s="29">
        <f t="shared" ca="1" si="569"/>
        <v>14208.693222876414</v>
      </c>
      <c r="TK7" s="29">
        <f t="shared" ca="1" si="570"/>
        <v>14272.227678793284</v>
      </c>
      <c r="TL7" s="29">
        <f t="shared" ca="1" si="571"/>
        <v>14784.43173323494</v>
      </c>
      <c r="TM7" s="29">
        <f t="shared" ca="1" si="572"/>
        <v>14131.319897472331</v>
      </c>
      <c r="TN7" s="29">
        <f t="shared" ca="1" si="573"/>
        <v>14284.273819279009</v>
      </c>
      <c r="TO7" s="29">
        <f t="shared" ca="1" si="574"/>
        <v>14289.362127041224</v>
      </c>
      <c r="TP7" s="29">
        <f t="shared" ca="1" si="575"/>
        <v>14687.037862835525</v>
      </c>
      <c r="TQ7" s="29">
        <f t="shared" ca="1" si="576"/>
        <v>14631.675970831884</v>
      </c>
      <c r="TR7" s="29">
        <f t="shared" ca="1" si="577"/>
        <v>14208.876770554869</v>
      </c>
      <c r="TS7" s="29">
        <f t="shared" ca="1" si="578"/>
        <v>14773.044891943788</v>
      </c>
      <c r="TT7" s="29">
        <f t="shared" ca="1" si="579"/>
        <v>14323.359860773233</v>
      </c>
      <c r="TU7" s="29">
        <f t="shared" ca="1" si="580"/>
        <v>14424.131421989605</v>
      </c>
      <c r="TV7" s="29">
        <f t="shared" ca="1" si="581"/>
        <v>14283.702660933326</v>
      </c>
      <c r="TW7" s="29">
        <f t="shared" ca="1" si="582"/>
        <v>14660.820231665055</v>
      </c>
      <c r="TX7" s="29">
        <f t="shared" ca="1" si="583"/>
        <v>14201.760158063382</v>
      </c>
      <c r="TY7" s="29">
        <f t="shared" ca="1" si="584"/>
        <v>14663.971961097877</v>
      </c>
      <c r="TZ7" s="29">
        <f t="shared" ca="1" si="585"/>
        <v>14423.198435582402</v>
      </c>
      <c r="UA7" s="29">
        <f t="shared" ca="1" si="586"/>
        <v>13964.123180079003</v>
      </c>
      <c r="UB7" s="29">
        <f t="shared" ca="1" si="587"/>
        <v>14566.160070593334</v>
      </c>
      <c r="UC7" s="29">
        <f t="shared" ca="1" si="588"/>
        <v>13961.717960171454</v>
      </c>
      <c r="UD7" s="29">
        <f t="shared" ca="1" si="589"/>
        <v>14492.071749815292</v>
      </c>
      <c r="UE7" s="29">
        <f t="shared" ca="1" si="590"/>
        <v>14174.805728470883</v>
      </c>
      <c r="UF7" s="29">
        <f t="shared" ca="1" si="591"/>
        <v>14427.275197125169</v>
      </c>
      <c r="UG7" s="29">
        <f t="shared" ca="1" si="592"/>
        <v>14375.095093683565</v>
      </c>
      <c r="UH7" s="29">
        <f t="shared" ca="1" si="593"/>
        <v>13957.064461503174</v>
      </c>
      <c r="UI7" s="29">
        <f t="shared" ca="1" si="594"/>
        <v>14731.613440457428</v>
      </c>
      <c r="UJ7" s="29">
        <f t="shared" ca="1" si="595"/>
        <v>14527.960029908445</v>
      </c>
      <c r="UK7" s="29">
        <f t="shared" ca="1" si="596"/>
        <v>14507.373488101839</v>
      </c>
      <c r="UL7" s="29">
        <f t="shared" ca="1" si="597"/>
        <v>14915.263069921904</v>
      </c>
      <c r="UM7" s="29">
        <f t="shared" ca="1" si="598"/>
        <v>14145.549554010078</v>
      </c>
      <c r="UN7" s="29">
        <f t="shared" ca="1" si="599"/>
        <v>14046.511639334845</v>
      </c>
      <c r="UO7" s="29">
        <f t="shared" ca="1" si="600"/>
        <v>14638.818869484659</v>
      </c>
      <c r="UP7" s="29">
        <f t="shared" ca="1" si="601"/>
        <v>14393.709272432367</v>
      </c>
      <c r="UQ7" s="29">
        <f t="shared" ca="1" si="602"/>
        <v>14734.075227804962</v>
      </c>
      <c r="UR7" s="29">
        <f t="shared" ca="1" si="603"/>
        <v>14686.386107644925</v>
      </c>
      <c r="US7" s="29">
        <f t="shared" ca="1" si="604"/>
        <v>14923.389788074935</v>
      </c>
      <c r="UT7" s="29">
        <f t="shared" ca="1" si="605"/>
        <v>14101.986073619662</v>
      </c>
      <c r="UU7" s="29">
        <f t="shared" ca="1" si="606"/>
        <v>14258.140473070716</v>
      </c>
      <c r="UV7" s="29">
        <f t="shared" ca="1" si="607"/>
        <v>14551.367809757143</v>
      </c>
      <c r="UW7" s="29">
        <f t="shared" ca="1" si="608"/>
        <v>14389.488851950991</v>
      </c>
      <c r="UX7" s="29">
        <f t="shared" ca="1" si="609"/>
        <v>14275.724809084988</v>
      </c>
      <c r="UY7" s="29">
        <f t="shared" ca="1" si="610"/>
        <v>14491.396842751616</v>
      </c>
      <c r="UZ7" s="29">
        <f t="shared" ca="1" si="611"/>
        <v>14213.100421423966</v>
      </c>
      <c r="VA7" s="29">
        <f t="shared" ca="1" si="612"/>
        <v>14725.687242148919</v>
      </c>
      <c r="VB7" s="29">
        <f t="shared" ca="1" si="613"/>
        <v>14537.109792522082</v>
      </c>
      <c r="VC7" s="29">
        <f t="shared" ca="1" si="614"/>
        <v>14085.492403657945</v>
      </c>
      <c r="VD7" s="29">
        <f t="shared" ca="1" si="615"/>
        <v>14358.863325005341</v>
      </c>
      <c r="VE7" s="29">
        <f t="shared" ca="1" si="616"/>
        <v>14947.128068603131</v>
      </c>
      <c r="VF7" s="29">
        <f t="shared" ca="1" si="617"/>
        <v>14362.153873820967</v>
      </c>
      <c r="VG7" s="29">
        <f t="shared" ca="1" si="618"/>
        <v>14481.48641201652</v>
      </c>
      <c r="VH7" s="29">
        <f t="shared" ca="1" si="619"/>
        <v>13846.875831781868</v>
      </c>
      <c r="VI7" s="29">
        <f t="shared" ca="1" si="620"/>
        <v>14361.467844257748</v>
      </c>
      <c r="VJ7" s="29">
        <f t="shared" ca="1" si="621"/>
        <v>13951.645350426972</v>
      </c>
      <c r="VK7" s="29">
        <f t="shared" ca="1" si="622"/>
        <v>14229.896268253618</v>
      </c>
      <c r="VL7" s="29">
        <f t="shared" ca="1" si="623"/>
        <v>13657.130894047088</v>
      </c>
      <c r="VM7" s="29">
        <f t="shared" ca="1" si="624"/>
        <v>14085.10459982976</v>
      </c>
      <c r="VN7" s="29">
        <f t="shared" ca="1" si="625"/>
        <v>14375.87583591918</v>
      </c>
      <c r="VO7" s="29">
        <f t="shared" ca="1" si="626"/>
        <v>15086.277850076827</v>
      </c>
      <c r="VP7" s="29">
        <f t="shared" ca="1" si="627"/>
        <v>14218.850517109917</v>
      </c>
      <c r="VQ7" s="29">
        <f t="shared" ca="1" si="628"/>
        <v>14481.100790717146</v>
      </c>
      <c r="VR7" s="29">
        <f t="shared" ca="1" si="629"/>
        <v>13931.912168869707</v>
      </c>
      <c r="VS7" s="29">
        <f t="shared" ca="1" si="630"/>
        <v>13736.419947743088</v>
      </c>
      <c r="VT7" s="29">
        <f t="shared" ca="1" si="631"/>
        <v>14270.357228826528</v>
      </c>
      <c r="VU7" s="29">
        <f t="shared" ca="1" si="632"/>
        <v>14936.02629085033</v>
      </c>
      <c r="VV7" s="29">
        <f t="shared" ca="1" si="633"/>
        <v>14603.986672957368</v>
      </c>
      <c r="VW7" s="29">
        <f t="shared" ca="1" si="634"/>
        <v>14590.237201907727</v>
      </c>
      <c r="VX7" s="29">
        <f t="shared" ca="1" si="635"/>
        <v>14779.522857675614</v>
      </c>
      <c r="VY7" s="29">
        <f t="shared" ca="1" si="636"/>
        <v>14802.986603128906</v>
      </c>
      <c r="VZ7" s="29">
        <f t="shared" ca="1" si="637"/>
        <v>14162.870713287775</v>
      </c>
      <c r="WA7" s="29">
        <f t="shared" ca="1" si="638"/>
        <v>14424.814830806941</v>
      </c>
      <c r="WB7" s="29">
        <f t="shared" ca="1" si="639"/>
        <v>14569.780007898375</v>
      </c>
      <c r="WC7" s="29">
        <f t="shared" ca="1" si="640"/>
        <v>14561.880598783324</v>
      </c>
      <c r="WD7" s="29">
        <f t="shared" ca="1" si="641"/>
        <v>14540.222391943042</v>
      </c>
      <c r="WE7" s="29">
        <f t="shared" ca="1" si="642"/>
        <v>14517.124865779717</v>
      </c>
      <c r="WF7" s="29">
        <f t="shared" ca="1" si="643"/>
        <v>14723.477309780854</v>
      </c>
      <c r="WG7" s="29">
        <f t="shared" ca="1" si="644"/>
        <v>14615.288525155602</v>
      </c>
      <c r="WH7" s="29">
        <f t="shared" ca="1" si="645"/>
        <v>13828.808708920915</v>
      </c>
      <c r="WI7" s="29">
        <f t="shared" ca="1" si="646"/>
        <v>14551.934771780265</v>
      </c>
      <c r="WJ7" s="29">
        <f t="shared" ca="1" si="647"/>
        <v>14585.114645226291</v>
      </c>
      <c r="WK7" s="29">
        <f t="shared" ca="1" si="648"/>
        <v>13804.973041496225</v>
      </c>
      <c r="WL7" s="29">
        <f t="shared" ca="1" si="649"/>
        <v>14463.432858699956</v>
      </c>
      <c r="WM7" s="29">
        <f t="shared" ca="1" si="650"/>
        <v>14375.294459130087</v>
      </c>
      <c r="WN7" s="29">
        <f t="shared" ca="1" si="651"/>
        <v>14493.837662955622</v>
      </c>
      <c r="WO7" s="29">
        <f t="shared" ca="1" si="652"/>
        <v>14676.318052576349</v>
      </c>
      <c r="WP7" s="29">
        <f t="shared" ca="1" si="653"/>
        <v>14342.350955259342</v>
      </c>
      <c r="WQ7" s="29">
        <f t="shared" ca="1" si="654"/>
        <v>14315.310567771934</v>
      </c>
      <c r="WR7" s="29">
        <f t="shared" ca="1" si="655"/>
        <v>14425.801558509598</v>
      </c>
      <c r="WS7" s="29">
        <f t="shared" ca="1" si="656"/>
        <v>13940.351946667981</v>
      </c>
      <c r="WT7" s="29">
        <f t="shared" ca="1" si="657"/>
        <v>14520.154344561412</v>
      </c>
      <c r="WU7" s="29">
        <f t="shared" ca="1" si="658"/>
        <v>14698.921136516758</v>
      </c>
      <c r="WV7" s="29">
        <f t="shared" ca="1" si="659"/>
        <v>14227.781113516716</v>
      </c>
      <c r="WW7" s="29">
        <f t="shared" ca="1" si="660"/>
        <v>13508.303988677026</v>
      </c>
      <c r="WX7" s="29">
        <f t="shared" ca="1" si="661"/>
        <v>14941.529864227748</v>
      </c>
      <c r="WY7" s="29">
        <f t="shared" ca="1" si="662"/>
        <v>14505.912692163478</v>
      </c>
      <c r="WZ7" s="29">
        <f t="shared" ca="1" si="663"/>
        <v>14363.746905880818</v>
      </c>
      <c r="XA7" s="29">
        <f t="shared" ca="1" si="664"/>
        <v>14507.727827388622</v>
      </c>
      <c r="XB7" s="29">
        <f t="shared" ca="1" si="665"/>
        <v>14225.826113559602</v>
      </c>
      <c r="XC7" s="29">
        <f t="shared" ca="1" si="666"/>
        <v>14056.969079621964</v>
      </c>
      <c r="XD7" s="29">
        <f t="shared" ca="1" si="667"/>
        <v>14190.020925097026</v>
      </c>
      <c r="XE7" s="29">
        <f t="shared" ca="1" si="668"/>
        <v>14039.676142284972</v>
      </c>
      <c r="XF7" s="29">
        <f t="shared" ca="1" si="669"/>
        <v>14299.375236073603</v>
      </c>
      <c r="XG7" s="29">
        <f t="shared" ca="1" si="670"/>
        <v>14231.750118791513</v>
      </c>
      <c r="XH7" s="29">
        <f t="shared" ca="1" si="671"/>
        <v>14185.796140973298</v>
      </c>
      <c r="XI7" s="29">
        <f t="shared" ca="1" si="672"/>
        <v>15011.872145153489</v>
      </c>
      <c r="XJ7" s="29">
        <f t="shared" ca="1" si="673"/>
        <v>14525.11653668313</v>
      </c>
      <c r="XK7" s="29">
        <f t="shared" ca="1" si="674"/>
        <v>13958.134723253384</v>
      </c>
      <c r="XL7" s="29">
        <f t="shared" ca="1" si="675"/>
        <v>14420.231561982901</v>
      </c>
      <c r="XM7" s="29">
        <f t="shared" ca="1" si="676"/>
        <v>13865.673827395487</v>
      </c>
      <c r="XN7" s="29">
        <f t="shared" ca="1" si="677"/>
        <v>14109.721819716186</v>
      </c>
      <c r="XO7" s="29">
        <f t="shared" ca="1" si="678"/>
        <v>14339.975125679235</v>
      </c>
      <c r="XP7" s="29">
        <f t="shared" ca="1" si="679"/>
        <v>14833.98971884075</v>
      </c>
      <c r="XQ7" s="29">
        <f t="shared" ca="1" si="680"/>
        <v>14550.13549322226</v>
      </c>
      <c r="XR7" s="29">
        <f t="shared" ca="1" si="681"/>
        <v>14176.78279353558</v>
      </c>
      <c r="XS7" s="29">
        <f t="shared" ca="1" si="682"/>
        <v>14207.172494513734</v>
      </c>
      <c r="XT7" s="29">
        <f t="shared" ca="1" si="683"/>
        <v>14618.108718621459</v>
      </c>
      <c r="XU7" s="29">
        <f t="shared" ca="1" si="684"/>
        <v>14744.179177767719</v>
      </c>
      <c r="XV7" s="29">
        <f t="shared" ca="1" si="685"/>
        <v>14729.71074953318</v>
      </c>
      <c r="XW7" s="29">
        <f t="shared" ca="1" si="686"/>
        <v>14476.043770822445</v>
      </c>
      <c r="XX7" s="29">
        <f t="shared" ca="1" si="687"/>
        <v>14063.407724901828</v>
      </c>
      <c r="XY7" s="29">
        <f t="shared" ca="1" si="688"/>
        <v>14601.999042542393</v>
      </c>
      <c r="XZ7" s="29">
        <f t="shared" ca="1" si="689"/>
        <v>14928.719082156809</v>
      </c>
      <c r="YA7" s="29">
        <f t="shared" ca="1" si="690"/>
        <v>14841.930769354702</v>
      </c>
      <c r="YB7" s="29">
        <f t="shared" ca="1" si="691"/>
        <v>14326.895016237579</v>
      </c>
      <c r="YC7" s="29">
        <f t="shared" ca="1" si="692"/>
        <v>14270.526690036766</v>
      </c>
      <c r="YD7" s="29">
        <f t="shared" ca="1" si="693"/>
        <v>13964.4522889539</v>
      </c>
      <c r="YE7" s="29">
        <f t="shared" ca="1" si="694"/>
        <v>14721.135909186971</v>
      </c>
      <c r="YF7" s="29">
        <f t="shared" ca="1" si="695"/>
        <v>14254.03442289618</v>
      </c>
      <c r="YG7" s="29">
        <f t="shared" ca="1" si="696"/>
        <v>14363.676905770133</v>
      </c>
      <c r="YH7" s="29">
        <f t="shared" ca="1" si="697"/>
        <v>14093.891964828124</v>
      </c>
      <c r="YI7" s="29">
        <f t="shared" ca="1" si="698"/>
        <v>13985.458362084697</v>
      </c>
      <c r="YJ7" s="29">
        <f t="shared" ca="1" si="699"/>
        <v>14196.892744021365</v>
      </c>
      <c r="YK7" s="29">
        <f t="shared" ca="1" si="700"/>
        <v>13926.160902017184</v>
      </c>
      <c r="YL7" s="29">
        <f t="shared" ca="1" si="701"/>
        <v>14052.314648824589</v>
      </c>
      <c r="YM7" s="29">
        <f t="shared" ca="1" si="702"/>
        <v>14167.105637818995</v>
      </c>
      <c r="YN7" s="29">
        <f t="shared" ca="1" si="703"/>
        <v>14541.112501196932</v>
      </c>
      <c r="YO7" s="29">
        <f t="shared" ca="1" si="704"/>
        <v>13862.068509263103</v>
      </c>
      <c r="YP7" s="29">
        <f t="shared" ca="1" si="705"/>
        <v>14555.591017771912</v>
      </c>
      <c r="YQ7" s="29">
        <f t="shared" ca="1" si="706"/>
        <v>14443.454179653216</v>
      </c>
      <c r="YR7" s="29">
        <f t="shared" ca="1" si="707"/>
        <v>14063.261767489957</v>
      </c>
      <c r="YS7" s="29">
        <f t="shared" ca="1" si="708"/>
        <v>14508.539968926319</v>
      </c>
      <c r="YT7" s="29">
        <f t="shared" ca="1" si="709"/>
        <v>14249.14407366902</v>
      </c>
      <c r="YU7" s="29">
        <f t="shared" ca="1" si="710"/>
        <v>14580.266535719324</v>
      </c>
      <c r="YV7" s="29">
        <f t="shared" ca="1" si="711"/>
        <v>14259.704714737007</v>
      </c>
      <c r="YW7" s="29">
        <f t="shared" ca="1" si="712"/>
        <v>14336.984709094097</v>
      </c>
      <c r="YX7" s="29">
        <f t="shared" ca="1" si="713"/>
        <v>14641.057130460636</v>
      </c>
      <c r="YY7" s="29">
        <f t="shared" ca="1" si="714"/>
        <v>13978.082687970909</v>
      </c>
      <c r="YZ7" s="29">
        <f t="shared" ca="1" si="715"/>
        <v>14682.079079462417</v>
      </c>
      <c r="ZA7" s="29">
        <f t="shared" ca="1" si="716"/>
        <v>14513.221796773256</v>
      </c>
      <c r="ZB7" s="29">
        <f t="shared" ca="1" si="717"/>
        <v>14192.821684093433</v>
      </c>
      <c r="ZC7" s="29">
        <f t="shared" ca="1" si="718"/>
        <v>14350.169151007862</v>
      </c>
      <c r="ZD7" s="29">
        <f t="shared" ca="1" si="719"/>
        <v>14293.276069477422</v>
      </c>
      <c r="ZE7" s="29">
        <f t="shared" ca="1" si="720"/>
        <v>13809.671644712316</v>
      </c>
      <c r="ZF7" s="29">
        <f t="shared" ca="1" si="721"/>
        <v>14510.088562343555</v>
      </c>
      <c r="ZG7" s="29">
        <f t="shared" ca="1" si="722"/>
        <v>13495.988439983574</v>
      </c>
      <c r="ZH7" s="29">
        <f t="shared" ca="1" si="723"/>
        <v>14588.265627986977</v>
      </c>
      <c r="ZI7" s="29">
        <f t="shared" ca="1" si="724"/>
        <v>13836.724029417121</v>
      </c>
      <c r="ZJ7" s="29">
        <f t="shared" ca="1" si="725"/>
        <v>14615.628630586969</v>
      </c>
      <c r="ZK7" s="29">
        <f t="shared" ca="1" si="726"/>
        <v>13522.317761155024</v>
      </c>
      <c r="ZL7" s="29">
        <f t="shared" ca="1" si="727"/>
        <v>13775.959285379695</v>
      </c>
      <c r="ZM7" s="29">
        <f t="shared" ca="1" si="728"/>
        <v>13807.111291107478</v>
      </c>
      <c r="ZN7" s="29">
        <f t="shared" ca="1" si="729"/>
        <v>14067.030728082165</v>
      </c>
      <c r="ZO7" s="29">
        <f t="shared" ca="1" si="730"/>
        <v>14798.799291906606</v>
      </c>
      <c r="ZP7" s="29">
        <f t="shared" ca="1" si="731"/>
        <v>14137.908065709173</v>
      </c>
      <c r="ZQ7" s="29">
        <f t="shared" ca="1" si="732"/>
        <v>14157.260978517939</v>
      </c>
      <c r="ZR7" s="29">
        <f t="shared" ca="1" si="733"/>
        <v>14459.282107254574</v>
      </c>
      <c r="ZS7" s="29">
        <f t="shared" ca="1" si="734"/>
        <v>14614.05796870574</v>
      </c>
      <c r="ZT7" s="29">
        <f t="shared" ca="1" si="735"/>
        <v>14418.118962452521</v>
      </c>
      <c r="ZU7" s="29">
        <f t="shared" ca="1" si="736"/>
        <v>14322.393978403548</v>
      </c>
      <c r="ZV7" s="29">
        <f t="shared" ca="1" si="737"/>
        <v>14236.340644900582</v>
      </c>
      <c r="ZW7" s="29">
        <f t="shared" ca="1" si="738"/>
        <v>14576.763618616649</v>
      </c>
      <c r="ZX7" s="29">
        <f t="shared" ca="1" si="739"/>
        <v>14667.616902521309</v>
      </c>
      <c r="ZY7" s="29">
        <f t="shared" ca="1" si="740"/>
        <v>14438.430923696093</v>
      </c>
      <c r="ZZ7" s="29">
        <f t="shared" ca="1" si="741"/>
        <v>14271.450511793264</v>
      </c>
      <c r="AAA7" s="29">
        <f t="shared" ca="1" si="742"/>
        <v>15307.70572840909</v>
      </c>
      <c r="AAB7" s="29">
        <f t="shared" ca="1" si="743"/>
        <v>14503.014548527657</v>
      </c>
      <c r="AAC7" s="29">
        <f t="shared" ca="1" si="744"/>
        <v>14687.332679137082</v>
      </c>
      <c r="AAD7" s="29">
        <f t="shared" ca="1" si="745"/>
        <v>14349.325719355174</v>
      </c>
      <c r="AAE7" s="29">
        <f t="shared" ca="1" si="746"/>
        <v>13674.810198140696</v>
      </c>
      <c r="AAF7" s="29">
        <f t="shared" ca="1" si="747"/>
        <v>14852.568418003801</v>
      </c>
      <c r="AAG7" s="29">
        <f t="shared" ca="1" si="748"/>
        <v>14239.486631071562</v>
      </c>
      <c r="AAH7" s="29">
        <f t="shared" ca="1" si="749"/>
        <v>14665.289822674755</v>
      </c>
      <c r="AAI7" s="29">
        <f t="shared" ca="1" si="750"/>
        <v>14281.778978281463</v>
      </c>
      <c r="AAJ7" s="29">
        <f t="shared" ca="1" si="751"/>
        <v>14199.263800746594</v>
      </c>
      <c r="AAK7" s="29">
        <f t="shared" ca="1" si="752"/>
        <v>14643.115438910154</v>
      </c>
      <c r="AAL7" s="29">
        <f t="shared" ca="1" si="753"/>
        <v>14260.979648657918</v>
      </c>
      <c r="AAM7" s="29">
        <f t="shared" ca="1" si="754"/>
        <v>14663.791046226474</v>
      </c>
      <c r="AAN7" s="29">
        <f t="shared" ca="1" si="755"/>
        <v>15060.322349714914</v>
      </c>
      <c r="AAO7" s="29">
        <f t="shared" ca="1" si="756"/>
        <v>14631.667428892841</v>
      </c>
      <c r="AAP7" s="29">
        <f t="shared" ca="1" si="757"/>
        <v>15047.902510201315</v>
      </c>
      <c r="AAQ7" s="29">
        <f t="shared" ca="1" si="758"/>
        <v>14462.316506047535</v>
      </c>
      <c r="AAR7" s="29">
        <f t="shared" ca="1" si="759"/>
        <v>14945.671070173252</v>
      </c>
      <c r="AAS7" s="29">
        <f t="shared" ca="1" si="760"/>
        <v>14483.828366595071</v>
      </c>
      <c r="AAT7" s="29">
        <f t="shared" ca="1" si="761"/>
        <v>14439.771103040039</v>
      </c>
      <c r="AAU7" s="29">
        <f t="shared" ca="1" si="762"/>
        <v>14538.347166069441</v>
      </c>
      <c r="AAV7" s="29">
        <f t="shared" ca="1" si="763"/>
        <v>13842.010990533849</v>
      </c>
      <c r="AAW7" s="29">
        <f t="shared" ca="1" si="764"/>
        <v>14154.437106601026</v>
      </c>
      <c r="AAX7" s="29">
        <f t="shared" ca="1" si="765"/>
        <v>14619.740370478747</v>
      </c>
      <c r="AAY7" s="29">
        <f t="shared" ca="1" si="766"/>
        <v>14473.971425865269</v>
      </c>
      <c r="AAZ7" s="29">
        <f t="shared" ca="1" si="767"/>
        <v>14335.182255337966</v>
      </c>
      <c r="ABA7" s="29">
        <f t="shared" ca="1" si="768"/>
        <v>14718.44367214223</v>
      </c>
      <c r="ABB7" s="29">
        <f t="shared" ca="1" si="769"/>
        <v>14407.670883396435</v>
      </c>
      <c r="ABC7" s="29">
        <f t="shared" ca="1" si="770"/>
        <v>14568.634221737175</v>
      </c>
      <c r="ABD7" s="29">
        <f t="shared" ca="1" si="771"/>
        <v>14193.243045761103</v>
      </c>
      <c r="ABE7" s="29">
        <f t="shared" ca="1" si="772"/>
        <v>13589.042347728517</v>
      </c>
      <c r="ABF7" s="29">
        <f t="shared" ca="1" si="773"/>
        <v>14770.756726782964</v>
      </c>
      <c r="ABG7" s="29">
        <f t="shared" ca="1" si="774"/>
        <v>14450.265084220206</v>
      </c>
      <c r="ABH7" s="29">
        <f t="shared" ca="1" si="775"/>
        <v>14517.637763975486</v>
      </c>
      <c r="ABI7" s="29">
        <f t="shared" ca="1" si="776"/>
        <v>14449.800663687814</v>
      </c>
      <c r="ABJ7" s="29">
        <f t="shared" ca="1" si="777"/>
        <v>14156.107876709822</v>
      </c>
      <c r="ABK7" s="29">
        <f t="shared" ca="1" si="778"/>
        <v>14916.590282557383</v>
      </c>
      <c r="ABL7" s="29">
        <f t="shared" ca="1" si="779"/>
        <v>14699.541146200834</v>
      </c>
      <c r="ABM7" s="29">
        <f t="shared" ca="1" si="780"/>
        <v>14912.249336329502</v>
      </c>
      <c r="ABN7" s="29">
        <f t="shared" ca="1" si="781"/>
        <v>14359.461459890421</v>
      </c>
      <c r="ABO7" s="29">
        <f t="shared" ca="1" si="782"/>
        <v>14314.364044026484</v>
      </c>
      <c r="ABP7" s="29">
        <f t="shared" ca="1" si="783"/>
        <v>14351.459397553095</v>
      </c>
      <c r="ABQ7" s="29">
        <f t="shared" ca="1" si="784"/>
        <v>14174.624153491868</v>
      </c>
      <c r="ABR7" s="29">
        <f t="shared" ca="1" si="785"/>
        <v>13841.917887930789</v>
      </c>
      <c r="ABS7" s="29">
        <f t="shared" ca="1" si="786"/>
        <v>14557.034144021281</v>
      </c>
      <c r="ABT7" s="29">
        <f t="shared" ca="1" si="787"/>
        <v>14404.886546182464</v>
      </c>
      <c r="ABU7" s="29">
        <f t="shared" ca="1" si="788"/>
        <v>14412.530490627269</v>
      </c>
      <c r="ABV7" s="29">
        <f t="shared" ca="1" si="789"/>
        <v>14975.495945864614</v>
      </c>
      <c r="ABW7" s="29">
        <f t="shared" ca="1" si="790"/>
        <v>14743.486565540861</v>
      </c>
      <c r="ABX7" s="29">
        <f t="shared" ca="1" si="791"/>
        <v>14828.604469316255</v>
      </c>
      <c r="ABY7" s="29">
        <f t="shared" ca="1" si="792"/>
        <v>14309.44650821661</v>
      </c>
      <c r="ABZ7" s="29">
        <f t="shared" ca="1" si="793"/>
        <v>14587.121355717256</v>
      </c>
      <c r="ACA7" s="29">
        <f t="shared" ca="1" si="794"/>
        <v>14693.2264470343</v>
      </c>
      <c r="ACB7" s="29">
        <f t="shared" ca="1" si="795"/>
        <v>14942.785846678638</v>
      </c>
      <c r="ACC7" s="29">
        <f t="shared" ca="1" si="796"/>
        <v>14263.90611185554</v>
      </c>
      <c r="ACD7" s="29">
        <f t="shared" ca="1" si="797"/>
        <v>14291.67597424108</v>
      </c>
      <c r="ACE7" s="29">
        <f t="shared" ca="1" si="798"/>
        <v>14631.030029250434</v>
      </c>
      <c r="ACF7" s="29">
        <f t="shared" ca="1" si="799"/>
        <v>14063.956626157526</v>
      </c>
      <c r="ACG7" s="29">
        <f t="shared" ca="1" si="800"/>
        <v>14108.8389925171</v>
      </c>
      <c r="ACH7" s="29">
        <f t="shared" ca="1" si="801"/>
        <v>14129.669053495554</v>
      </c>
      <c r="ACI7" s="29">
        <f t="shared" ca="1" si="802"/>
        <v>14880.311004029554</v>
      </c>
      <c r="ACJ7" s="29">
        <f t="shared" ca="1" si="803"/>
        <v>14457.674071468364</v>
      </c>
      <c r="ACK7" s="29">
        <f t="shared" ca="1" si="804"/>
        <v>14335.193108724377</v>
      </c>
      <c r="ACL7" s="29">
        <f t="shared" ca="1" si="805"/>
        <v>13566.504679781421</v>
      </c>
      <c r="ACM7" s="29">
        <f t="shared" ca="1" si="806"/>
        <v>14409.150437021208</v>
      </c>
      <c r="ACN7" s="29">
        <f t="shared" ca="1" si="807"/>
        <v>14818.067571053271</v>
      </c>
      <c r="ACO7" s="29">
        <f t="shared" ca="1" si="808"/>
        <v>15362.468415272184</v>
      </c>
      <c r="ACP7" s="29">
        <f t="shared" ca="1" si="809"/>
        <v>14180.650544016429</v>
      </c>
      <c r="ACQ7" s="29">
        <f t="shared" ca="1" si="810"/>
        <v>14721.330540185552</v>
      </c>
      <c r="ACR7" s="29">
        <f t="shared" ca="1" si="811"/>
        <v>14152.194029391141</v>
      </c>
      <c r="ACS7" s="29">
        <f t="shared" ca="1" si="812"/>
        <v>13869.57357961422</v>
      </c>
      <c r="ACT7" s="29">
        <f t="shared" ca="1" si="813"/>
        <v>14364.969408513596</v>
      </c>
      <c r="ACU7" s="29">
        <f t="shared" ca="1" si="814"/>
        <v>14305.734323172646</v>
      </c>
      <c r="ACV7" s="29">
        <f t="shared" ca="1" si="815"/>
        <v>14808.156315961471</v>
      </c>
      <c r="ACW7" s="29">
        <f t="shared" ca="1" si="816"/>
        <v>14271.687707217847</v>
      </c>
      <c r="ACX7" s="29">
        <f t="shared" ca="1" si="817"/>
        <v>14745.570606093755</v>
      </c>
      <c r="ACY7" s="29">
        <f t="shared" ca="1" si="818"/>
        <v>14465.317269841424</v>
      </c>
      <c r="ACZ7" s="29">
        <f t="shared" ca="1" si="819"/>
        <v>14297.082102223707</v>
      </c>
      <c r="ADA7" s="29">
        <f t="shared" ca="1" si="820"/>
        <v>14224.652435944454</v>
      </c>
      <c r="ADB7" s="29">
        <f t="shared" ca="1" si="821"/>
        <v>14137.001424644632</v>
      </c>
      <c r="ADC7" s="29">
        <f t="shared" ca="1" si="822"/>
        <v>14019.187058122672</v>
      </c>
      <c r="ADD7" s="29">
        <f t="shared" ca="1" si="823"/>
        <v>14629.744827481823</v>
      </c>
      <c r="ADE7" s="29">
        <f t="shared" ca="1" si="824"/>
        <v>14777.169669251116</v>
      </c>
      <c r="ADF7" s="29">
        <f t="shared" ca="1" si="825"/>
        <v>13805.229286553327</v>
      </c>
      <c r="ADG7" s="29">
        <f t="shared" ca="1" si="826"/>
        <v>14751.844590665632</v>
      </c>
      <c r="ADH7" s="29">
        <f t="shared" ca="1" si="827"/>
        <v>14838.544854928979</v>
      </c>
      <c r="ADI7" s="29">
        <f t="shared" ca="1" si="828"/>
        <v>14145.776268429696</v>
      </c>
      <c r="ADJ7" s="29">
        <f t="shared" ca="1" si="829"/>
        <v>14714.742341909285</v>
      </c>
      <c r="ADK7" s="29">
        <f t="shared" ca="1" si="830"/>
        <v>15099.002463647053</v>
      </c>
      <c r="ADL7" s="29">
        <f t="shared" ca="1" si="831"/>
        <v>14258.091447562309</v>
      </c>
      <c r="ADM7" s="29">
        <f t="shared" ca="1" si="832"/>
        <v>14200.226916544389</v>
      </c>
      <c r="ADN7" s="29">
        <f t="shared" ca="1" si="833"/>
        <v>14197.54798623253</v>
      </c>
      <c r="ADO7" s="29">
        <f t="shared" ca="1" si="834"/>
        <v>14811.964035297156</v>
      </c>
      <c r="ADP7" s="29">
        <f t="shared" ca="1" si="835"/>
        <v>14366.644218952839</v>
      </c>
      <c r="ADQ7" s="29">
        <f t="shared" ca="1" si="836"/>
        <v>15029.213293910858</v>
      </c>
      <c r="ADR7" s="29">
        <f t="shared" ca="1" si="837"/>
        <v>14272.289648742815</v>
      </c>
      <c r="ADS7" s="29">
        <f t="shared" ca="1" si="838"/>
        <v>14302.8867543371</v>
      </c>
      <c r="ADT7" s="29">
        <f t="shared" ca="1" si="839"/>
        <v>14570.467035781081</v>
      </c>
      <c r="ADU7" s="29">
        <f t="shared" ca="1" si="840"/>
        <v>14403.854366755941</v>
      </c>
      <c r="ADV7" s="29">
        <f t="shared" ca="1" si="841"/>
        <v>14301.271362675621</v>
      </c>
      <c r="ADW7" s="29">
        <f t="shared" ca="1" si="842"/>
        <v>14859.483156308092</v>
      </c>
      <c r="ADX7" s="29">
        <f t="shared" ca="1" si="843"/>
        <v>14188.68161030969</v>
      </c>
      <c r="ADY7" s="29">
        <f t="shared" ca="1" si="844"/>
        <v>15281.999841489669</v>
      </c>
      <c r="ADZ7" s="29">
        <f t="shared" ca="1" si="845"/>
        <v>14425.21276089335</v>
      </c>
      <c r="AEA7" s="29">
        <f t="shared" ca="1" si="846"/>
        <v>14631.354863781777</v>
      </c>
      <c r="AEB7" s="29">
        <f t="shared" ca="1" si="847"/>
        <v>14054.292179275675</v>
      </c>
      <c r="AEC7" s="29">
        <f t="shared" ca="1" si="848"/>
        <v>14417.103580384639</v>
      </c>
      <c r="AED7" s="29">
        <f t="shared" ca="1" si="849"/>
        <v>14212.263439653399</v>
      </c>
      <c r="AEE7" s="29">
        <f t="shared" ca="1" si="850"/>
        <v>14716.585001622097</v>
      </c>
      <c r="AEF7" s="29">
        <f t="shared" ca="1" si="851"/>
        <v>14237.753841201938</v>
      </c>
      <c r="AEG7" s="29">
        <f t="shared" ca="1" si="852"/>
        <v>14726.282253896692</v>
      </c>
      <c r="AEH7" s="29">
        <f t="shared" ca="1" si="853"/>
        <v>14032.434936727584</v>
      </c>
      <c r="AEI7" s="29">
        <f t="shared" ca="1" si="854"/>
        <v>14324.078392651576</v>
      </c>
      <c r="AEJ7" s="29">
        <f t="shared" ca="1" si="855"/>
        <v>14644.885231660201</v>
      </c>
      <c r="AEK7" s="29">
        <f t="shared" ca="1" si="856"/>
        <v>14494.991009109342</v>
      </c>
      <c r="AEL7" s="29">
        <f t="shared" ca="1" si="857"/>
        <v>13877.305123129179</v>
      </c>
      <c r="AEM7" s="29">
        <f t="shared" ca="1" si="858"/>
        <v>14645.891027498648</v>
      </c>
      <c r="AEN7" s="29">
        <f t="shared" ca="1" si="859"/>
        <v>14676.300537081528</v>
      </c>
      <c r="AEO7" s="29">
        <f t="shared" ca="1" si="860"/>
        <v>14410.668832070744</v>
      </c>
      <c r="AEP7" s="29">
        <f t="shared" ca="1" si="861"/>
        <v>14840.213397609894</v>
      </c>
      <c r="AEQ7" s="29">
        <f t="shared" ca="1" si="862"/>
        <v>14611.525581913187</v>
      </c>
      <c r="AER7" s="29">
        <f t="shared" ca="1" si="863"/>
        <v>14182.700497459839</v>
      </c>
      <c r="AES7" s="29">
        <f t="shared" ca="1" si="864"/>
        <v>14550.285373392291</v>
      </c>
      <c r="AET7" s="29">
        <f t="shared" ca="1" si="865"/>
        <v>14726.745321196664</v>
      </c>
      <c r="AEU7" s="29">
        <f t="shared" ca="1" si="866"/>
        <v>13787.097956796844</v>
      </c>
      <c r="AEV7" s="29">
        <f t="shared" ca="1" si="867"/>
        <v>14806.691770848654</v>
      </c>
      <c r="AEW7" s="29">
        <f t="shared" ca="1" si="868"/>
        <v>14131.884457872855</v>
      </c>
      <c r="AEX7" s="29">
        <f t="shared" ca="1" si="869"/>
        <v>14182.54419161529</v>
      </c>
      <c r="AEY7" s="29">
        <f t="shared" ca="1" si="870"/>
        <v>14204.936332203684</v>
      </c>
      <c r="AEZ7" s="29">
        <f t="shared" ca="1" si="871"/>
        <v>14154.552213963982</v>
      </c>
      <c r="AFA7" s="29">
        <f t="shared" ca="1" si="872"/>
        <v>14779.72637733386</v>
      </c>
      <c r="AFB7" s="29">
        <f t="shared" ca="1" si="873"/>
        <v>13841.853467824018</v>
      </c>
      <c r="AFC7" s="29">
        <f t="shared" ca="1" si="874"/>
        <v>14611.286950141119</v>
      </c>
      <c r="AFD7" s="29">
        <f t="shared" ca="1" si="875"/>
        <v>14700.873888164342</v>
      </c>
      <c r="AFE7" s="29">
        <f t="shared" ca="1" si="876"/>
        <v>15098.692772930261</v>
      </c>
      <c r="AFF7" s="29">
        <f t="shared" ca="1" si="877"/>
        <v>14254.665171782643</v>
      </c>
      <c r="AFG7" s="29">
        <f t="shared" ca="1" si="878"/>
        <v>14720.824559718385</v>
      </c>
      <c r="AFH7" s="29">
        <f t="shared" ca="1" si="879"/>
        <v>14396.82187107853</v>
      </c>
      <c r="AFI7" s="29">
        <f t="shared" ca="1" si="880"/>
        <v>14285.687295187783</v>
      </c>
      <c r="AFJ7" s="29">
        <f t="shared" ca="1" si="881"/>
        <v>14627.23460083847</v>
      </c>
      <c r="AFK7" s="29">
        <f t="shared" ca="1" si="882"/>
        <v>14505.961744145487</v>
      </c>
      <c r="AFL7" s="29">
        <f t="shared" ca="1" si="883"/>
        <v>14474.417776215238</v>
      </c>
      <c r="AFM7" s="29">
        <f t="shared" ca="1" si="884"/>
        <v>14036.858569868542</v>
      </c>
      <c r="AFN7" s="29">
        <f t="shared" ca="1" si="885"/>
        <v>14302.187562186398</v>
      </c>
      <c r="AFO7" s="29">
        <f t="shared" ca="1" si="886"/>
        <v>15118.307352231994</v>
      </c>
      <c r="AFP7" s="29">
        <f t="shared" ca="1" si="887"/>
        <v>14726.723388373262</v>
      </c>
      <c r="AFQ7" s="29">
        <f t="shared" ca="1" si="888"/>
        <v>14160.552617625435</v>
      </c>
      <c r="AFR7" s="29">
        <f t="shared" ca="1" si="889"/>
        <v>14458.987884124641</v>
      </c>
      <c r="AFS7" s="29">
        <f t="shared" ca="1" si="890"/>
        <v>14453.921607367571</v>
      </c>
      <c r="AFT7" s="29">
        <f t="shared" ca="1" si="891"/>
        <v>15038.990779650714</v>
      </c>
      <c r="AFU7" s="29">
        <f t="shared" ca="1" si="892"/>
        <v>14136.313606822292</v>
      </c>
      <c r="AFV7" s="29">
        <f t="shared" ca="1" si="893"/>
        <v>14473.528084587209</v>
      </c>
      <c r="AFW7" s="29">
        <f t="shared" ca="1" si="894"/>
        <v>14379.196597927095</v>
      </c>
      <c r="AFX7" s="29">
        <f t="shared" ca="1" si="895"/>
        <v>14478.03421341697</v>
      </c>
      <c r="AFY7" s="29">
        <f t="shared" ca="1" si="896"/>
        <v>14961.993424901655</v>
      </c>
      <c r="AFZ7" s="29">
        <f t="shared" ca="1" si="897"/>
        <v>14318.011702106209</v>
      </c>
      <c r="AGA7" s="29">
        <f t="shared" ca="1" si="898"/>
        <v>14497.460800081297</v>
      </c>
      <c r="AGB7" s="29">
        <f t="shared" ca="1" si="899"/>
        <v>14240.993470271944</v>
      </c>
      <c r="AGC7" s="29">
        <f t="shared" ca="1" si="900"/>
        <v>14755.049771130176</v>
      </c>
      <c r="AGD7" s="29">
        <f t="shared" ca="1" si="901"/>
        <v>14255.222769767968</v>
      </c>
      <c r="AGE7" s="29">
        <f t="shared" ca="1" si="902"/>
        <v>14092.14299950627</v>
      </c>
      <c r="AGF7" s="29">
        <f t="shared" ca="1" si="903"/>
        <v>14399.958363606431</v>
      </c>
      <c r="AGG7" s="29">
        <f t="shared" ca="1" si="904"/>
        <v>14053.96506843106</v>
      </c>
      <c r="AGH7" s="29">
        <f t="shared" ca="1" si="905"/>
        <v>14568.192060463802</v>
      </c>
      <c r="AGI7" s="29">
        <f t="shared" ca="1" si="906"/>
        <v>14587.926221316349</v>
      </c>
      <c r="AGJ7" s="29">
        <f t="shared" ca="1" si="907"/>
        <v>14912.195732907121</v>
      </c>
      <c r="AGK7" s="29">
        <f t="shared" ca="1" si="908"/>
        <v>14485.708122204263</v>
      </c>
      <c r="AGL7" s="29">
        <f t="shared" ca="1" si="909"/>
        <v>14108.445571364682</v>
      </c>
      <c r="AGM7" s="29">
        <f t="shared" ca="1" si="910"/>
        <v>14732.02485508395</v>
      </c>
      <c r="AGN7" s="29">
        <f t="shared" ca="1" si="911"/>
        <v>14071.630864027326</v>
      </c>
      <c r="AGO7" s="29">
        <f t="shared" ca="1" si="912"/>
        <v>14458.958527157343</v>
      </c>
      <c r="AGP7" s="29">
        <f t="shared" ca="1" si="913"/>
        <v>13912.004322974537</v>
      </c>
      <c r="AGQ7" s="29">
        <f t="shared" ca="1" si="914"/>
        <v>14726.105119769463</v>
      </c>
      <c r="AGR7" s="29">
        <f t="shared" ca="1" si="915"/>
        <v>14164.967511070254</v>
      </c>
      <c r="AGS7" s="29">
        <f t="shared" ca="1" si="916"/>
        <v>14286.40464960005</v>
      </c>
      <c r="AGT7" s="29">
        <f t="shared" ca="1" si="917"/>
        <v>14106.451311970661</v>
      </c>
      <c r="AGU7" s="29">
        <f t="shared" ca="1" si="918"/>
        <v>14559.118174179084</v>
      </c>
      <c r="AGV7" s="29">
        <f t="shared" ca="1" si="919"/>
        <v>14266.193622802544</v>
      </c>
      <c r="AGW7" s="29">
        <f t="shared" ca="1" si="920"/>
        <v>14862.681727105815</v>
      </c>
      <c r="AGX7" s="29">
        <f t="shared" ca="1" si="921"/>
        <v>14449.260344008488</v>
      </c>
      <c r="AGY7" s="29">
        <f t="shared" ca="1" si="922"/>
        <v>14449.571900133136</v>
      </c>
      <c r="AGZ7" s="29">
        <f t="shared" ca="1" si="923"/>
        <v>14319.183204213032</v>
      </c>
      <c r="AHA7" s="29">
        <f t="shared" ca="1" si="924"/>
        <v>14054.24489608267</v>
      </c>
      <c r="AHB7" s="29">
        <f t="shared" ca="1" si="925"/>
        <v>14179.988079478535</v>
      </c>
      <c r="AHC7" s="29">
        <f t="shared" ca="1" si="926"/>
        <v>14551.150380682899</v>
      </c>
      <c r="AHD7" s="29">
        <f t="shared" ca="1" si="927"/>
        <v>13801.372151945196</v>
      </c>
      <c r="AHE7" s="29">
        <f t="shared" ca="1" si="928"/>
        <v>14866.058261823706</v>
      </c>
      <c r="AHF7" s="29">
        <f t="shared" ca="1" si="929"/>
        <v>14240.513204899456</v>
      </c>
      <c r="AHG7" s="29">
        <f t="shared" ca="1" si="930"/>
        <v>14974.053678518305</v>
      </c>
      <c r="AHH7" s="29">
        <f t="shared" ca="1" si="931"/>
        <v>14788.014377310761</v>
      </c>
      <c r="AHI7" s="29">
        <f t="shared" ca="1" si="932"/>
        <v>14179.143522796749</v>
      </c>
      <c r="AHJ7" s="29">
        <f t="shared" ca="1" si="933"/>
        <v>14410.052109335222</v>
      </c>
      <c r="AHK7" s="29">
        <f t="shared" ca="1" si="934"/>
        <v>15123.404588605004</v>
      </c>
      <c r="AHL7" s="29">
        <f t="shared" ca="1" si="935"/>
        <v>14616.784181874082</v>
      </c>
      <c r="AHM7" s="29">
        <f t="shared" ca="1" si="936"/>
        <v>15086.134064831102</v>
      </c>
      <c r="AHN7" s="29">
        <f t="shared" ca="1" si="937"/>
        <v>14210.592549950021</v>
      </c>
      <c r="AHO7" s="29">
        <f t="shared" ca="1" si="938"/>
        <v>14839.165778578305</v>
      </c>
      <c r="AHP7" s="29">
        <f t="shared" ca="1" si="939"/>
        <v>14314.774618419691</v>
      </c>
      <c r="AHQ7" s="29">
        <f t="shared" ca="1" si="940"/>
        <v>14604.069352904566</v>
      </c>
      <c r="AHR7" s="29">
        <f t="shared" ca="1" si="941"/>
        <v>14673.180721952491</v>
      </c>
      <c r="AHS7" s="29">
        <f t="shared" ca="1" si="942"/>
        <v>14132.452537996638</v>
      </c>
      <c r="AHT7" s="29">
        <f t="shared" ca="1" si="943"/>
        <v>14509.855899079239</v>
      </c>
      <c r="AHU7" s="29">
        <f t="shared" ca="1" si="944"/>
        <v>14339.15920761905</v>
      </c>
      <c r="AHV7" s="29">
        <f t="shared" ca="1" si="945"/>
        <v>14077.800680148237</v>
      </c>
      <c r="AHW7" s="29">
        <f t="shared" ca="1" si="946"/>
        <v>14181.253717893675</v>
      </c>
      <c r="AHX7" s="29">
        <f t="shared" ca="1" si="947"/>
        <v>14378.276887801379</v>
      </c>
      <c r="AHY7" s="29">
        <f t="shared" ca="1" si="948"/>
        <v>14358.96819383529</v>
      </c>
      <c r="AHZ7" s="29">
        <f t="shared" ca="1" si="949"/>
        <v>13748.335430423607</v>
      </c>
      <c r="AIA7" s="29">
        <f t="shared" ca="1" si="950"/>
        <v>14552.092682712926</v>
      </c>
      <c r="AIB7" s="29">
        <f t="shared" ca="1" si="951"/>
        <v>14479.998771363082</v>
      </c>
      <c r="AIC7" s="29">
        <f t="shared" ca="1" si="952"/>
        <v>14564.664740595716</v>
      </c>
      <c r="AID7" s="29">
        <f t="shared" ca="1" si="953"/>
        <v>14652.768395727358</v>
      </c>
      <c r="AIE7" s="29">
        <f t="shared" ca="1" si="954"/>
        <v>14064.074741157132</v>
      </c>
      <c r="AIF7" s="29">
        <f t="shared" ca="1" si="955"/>
        <v>14145.427984406475</v>
      </c>
      <c r="AIG7" s="29">
        <f t="shared" ca="1" si="956"/>
        <v>14449.621370135017</v>
      </c>
      <c r="AIH7" s="29">
        <f t="shared" ca="1" si="957"/>
        <v>14470.589906110297</v>
      </c>
      <c r="AII7" s="29">
        <f t="shared" ca="1" si="958"/>
        <v>13848.665973115705</v>
      </c>
      <c r="AIJ7" s="29">
        <f t="shared" ca="1" si="959"/>
        <v>14108.941753720781</v>
      </c>
      <c r="AIK7" s="29">
        <f t="shared" ca="1" si="960"/>
        <v>14504.290211742828</v>
      </c>
      <c r="AIL7" s="29">
        <f t="shared" ca="1" si="961"/>
        <v>14472.268130164724</v>
      </c>
      <c r="AIM7" s="29">
        <f t="shared" ca="1" si="962"/>
        <v>14268.432633216984</v>
      </c>
      <c r="AIN7" s="29">
        <f t="shared" ca="1" si="963"/>
        <v>14715.091481826168</v>
      </c>
      <c r="AIO7" s="29">
        <f t="shared" ca="1" si="964"/>
        <v>14115.886268809201</v>
      </c>
      <c r="AIP7" s="29">
        <f t="shared" ca="1" si="965"/>
        <v>14381.266364637317</v>
      </c>
      <c r="AIQ7" s="29">
        <f t="shared" ca="1" si="966"/>
        <v>13653.851371478475</v>
      </c>
      <c r="AIR7" s="29">
        <f t="shared" ca="1" si="967"/>
        <v>13989.145683897823</v>
      </c>
      <c r="AIS7" s="29">
        <f t="shared" ca="1" si="968"/>
        <v>14461.393316758242</v>
      </c>
      <c r="AIT7" s="29">
        <f t="shared" ca="1" si="969"/>
        <v>14095.136298509751</v>
      </c>
      <c r="AIU7" s="29">
        <f t="shared" ca="1" si="970"/>
        <v>13980.09377272848</v>
      </c>
      <c r="AIV7" s="29">
        <f t="shared" ca="1" si="971"/>
        <v>14450.681275994311</v>
      </c>
      <c r="AIW7" s="29">
        <f t="shared" ca="1" si="972"/>
        <v>13640.678625613309</v>
      </c>
      <c r="AIX7" s="29">
        <f t="shared" ca="1" si="973"/>
        <v>14261.393917868818</v>
      </c>
      <c r="AIY7" s="29">
        <f t="shared" ca="1" si="974"/>
        <v>14166.187068168076</v>
      </c>
      <c r="AIZ7" s="29">
        <f t="shared" ca="1" si="975"/>
        <v>14786.331641684223</v>
      </c>
      <c r="AJA7" s="29">
        <f t="shared" ca="1" si="976"/>
        <v>14507.210935038267</v>
      </c>
      <c r="AJB7" s="29">
        <f t="shared" ca="1" si="977"/>
        <v>14865.653416591738</v>
      </c>
      <c r="AJC7" s="29">
        <f t="shared" ca="1" si="978"/>
        <v>14543.096525740431</v>
      </c>
      <c r="AJD7" s="29">
        <f t="shared" ca="1" si="979"/>
        <v>13763.863231890553</v>
      </c>
      <c r="AJE7" s="29">
        <f t="shared" ca="1" si="980"/>
        <v>14726.441550306212</v>
      </c>
      <c r="AJF7" s="29">
        <f t="shared" ca="1" si="981"/>
        <v>14788.674012511492</v>
      </c>
      <c r="AJG7" s="29">
        <f t="shared" ca="1" si="982"/>
        <v>14360.609509177959</v>
      </c>
      <c r="AJH7" s="29">
        <f t="shared" ca="1" si="983"/>
        <v>13990.870399488813</v>
      </c>
      <c r="AJI7" s="29">
        <f t="shared" ca="1" si="984"/>
        <v>14678.21231624147</v>
      </c>
      <c r="AJJ7" s="29">
        <f t="shared" ca="1" si="985"/>
        <v>14602.786760325431</v>
      </c>
      <c r="AJK7" s="29">
        <f t="shared" ca="1" si="986"/>
        <v>14131.086169917438</v>
      </c>
      <c r="AJL7" s="29">
        <f t="shared" ca="1" si="987"/>
        <v>14626.459490589534</v>
      </c>
      <c r="AJM7" s="29">
        <f t="shared" ca="1" si="988"/>
        <v>14030.028002167732</v>
      </c>
      <c r="AJN7" s="29">
        <f t="shared" ca="1" si="989"/>
        <v>14575.511475459083</v>
      </c>
      <c r="AJO7" s="29">
        <f t="shared" ca="1" si="990"/>
        <v>14299.699746460201</v>
      </c>
      <c r="AJP7" s="29">
        <f t="shared" ca="1" si="991"/>
        <v>14705.110192298418</v>
      </c>
      <c r="AJQ7" s="29">
        <f t="shared" ca="1" si="992"/>
        <v>14519.911630053874</v>
      </c>
      <c r="AJR7" s="29">
        <f t="shared" ca="1" si="993"/>
        <v>14650.135888563133</v>
      </c>
      <c r="AJS7" s="29">
        <f t="shared" ca="1" si="994"/>
        <v>14776.80642794658</v>
      </c>
      <c r="AJT7" s="29">
        <f t="shared" ca="1" si="995"/>
        <v>14337.818857707694</v>
      </c>
      <c r="AJU7" s="29">
        <f t="shared" ca="1" si="996"/>
        <v>14473.904552032878</v>
      </c>
      <c r="AJV7" s="29">
        <f t="shared" ca="1" si="997"/>
        <v>14181.895221186578</v>
      </c>
      <c r="AJW7" s="29">
        <f t="shared" ca="1" si="998"/>
        <v>14420.025678452523</v>
      </c>
      <c r="AJX7" s="29">
        <f t="shared" ca="1" si="999"/>
        <v>14316.190938257218</v>
      </c>
      <c r="AJY7" s="29">
        <f t="shared" ca="1" si="1000"/>
        <v>14658.332498708858</v>
      </c>
      <c r="AJZ7" s="29">
        <f t="shared" ca="1" si="1001"/>
        <v>14186.030487522403</v>
      </c>
      <c r="AKA7" s="29">
        <f t="shared" ca="1" si="1002"/>
        <v>14674.29358798777</v>
      </c>
      <c r="AKB7" s="29">
        <f t="shared" ca="1" si="1003"/>
        <v>14430.199346296733</v>
      </c>
      <c r="AKC7" s="29">
        <f t="shared" ca="1" si="1004"/>
        <v>14955.99505227024</v>
      </c>
      <c r="AKD7" s="29">
        <f t="shared" ca="1" si="1005"/>
        <v>14268.191888375268</v>
      </c>
      <c r="AKE7" s="29">
        <f t="shared" ca="1" si="1006"/>
        <v>13970.18197770083</v>
      </c>
      <c r="AKF7" s="29">
        <f t="shared" ca="1" si="1007"/>
        <v>14518.078142266942</v>
      </c>
      <c r="AKG7" s="29">
        <f t="shared" ca="1" si="1008"/>
        <v>14423.30502589264</v>
      </c>
      <c r="AKH7" s="29">
        <f t="shared" ca="1" si="1009"/>
        <v>14608.621953450795</v>
      </c>
      <c r="AKI7" s="29">
        <f t="shared" ca="1" si="1010"/>
        <v>14357.920219058804</v>
      </c>
      <c r="AKJ7" s="29">
        <f t="shared" ca="1" si="1011"/>
        <v>14022.940974935002</v>
      </c>
      <c r="AKK7" s="29">
        <f t="shared" ca="1" si="1012"/>
        <v>14731.146935451678</v>
      </c>
      <c r="AKL7" s="29">
        <f t="shared" ca="1" si="1013"/>
        <v>14248.33472424938</v>
      </c>
      <c r="AKM7" s="29">
        <f t="shared" ca="1" si="1014"/>
        <v>14181.889410774567</v>
      </c>
      <c r="AKN7" s="29">
        <f t="shared" ca="1" si="1015"/>
        <v>14369.15258855812</v>
      </c>
      <c r="AKO7" s="29">
        <f t="shared" ca="1" si="1016"/>
        <v>14270.799613917017</v>
      </c>
      <c r="AKP7" s="29">
        <f t="shared" ca="1" si="1017"/>
        <v>14894.762140414143</v>
      </c>
      <c r="AKQ7" s="29">
        <f t="shared" ca="1" si="1018"/>
        <v>13976.055334997414</v>
      </c>
      <c r="AKR7" s="29">
        <f t="shared" ca="1" si="1019"/>
        <v>14467.238570434161</v>
      </c>
      <c r="AKS7" s="29">
        <f t="shared" ca="1" si="1020"/>
        <v>14190.416956525121</v>
      </c>
      <c r="AKT7" s="29">
        <f t="shared" ca="1" si="1021"/>
        <v>14139.33486616078</v>
      </c>
      <c r="AKU7" s="29">
        <f t="shared" ca="1" si="1022"/>
        <v>14419.952685771761</v>
      </c>
      <c r="AKV7" s="29">
        <f t="shared" ca="1" si="1023"/>
        <v>13409.462276491642</v>
      </c>
      <c r="AKW7" s="29">
        <f t="shared" ca="1" si="1024"/>
        <v>14407.47326698269</v>
      </c>
      <c r="AKX7" s="29">
        <f t="shared" ca="1" si="1025"/>
        <v>14115.977775343044</v>
      </c>
      <c r="AKY7" s="29">
        <f t="shared" ca="1" si="1026"/>
        <v>14638.631944540743</v>
      </c>
      <c r="AKZ7" s="29">
        <f t="shared" ca="1" si="1027"/>
        <v>14052.564936725932</v>
      </c>
      <c r="ALA7" s="29">
        <f t="shared" ca="1" si="1028"/>
        <v>14880.728897607511</v>
      </c>
      <c r="ALB7" s="29">
        <f t="shared" ca="1" si="1029"/>
        <v>14193.618008385187</v>
      </c>
      <c r="ALC7" s="29">
        <f t="shared" ca="1" si="1030"/>
        <v>15267.874059521024</v>
      </c>
      <c r="ALD7" s="29">
        <f t="shared" ca="1" si="1031"/>
        <v>14536.654765369514</v>
      </c>
      <c r="ALE7" s="29">
        <f t="shared" ca="1" si="1032"/>
        <v>14266.522183689398</v>
      </c>
      <c r="ALF7" s="29">
        <f t="shared" ca="1" si="1033"/>
        <v>14201.61068054201</v>
      </c>
      <c r="ALG7" s="29">
        <f t="shared" ca="1" si="1034"/>
        <v>14629.48904617396</v>
      </c>
      <c r="ALH7" s="29">
        <f t="shared" ca="1" si="1035"/>
        <v>14549.709093496562</v>
      </c>
      <c r="ALI7" s="29">
        <f t="shared" ca="1" si="1036"/>
        <v>14953.625182898393</v>
      </c>
      <c r="ALJ7" s="29">
        <f t="shared" ca="1" si="1037"/>
        <v>14721.543041051293</v>
      </c>
      <c r="ALK7" s="29">
        <f t="shared" ca="1" si="1038"/>
        <v>14486.7617125917</v>
      </c>
      <c r="ALL7" s="29">
        <f t="shared" ca="1" si="1039"/>
        <v>14058.71672473929</v>
      </c>
      <c r="ALM7" s="29">
        <f t="shared" ca="1" si="1040"/>
        <v>14067.885143875348</v>
      </c>
      <c r="ALN7" s="29">
        <f t="shared" ca="1" si="1041"/>
        <v>14366.226603444726</v>
      </c>
      <c r="ALO7" s="29">
        <f t="shared" ca="1" si="1042"/>
        <v>14020.843741829736</v>
      </c>
      <c r="ALP7" s="29">
        <f t="shared" ca="1" si="1043"/>
        <v>14148.329145489986</v>
      </c>
      <c r="ALQ7" s="29">
        <f t="shared" ca="1" si="1044"/>
        <v>14719.166752314495</v>
      </c>
      <c r="ALR7" s="29">
        <f t="shared" ca="1" si="1045"/>
        <v>14122.658753114367</v>
      </c>
      <c r="ALS7" s="29">
        <f t="shared" ca="1" si="1046"/>
        <v>14384.028312254877</v>
      </c>
      <c r="ALT7" s="29">
        <f t="shared" ca="1" si="1047"/>
        <v>14407.819574504092</v>
      </c>
      <c r="ALU7" s="29">
        <f t="shared" ca="1" si="1048"/>
        <v>14613.783334722921</v>
      </c>
      <c r="ALV7" s="29">
        <f t="shared" ca="1" si="1049"/>
        <v>14091.200370866525</v>
      </c>
    </row>
    <row r="8" spans="1:1258" ht="18.75" x14ac:dyDescent="0.35">
      <c r="A8" s="1">
        <v>40484</v>
      </c>
      <c r="B8" s="2">
        <v>6119</v>
      </c>
      <c r="C8" s="16">
        <f t="shared" si="32"/>
        <v>2.3702678122519577E-4</v>
      </c>
      <c r="E8" s="26" t="s">
        <v>52</v>
      </c>
      <c r="F8" s="26" t="s">
        <v>53</v>
      </c>
      <c r="G8" s="26" t="s">
        <v>54</v>
      </c>
      <c r="H8" s="26"/>
      <c r="I8" s="26"/>
      <c r="J8" s="29">
        <f t="shared" si="49"/>
        <v>5</v>
      </c>
      <c r="K8" s="29">
        <f t="shared" ca="1" si="50"/>
        <v>13863.419018930945</v>
      </c>
      <c r="L8" s="29">
        <f t="shared" ca="1" si="51"/>
        <v>14115.136602376142</v>
      </c>
      <c r="M8" s="29">
        <f t="shared" ca="1" si="52"/>
        <v>15220.186978154494</v>
      </c>
      <c r="N8" s="29">
        <f t="shared" ca="1" si="53"/>
        <v>13672.457211219453</v>
      </c>
      <c r="O8" s="29">
        <f t="shared" ca="1" si="54"/>
        <v>14512.494446125516</v>
      </c>
      <c r="P8" s="29">
        <f t="shared" ca="1" si="55"/>
        <v>14865.606109846018</v>
      </c>
      <c r="Q8" s="29">
        <f t="shared" ca="1" si="56"/>
        <v>13652.297772327864</v>
      </c>
      <c r="R8" s="29">
        <f t="shared" ca="1" si="57"/>
        <v>14357.354244508624</v>
      </c>
      <c r="S8" s="29">
        <f t="shared" ca="1" si="58"/>
        <v>14778.565030229063</v>
      </c>
      <c r="T8" s="29">
        <f t="shared" ca="1" si="59"/>
        <v>15229.767422929855</v>
      </c>
      <c r="U8" s="29">
        <f t="shared" ca="1" si="60"/>
        <v>14762.732549699947</v>
      </c>
      <c r="V8" s="29">
        <f t="shared" ca="1" si="61"/>
        <v>14916.321528251272</v>
      </c>
      <c r="W8" s="29">
        <f t="shared" ca="1" si="62"/>
        <v>14309.087358962734</v>
      </c>
      <c r="X8" s="29">
        <f t="shared" ca="1" si="63"/>
        <v>14512.135892880502</v>
      </c>
      <c r="Y8" s="29">
        <f t="shared" ca="1" si="64"/>
        <v>14316.115736522963</v>
      </c>
      <c r="Z8" s="29">
        <f t="shared" ca="1" si="65"/>
        <v>13863.287994388422</v>
      </c>
      <c r="AA8" s="29">
        <f t="shared" ca="1" si="66"/>
        <v>14806.207034869296</v>
      </c>
      <c r="AB8" s="29">
        <f t="shared" ca="1" si="67"/>
        <v>14771.317378797396</v>
      </c>
      <c r="AC8" s="29">
        <f t="shared" ca="1" si="68"/>
        <v>14518.098440574804</v>
      </c>
      <c r="AD8" s="29">
        <f t="shared" ca="1" si="69"/>
        <v>14393.466456987378</v>
      </c>
      <c r="AE8" s="29">
        <f t="shared" ca="1" si="70"/>
        <v>15361.133315087443</v>
      </c>
      <c r="AF8" s="29">
        <f t="shared" ca="1" si="71"/>
        <v>14160.618559573481</v>
      </c>
      <c r="AG8" s="29">
        <f t="shared" ca="1" si="72"/>
        <v>13770.376770695404</v>
      </c>
      <c r="AH8" s="29">
        <f t="shared" ca="1" si="73"/>
        <v>14316.586979274784</v>
      </c>
      <c r="AI8" s="29">
        <f t="shared" ca="1" si="74"/>
        <v>14302.109871204168</v>
      </c>
      <c r="AJ8" s="29">
        <f t="shared" ca="1" si="75"/>
        <v>14335.496115871065</v>
      </c>
      <c r="AK8" s="29">
        <f t="shared" ca="1" si="76"/>
        <v>13774.536515582287</v>
      </c>
      <c r="AL8" s="29">
        <f t="shared" ca="1" si="77"/>
        <v>14610.196025116353</v>
      </c>
      <c r="AM8" s="29">
        <f t="shared" ca="1" si="78"/>
        <v>14663.813699151602</v>
      </c>
      <c r="AN8" s="29">
        <f t="shared" ca="1" si="79"/>
        <v>14944.850078203111</v>
      </c>
      <c r="AO8" s="29">
        <f t="shared" ca="1" si="80"/>
        <v>14624.276516345175</v>
      </c>
      <c r="AP8" s="29">
        <f t="shared" ca="1" si="81"/>
        <v>13952.514460862007</v>
      </c>
      <c r="AQ8" s="29">
        <f t="shared" ca="1" si="82"/>
        <v>14696.494418173726</v>
      </c>
      <c r="AR8" s="29">
        <f t="shared" ca="1" si="83"/>
        <v>14895.251731900373</v>
      </c>
      <c r="AS8" s="29">
        <f t="shared" ca="1" si="84"/>
        <v>14212.667515860492</v>
      </c>
      <c r="AT8" s="29">
        <f t="shared" ca="1" si="85"/>
        <v>14136.639516220375</v>
      </c>
      <c r="AU8" s="29">
        <f t="shared" ca="1" si="86"/>
        <v>14184.670593236709</v>
      </c>
      <c r="AV8" s="29">
        <f t="shared" ca="1" si="87"/>
        <v>14664.392659304449</v>
      </c>
      <c r="AW8" s="29">
        <f t="shared" ca="1" si="88"/>
        <v>15075.425515496112</v>
      </c>
      <c r="AX8" s="29">
        <f t="shared" ca="1" si="89"/>
        <v>14267.201239774926</v>
      </c>
      <c r="AY8" s="29">
        <f t="shared" ca="1" si="90"/>
        <v>14524.086259399584</v>
      </c>
      <c r="AZ8" s="29">
        <f t="shared" ca="1" si="91"/>
        <v>14000.487622289987</v>
      </c>
      <c r="BA8" s="29">
        <f t="shared" ca="1" si="92"/>
        <v>14456.762168992025</v>
      </c>
      <c r="BB8" s="29">
        <f t="shared" ca="1" si="93"/>
        <v>14021.19104554484</v>
      </c>
      <c r="BC8" s="29">
        <f t="shared" ca="1" si="94"/>
        <v>14014.193914301875</v>
      </c>
      <c r="BD8" s="29">
        <f t="shared" ca="1" si="95"/>
        <v>14376.646516426948</v>
      </c>
      <c r="BE8" s="29">
        <f t="shared" ca="1" si="96"/>
        <v>14290.647822003595</v>
      </c>
      <c r="BF8" s="29">
        <f t="shared" ca="1" si="97"/>
        <v>14595.185740268234</v>
      </c>
      <c r="BG8" s="29">
        <f t="shared" ca="1" si="98"/>
        <v>14431.546913267246</v>
      </c>
      <c r="BH8" s="29">
        <f t="shared" ca="1" si="99"/>
        <v>14603.976909855779</v>
      </c>
      <c r="BI8" s="29">
        <f t="shared" ca="1" si="100"/>
        <v>14457.370061118852</v>
      </c>
      <c r="BJ8" s="29">
        <f t="shared" ca="1" si="101"/>
        <v>14265.371824169984</v>
      </c>
      <c r="BK8" s="29">
        <f t="shared" ca="1" si="102"/>
        <v>14202.043116265348</v>
      </c>
      <c r="BL8" s="29">
        <f t="shared" ca="1" si="103"/>
        <v>14679.543422870764</v>
      </c>
      <c r="BM8" s="29">
        <f t="shared" ca="1" si="104"/>
        <v>14210.044458991471</v>
      </c>
      <c r="BN8" s="29">
        <f t="shared" ca="1" si="105"/>
        <v>14373.734775185345</v>
      </c>
      <c r="BO8" s="29">
        <f t="shared" ca="1" si="106"/>
        <v>14590.218372075229</v>
      </c>
      <c r="BP8" s="29">
        <f t="shared" ca="1" si="107"/>
        <v>14448.322438915111</v>
      </c>
      <c r="BQ8" s="29">
        <f t="shared" ca="1" si="108"/>
        <v>14551.423366897487</v>
      </c>
      <c r="BR8" s="29">
        <f t="shared" ca="1" si="109"/>
        <v>14194.142892050239</v>
      </c>
      <c r="BS8" s="29">
        <f t="shared" ca="1" si="110"/>
        <v>14814.168885480849</v>
      </c>
      <c r="BT8" s="29">
        <f t="shared" ca="1" si="111"/>
        <v>14215.191874099017</v>
      </c>
      <c r="BU8" s="29">
        <f t="shared" ca="1" si="112"/>
        <v>14090.889266110571</v>
      </c>
      <c r="BV8" s="29">
        <f t="shared" ca="1" si="113"/>
        <v>14974.603352863372</v>
      </c>
      <c r="BW8" s="29">
        <f t="shared" ca="1" si="114"/>
        <v>14664.013005459925</v>
      </c>
      <c r="BX8" s="29">
        <f t="shared" ca="1" si="115"/>
        <v>14364.239061641532</v>
      </c>
      <c r="BY8" s="29">
        <f t="shared" ca="1" si="116"/>
        <v>14481.255305525767</v>
      </c>
      <c r="BZ8" s="29">
        <f t="shared" ca="1" si="117"/>
        <v>14095.011202609758</v>
      </c>
      <c r="CA8" s="29">
        <f t="shared" ca="1" si="118"/>
        <v>14586.043370061323</v>
      </c>
      <c r="CB8" s="29">
        <f t="shared" ca="1" si="119"/>
        <v>15002.48097235396</v>
      </c>
      <c r="CC8" s="29">
        <f t="shared" ca="1" si="120"/>
        <v>13678.899218793689</v>
      </c>
      <c r="CD8" s="29">
        <f t="shared" ca="1" si="121"/>
        <v>14735.383110014027</v>
      </c>
      <c r="CE8" s="29">
        <f t="shared" ca="1" si="122"/>
        <v>14651.42705009067</v>
      </c>
      <c r="CF8" s="29">
        <f t="shared" ca="1" si="123"/>
        <v>14743.903941319844</v>
      </c>
      <c r="CG8" s="29">
        <f t="shared" ca="1" si="124"/>
        <v>14103.854427677992</v>
      </c>
      <c r="CH8" s="29">
        <f t="shared" ca="1" si="125"/>
        <v>14827.066763553281</v>
      </c>
      <c r="CI8" s="29">
        <f t="shared" ca="1" si="126"/>
        <v>14250.731624809332</v>
      </c>
      <c r="CJ8" s="29">
        <f t="shared" ca="1" si="127"/>
        <v>14035.20536486265</v>
      </c>
      <c r="CK8" s="29">
        <f t="shared" ca="1" si="128"/>
        <v>14139.96118302916</v>
      </c>
      <c r="CL8" s="29">
        <f t="shared" ca="1" si="129"/>
        <v>14388.273594703476</v>
      </c>
      <c r="CM8" s="29">
        <f t="shared" ca="1" si="130"/>
        <v>14367.293385992169</v>
      </c>
      <c r="CN8" s="29">
        <f t="shared" ca="1" si="131"/>
        <v>14496.215883214396</v>
      </c>
      <c r="CO8" s="29">
        <f t="shared" ca="1" si="132"/>
        <v>15072.738213188068</v>
      </c>
      <c r="CP8" s="29">
        <f t="shared" ca="1" si="133"/>
        <v>14571.484654308644</v>
      </c>
      <c r="CQ8" s="29">
        <f t="shared" ca="1" si="134"/>
        <v>14325.217967359982</v>
      </c>
      <c r="CR8" s="29">
        <f t="shared" ca="1" si="135"/>
        <v>14575.504111836726</v>
      </c>
      <c r="CS8" s="29">
        <f t="shared" ca="1" si="136"/>
        <v>14054.066960878406</v>
      </c>
      <c r="CT8" s="29">
        <f t="shared" ca="1" si="137"/>
        <v>14677.763089497244</v>
      </c>
      <c r="CU8" s="29">
        <f t="shared" ca="1" si="138"/>
        <v>13917.936171039286</v>
      </c>
      <c r="CV8" s="29">
        <f t="shared" ca="1" si="139"/>
        <v>14342.519599121</v>
      </c>
      <c r="CW8" s="29">
        <f t="shared" ca="1" si="140"/>
        <v>14212.969457187888</v>
      </c>
      <c r="CX8" s="29">
        <f t="shared" ca="1" si="141"/>
        <v>14411.746298967078</v>
      </c>
      <c r="CY8" s="29">
        <f t="shared" ca="1" si="142"/>
        <v>14429.397848672004</v>
      </c>
      <c r="CZ8" s="29">
        <f t="shared" ca="1" si="143"/>
        <v>14063.845426077543</v>
      </c>
      <c r="DA8" s="29">
        <f t="shared" ca="1" si="144"/>
        <v>14459.862573314054</v>
      </c>
      <c r="DB8" s="29">
        <f t="shared" ca="1" si="145"/>
        <v>15513.964883839195</v>
      </c>
      <c r="DC8" s="29">
        <f t="shared" ca="1" si="146"/>
        <v>14392.992218985572</v>
      </c>
      <c r="DD8" s="29">
        <f t="shared" ca="1" si="147"/>
        <v>13889.234099917099</v>
      </c>
      <c r="DE8" s="29">
        <f t="shared" ca="1" si="148"/>
        <v>14603.96045611252</v>
      </c>
      <c r="DF8" s="29">
        <f t="shared" ca="1" si="149"/>
        <v>14331.165087465763</v>
      </c>
      <c r="DG8" s="29">
        <f t="shared" ca="1" si="150"/>
        <v>14091.716565387413</v>
      </c>
      <c r="DH8" s="29">
        <f t="shared" ca="1" si="151"/>
        <v>13910.734236122649</v>
      </c>
      <c r="DI8" s="29">
        <f t="shared" ca="1" si="152"/>
        <v>14509.023208644436</v>
      </c>
      <c r="DJ8" s="29">
        <f t="shared" ca="1" si="153"/>
        <v>14574.519862674984</v>
      </c>
      <c r="DK8" s="29">
        <f t="shared" ca="1" si="154"/>
        <v>14338.684211881166</v>
      </c>
      <c r="DL8" s="29">
        <f t="shared" ca="1" si="155"/>
        <v>14386.298513537338</v>
      </c>
      <c r="DM8" s="29">
        <f t="shared" ca="1" si="156"/>
        <v>14175.845230868912</v>
      </c>
      <c r="DN8" s="29">
        <f t="shared" ca="1" si="157"/>
        <v>15019.269160247039</v>
      </c>
      <c r="DO8" s="29">
        <f t="shared" ca="1" si="158"/>
        <v>13780.661791085389</v>
      </c>
      <c r="DP8" s="29">
        <f t="shared" ca="1" si="159"/>
        <v>14632.987878677201</v>
      </c>
      <c r="DQ8" s="29">
        <f t="shared" ca="1" si="160"/>
        <v>14507.050034636517</v>
      </c>
      <c r="DR8" s="29">
        <f t="shared" ca="1" si="161"/>
        <v>13980.559437085896</v>
      </c>
      <c r="DS8" s="29">
        <f t="shared" ca="1" si="162"/>
        <v>14501.243330146332</v>
      </c>
      <c r="DT8" s="29">
        <f t="shared" ca="1" si="163"/>
        <v>14361.235209574004</v>
      </c>
      <c r="DU8" s="29">
        <f t="shared" ca="1" si="164"/>
        <v>14564.76597510853</v>
      </c>
      <c r="DV8" s="29">
        <f t="shared" ca="1" si="165"/>
        <v>14170.676422125345</v>
      </c>
      <c r="DW8" s="29">
        <f t="shared" ca="1" si="166"/>
        <v>14236.917645304025</v>
      </c>
      <c r="DX8" s="29">
        <f t="shared" ca="1" si="167"/>
        <v>13644.457948331386</v>
      </c>
      <c r="DY8" s="29">
        <f t="shared" ca="1" si="168"/>
        <v>14345.525712507977</v>
      </c>
      <c r="DZ8" s="29">
        <f t="shared" ca="1" si="169"/>
        <v>14683.594804419907</v>
      </c>
      <c r="EA8" s="29">
        <f t="shared" ca="1" si="170"/>
        <v>14113.051808003043</v>
      </c>
      <c r="EB8" s="29">
        <f t="shared" ca="1" si="171"/>
        <v>14215.590957829072</v>
      </c>
      <c r="EC8" s="29">
        <f t="shared" ca="1" si="172"/>
        <v>14420.174668175345</v>
      </c>
      <c r="ED8" s="29">
        <f t="shared" ca="1" si="173"/>
        <v>15233.031472298479</v>
      </c>
      <c r="EE8" s="29">
        <f t="shared" ca="1" si="174"/>
        <v>14720.145523733501</v>
      </c>
      <c r="EF8" s="29">
        <f t="shared" ca="1" si="175"/>
        <v>14501.83367721325</v>
      </c>
      <c r="EG8" s="29">
        <f t="shared" ca="1" si="176"/>
        <v>14564.605231210433</v>
      </c>
      <c r="EH8" s="29">
        <f t="shared" ca="1" si="177"/>
        <v>13538.503787047857</v>
      </c>
      <c r="EI8" s="29">
        <f t="shared" ca="1" si="178"/>
        <v>14597.401068599782</v>
      </c>
      <c r="EJ8" s="29">
        <f t="shared" ca="1" si="179"/>
        <v>14218.608142072788</v>
      </c>
      <c r="EK8" s="29">
        <f t="shared" ca="1" si="180"/>
        <v>14142.722998856236</v>
      </c>
      <c r="EL8" s="29">
        <f t="shared" ca="1" si="181"/>
        <v>14400.240467170919</v>
      </c>
      <c r="EM8" s="29">
        <f t="shared" ca="1" si="182"/>
        <v>13355.011160076894</v>
      </c>
      <c r="EN8" s="29">
        <f t="shared" ca="1" si="183"/>
        <v>14872.298014229356</v>
      </c>
      <c r="EO8" s="29">
        <f t="shared" ca="1" si="184"/>
        <v>13953.068957474516</v>
      </c>
      <c r="EP8" s="29">
        <f t="shared" ca="1" si="185"/>
        <v>14650.031865719002</v>
      </c>
      <c r="EQ8" s="29">
        <f t="shared" ca="1" si="186"/>
        <v>14319.445841187186</v>
      </c>
      <c r="ER8" s="29">
        <f t="shared" ca="1" si="187"/>
        <v>14229.481084924106</v>
      </c>
      <c r="ES8" s="29">
        <f t="shared" ca="1" si="188"/>
        <v>14122.648937530168</v>
      </c>
      <c r="ET8" s="29">
        <f t="shared" ca="1" si="189"/>
        <v>14640.263328738327</v>
      </c>
      <c r="EU8" s="29">
        <f t="shared" ca="1" si="190"/>
        <v>14657.295245399328</v>
      </c>
      <c r="EV8" s="29">
        <f t="shared" ca="1" si="191"/>
        <v>14636.03388508235</v>
      </c>
      <c r="EW8" s="29">
        <f t="shared" ca="1" si="192"/>
        <v>14317.996919661875</v>
      </c>
      <c r="EX8" s="29">
        <f t="shared" ca="1" si="193"/>
        <v>15082.7538270155</v>
      </c>
      <c r="EY8" s="29">
        <f t="shared" ca="1" si="194"/>
        <v>14059.856919585543</v>
      </c>
      <c r="EZ8" s="29">
        <f t="shared" ca="1" si="195"/>
        <v>14160.11325859779</v>
      </c>
      <c r="FA8" s="29">
        <f t="shared" ca="1" si="196"/>
        <v>14638.740617538864</v>
      </c>
      <c r="FB8" s="29">
        <f t="shared" ca="1" si="197"/>
        <v>14496.92351919455</v>
      </c>
      <c r="FC8" s="29">
        <f t="shared" ca="1" si="198"/>
        <v>15030.919691893027</v>
      </c>
      <c r="FD8" s="29">
        <f t="shared" ca="1" si="199"/>
        <v>14548.246162848767</v>
      </c>
      <c r="FE8" s="29">
        <f t="shared" ca="1" si="200"/>
        <v>14421.641122449619</v>
      </c>
      <c r="FF8" s="29">
        <f t="shared" ca="1" si="201"/>
        <v>14336.543308288143</v>
      </c>
      <c r="FG8" s="29">
        <f t="shared" ca="1" si="202"/>
        <v>14030.926968591648</v>
      </c>
      <c r="FH8" s="29">
        <f t="shared" ca="1" si="203"/>
        <v>14232.594324492571</v>
      </c>
      <c r="FI8" s="29">
        <f t="shared" ca="1" si="204"/>
        <v>14257.028896909527</v>
      </c>
      <c r="FJ8" s="29">
        <f t="shared" ca="1" si="205"/>
        <v>14201.067334244945</v>
      </c>
      <c r="FK8" s="29">
        <f t="shared" ca="1" si="206"/>
        <v>14506.157678945481</v>
      </c>
      <c r="FL8" s="29">
        <f t="shared" ca="1" si="207"/>
        <v>13606.434330743012</v>
      </c>
      <c r="FM8" s="29">
        <f t="shared" ca="1" si="208"/>
        <v>14950.847786776683</v>
      </c>
      <c r="FN8" s="29">
        <f t="shared" ca="1" si="209"/>
        <v>13817.170910719486</v>
      </c>
      <c r="FO8" s="29">
        <f t="shared" ca="1" si="210"/>
        <v>14062.814206417306</v>
      </c>
      <c r="FP8" s="29">
        <f t="shared" ca="1" si="211"/>
        <v>14223.9591872121</v>
      </c>
      <c r="FQ8" s="29">
        <f t="shared" ca="1" si="212"/>
        <v>14399.767919335789</v>
      </c>
      <c r="FR8" s="29">
        <f t="shared" ca="1" si="213"/>
        <v>13922.218012147589</v>
      </c>
      <c r="FS8" s="29">
        <f t="shared" ca="1" si="214"/>
        <v>14751.598579913252</v>
      </c>
      <c r="FT8" s="29">
        <f t="shared" ca="1" si="215"/>
        <v>14375.987746883615</v>
      </c>
      <c r="FU8" s="29">
        <f t="shared" ca="1" si="216"/>
        <v>14554.30028852959</v>
      </c>
      <c r="FV8" s="29">
        <f t="shared" ca="1" si="217"/>
        <v>14317.452190489403</v>
      </c>
      <c r="FW8" s="29">
        <f t="shared" ca="1" si="218"/>
        <v>14216.136947113435</v>
      </c>
      <c r="FX8" s="29">
        <f t="shared" ca="1" si="219"/>
        <v>15066.739324169108</v>
      </c>
      <c r="FY8" s="29">
        <f t="shared" ca="1" si="220"/>
        <v>14692.420508183426</v>
      </c>
      <c r="FZ8" s="29">
        <f t="shared" ca="1" si="221"/>
        <v>14211.29027173069</v>
      </c>
      <c r="GA8" s="29">
        <f t="shared" ca="1" si="222"/>
        <v>14011.128539427862</v>
      </c>
      <c r="GB8" s="29">
        <f t="shared" ca="1" si="223"/>
        <v>14955.944767026171</v>
      </c>
      <c r="GC8" s="29">
        <f t="shared" ca="1" si="224"/>
        <v>14816.633394604347</v>
      </c>
      <c r="GD8" s="29">
        <f t="shared" ca="1" si="225"/>
        <v>14399.219977052762</v>
      </c>
      <c r="GE8" s="29">
        <f t="shared" ca="1" si="226"/>
        <v>14261.522013547756</v>
      </c>
      <c r="GF8" s="29">
        <f t="shared" ca="1" si="227"/>
        <v>14535.254066278501</v>
      </c>
      <c r="GG8" s="29">
        <f t="shared" ca="1" si="228"/>
        <v>14748.981829284006</v>
      </c>
      <c r="GH8" s="29">
        <f t="shared" ca="1" si="229"/>
        <v>14252.681415271196</v>
      </c>
      <c r="GI8" s="29">
        <f t="shared" ca="1" si="230"/>
        <v>14167.392309547955</v>
      </c>
      <c r="GJ8" s="29">
        <f t="shared" ca="1" si="231"/>
        <v>14295.052329171775</v>
      </c>
      <c r="GK8" s="29">
        <f t="shared" ca="1" si="232"/>
        <v>14248.009080036461</v>
      </c>
      <c r="GL8" s="29">
        <f t="shared" ca="1" si="233"/>
        <v>14268.157405037167</v>
      </c>
      <c r="GM8" s="29">
        <f t="shared" ca="1" si="234"/>
        <v>13719.395817506878</v>
      </c>
      <c r="GN8" s="29">
        <f t="shared" ca="1" si="235"/>
        <v>14075.428324676124</v>
      </c>
      <c r="GO8" s="29">
        <f t="shared" ca="1" si="236"/>
        <v>13999.916049940342</v>
      </c>
      <c r="GP8" s="29">
        <f t="shared" ca="1" si="237"/>
        <v>14880.232533153085</v>
      </c>
      <c r="GQ8" s="29">
        <f t="shared" ca="1" si="238"/>
        <v>14526.72670874416</v>
      </c>
      <c r="GR8" s="29">
        <f t="shared" ca="1" si="239"/>
        <v>14407.609478661794</v>
      </c>
      <c r="GS8" s="29">
        <f t="shared" ca="1" si="240"/>
        <v>15037.381067565959</v>
      </c>
      <c r="GT8" s="29">
        <f t="shared" ca="1" si="241"/>
        <v>14403.072383758326</v>
      </c>
      <c r="GU8" s="29">
        <f t="shared" ca="1" si="242"/>
        <v>13831.520983036306</v>
      </c>
      <c r="GV8" s="29">
        <f t="shared" ca="1" si="243"/>
        <v>14184.007905153441</v>
      </c>
      <c r="GW8" s="29">
        <f t="shared" ca="1" si="244"/>
        <v>13870.979764408454</v>
      </c>
      <c r="GX8" s="29">
        <f t="shared" ca="1" si="245"/>
        <v>13910.796577983823</v>
      </c>
      <c r="GY8" s="29">
        <f t="shared" ca="1" si="246"/>
        <v>14538.556114113931</v>
      </c>
      <c r="GZ8" s="29">
        <f t="shared" ca="1" si="247"/>
        <v>14733.548849039335</v>
      </c>
      <c r="HA8" s="29">
        <f t="shared" ca="1" si="248"/>
        <v>14999.379093070604</v>
      </c>
      <c r="HB8" s="29">
        <f t="shared" ca="1" si="249"/>
        <v>14490.213942426657</v>
      </c>
      <c r="HC8" s="29">
        <f t="shared" ca="1" si="250"/>
        <v>14392.101630903499</v>
      </c>
      <c r="HD8" s="29">
        <f t="shared" ca="1" si="251"/>
        <v>14192.615484878941</v>
      </c>
      <c r="HE8" s="29">
        <f t="shared" ca="1" si="252"/>
        <v>14554.780005960823</v>
      </c>
      <c r="HF8" s="29">
        <f t="shared" ca="1" si="253"/>
        <v>14005.207471430283</v>
      </c>
      <c r="HG8" s="29">
        <f t="shared" ca="1" si="254"/>
        <v>14027.222817449057</v>
      </c>
      <c r="HH8" s="29">
        <f t="shared" ca="1" si="255"/>
        <v>13474.070408671814</v>
      </c>
      <c r="HI8" s="29">
        <f t="shared" ca="1" si="256"/>
        <v>13933.023750704673</v>
      </c>
      <c r="HJ8" s="29">
        <f t="shared" ca="1" si="257"/>
        <v>14545.025561789651</v>
      </c>
      <c r="HK8" s="29">
        <f t="shared" ca="1" si="258"/>
        <v>14758.566021135497</v>
      </c>
      <c r="HL8" s="29">
        <f t="shared" ca="1" si="259"/>
        <v>14613.586572445516</v>
      </c>
      <c r="HM8" s="29">
        <f t="shared" ca="1" si="260"/>
        <v>14367.776763992159</v>
      </c>
      <c r="HN8" s="29">
        <f t="shared" ca="1" si="261"/>
        <v>14069.686416580127</v>
      </c>
      <c r="HO8" s="29">
        <f t="shared" ca="1" si="262"/>
        <v>14461.550640201684</v>
      </c>
      <c r="HP8" s="29">
        <f t="shared" ca="1" si="263"/>
        <v>14121.703726441936</v>
      </c>
      <c r="HQ8" s="29">
        <f t="shared" ca="1" si="264"/>
        <v>14297.159066892224</v>
      </c>
      <c r="HR8" s="29">
        <f t="shared" ca="1" si="265"/>
        <v>14640.678260483523</v>
      </c>
      <c r="HS8" s="29">
        <f t="shared" ca="1" si="266"/>
        <v>15080.840319781702</v>
      </c>
      <c r="HT8" s="29">
        <f t="shared" ca="1" si="267"/>
        <v>14218.9606851556</v>
      </c>
      <c r="HU8" s="29">
        <f t="shared" ca="1" si="268"/>
        <v>14469.053127779656</v>
      </c>
      <c r="HV8" s="29">
        <f t="shared" ca="1" si="269"/>
        <v>14633.345908548094</v>
      </c>
      <c r="HW8" s="29">
        <f t="shared" ca="1" si="270"/>
        <v>14378.624429684016</v>
      </c>
      <c r="HX8" s="29">
        <f t="shared" ca="1" si="271"/>
        <v>14384.862463086638</v>
      </c>
      <c r="HY8" s="29">
        <f t="shared" ca="1" si="272"/>
        <v>14771.480866844517</v>
      </c>
      <c r="HZ8" s="29">
        <f t="shared" ca="1" si="273"/>
        <v>14428.52785225088</v>
      </c>
      <c r="IA8" s="29">
        <f t="shared" ca="1" si="274"/>
        <v>14573.882437737651</v>
      </c>
      <c r="IB8" s="29">
        <f t="shared" ca="1" si="275"/>
        <v>14817.013616727796</v>
      </c>
      <c r="IC8" s="29">
        <f t="shared" ca="1" si="276"/>
        <v>14182.430556995658</v>
      </c>
      <c r="ID8" s="29">
        <f t="shared" ca="1" si="277"/>
        <v>14768.068547176845</v>
      </c>
      <c r="IE8" s="29">
        <f t="shared" ca="1" si="278"/>
        <v>13957.166446361422</v>
      </c>
      <c r="IF8" s="29">
        <f t="shared" ca="1" si="279"/>
        <v>14675.47118267354</v>
      </c>
      <c r="IG8" s="29">
        <f t="shared" ca="1" si="280"/>
        <v>14372.475867778492</v>
      </c>
      <c r="IH8" s="29">
        <f t="shared" ca="1" si="281"/>
        <v>14383.722500656982</v>
      </c>
      <c r="II8" s="29">
        <f t="shared" ca="1" si="282"/>
        <v>14489.424127060593</v>
      </c>
      <c r="IJ8" s="29">
        <f t="shared" ca="1" si="283"/>
        <v>14588.72828312349</v>
      </c>
      <c r="IK8" s="29">
        <f t="shared" ca="1" si="284"/>
        <v>13547.860862436162</v>
      </c>
      <c r="IL8" s="29">
        <f t="shared" ca="1" si="285"/>
        <v>14641.332023108504</v>
      </c>
      <c r="IM8" s="29">
        <f t="shared" ca="1" si="286"/>
        <v>14412.676560539883</v>
      </c>
      <c r="IN8" s="29">
        <f t="shared" ca="1" si="287"/>
        <v>14685.882333463975</v>
      </c>
      <c r="IO8" s="29">
        <f t="shared" ca="1" si="288"/>
        <v>14397.812646572926</v>
      </c>
      <c r="IP8" s="29">
        <f t="shared" ca="1" si="289"/>
        <v>14375.262359091719</v>
      </c>
      <c r="IQ8" s="29">
        <f t="shared" ca="1" si="290"/>
        <v>14135.102299735241</v>
      </c>
      <c r="IR8" s="29">
        <f t="shared" ca="1" si="291"/>
        <v>14812.702033636051</v>
      </c>
      <c r="IS8" s="29">
        <f t="shared" ca="1" si="292"/>
        <v>14084.698654129648</v>
      </c>
      <c r="IT8" s="29">
        <f t="shared" ca="1" si="293"/>
        <v>14871.789424934384</v>
      </c>
      <c r="IU8" s="29">
        <f t="shared" ca="1" si="294"/>
        <v>15745.424354547662</v>
      </c>
      <c r="IV8" s="29">
        <f t="shared" ca="1" si="295"/>
        <v>14645.666207744058</v>
      </c>
      <c r="IW8" s="29">
        <f t="shared" ca="1" si="296"/>
        <v>14681.648815922837</v>
      </c>
      <c r="IX8" s="29">
        <f t="shared" ca="1" si="297"/>
        <v>14299.051753599657</v>
      </c>
      <c r="IY8" s="29">
        <f t="shared" ca="1" si="298"/>
        <v>13522.680546161824</v>
      </c>
      <c r="IZ8" s="29">
        <f t="shared" ca="1" si="299"/>
        <v>14450.779699602184</v>
      </c>
      <c r="JA8" s="29">
        <f t="shared" ca="1" si="300"/>
        <v>14033.81336669928</v>
      </c>
      <c r="JB8" s="29">
        <f t="shared" ca="1" si="301"/>
        <v>14268.991662359836</v>
      </c>
      <c r="JC8" s="29">
        <f t="shared" ca="1" si="302"/>
        <v>14456.209937703354</v>
      </c>
      <c r="JD8" s="29">
        <f t="shared" ca="1" si="303"/>
        <v>14196.057544394236</v>
      </c>
      <c r="JE8" s="29">
        <f t="shared" ca="1" si="304"/>
        <v>14007.292475385486</v>
      </c>
      <c r="JF8" s="29">
        <f t="shared" ca="1" si="305"/>
        <v>14630.34274778771</v>
      </c>
      <c r="JG8" s="29">
        <f t="shared" ca="1" si="306"/>
        <v>14520.121157722406</v>
      </c>
      <c r="JH8" s="29">
        <f t="shared" ca="1" si="307"/>
        <v>14529.994203568906</v>
      </c>
      <c r="JI8" s="29">
        <f t="shared" ca="1" si="308"/>
        <v>14330.028914230157</v>
      </c>
      <c r="JJ8" s="29">
        <f t="shared" ca="1" si="309"/>
        <v>14555.656003787368</v>
      </c>
      <c r="JK8" s="29">
        <f t="shared" ca="1" si="310"/>
        <v>14573.608893536173</v>
      </c>
      <c r="JL8" s="29">
        <f t="shared" ca="1" si="311"/>
        <v>14297.430156911912</v>
      </c>
      <c r="JM8" s="29">
        <f t="shared" ca="1" si="312"/>
        <v>13794.583382356026</v>
      </c>
      <c r="JN8" s="29">
        <f t="shared" ca="1" si="313"/>
        <v>14945.327480143449</v>
      </c>
      <c r="JO8" s="29">
        <f t="shared" ca="1" si="314"/>
        <v>14681.326023673704</v>
      </c>
      <c r="JP8" s="29">
        <f t="shared" ca="1" si="315"/>
        <v>14876.3182140098</v>
      </c>
      <c r="JQ8" s="29">
        <f t="shared" ca="1" si="316"/>
        <v>13723.446476194771</v>
      </c>
      <c r="JR8" s="29">
        <f t="shared" ca="1" si="317"/>
        <v>14930.067676199085</v>
      </c>
      <c r="JS8" s="29">
        <f t="shared" ca="1" si="318"/>
        <v>14448.867118431082</v>
      </c>
      <c r="JT8" s="29">
        <f t="shared" ca="1" si="319"/>
        <v>14744.12571336994</v>
      </c>
      <c r="JU8" s="29">
        <f t="shared" ca="1" si="320"/>
        <v>14504.764416175949</v>
      </c>
      <c r="JV8" s="29">
        <f t="shared" ca="1" si="321"/>
        <v>14386.737022585465</v>
      </c>
      <c r="JW8" s="29">
        <f t="shared" ca="1" si="322"/>
        <v>14627.991458122709</v>
      </c>
      <c r="JX8" s="29">
        <f t="shared" ca="1" si="323"/>
        <v>15063.532305446699</v>
      </c>
      <c r="JY8" s="29">
        <f t="shared" ca="1" si="324"/>
        <v>14262.551006696771</v>
      </c>
      <c r="JZ8" s="29">
        <f t="shared" ca="1" si="325"/>
        <v>14577.670766126885</v>
      </c>
      <c r="KA8" s="29">
        <f t="shared" ca="1" si="326"/>
        <v>13942.762192273369</v>
      </c>
      <c r="KB8" s="29">
        <f t="shared" ca="1" si="327"/>
        <v>13882.429721681136</v>
      </c>
      <c r="KC8" s="29">
        <f t="shared" ca="1" si="328"/>
        <v>14607.754845939888</v>
      </c>
      <c r="KD8" s="29">
        <f t="shared" ca="1" si="329"/>
        <v>14153.195529084313</v>
      </c>
      <c r="KE8" s="29">
        <f t="shared" ca="1" si="330"/>
        <v>15222.115962400108</v>
      </c>
      <c r="KF8" s="29">
        <f t="shared" ca="1" si="331"/>
        <v>14409.741101236552</v>
      </c>
      <c r="KG8" s="29">
        <f t="shared" ca="1" si="332"/>
        <v>14535.89845334028</v>
      </c>
      <c r="KH8" s="29">
        <f t="shared" ca="1" si="333"/>
        <v>14723.481358165007</v>
      </c>
      <c r="KI8" s="29">
        <f t="shared" ca="1" si="334"/>
        <v>14466.897170172799</v>
      </c>
      <c r="KJ8" s="29">
        <f t="shared" ca="1" si="335"/>
        <v>14920.793727636568</v>
      </c>
      <c r="KK8" s="29">
        <f t="shared" ca="1" si="336"/>
        <v>14200.795124266841</v>
      </c>
      <c r="KL8" s="29">
        <f t="shared" ca="1" si="337"/>
        <v>14212.81107742094</v>
      </c>
      <c r="KM8" s="29">
        <f t="shared" ca="1" si="338"/>
        <v>15192.358329941912</v>
      </c>
      <c r="KN8" s="29">
        <f t="shared" ca="1" si="339"/>
        <v>14162.940707028531</v>
      </c>
      <c r="KO8" s="29">
        <f t="shared" ca="1" si="340"/>
        <v>14537.123542853527</v>
      </c>
      <c r="KP8" s="29">
        <f t="shared" ca="1" si="341"/>
        <v>14159.009964058592</v>
      </c>
      <c r="KQ8" s="29">
        <f t="shared" ca="1" si="342"/>
        <v>14182.031901937689</v>
      </c>
      <c r="KR8" s="29">
        <f t="shared" ca="1" si="343"/>
        <v>14252.617942591001</v>
      </c>
      <c r="KS8" s="29">
        <f t="shared" ca="1" si="344"/>
        <v>13560.950334732304</v>
      </c>
      <c r="KT8" s="29">
        <f t="shared" ca="1" si="345"/>
        <v>14524.366455147081</v>
      </c>
      <c r="KU8" s="29">
        <f t="shared" ca="1" si="346"/>
        <v>14041.486063963333</v>
      </c>
      <c r="KV8" s="29">
        <f t="shared" ca="1" si="347"/>
        <v>14157.022946726607</v>
      </c>
      <c r="KW8" s="29">
        <f t="shared" ca="1" si="348"/>
        <v>14452.631300240235</v>
      </c>
      <c r="KX8" s="29">
        <f t="shared" ca="1" si="349"/>
        <v>13674.616548193848</v>
      </c>
      <c r="KY8" s="29">
        <f t="shared" ca="1" si="350"/>
        <v>14466.050738416925</v>
      </c>
      <c r="KZ8" s="29">
        <f t="shared" ca="1" si="351"/>
        <v>14027.343594254788</v>
      </c>
      <c r="LA8" s="29">
        <f t="shared" ca="1" si="352"/>
        <v>15016.899933686525</v>
      </c>
      <c r="LB8" s="29">
        <f t="shared" ca="1" si="353"/>
        <v>13785.417639060082</v>
      </c>
      <c r="LC8" s="29">
        <f t="shared" ca="1" si="354"/>
        <v>14042.849728873916</v>
      </c>
      <c r="LD8" s="29">
        <f t="shared" ca="1" si="355"/>
        <v>13715.73930724136</v>
      </c>
      <c r="LE8" s="29">
        <f t="shared" ca="1" si="356"/>
        <v>14146.696863648682</v>
      </c>
      <c r="LF8" s="29">
        <f t="shared" ca="1" si="357"/>
        <v>14216.365893799737</v>
      </c>
      <c r="LG8" s="29">
        <f t="shared" ca="1" si="358"/>
        <v>14371.174938342259</v>
      </c>
      <c r="LH8" s="29">
        <f t="shared" ca="1" si="359"/>
        <v>14036.522788126618</v>
      </c>
      <c r="LI8" s="29">
        <f t="shared" ca="1" si="360"/>
        <v>14337.892226355272</v>
      </c>
      <c r="LJ8" s="29">
        <f t="shared" ca="1" si="361"/>
        <v>14312.673584259057</v>
      </c>
      <c r="LK8" s="29">
        <f t="shared" ca="1" si="362"/>
        <v>14149.984239358011</v>
      </c>
      <c r="LL8" s="29">
        <f t="shared" ca="1" si="363"/>
        <v>14294.395822867689</v>
      </c>
      <c r="LM8" s="29">
        <f t="shared" ca="1" si="364"/>
        <v>14175.931675290862</v>
      </c>
      <c r="LN8" s="29">
        <f t="shared" ca="1" si="365"/>
        <v>14647.330392550923</v>
      </c>
      <c r="LO8" s="29">
        <f t="shared" ca="1" si="366"/>
        <v>13810.810723792847</v>
      </c>
      <c r="LP8" s="29">
        <f t="shared" ca="1" si="367"/>
        <v>14372.450407398721</v>
      </c>
      <c r="LQ8" s="29">
        <f t="shared" ca="1" si="368"/>
        <v>14902.953748402266</v>
      </c>
      <c r="LR8" s="29">
        <f t="shared" ca="1" si="369"/>
        <v>14383.032881594872</v>
      </c>
      <c r="LS8" s="29">
        <f t="shared" ca="1" si="370"/>
        <v>13796.263227192332</v>
      </c>
      <c r="LT8" s="29">
        <f t="shared" ca="1" si="371"/>
        <v>14078.067877906906</v>
      </c>
      <c r="LU8" s="29">
        <f t="shared" ca="1" si="372"/>
        <v>14713.145323428396</v>
      </c>
      <c r="LV8" s="29">
        <f t="shared" ca="1" si="373"/>
        <v>13936.513415811354</v>
      </c>
      <c r="LW8" s="29">
        <f t="shared" ca="1" si="374"/>
        <v>14405.352936205851</v>
      </c>
      <c r="LX8" s="29">
        <f t="shared" ca="1" si="375"/>
        <v>14138.736728678245</v>
      </c>
      <c r="LY8" s="29">
        <f t="shared" ca="1" si="376"/>
        <v>14967.826144227232</v>
      </c>
      <c r="LZ8" s="29">
        <f t="shared" ca="1" si="377"/>
        <v>14462.801483601963</v>
      </c>
      <c r="MA8" s="29">
        <f t="shared" ca="1" si="378"/>
        <v>14333.120278798036</v>
      </c>
      <c r="MB8" s="29">
        <f t="shared" ca="1" si="379"/>
        <v>14009.858799307882</v>
      </c>
      <c r="MC8" s="29">
        <f t="shared" ca="1" si="380"/>
        <v>14271.470737140093</v>
      </c>
      <c r="MD8" s="29">
        <f t="shared" ca="1" si="381"/>
        <v>14684.743254004366</v>
      </c>
      <c r="ME8" s="29">
        <f t="shared" ca="1" si="382"/>
        <v>13526.04355610751</v>
      </c>
      <c r="MF8" s="29">
        <f t="shared" ca="1" si="383"/>
        <v>14242.760222160287</v>
      </c>
      <c r="MG8" s="29">
        <f t="shared" ca="1" si="384"/>
        <v>14368.858255429008</v>
      </c>
      <c r="MH8" s="29">
        <f t="shared" ca="1" si="385"/>
        <v>14604.397507060841</v>
      </c>
      <c r="MI8" s="29">
        <f t="shared" ca="1" si="386"/>
        <v>14337.04283388471</v>
      </c>
      <c r="MJ8" s="29">
        <f t="shared" ca="1" si="387"/>
        <v>14791.199991652535</v>
      </c>
      <c r="MK8" s="29">
        <f t="shared" ca="1" si="388"/>
        <v>14391.593612491597</v>
      </c>
      <c r="ML8" s="29">
        <f t="shared" ca="1" si="389"/>
        <v>14802.629390319204</v>
      </c>
      <c r="MM8" s="29">
        <f t="shared" ca="1" si="390"/>
        <v>14552.629968337731</v>
      </c>
      <c r="MN8" s="29">
        <f t="shared" ca="1" si="391"/>
        <v>14919.10199102303</v>
      </c>
      <c r="MO8" s="29">
        <f t="shared" ca="1" si="392"/>
        <v>14642.677522279571</v>
      </c>
      <c r="MP8" s="29">
        <f t="shared" ca="1" si="393"/>
        <v>14457.624621604367</v>
      </c>
      <c r="MQ8" s="29">
        <f t="shared" ca="1" si="394"/>
        <v>14575.073811071048</v>
      </c>
      <c r="MR8" s="29">
        <f t="shared" ca="1" si="395"/>
        <v>14341.123393116331</v>
      </c>
      <c r="MS8" s="29">
        <f t="shared" ca="1" si="396"/>
        <v>14224.587941097338</v>
      </c>
      <c r="MT8" s="29">
        <f t="shared" ca="1" si="397"/>
        <v>14439.576842885361</v>
      </c>
      <c r="MU8" s="29">
        <f t="shared" ca="1" si="398"/>
        <v>14142.594946682246</v>
      </c>
      <c r="MV8" s="29">
        <f t="shared" ca="1" si="399"/>
        <v>13718.16840497054</v>
      </c>
      <c r="MW8" s="29">
        <f t="shared" ca="1" si="400"/>
        <v>13977.058005667872</v>
      </c>
      <c r="MX8" s="29">
        <f t="shared" ca="1" si="401"/>
        <v>14597.051092323603</v>
      </c>
      <c r="MY8" s="29">
        <f t="shared" ca="1" si="402"/>
        <v>14350.670948368348</v>
      </c>
      <c r="MZ8" s="29">
        <f t="shared" ca="1" si="403"/>
        <v>15125.706502303026</v>
      </c>
      <c r="NA8" s="29">
        <f t="shared" ca="1" si="404"/>
        <v>14773.181144822012</v>
      </c>
      <c r="NB8" s="29">
        <f t="shared" ca="1" si="405"/>
        <v>15017.838329960561</v>
      </c>
      <c r="NC8" s="29">
        <f t="shared" ca="1" si="406"/>
        <v>14047.99604241871</v>
      </c>
      <c r="ND8" s="29">
        <f t="shared" ca="1" si="407"/>
        <v>14152.102025699101</v>
      </c>
      <c r="NE8" s="29">
        <f t="shared" ca="1" si="408"/>
        <v>14887.190334812669</v>
      </c>
      <c r="NF8" s="29">
        <f t="shared" ca="1" si="409"/>
        <v>14576.726323394596</v>
      </c>
      <c r="NG8" s="29">
        <f t="shared" ca="1" si="410"/>
        <v>13937.947523245624</v>
      </c>
      <c r="NH8" s="29">
        <f t="shared" ca="1" si="411"/>
        <v>14371.457795470196</v>
      </c>
      <c r="NI8" s="29">
        <f t="shared" ca="1" si="412"/>
        <v>14827.627444058824</v>
      </c>
      <c r="NJ8" s="29">
        <f t="shared" ca="1" si="413"/>
        <v>14332.021451399143</v>
      </c>
      <c r="NK8" s="29">
        <f t="shared" ca="1" si="414"/>
        <v>14927.006301228885</v>
      </c>
      <c r="NL8" s="29">
        <f t="shared" ca="1" si="415"/>
        <v>13673.129328741448</v>
      </c>
      <c r="NM8" s="29">
        <f t="shared" ca="1" si="416"/>
        <v>14377.708868024094</v>
      </c>
      <c r="NN8" s="29">
        <f t="shared" ca="1" si="417"/>
        <v>14304.825747292951</v>
      </c>
      <c r="NO8" s="29">
        <f t="shared" ca="1" si="418"/>
        <v>14424.232012320863</v>
      </c>
      <c r="NP8" s="29">
        <f t="shared" ca="1" si="419"/>
        <v>13507.082936994329</v>
      </c>
      <c r="NQ8" s="29">
        <f t="shared" ca="1" si="420"/>
        <v>14382.550507297625</v>
      </c>
      <c r="NR8" s="29">
        <f t="shared" ca="1" si="421"/>
        <v>14347.33701261366</v>
      </c>
      <c r="NS8" s="29">
        <f t="shared" ca="1" si="422"/>
        <v>14798.233524563488</v>
      </c>
      <c r="NT8" s="29">
        <f t="shared" ca="1" si="423"/>
        <v>14773.644647401143</v>
      </c>
      <c r="NU8" s="29">
        <f t="shared" ca="1" si="424"/>
        <v>14738.87394741927</v>
      </c>
      <c r="NV8" s="29">
        <f t="shared" ca="1" si="425"/>
        <v>14095.821055506605</v>
      </c>
      <c r="NW8" s="29">
        <f t="shared" ca="1" si="426"/>
        <v>13471.061946017975</v>
      </c>
      <c r="NX8" s="29">
        <f t="shared" ca="1" si="427"/>
        <v>14792.216312595056</v>
      </c>
      <c r="NY8" s="29">
        <f t="shared" ca="1" si="428"/>
        <v>14527.449475979334</v>
      </c>
      <c r="NZ8" s="29">
        <f t="shared" ca="1" si="429"/>
        <v>14657.877208583817</v>
      </c>
      <c r="OA8" s="29">
        <f t="shared" ca="1" si="430"/>
        <v>14252.939471262922</v>
      </c>
      <c r="OB8" s="29">
        <f t="shared" ca="1" si="431"/>
        <v>14611.765884305541</v>
      </c>
      <c r="OC8" s="29">
        <f t="shared" ca="1" si="432"/>
        <v>13991.285613088952</v>
      </c>
      <c r="OD8" s="29">
        <f t="shared" ca="1" si="433"/>
        <v>14418.107547817226</v>
      </c>
      <c r="OE8" s="29">
        <f t="shared" ca="1" si="434"/>
        <v>15003.754283647708</v>
      </c>
      <c r="OF8" s="29">
        <f t="shared" ca="1" si="435"/>
        <v>13795.921714669425</v>
      </c>
      <c r="OG8" s="29">
        <f t="shared" ca="1" si="436"/>
        <v>14756.169549376895</v>
      </c>
      <c r="OH8" s="29">
        <f t="shared" ca="1" si="437"/>
        <v>15092.855280589229</v>
      </c>
      <c r="OI8" s="29">
        <f t="shared" ca="1" si="438"/>
        <v>14009.309673683851</v>
      </c>
      <c r="OJ8" s="29">
        <f t="shared" ca="1" si="439"/>
        <v>14517.095472283603</v>
      </c>
      <c r="OK8" s="29">
        <f t="shared" ca="1" si="440"/>
        <v>13746.941863249227</v>
      </c>
      <c r="OL8" s="29">
        <f t="shared" ca="1" si="441"/>
        <v>14548.539345551202</v>
      </c>
      <c r="OM8" s="29">
        <f t="shared" ca="1" si="442"/>
        <v>14185.791541895203</v>
      </c>
      <c r="ON8" s="29">
        <f t="shared" ca="1" si="443"/>
        <v>14597.385087572156</v>
      </c>
      <c r="OO8" s="29">
        <f t="shared" ca="1" si="444"/>
        <v>13489.104418746123</v>
      </c>
      <c r="OP8" s="29">
        <f t="shared" ca="1" si="445"/>
        <v>15117.981208540794</v>
      </c>
      <c r="OQ8" s="29">
        <f t="shared" ca="1" si="446"/>
        <v>14119.003526956929</v>
      </c>
      <c r="OR8" s="29">
        <f t="shared" ca="1" si="447"/>
        <v>14316.607862340212</v>
      </c>
      <c r="OS8" s="29">
        <f t="shared" ca="1" si="448"/>
        <v>13796.072072291548</v>
      </c>
      <c r="OT8" s="29">
        <f t="shared" ca="1" si="449"/>
        <v>14150.990969394092</v>
      </c>
      <c r="OU8" s="29">
        <f t="shared" ca="1" si="450"/>
        <v>14803.972422872286</v>
      </c>
      <c r="OV8" s="29">
        <f t="shared" ca="1" si="451"/>
        <v>14490.409924340313</v>
      </c>
      <c r="OW8" s="29">
        <f t="shared" ca="1" si="452"/>
        <v>14991.815834957646</v>
      </c>
      <c r="OX8" s="29">
        <f t="shared" ca="1" si="453"/>
        <v>14336.940092236417</v>
      </c>
      <c r="OY8" s="29">
        <f t="shared" ca="1" si="454"/>
        <v>14578.891582240021</v>
      </c>
      <c r="OZ8" s="29">
        <f t="shared" ca="1" si="455"/>
        <v>13679.920543838803</v>
      </c>
      <c r="PA8" s="29">
        <f t="shared" ca="1" si="456"/>
        <v>14244.578112913759</v>
      </c>
      <c r="PB8" s="29">
        <f t="shared" ca="1" si="457"/>
        <v>13822.770138654269</v>
      </c>
      <c r="PC8" s="29">
        <f t="shared" ca="1" si="458"/>
        <v>14068.281212485939</v>
      </c>
      <c r="PD8" s="29">
        <f t="shared" ca="1" si="459"/>
        <v>14481.176100516072</v>
      </c>
      <c r="PE8" s="29">
        <f t="shared" ca="1" si="460"/>
        <v>14615.400687935928</v>
      </c>
      <c r="PF8" s="29">
        <f t="shared" ca="1" si="461"/>
        <v>14435.102734750404</v>
      </c>
      <c r="PG8" s="29">
        <f t="shared" ca="1" si="462"/>
        <v>14580.155340738003</v>
      </c>
      <c r="PH8" s="29">
        <f t="shared" ca="1" si="463"/>
        <v>14599.870002959051</v>
      </c>
      <c r="PI8" s="29">
        <f t="shared" ca="1" si="464"/>
        <v>13453.867397178397</v>
      </c>
      <c r="PJ8" s="29">
        <f t="shared" ca="1" si="465"/>
        <v>14631.556329056642</v>
      </c>
      <c r="PK8" s="29">
        <f t="shared" ca="1" si="466"/>
        <v>14267.440990848027</v>
      </c>
      <c r="PL8" s="29">
        <f t="shared" ca="1" si="467"/>
        <v>13937.761728463063</v>
      </c>
      <c r="PM8" s="29">
        <f t="shared" ca="1" si="468"/>
        <v>13867.106332505302</v>
      </c>
      <c r="PN8" s="29">
        <f t="shared" ca="1" si="469"/>
        <v>14207.161270118288</v>
      </c>
      <c r="PO8" s="29">
        <f t="shared" ca="1" si="470"/>
        <v>14494.924445075429</v>
      </c>
      <c r="PP8" s="29">
        <f t="shared" ca="1" si="471"/>
        <v>14368.389340676165</v>
      </c>
      <c r="PQ8" s="29">
        <f t="shared" ca="1" si="472"/>
        <v>14654.075344394778</v>
      </c>
      <c r="PR8" s="29">
        <f t="shared" ca="1" si="473"/>
        <v>14158.467890350214</v>
      </c>
      <c r="PS8" s="29">
        <f t="shared" ca="1" si="474"/>
        <v>14723.68199732364</v>
      </c>
      <c r="PT8" s="29">
        <f t="shared" ca="1" si="475"/>
        <v>14526.546219819817</v>
      </c>
      <c r="PU8" s="29">
        <f t="shared" ca="1" si="476"/>
        <v>14262.55089689671</v>
      </c>
      <c r="PV8" s="29">
        <f t="shared" ca="1" si="477"/>
        <v>14679.236749539201</v>
      </c>
      <c r="PW8" s="29">
        <f t="shared" ca="1" si="478"/>
        <v>14488.218834463565</v>
      </c>
      <c r="PX8" s="29">
        <f t="shared" ca="1" si="479"/>
        <v>14190.295031569498</v>
      </c>
      <c r="PY8" s="29">
        <f t="shared" ca="1" si="480"/>
        <v>13907.024172865305</v>
      </c>
      <c r="PZ8" s="29">
        <f t="shared" ca="1" si="481"/>
        <v>13620.569199777738</v>
      </c>
      <c r="QA8" s="29">
        <f t="shared" ca="1" si="482"/>
        <v>14711.110277361886</v>
      </c>
      <c r="QB8" s="29">
        <f t="shared" ca="1" si="483"/>
        <v>14731.943955464287</v>
      </c>
      <c r="QC8" s="29">
        <f t="shared" ca="1" si="484"/>
        <v>14001.250470613222</v>
      </c>
      <c r="QD8" s="29">
        <f t="shared" ca="1" si="485"/>
        <v>14546.880789575594</v>
      </c>
      <c r="QE8" s="29">
        <f t="shared" ca="1" si="486"/>
        <v>14454.823484446568</v>
      </c>
      <c r="QF8" s="29">
        <f t="shared" ca="1" si="487"/>
        <v>14923.184133278455</v>
      </c>
      <c r="QG8" s="29">
        <f t="shared" ca="1" si="488"/>
        <v>14634.959640554313</v>
      </c>
      <c r="QH8" s="29">
        <f t="shared" ca="1" si="489"/>
        <v>14692.680306269282</v>
      </c>
      <c r="QI8" s="29">
        <f t="shared" ca="1" si="490"/>
        <v>14833.82491710861</v>
      </c>
      <c r="QJ8" s="29">
        <f t="shared" ca="1" si="491"/>
        <v>14041.727428228787</v>
      </c>
      <c r="QK8" s="29">
        <f t="shared" ca="1" si="492"/>
        <v>14776.789857309253</v>
      </c>
      <c r="QL8" s="29">
        <f t="shared" ca="1" si="493"/>
        <v>14692.62000352723</v>
      </c>
      <c r="QM8" s="29">
        <f t="shared" ca="1" si="494"/>
        <v>13962.667699301044</v>
      </c>
      <c r="QN8" s="29">
        <f t="shared" ca="1" si="495"/>
        <v>14722.589387037695</v>
      </c>
      <c r="QO8" s="29">
        <f t="shared" ca="1" si="496"/>
        <v>14541.585877950552</v>
      </c>
      <c r="QP8" s="29">
        <f t="shared" ca="1" si="497"/>
        <v>14537.104123308505</v>
      </c>
      <c r="QQ8" s="29">
        <f t="shared" ca="1" si="498"/>
        <v>14738.83075981205</v>
      </c>
      <c r="QR8" s="29">
        <f t="shared" ca="1" si="499"/>
        <v>14521.083462364275</v>
      </c>
      <c r="QS8" s="29">
        <f t="shared" ca="1" si="500"/>
        <v>14972.331824744979</v>
      </c>
      <c r="QT8" s="29">
        <f t="shared" ca="1" si="501"/>
        <v>14752.803668253062</v>
      </c>
      <c r="QU8" s="29">
        <f t="shared" ca="1" si="502"/>
        <v>14171.531360552064</v>
      </c>
      <c r="QV8" s="29">
        <f t="shared" ca="1" si="503"/>
        <v>14670.358798204777</v>
      </c>
      <c r="QW8" s="29">
        <f t="shared" ca="1" si="504"/>
        <v>14297.816106266715</v>
      </c>
      <c r="QX8" s="29">
        <f t="shared" ca="1" si="505"/>
        <v>14540.108258483097</v>
      </c>
      <c r="QY8" s="29">
        <f t="shared" ca="1" si="506"/>
        <v>14971.450629782612</v>
      </c>
      <c r="QZ8" s="29">
        <f t="shared" ca="1" si="507"/>
        <v>14164.985878211948</v>
      </c>
      <c r="RA8" s="29">
        <f t="shared" ca="1" si="508"/>
        <v>14554.16609516636</v>
      </c>
      <c r="RB8" s="29">
        <f t="shared" ca="1" si="509"/>
        <v>14043.39864216555</v>
      </c>
      <c r="RC8" s="29">
        <f t="shared" ca="1" si="510"/>
        <v>13972.350380531685</v>
      </c>
      <c r="RD8" s="29">
        <f t="shared" ca="1" si="511"/>
        <v>14790.073971088494</v>
      </c>
      <c r="RE8" s="29">
        <f t="shared" ca="1" si="512"/>
        <v>14472.879387783243</v>
      </c>
      <c r="RF8" s="29">
        <f t="shared" ca="1" si="513"/>
        <v>14132.709406687385</v>
      </c>
      <c r="RG8" s="29">
        <f t="shared" ca="1" si="514"/>
        <v>14400.230199796766</v>
      </c>
      <c r="RH8" s="29">
        <f t="shared" ca="1" si="515"/>
        <v>14415.70415625118</v>
      </c>
      <c r="RI8" s="29">
        <f t="shared" ca="1" si="516"/>
        <v>14084.032367357717</v>
      </c>
      <c r="RJ8" s="29">
        <f t="shared" ca="1" si="517"/>
        <v>14553.157248972635</v>
      </c>
      <c r="RK8" s="29">
        <f t="shared" ca="1" si="518"/>
        <v>14159.598337815098</v>
      </c>
      <c r="RL8" s="29">
        <f t="shared" ca="1" si="519"/>
        <v>14228.254143962498</v>
      </c>
      <c r="RM8" s="29">
        <f t="shared" ca="1" si="520"/>
        <v>14713.998019858152</v>
      </c>
      <c r="RN8" s="29">
        <f t="shared" ca="1" si="521"/>
        <v>13923.18354829863</v>
      </c>
      <c r="RO8" s="29">
        <f t="shared" ca="1" si="522"/>
        <v>13947.431258450004</v>
      </c>
      <c r="RP8" s="29">
        <f t="shared" ca="1" si="523"/>
        <v>14863.355347448189</v>
      </c>
      <c r="RQ8" s="29">
        <f t="shared" ca="1" si="524"/>
        <v>14819.017066159204</v>
      </c>
      <c r="RR8" s="29">
        <f t="shared" ca="1" si="525"/>
        <v>14310.750252284381</v>
      </c>
      <c r="RS8" s="29">
        <f t="shared" ca="1" si="526"/>
        <v>14478.841854410495</v>
      </c>
      <c r="RT8" s="29">
        <f t="shared" ca="1" si="527"/>
        <v>14843.06745462214</v>
      </c>
      <c r="RU8" s="29">
        <f t="shared" ca="1" si="528"/>
        <v>13853.276817961156</v>
      </c>
      <c r="RV8" s="29">
        <f t="shared" ca="1" si="529"/>
        <v>13798.393911026687</v>
      </c>
      <c r="RW8" s="29">
        <f t="shared" ca="1" si="530"/>
        <v>15188.382940862626</v>
      </c>
      <c r="RX8" s="29">
        <f t="shared" ca="1" si="531"/>
        <v>14358.644596670207</v>
      </c>
      <c r="RY8" s="29">
        <f t="shared" ca="1" si="532"/>
        <v>14485.745862340476</v>
      </c>
      <c r="RZ8" s="29">
        <f t="shared" ca="1" si="533"/>
        <v>14807.971861759041</v>
      </c>
      <c r="SA8" s="29">
        <f t="shared" ca="1" si="534"/>
        <v>14312.267945743222</v>
      </c>
      <c r="SB8" s="29">
        <f t="shared" ca="1" si="535"/>
        <v>13970.34856163025</v>
      </c>
      <c r="SC8" s="29">
        <f t="shared" ca="1" si="536"/>
        <v>14694.366406269146</v>
      </c>
      <c r="SD8" s="29">
        <f t="shared" ca="1" si="537"/>
        <v>14304.994139334609</v>
      </c>
      <c r="SE8" s="29">
        <f t="shared" ca="1" si="538"/>
        <v>14432.731456634403</v>
      </c>
      <c r="SF8" s="29">
        <f t="shared" ca="1" si="539"/>
        <v>14032.094200223479</v>
      </c>
      <c r="SG8" s="29">
        <f t="shared" ca="1" si="540"/>
        <v>15148.456864944696</v>
      </c>
      <c r="SH8" s="29">
        <f t="shared" ca="1" si="541"/>
        <v>15290.962464149181</v>
      </c>
      <c r="SI8" s="29">
        <f t="shared" ca="1" si="542"/>
        <v>14229.855458422591</v>
      </c>
      <c r="SJ8" s="29">
        <f t="shared" ca="1" si="543"/>
        <v>14452.162471711477</v>
      </c>
      <c r="SK8" s="29">
        <f t="shared" ca="1" si="544"/>
        <v>15134.99395251961</v>
      </c>
      <c r="SL8" s="29">
        <f t="shared" ca="1" si="545"/>
        <v>14439.125140489035</v>
      </c>
      <c r="SM8" s="29">
        <f t="shared" ca="1" si="546"/>
        <v>14678.930750630519</v>
      </c>
      <c r="SN8" s="29">
        <f t="shared" ca="1" si="547"/>
        <v>14168.757308729955</v>
      </c>
      <c r="SO8" s="29">
        <f t="shared" ca="1" si="548"/>
        <v>14183.625119803546</v>
      </c>
      <c r="SP8" s="29">
        <f t="shared" ca="1" si="549"/>
        <v>14983.195622332303</v>
      </c>
      <c r="SQ8" s="29">
        <f t="shared" ca="1" si="550"/>
        <v>14568.264510080653</v>
      </c>
      <c r="SR8" s="29">
        <f t="shared" ca="1" si="551"/>
        <v>13784.187066265491</v>
      </c>
      <c r="SS8" s="29">
        <f t="shared" ca="1" si="552"/>
        <v>14563.237337480386</v>
      </c>
      <c r="ST8" s="29">
        <f t="shared" ca="1" si="553"/>
        <v>14125.416039259464</v>
      </c>
      <c r="SU8" s="29">
        <f t="shared" ca="1" si="554"/>
        <v>14992.206201589166</v>
      </c>
      <c r="SV8" s="29">
        <f t="shared" ca="1" si="555"/>
        <v>14489.042313215114</v>
      </c>
      <c r="SW8" s="29">
        <f t="shared" ca="1" si="556"/>
        <v>14040.192511604364</v>
      </c>
      <c r="SX8" s="29">
        <f t="shared" ca="1" si="557"/>
        <v>13928.484880679975</v>
      </c>
      <c r="SY8" s="29">
        <f t="shared" ca="1" si="558"/>
        <v>14199.292271230182</v>
      </c>
      <c r="SZ8" s="29">
        <f t="shared" ca="1" si="559"/>
        <v>14758.509070868284</v>
      </c>
      <c r="TA8" s="29">
        <f t="shared" ca="1" si="560"/>
        <v>14376.009013767531</v>
      </c>
      <c r="TB8" s="29">
        <f t="shared" ca="1" si="561"/>
        <v>14171.806260605328</v>
      </c>
      <c r="TC8" s="29">
        <f t="shared" ca="1" si="562"/>
        <v>14749.367219028847</v>
      </c>
      <c r="TD8" s="29">
        <f t="shared" ca="1" si="563"/>
        <v>13804.014143299459</v>
      </c>
      <c r="TE8" s="29">
        <f t="shared" ca="1" si="564"/>
        <v>14391.644595256545</v>
      </c>
      <c r="TF8" s="29">
        <f t="shared" ca="1" si="565"/>
        <v>13948.60593322448</v>
      </c>
      <c r="TG8" s="29">
        <f t="shared" ca="1" si="566"/>
        <v>14223.215111293663</v>
      </c>
      <c r="TH8" s="29">
        <f t="shared" ca="1" si="567"/>
        <v>14167.001290249449</v>
      </c>
      <c r="TI8" s="29">
        <f t="shared" ca="1" si="568"/>
        <v>13832.141543980557</v>
      </c>
      <c r="TJ8" s="29">
        <f t="shared" ca="1" si="569"/>
        <v>14312.585230091203</v>
      </c>
      <c r="TK8" s="29">
        <f t="shared" ca="1" si="570"/>
        <v>14184.956586334127</v>
      </c>
      <c r="TL8" s="29">
        <f t="shared" ca="1" si="571"/>
        <v>14803.61070069169</v>
      </c>
      <c r="TM8" s="29">
        <f t="shared" ca="1" si="572"/>
        <v>14058.181099601277</v>
      </c>
      <c r="TN8" s="29">
        <f t="shared" ca="1" si="573"/>
        <v>14215.80507544411</v>
      </c>
      <c r="TO8" s="29">
        <f t="shared" ca="1" si="574"/>
        <v>14374.015301503525</v>
      </c>
      <c r="TP8" s="29">
        <f t="shared" ca="1" si="575"/>
        <v>14756.251591098508</v>
      </c>
      <c r="TQ8" s="29">
        <f t="shared" ca="1" si="576"/>
        <v>14601.744181290031</v>
      </c>
      <c r="TR8" s="29">
        <f t="shared" ca="1" si="577"/>
        <v>14357.843658059786</v>
      </c>
      <c r="TS8" s="29">
        <f t="shared" ca="1" si="578"/>
        <v>14431.59051660659</v>
      </c>
      <c r="TT8" s="29">
        <f t="shared" ca="1" si="579"/>
        <v>14576.425822113148</v>
      </c>
      <c r="TU8" s="29">
        <f t="shared" ca="1" si="580"/>
        <v>14843.666637038625</v>
      </c>
      <c r="TV8" s="29">
        <f t="shared" ca="1" si="581"/>
        <v>14150.554657691446</v>
      </c>
      <c r="TW8" s="29">
        <f t="shared" ca="1" si="582"/>
        <v>14878.360973690169</v>
      </c>
      <c r="TX8" s="29">
        <f t="shared" ca="1" si="583"/>
        <v>14183.587035250748</v>
      </c>
      <c r="TY8" s="29">
        <f t="shared" ca="1" si="584"/>
        <v>14561.741438820476</v>
      </c>
      <c r="TZ8" s="29">
        <f t="shared" ca="1" si="585"/>
        <v>14489.547829843406</v>
      </c>
      <c r="UA8" s="29">
        <f t="shared" ca="1" si="586"/>
        <v>13781.293415217378</v>
      </c>
      <c r="UB8" s="29">
        <f t="shared" ca="1" si="587"/>
        <v>14471.258480467528</v>
      </c>
      <c r="UC8" s="29">
        <f t="shared" ca="1" si="588"/>
        <v>13683.760833518116</v>
      </c>
      <c r="UD8" s="29">
        <f t="shared" ca="1" si="589"/>
        <v>14338.962486731731</v>
      </c>
      <c r="UE8" s="29">
        <f t="shared" ca="1" si="590"/>
        <v>14167.70644506083</v>
      </c>
      <c r="UF8" s="29">
        <f t="shared" ca="1" si="591"/>
        <v>14376.415602615516</v>
      </c>
      <c r="UG8" s="29">
        <f t="shared" ca="1" si="592"/>
        <v>14308.190665436156</v>
      </c>
      <c r="UH8" s="29">
        <f t="shared" ca="1" si="593"/>
        <v>14002.927835029483</v>
      </c>
      <c r="UI8" s="29">
        <f t="shared" ca="1" si="594"/>
        <v>14641.75820039121</v>
      </c>
      <c r="UJ8" s="29">
        <f t="shared" ca="1" si="595"/>
        <v>14628.099432047304</v>
      </c>
      <c r="UK8" s="29">
        <f t="shared" ca="1" si="596"/>
        <v>14787.253034259129</v>
      </c>
      <c r="UL8" s="29">
        <f t="shared" ca="1" si="597"/>
        <v>15284.668635998283</v>
      </c>
      <c r="UM8" s="29">
        <f t="shared" ca="1" si="598"/>
        <v>13840.078060375408</v>
      </c>
      <c r="UN8" s="29">
        <f t="shared" ca="1" si="599"/>
        <v>13948.239266765177</v>
      </c>
      <c r="UO8" s="29">
        <f t="shared" ca="1" si="600"/>
        <v>14631.298298760497</v>
      </c>
      <c r="UP8" s="29">
        <f t="shared" ca="1" si="601"/>
        <v>14244.245805662145</v>
      </c>
      <c r="UQ8" s="29">
        <f t="shared" ca="1" si="602"/>
        <v>14584.238382885029</v>
      </c>
      <c r="UR8" s="29">
        <f t="shared" ca="1" si="603"/>
        <v>14684.267286082168</v>
      </c>
      <c r="US8" s="29">
        <f t="shared" ca="1" si="604"/>
        <v>15043.720182214871</v>
      </c>
      <c r="UT8" s="29">
        <f t="shared" ca="1" si="605"/>
        <v>14109.5676207126</v>
      </c>
      <c r="UU8" s="29">
        <f t="shared" ca="1" si="606"/>
        <v>14039.642881825874</v>
      </c>
      <c r="UV8" s="29">
        <f t="shared" ca="1" si="607"/>
        <v>14789.416489406516</v>
      </c>
      <c r="UW8" s="29">
        <f t="shared" ca="1" si="608"/>
        <v>14510.832299684573</v>
      </c>
      <c r="UX8" s="29">
        <f t="shared" ca="1" si="609"/>
        <v>14289.416238947915</v>
      </c>
      <c r="UY8" s="29">
        <f t="shared" ca="1" si="610"/>
        <v>14604.203569763562</v>
      </c>
      <c r="UZ8" s="29">
        <f t="shared" ca="1" si="611"/>
        <v>14143.193995818647</v>
      </c>
      <c r="VA8" s="29">
        <f t="shared" ca="1" si="612"/>
        <v>14499.285798795245</v>
      </c>
      <c r="VB8" s="29">
        <f t="shared" ca="1" si="613"/>
        <v>14301.254930960209</v>
      </c>
      <c r="VC8" s="29">
        <f t="shared" ca="1" si="614"/>
        <v>14101.8508706747</v>
      </c>
      <c r="VD8" s="29">
        <f t="shared" ca="1" si="615"/>
        <v>14358.418473536893</v>
      </c>
      <c r="VE8" s="29">
        <f t="shared" ca="1" si="616"/>
        <v>14815.7649851483</v>
      </c>
      <c r="VF8" s="29">
        <f t="shared" ca="1" si="617"/>
        <v>14287.435375371771</v>
      </c>
      <c r="VG8" s="29">
        <f t="shared" ca="1" si="618"/>
        <v>14340.904876502331</v>
      </c>
      <c r="VH8" s="29">
        <f t="shared" ca="1" si="619"/>
        <v>13586.981866158352</v>
      </c>
      <c r="VI8" s="29">
        <f t="shared" ca="1" si="620"/>
        <v>14169.713952303138</v>
      </c>
      <c r="VJ8" s="29">
        <f t="shared" ca="1" si="621"/>
        <v>13955.192923941408</v>
      </c>
      <c r="VK8" s="29">
        <f t="shared" ca="1" si="622"/>
        <v>14165.589504494868</v>
      </c>
      <c r="VL8" s="29">
        <f t="shared" ca="1" si="623"/>
        <v>13648.327225692141</v>
      </c>
      <c r="VM8" s="29">
        <f t="shared" ca="1" si="624"/>
        <v>14162.382689294214</v>
      </c>
      <c r="VN8" s="29">
        <f t="shared" ca="1" si="625"/>
        <v>14297.812914421796</v>
      </c>
      <c r="VO8" s="29">
        <f t="shared" ca="1" si="626"/>
        <v>15050.542254881208</v>
      </c>
      <c r="VP8" s="29">
        <f t="shared" ca="1" si="627"/>
        <v>14227.113129750622</v>
      </c>
      <c r="VQ8" s="29">
        <f t="shared" ca="1" si="628"/>
        <v>14495.91158082238</v>
      </c>
      <c r="VR8" s="29">
        <f t="shared" ca="1" si="629"/>
        <v>13825.855635623902</v>
      </c>
      <c r="VS8" s="29">
        <f t="shared" ca="1" si="630"/>
        <v>13719.543179074401</v>
      </c>
      <c r="VT8" s="29">
        <f t="shared" ca="1" si="631"/>
        <v>14646.579135364675</v>
      </c>
      <c r="VU8" s="29">
        <f t="shared" ca="1" si="632"/>
        <v>15149.415170025371</v>
      </c>
      <c r="VV8" s="29">
        <f t="shared" ca="1" si="633"/>
        <v>14659.469835501135</v>
      </c>
      <c r="VW8" s="29">
        <f t="shared" ca="1" si="634"/>
        <v>14472.022771758751</v>
      </c>
      <c r="VX8" s="29">
        <f t="shared" ca="1" si="635"/>
        <v>14782.845348919976</v>
      </c>
      <c r="VY8" s="29">
        <f t="shared" ca="1" si="636"/>
        <v>14934.047883793231</v>
      </c>
      <c r="VZ8" s="29">
        <f t="shared" ca="1" si="637"/>
        <v>14246.573922389869</v>
      </c>
      <c r="WA8" s="29">
        <f t="shared" ca="1" si="638"/>
        <v>14527.397761631764</v>
      </c>
      <c r="WB8" s="29">
        <f t="shared" ca="1" si="639"/>
        <v>14579.524676174569</v>
      </c>
      <c r="WC8" s="29">
        <f t="shared" ca="1" si="640"/>
        <v>14483.512940324865</v>
      </c>
      <c r="WD8" s="29">
        <f t="shared" ca="1" si="641"/>
        <v>14582.577647888793</v>
      </c>
      <c r="WE8" s="29">
        <f t="shared" ca="1" si="642"/>
        <v>14463.885299904385</v>
      </c>
      <c r="WF8" s="29">
        <f t="shared" ca="1" si="643"/>
        <v>15021.983501691984</v>
      </c>
      <c r="WG8" s="29">
        <f t="shared" ca="1" si="644"/>
        <v>14698.913239698189</v>
      </c>
      <c r="WH8" s="29">
        <f t="shared" ca="1" si="645"/>
        <v>13861.459923105524</v>
      </c>
      <c r="WI8" s="29">
        <f t="shared" ca="1" si="646"/>
        <v>14570.958254115389</v>
      </c>
      <c r="WJ8" s="29">
        <f t="shared" ca="1" si="647"/>
        <v>14484.861584413302</v>
      </c>
      <c r="WK8" s="29">
        <f t="shared" ca="1" si="648"/>
        <v>13964.232733826004</v>
      </c>
      <c r="WL8" s="29">
        <f t="shared" ca="1" si="649"/>
        <v>14244.990993134279</v>
      </c>
      <c r="WM8" s="29">
        <f t="shared" ca="1" si="650"/>
        <v>14396.784743760043</v>
      </c>
      <c r="WN8" s="29">
        <f t="shared" ca="1" si="651"/>
        <v>14518.22551705287</v>
      </c>
      <c r="WO8" s="29">
        <f t="shared" ca="1" si="652"/>
        <v>14718.678397508806</v>
      </c>
      <c r="WP8" s="29">
        <f t="shared" ca="1" si="653"/>
        <v>14205.136875135015</v>
      </c>
      <c r="WQ8" s="29">
        <f t="shared" ca="1" si="654"/>
        <v>14152.009837998969</v>
      </c>
      <c r="WR8" s="29">
        <f t="shared" ca="1" si="655"/>
        <v>14360.976719694803</v>
      </c>
      <c r="WS8" s="29">
        <f t="shared" ca="1" si="656"/>
        <v>14015.532490251018</v>
      </c>
      <c r="WT8" s="29">
        <f t="shared" ca="1" si="657"/>
        <v>14663.408764793548</v>
      </c>
      <c r="WU8" s="29">
        <f t="shared" ca="1" si="658"/>
        <v>14590.546008818048</v>
      </c>
      <c r="WV8" s="29">
        <f t="shared" ca="1" si="659"/>
        <v>14409.021127617765</v>
      </c>
      <c r="WW8" s="29">
        <f t="shared" ca="1" si="660"/>
        <v>13476.737723112768</v>
      </c>
      <c r="WX8" s="29">
        <f t="shared" ca="1" si="661"/>
        <v>14905.740811994156</v>
      </c>
      <c r="WY8" s="29">
        <f t="shared" ca="1" si="662"/>
        <v>14677.068332845904</v>
      </c>
      <c r="WZ8" s="29">
        <f t="shared" ca="1" si="663"/>
        <v>14246.790326036189</v>
      </c>
      <c r="XA8" s="29">
        <f t="shared" ca="1" si="664"/>
        <v>14368.247255634331</v>
      </c>
      <c r="XB8" s="29">
        <f t="shared" ca="1" si="665"/>
        <v>14240.657715946612</v>
      </c>
      <c r="XC8" s="29">
        <f t="shared" ca="1" si="666"/>
        <v>14100.718537560675</v>
      </c>
      <c r="XD8" s="29">
        <f t="shared" ca="1" si="667"/>
        <v>13822.277549895201</v>
      </c>
      <c r="XE8" s="29">
        <f t="shared" ca="1" si="668"/>
        <v>13916.900012481312</v>
      </c>
      <c r="XF8" s="29">
        <f t="shared" ca="1" si="669"/>
        <v>14372.122374796929</v>
      </c>
      <c r="XG8" s="29">
        <f t="shared" ca="1" si="670"/>
        <v>14135.264294912748</v>
      </c>
      <c r="XH8" s="29">
        <f t="shared" ca="1" si="671"/>
        <v>14228.417939863692</v>
      </c>
      <c r="XI8" s="29">
        <f t="shared" ca="1" si="672"/>
        <v>14923.807353814133</v>
      </c>
      <c r="XJ8" s="29">
        <f t="shared" ca="1" si="673"/>
        <v>14885.064663499837</v>
      </c>
      <c r="XK8" s="29">
        <f t="shared" ca="1" si="674"/>
        <v>13822.502765112469</v>
      </c>
      <c r="XL8" s="29">
        <f t="shared" ca="1" si="675"/>
        <v>14512.54960511201</v>
      </c>
      <c r="XM8" s="29">
        <f t="shared" ca="1" si="676"/>
        <v>13632.784009096076</v>
      </c>
      <c r="XN8" s="29">
        <f t="shared" ca="1" si="677"/>
        <v>14179.157959177079</v>
      </c>
      <c r="XO8" s="29">
        <f t="shared" ca="1" si="678"/>
        <v>14261.313070791899</v>
      </c>
      <c r="XP8" s="29">
        <f t="shared" ca="1" si="679"/>
        <v>15198.711353885983</v>
      </c>
      <c r="XQ8" s="29">
        <f t="shared" ca="1" si="680"/>
        <v>14481.268239142759</v>
      </c>
      <c r="XR8" s="29">
        <f t="shared" ca="1" si="681"/>
        <v>13885.947283162093</v>
      </c>
      <c r="XS8" s="29">
        <f t="shared" ca="1" si="682"/>
        <v>14133.020486173064</v>
      </c>
      <c r="XT8" s="29">
        <f t="shared" ca="1" si="683"/>
        <v>14853.915533086389</v>
      </c>
      <c r="XU8" s="29">
        <f t="shared" ca="1" si="684"/>
        <v>14913.958924545415</v>
      </c>
      <c r="XV8" s="29">
        <f t="shared" ca="1" si="685"/>
        <v>14513.407914212388</v>
      </c>
      <c r="XW8" s="29">
        <f t="shared" ca="1" si="686"/>
        <v>14520.973984325547</v>
      </c>
      <c r="XX8" s="29">
        <f t="shared" ca="1" si="687"/>
        <v>14146.387021121645</v>
      </c>
      <c r="XY8" s="29">
        <f t="shared" ca="1" si="688"/>
        <v>14611.075751662291</v>
      </c>
      <c r="XZ8" s="29">
        <f t="shared" ca="1" si="689"/>
        <v>14833.852567238861</v>
      </c>
      <c r="YA8" s="29">
        <f t="shared" ca="1" si="690"/>
        <v>14846.301947644737</v>
      </c>
      <c r="YB8" s="29">
        <f t="shared" ca="1" si="691"/>
        <v>14550.732104458635</v>
      </c>
      <c r="YC8" s="29">
        <f t="shared" ca="1" si="692"/>
        <v>14373.037477974174</v>
      </c>
      <c r="YD8" s="29">
        <f t="shared" ca="1" si="693"/>
        <v>14089.017722470624</v>
      </c>
      <c r="YE8" s="29">
        <f t="shared" ca="1" si="694"/>
        <v>14393.141984130802</v>
      </c>
      <c r="YF8" s="29">
        <f t="shared" ca="1" si="695"/>
        <v>14153.991131540177</v>
      </c>
      <c r="YG8" s="29">
        <f t="shared" ca="1" si="696"/>
        <v>14317.002151966573</v>
      </c>
      <c r="YH8" s="29">
        <f t="shared" ca="1" si="697"/>
        <v>14148.792179105023</v>
      </c>
      <c r="YI8" s="29">
        <f t="shared" ca="1" si="698"/>
        <v>14059.768291979019</v>
      </c>
      <c r="YJ8" s="29">
        <f t="shared" ca="1" si="699"/>
        <v>14016.748857331433</v>
      </c>
      <c r="YK8" s="29">
        <f t="shared" ca="1" si="700"/>
        <v>13926.40578757997</v>
      </c>
      <c r="YL8" s="29">
        <f t="shared" ca="1" si="701"/>
        <v>13876.626226567467</v>
      </c>
      <c r="YM8" s="29">
        <f t="shared" ca="1" si="702"/>
        <v>13985.034244663193</v>
      </c>
      <c r="YN8" s="29">
        <f t="shared" ca="1" si="703"/>
        <v>14583.248231842157</v>
      </c>
      <c r="YO8" s="29">
        <f t="shared" ca="1" si="704"/>
        <v>13847.261822263579</v>
      </c>
      <c r="YP8" s="29">
        <f t="shared" ca="1" si="705"/>
        <v>14841.726562121847</v>
      </c>
      <c r="YQ8" s="29">
        <f t="shared" ca="1" si="706"/>
        <v>14551.899238790207</v>
      </c>
      <c r="YR8" s="29">
        <f t="shared" ca="1" si="707"/>
        <v>13832.233986442796</v>
      </c>
      <c r="YS8" s="29">
        <f t="shared" ca="1" si="708"/>
        <v>14629.52735261397</v>
      </c>
      <c r="YT8" s="29">
        <f t="shared" ca="1" si="709"/>
        <v>14274.274069338897</v>
      </c>
      <c r="YU8" s="29">
        <f t="shared" ca="1" si="710"/>
        <v>14298.064896251421</v>
      </c>
      <c r="YV8" s="29">
        <f t="shared" ca="1" si="711"/>
        <v>14457.027322767543</v>
      </c>
      <c r="YW8" s="29">
        <f t="shared" ca="1" si="712"/>
        <v>14311.648848588473</v>
      </c>
      <c r="YX8" s="29">
        <f t="shared" ca="1" si="713"/>
        <v>14835.033355172975</v>
      </c>
      <c r="YY8" s="29">
        <f t="shared" ca="1" si="714"/>
        <v>13976.27044217792</v>
      </c>
      <c r="YZ8" s="29">
        <f t="shared" ca="1" si="715"/>
        <v>14563.177888398308</v>
      </c>
      <c r="ZA8" s="29">
        <f t="shared" ca="1" si="716"/>
        <v>14587.446259897843</v>
      </c>
      <c r="ZB8" s="29">
        <f t="shared" ca="1" si="717"/>
        <v>14294.844820071821</v>
      </c>
      <c r="ZC8" s="29">
        <f t="shared" ca="1" si="718"/>
        <v>14203.303757295713</v>
      </c>
      <c r="ZD8" s="29">
        <f t="shared" ca="1" si="719"/>
        <v>14067.117875406007</v>
      </c>
      <c r="ZE8" s="29">
        <f t="shared" ca="1" si="720"/>
        <v>13826.079322635851</v>
      </c>
      <c r="ZF8" s="29">
        <f t="shared" ca="1" si="721"/>
        <v>14405.466603356455</v>
      </c>
      <c r="ZG8" s="29">
        <f t="shared" ca="1" si="722"/>
        <v>13383.575436085493</v>
      </c>
      <c r="ZH8" s="29">
        <f t="shared" ca="1" si="723"/>
        <v>14629.318891903175</v>
      </c>
      <c r="ZI8" s="29">
        <f t="shared" ca="1" si="724"/>
        <v>14040.705438085955</v>
      </c>
      <c r="ZJ8" s="29">
        <f t="shared" ca="1" si="725"/>
        <v>14312.229804767801</v>
      </c>
      <c r="ZK8" s="29">
        <f t="shared" ca="1" si="726"/>
        <v>13398.975371580462</v>
      </c>
      <c r="ZL8" s="29">
        <f t="shared" ca="1" si="727"/>
        <v>13712.784070136411</v>
      </c>
      <c r="ZM8" s="29">
        <f t="shared" ca="1" si="728"/>
        <v>13998.661240601006</v>
      </c>
      <c r="ZN8" s="29">
        <f t="shared" ca="1" si="729"/>
        <v>14011.549340621577</v>
      </c>
      <c r="ZO8" s="29">
        <f t="shared" ca="1" si="730"/>
        <v>14827.297678080593</v>
      </c>
      <c r="ZP8" s="29">
        <f t="shared" ca="1" si="731"/>
        <v>14277.959149666774</v>
      </c>
      <c r="ZQ8" s="29">
        <f t="shared" ca="1" si="732"/>
        <v>14100.078525372239</v>
      </c>
      <c r="ZR8" s="29">
        <f t="shared" ca="1" si="733"/>
        <v>14643.858827207281</v>
      </c>
      <c r="ZS8" s="29">
        <f t="shared" ca="1" si="734"/>
        <v>14612.370865092269</v>
      </c>
      <c r="ZT8" s="29">
        <f t="shared" ca="1" si="735"/>
        <v>14354.11615157183</v>
      </c>
      <c r="ZU8" s="29">
        <f t="shared" ca="1" si="736"/>
        <v>14197.123083794428</v>
      </c>
      <c r="ZV8" s="29">
        <f t="shared" ca="1" si="737"/>
        <v>13967.016265906579</v>
      </c>
      <c r="ZW8" s="29">
        <f t="shared" ca="1" si="738"/>
        <v>14642.808959937007</v>
      </c>
      <c r="ZX8" s="29">
        <f t="shared" ca="1" si="739"/>
        <v>14698.317634703561</v>
      </c>
      <c r="ZY8" s="29">
        <f t="shared" ca="1" si="740"/>
        <v>14527.643191465169</v>
      </c>
      <c r="ZZ8" s="29">
        <f t="shared" ca="1" si="741"/>
        <v>14129.037417535064</v>
      </c>
      <c r="AAA8" s="29">
        <f t="shared" ca="1" si="742"/>
        <v>15222.345883844046</v>
      </c>
      <c r="AAB8" s="29">
        <f t="shared" ca="1" si="743"/>
        <v>14297.670618349493</v>
      </c>
      <c r="AAC8" s="29">
        <f t="shared" ca="1" si="744"/>
        <v>14752.379121778386</v>
      </c>
      <c r="AAD8" s="29">
        <f t="shared" ca="1" si="745"/>
        <v>14421.241769096116</v>
      </c>
      <c r="AAE8" s="29">
        <f t="shared" ca="1" si="746"/>
        <v>13784.133182155405</v>
      </c>
      <c r="AAF8" s="29">
        <f t="shared" ca="1" si="747"/>
        <v>15206.367451529844</v>
      </c>
      <c r="AAG8" s="29">
        <f t="shared" ca="1" si="748"/>
        <v>14225.50698991215</v>
      </c>
      <c r="AAH8" s="29">
        <f t="shared" ca="1" si="749"/>
        <v>14695.735061699646</v>
      </c>
      <c r="AAI8" s="29">
        <f t="shared" ca="1" si="750"/>
        <v>14240.42173708345</v>
      </c>
      <c r="AAJ8" s="29">
        <f t="shared" ca="1" si="751"/>
        <v>14101.19618576914</v>
      </c>
      <c r="AAK8" s="29">
        <f t="shared" ca="1" si="752"/>
        <v>14821.810647019322</v>
      </c>
      <c r="AAL8" s="29">
        <f t="shared" ca="1" si="753"/>
        <v>14209.109653941174</v>
      </c>
      <c r="AAM8" s="29">
        <f t="shared" ca="1" si="754"/>
        <v>14664.21995586754</v>
      </c>
      <c r="AAN8" s="29">
        <f t="shared" ca="1" si="755"/>
        <v>15159.143808754527</v>
      </c>
      <c r="AAO8" s="29">
        <f t="shared" ca="1" si="756"/>
        <v>14678.484848215307</v>
      </c>
      <c r="AAP8" s="29">
        <f t="shared" ca="1" si="757"/>
        <v>15072.737601135597</v>
      </c>
      <c r="AAQ8" s="29">
        <f t="shared" ca="1" si="758"/>
        <v>14336.639589297296</v>
      </c>
      <c r="AAR8" s="29">
        <f t="shared" ca="1" si="759"/>
        <v>14852.921723869513</v>
      </c>
      <c r="AAS8" s="29">
        <f t="shared" ca="1" si="760"/>
        <v>14319.238035480361</v>
      </c>
      <c r="AAT8" s="29">
        <f t="shared" ca="1" si="761"/>
        <v>14567.346140848585</v>
      </c>
      <c r="AAU8" s="29">
        <f t="shared" ca="1" si="762"/>
        <v>14426.129818076064</v>
      </c>
      <c r="AAV8" s="29">
        <f t="shared" ca="1" si="763"/>
        <v>13655.251169005162</v>
      </c>
      <c r="AAW8" s="29">
        <f t="shared" ca="1" si="764"/>
        <v>14237.423446900992</v>
      </c>
      <c r="AAX8" s="29">
        <f t="shared" ca="1" si="765"/>
        <v>14550.023048940839</v>
      </c>
      <c r="AAY8" s="29">
        <f t="shared" ca="1" si="766"/>
        <v>14532.239161928044</v>
      </c>
      <c r="AAZ8" s="29">
        <f t="shared" ca="1" si="767"/>
        <v>14331.394368753854</v>
      </c>
      <c r="ABA8" s="29">
        <f t="shared" ca="1" si="768"/>
        <v>14563.121603216825</v>
      </c>
      <c r="ABB8" s="29">
        <f t="shared" ca="1" si="769"/>
        <v>14430.68935127264</v>
      </c>
      <c r="ABC8" s="29">
        <f t="shared" ca="1" si="770"/>
        <v>14520.460757773624</v>
      </c>
      <c r="ABD8" s="29">
        <f t="shared" ca="1" si="771"/>
        <v>14001.484397316513</v>
      </c>
      <c r="ABE8" s="29">
        <f t="shared" ca="1" si="772"/>
        <v>13523.844892375922</v>
      </c>
      <c r="ABF8" s="29">
        <f t="shared" ca="1" si="773"/>
        <v>14734.394110480574</v>
      </c>
      <c r="ABG8" s="29">
        <f t="shared" ca="1" si="774"/>
        <v>14531.663729969727</v>
      </c>
      <c r="ABH8" s="29">
        <f t="shared" ca="1" si="775"/>
        <v>14878.509398982736</v>
      </c>
      <c r="ABI8" s="29">
        <f t="shared" ca="1" si="776"/>
        <v>14379.297494094744</v>
      </c>
      <c r="ABJ8" s="29">
        <f t="shared" ca="1" si="777"/>
        <v>14069.262891565517</v>
      </c>
      <c r="ABK8" s="29">
        <f t="shared" ca="1" si="778"/>
        <v>14988.591557801959</v>
      </c>
      <c r="ABL8" s="29">
        <f t="shared" ca="1" si="779"/>
        <v>14576.890785014546</v>
      </c>
      <c r="ABM8" s="29">
        <f t="shared" ca="1" si="780"/>
        <v>14840.124730034531</v>
      </c>
      <c r="ABN8" s="29">
        <f t="shared" ca="1" si="781"/>
        <v>14311.156625179558</v>
      </c>
      <c r="ABO8" s="29">
        <f t="shared" ca="1" si="782"/>
        <v>14575.623490895865</v>
      </c>
      <c r="ABP8" s="29">
        <f t="shared" ca="1" si="783"/>
        <v>14308.773618376321</v>
      </c>
      <c r="ABQ8" s="29">
        <f t="shared" ca="1" si="784"/>
        <v>13928.139087366637</v>
      </c>
      <c r="ABR8" s="29">
        <f t="shared" ca="1" si="785"/>
        <v>13614.540097482941</v>
      </c>
      <c r="ABS8" s="29">
        <f t="shared" ca="1" si="786"/>
        <v>14530.228652879921</v>
      </c>
      <c r="ABT8" s="29">
        <f t="shared" ca="1" si="787"/>
        <v>14376.2143243271</v>
      </c>
      <c r="ABU8" s="29">
        <f t="shared" ca="1" si="788"/>
        <v>14444.375271698287</v>
      </c>
      <c r="ABV8" s="29">
        <f t="shared" ca="1" si="789"/>
        <v>15170.869723074535</v>
      </c>
      <c r="ABW8" s="29">
        <f t="shared" ca="1" si="790"/>
        <v>14935.751159621112</v>
      </c>
      <c r="ABX8" s="29">
        <f t="shared" ca="1" si="791"/>
        <v>14696.732423352465</v>
      </c>
      <c r="ABY8" s="29">
        <f t="shared" ca="1" si="792"/>
        <v>14352.291505620131</v>
      </c>
      <c r="ABZ8" s="29">
        <f t="shared" ca="1" si="793"/>
        <v>14684.240850533612</v>
      </c>
      <c r="ACA8" s="29">
        <f t="shared" ca="1" si="794"/>
        <v>14832.011585464466</v>
      </c>
      <c r="ACB8" s="29">
        <f t="shared" ca="1" si="795"/>
        <v>15216.583791960953</v>
      </c>
      <c r="ACC8" s="29">
        <f t="shared" ca="1" si="796"/>
        <v>13969.990561051565</v>
      </c>
      <c r="ACD8" s="29">
        <f t="shared" ca="1" si="797"/>
        <v>14222.778877971225</v>
      </c>
      <c r="ACE8" s="29">
        <f t="shared" ca="1" si="798"/>
        <v>14424.410868629668</v>
      </c>
      <c r="ACF8" s="29">
        <f t="shared" ca="1" si="799"/>
        <v>14349.294729662148</v>
      </c>
      <c r="ACG8" s="29">
        <f t="shared" ca="1" si="800"/>
        <v>13899.248812825128</v>
      </c>
      <c r="ACH8" s="29">
        <f t="shared" ca="1" si="801"/>
        <v>14352.78578566039</v>
      </c>
      <c r="ACI8" s="29">
        <f t="shared" ca="1" si="802"/>
        <v>14773.46063336278</v>
      </c>
      <c r="ACJ8" s="29">
        <f t="shared" ca="1" si="803"/>
        <v>14569.354165028562</v>
      </c>
      <c r="ACK8" s="29">
        <f t="shared" ca="1" si="804"/>
        <v>14163.767337647925</v>
      </c>
      <c r="ACL8" s="29">
        <f t="shared" ca="1" si="805"/>
        <v>13277.68927671339</v>
      </c>
      <c r="ACM8" s="29">
        <f t="shared" ca="1" si="806"/>
        <v>14487.179331321282</v>
      </c>
      <c r="ACN8" s="29">
        <f t="shared" ca="1" si="807"/>
        <v>14678.724706887193</v>
      </c>
      <c r="ACO8" s="29">
        <f t="shared" ca="1" si="808"/>
        <v>15406.190538979352</v>
      </c>
      <c r="ACP8" s="29">
        <f t="shared" ca="1" si="809"/>
        <v>14130.695897650457</v>
      </c>
      <c r="ACQ8" s="29">
        <f t="shared" ca="1" si="810"/>
        <v>14866.655007467067</v>
      </c>
      <c r="ACR8" s="29">
        <f t="shared" ca="1" si="811"/>
        <v>14078.788612589209</v>
      </c>
      <c r="ACS8" s="29">
        <f t="shared" ca="1" si="812"/>
        <v>13769.856493669791</v>
      </c>
      <c r="ACT8" s="29">
        <f t="shared" ca="1" si="813"/>
        <v>14120.658732463753</v>
      </c>
      <c r="ACU8" s="29">
        <f t="shared" ca="1" si="814"/>
        <v>14047.31781518453</v>
      </c>
      <c r="ACV8" s="29">
        <f t="shared" ca="1" si="815"/>
        <v>14715.999925662138</v>
      </c>
      <c r="ACW8" s="29">
        <f t="shared" ca="1" si="816"/>
        <v>14259.260335571102</v>
      </c>
      <c r="ACX8" s="29">
        <f t="shared" ca="1" si="817"/>
        <v>14697.023427551127</v>
      </c>
      <c r="ACY8" s="29">
        <f t="shared" ca="1" si="818"/>
        <v>14388.723928267904</v>
      </c>
      <c r="ACZ8" s="29">
        <f t="shared" ca="1" si="819"/>
        <v>14347.433086979558</v>
      </c>
      <c r="ADA8" s="29">
        <f t="shared" ca="1" si="820"/>
        <v>14132.528964321866</v>
      </c>
      <c r="ADB8" s="29">
        <f t="shared" ca="1" si="821"/>
        <v>13988.488427724315</v>
      </c>
      <c r="ADC8" s="29">
        <f t="shared" ca="1" si="822"/>
        <v>14029.572377753806</v>
      </c>
      <c r="ADD8" s="29">
        <f t="shared" ca="1" si="823"/>
        <v>14619.509631979681</v>
      </c>
      <c r="ADE8" s="29">
        <f t="shared" ca="1" si="824"/>
        <v>14710.49727835717</v>
      </c>
      <c r="ADF8" s="29">
        <f t="shared" ca="1" si="825"/>
        <v>13873.807338190056</v>
      </c>
      <c r="ADG8" s="29">
        <f t="shared" ca="1" si="826"/>
        <v>14680.905883978419</v>
      </c>
      <c r="ADH8" s="29">
        <f t="shared" ca="1" si="827"/>
        <v>14753.278010831358</v>
      </c>
      <c r="ADI8" s="29">
        <f t="shared" ca="1" si="828"/>
        <v>14226.696618224534</v>
      </c>
      <c r="ADJ8" s="29">
        <f t="shared" ca="1" si="829"/>
        <v>14623.229245775399</v>
      </c>
      <c r="ADK8" s="29">
        <f t="shared" ca="1" si="830"/>
        <v>14909.81933412903</v>
      </c>
      <c r="ADL8" s="29">
        <f t="shared" ca="1" si="831"/>
        <v>14352.07750490857</v>
      </c>
      <c r="ADM8" s="29">
        <f t="shared" ca="1" si="832"/>
        <v>14259.061364720465</v>
      </c>
      <c r="ADN8" s="29">
        <f t="shared" ca="1" si="833"/>
        <v>14197.219231490111</v>
      </c>
      <c r="ADO8" s="29">
        <f t="shared" ca="1" si="834"/>
        <v>14814.786546457241</v>
      </c>
      <c r="ADP8" s="29">
        <f t="shared" ca="1" si="835"/>
        <v>14625.733510282962</v>
      </c>
      <c r="ADQ8" s="29">
        <f t="shared" ca="1" si="836"/>
        <v>14994.550959798411</v>
      </c>
      <c r="ADR8" s="29">
        <f t="shared" ca="1" si="837"/>
        <v>14324.606343392657</v>
      </c>
      <c r="ADS8" s="29">
        <f t="shared" ca="1" si="838"/>
        <v>14608.981117782096</v>
      </c>
      <c r="ADT8" s="29">
        <f t="shared" ca="1" si="839"/>
        <v>14391.60144315236</v>
      </c>
      <c r="ADU8" s="29">
        <f t="shared" ca="1" si="840"/>
        <v>14302.47598527853</v>
      </c>
      <c r="ADV8" s="29">
        <f t="shared" ca="1" si="841"/>
        <v>14421.543127604984</v>
      </c>
      <c r="ADW8" s="29">
        <f t="shared" ca="1" si="842"/>
        <v>14829.057819400557</v>
      </c>
      <c r="ADX8" s="29">
        <f t="shared" ca="1" si="843"/>
        <v>14138.269611499289</v>
      </c>
      <c r="ADY8" s="29">
        <f t="shared" ca="1" si="844"/>
        <v>15273.783000573059</v>
      </c>
      <c r="ADZ8" s="29">
        <f t="shared" ca="1" si="845"/>
        <v>14504.029732892279</v>
      </c>
      <c r="AEA8" s="29">
        <f t="shared" ca="1" si="846"/>
        <v>14610.479127687757</v>
      </c>
      <c r="AEB8" s="29">
        <f t="shared" ca="1" si="847"/>
        <v>13593.977384498705</v>
      </c>
      <c r="AEC8" s="29">
        <f t="shared" ca="1" si="848"/>
        <v>14844.901570328682</v>
      </c>
      <c r="AED8" s="29">
        <f t="shared" ca="1" si="849"/>
        <v>14339.041129611785</v>
      </c>
      <c r="AEE8" s="29">
        <f t="shared" ca="1" si="850"/>
        <v>14504.799441731651</v>
      </c>
      <c r="AEF8" s="29">
        <f t="shared" ca="1" si="851"/>
        <v>14344.988815291406</v>
      </c>
      <c r="AEG8" s="29">
        <f t="shared" ca="1" si="852"/>
        <v>14683.742826257851</v>
      </c>
      <c r="AEH8" s="29">
        <f t="shared" ca="1" si="853"/>
        <v>13928.058467867237</v>
      </c>
      <c r="AEI8" s="29">
        <f t="shared" ca="1" si="854"/>
        <v>14426.310906077382</v>
      </c>
      <c r="AEJ8" s="29">
        <f t="shared" ca="1" si="855"/>
        <v>14599.163103361831</v>
      </c>
      <c r="AEK8" s="29">
        <f t="shared" ca="1" si="856"/>
        <v>14371.813274712038</v>
      </c>
      <c r="AEL8" s="29">
        <f t="shared" ca="1" si="857"/>
        <v>14011.131848897514</v>
      </c>
      <c r="AEM8" s="29">
        <f t="shared" ca="1" si="858"/>
        <v>14690.499685854353</v>
      </c>
      <c r="AEN8" s="29">
        <f t="shared" ca="1" si="859"/>
        <v>14405.063515273303</v>
      </c>
      <c r="AEO8" s="29">
        <f t="shared" ca="1" si="860"/>
        <v>14177.041637105624</v>
      </c>
      <c r="AEP8" s="29">
        <f t="shared" ca="1" si="861"/>
        <v>14450.748613514497</v>
      </c>
      <c r="AEQ8" s="29">
        <f t="shared" ca="1" si="862"/>
        <v>14786.633729783363</v>
      </c>
      <c r="AER8" s="29">
        <f t="shared" ca="1" si="863"/>
        <v>14451.15273230869</v>
      </c>
      <c r="AES8" s="29">
        <f t="shared" ca="1" si="864"/>
        <v>14723.44904655177</v>
      </c>
      <c r="AET8" s="29">
        <f t="shared" ca="1" si="865"/>
        <v>14635.780916068217</v>
      </c>
      <c r="AEU8" s="29">
        <f t="shared" ca="1" si="866"/>
        <v>13636.722941558681</v>
      </c>
      <c r="AEV8" s="29">
        <f t="shared" ca="1" si="867"/>
        <v>14639.372481611979</v>
      </c>
      <c r="AEW8" s="29">
        <f t="shared" ca="1" si="868"/>
        <v>14169.355899012653</v>
      </c>
      <c r="AEX8" s="29">
        <f t="shared" ca="1" si="869"/>
        <v>13922.3817797747</v>
      </c>
      <c r="AEY8" s="29">
        <f t="shared" ca="1" si="870"/>
        <v>14346.844816707986</v>
      </c>
      <c r="AEZ8" s="29">
        <f t="shared" ca="1" si="871"/>
        <v>13999.616290963357</v>
      </c>
      <c r="AFA8" s="29">
        <f t="shared" ca="1" si="872"/>
        <v>14786.706661307924</v>
      </c>
      <c r="AFB8" s="29">
        <f t="shared" ca="1" si="873"/>
        <v>13919.805028600913</v>
      </c>
      <c r="AFC8" s="29">
        <f t="shared" ca="1" si="874"/>
        <v>14536.242854609176</v>
      </c>
      <c r="AFD8" s="29">
        <f t="shared" ca="1" si="875"/>
        <v>14658.596885804305</v>
      </c>
      <c r="AFE8" s="29">
        <f t="shared" ca="1" si="876"/>
        <v>15198.837719980243</v>
      </c>
      <c r="AFF8" s="29">
        <f t="shared" ca="1" si="877"/>
        <v>14340.158110397408</v>
      </c>
      <c r="AFG8" s="29">
        <f t="shared" ca="1" si="878"/>
        <v>14652.020697283322</v>
      </c>
      <c r="AFH8" s="29">
        <f t="shared" ca="1" si="879"/>
        <v>14541.135926150326</v>
      </c>
      <c r="AFI8" s="29">
        <f t="shared" ca="1" si="880"/>
        <v>14506.74483329575</v>
      </c>
      <c r="AFJ8" s="29">
        <f t="shared" ca="1" si="881"/>
        <v>14734.4298449202</v>
      </c>
      <c r="AFK8" s="29">
        <f t="shared" ca="1" si="882"/>
        <v>14592.992145809741</v>
      </c>
      <c r="AFL8" s="29">
        <f t="shared" ca="1" si="883"/>
        <v>14330.75770051667</v>
      </c>
      <c r="AFM8" s="29">
        <f t="shared" ca="1" si="884"/>
        <v>13821.57877522825</v>
      </c>
      <c r="AFN8" s="29">
        <f t="shared" ca="1" si="885"/>
        <v>14345.357678879338</v>
      </c>
      <c r="AFO8" s="29">
        <f t="shared" ca="1" si="886"/>
        <v>15154.2502027378</v>
      </c>
      <c r="AFP8" s="29">
        <f t="shared" ca="1" si="887"/>
        <v>14814.611805269997</v>
      </c>
      <c r="AFQ8" s="29">
        <f t="shared" ca="1" si="888"/>
        <v>14310.718542137754</v>
      </c>
      <c r="AFR8" s="29">
        <f t="shared" ca="1" si="889"/>
        <v>14632.032193967332</v>
      </c>
      <c r="AFS8" s="29">
        <f t="shared" ca="1" si="890"/>
        <v>14542.111170214837</v>
      </c>
      <c r="AFT8" s="29">
        <f t="shared" ca="1" si="891"/>
        <v>14335.698329543959</v>
      </c>
      <c r="AFU8" s="29">
        <f t="shared" ca="1" si="892"/>
        <v>14364.285944430932</v>
      </c>
      <c r="AFV8" s="29">
        <f t="shared" ca="1" si="893"/>
        <v>14298.701264744113</v>
      </c>
      <c r="AFW8" s="29">
        <f t="shared" ca="1" si="894"/>
        <v>14317.361553628063</v>
      </c>
      <c r="AFX8" s="29">
        <f t="shared" ca="1" si="895"/>
        <v>14837.449193209903</v>
      </c>
      <c r="AFY8" s="29">
        <f t="shared" ca="1" si="896"/>
        <v>14705.738045017126</v>
      </c>
      <c r="AFZ8" s="29">
        <f t="shared" ca="1" si="897"/>
        <v>14313.052706994944</v>
      </c>
      <c r="AGA8" s="29">
        <f t="shared" ca="1" si="898"/>
        <v>14901.250365354323</v>
      </c>
      <c r="AGB8" s="29">
        <f t="shared" ca="1" si="899"/>
        <v>14553.81070234369</v>
      </c>
      <c r="AGC8" s="29">
        <f t="shared" ca="1" si="900"/>
        <v>14629.93783456498</v>
      </c>
      <c r="AGD8" s="29">
        <f t="shared" ca="1" si="901"/>
        <v>14336.810888616696</v>
      </c>
      <c r="AGE8" s="29">
        <f t="shared" ca="1" si="902"/>
        <v>14060.440774930765</v>
      </c>
      <c r="AGF8" s="29">
        <f t="shared" ca="1" si="903"/>
        <v>14215.63111903788</v>
      </c>
      <c r="AGG8" s="29">
        <f t="shared" ca="1" si="904"/>
        <v>14072.172490769095</v>
      </c>
      <c r="AGH8" s="29">
        <f t="shared" ca="1" si="905"/>
        <v>14643.261381855684</v>
      </c>
      <c r="AGI8" s="29">
        <f t="shared" ca="1" si="906"/>
        <v>14525.178923406947</v>
      </c>
      <c r="AGJ8" s="29">
        <f t="shared" ca="1" si="907"/>
        <v>15269.215991190476</v>
      </c>
      <c r="AGK8" s="29">
        <f t="shared" ca="1" si="908"/>
        <v>14519.529391415061</v>
      </c>
      <c r="AGL8" s="29">
        <f t="shared" ca="1" si="909"/>
        <v>14058.804634716849</v>
      </c>
      <c r="AGM8" s="29">
        <f t="shared" ca="1" si="910"/>
        <v>14626.568649618439</v>
      </c>
      <c r="AGN8" s="29">
        <f t="shared" ca="1" si="911"/>
        <v>14247.217573649157</v>
      </c>
      <c r="AGO8" s="29">
        <f t="shared" ca="1" si="912"/>
        <v>14426.036210336366</v>
      </c>
      <c r="AGP8" s="29">
        <f t="shared" ca="1" si="913"/>
        <v>14022.355399153146</v>
      </c>
      <c r="AGQ8" s="29">
        <f t="shared" ca="1" si="914"/>
        <v>14593.580616660551</v>
      </c>
      <c r="AGR8" s="29">
        <f t="shared" ca="1" si="915"/>
        <v>14201.643890109424</v>
      </c>
      <c r="AGS8" s="29">
        <f t="shared" ca="1" si="916"/>
        <v>14419.324149134762</v>
      </c>
      <c r="AGT8" s="29">
        <f t="shared" ca="1" si="917"/>
        <v>13926.145266439631</v>
      </c>
      <c r="AGU8" s="29">
        <f t="shared" ca="1" si="918"/>
        <v>14478.91086782232</v>
      </c>
      <c r="AGV8" s="29">
        <f t="shared" ca="1" si="919"/>
        <v>14259.779474701418</v>
      </c>
      <c r="AGW8" s="29">
        <f t="shared" ca="1" si="920"/>
        <v>14665.919447287495</v>
      </c>
      <c r="AGX8" s="29">
        <f t="shared" ca="1" si="921"/>
        <v>14596.47562728103</v>
      </c>
      <c r="AGY8" s="29">
        <f t="shared" ca="1" si="922"/>
        <v>14279.809944495448</v>
      </c>
      <c r="AGZ8" s="29">
        <f t="shared" ca="1" si="923"/>
        <v>14502.474032210137</v>
      </c>
      <c r="AHA8" s="29">
        <f t="shared" ca="1" si="924"/>
        <v>13754.792555203912</v>
      </c>
      <c r="AHB8" s="29">
        <f t="shared" ca="1" si="925"/>
        <v>14295.798223723748</v>
      </c>
      <c r="AHC8" s="29">
        <f t="shared" ca="1" si="926"/>
        <v>14687.00194075772</v>
      </c>
      <c r="AHD8" s="29">
        <f t="shared" ca="1" si="927"/>
        <v>13952.939215125423</v>
      </c>
      <c r="AHE8" s="29">
        <f t="shared" ca="1" si="928"/>
        <v>14885.939928705187</v>
      </c>
      <c r="AHF8" s="29">
        <f t="shared" ca="1" si="929"/>
        <v>14225.837513294326</v>
      </c>
      <c r="AHG8" s="29">
        <f t="shared" ca="1" si="930"/>
        <v>15068.076369422384</v>
      </c>
      <c r="AHH8" s="29">
        <f t="shared" ca="1" si="931"/>
        <v>14690.866327775453</v>
      </c>
      <c r="AHI8" s="29">
        <f t="shared" ca="1" si="932"/>
        <v>14394.617781172903</v>
      </c>
      <c r="AHJ8" s="29">
        <f t="shared" ca="1" si="933"/>
        <v>14392.185702259796</v>
      </c>
      <c r="AHK8" s="29">
        <f t="shared" ca="1" si="934"/>
        <v>15265.910611134081</v>
      </c>
      <c r="AHL8" s="29">
        <f t="shared" ca="1" si="935"/>
        <v>14540.698076047263</v>
      </c>
      <c r="AHM8" s="29">
        <f t="shared" ca="1" si="936"/>
        <v>15316.326494411825</v>
      </c>
      <c r="AHN8" s="29">
        <f t="shared" ca="1" si="937"/>
        <v>14564.443219061699</v>
      </c>
      <c r="AHO8" s="29">
        <f t="shared" ca="1" si="938"/>
        <v>14891.187045581393</v>
      </c>
      <c r="AHP8" s="29">
        <f t="shared" ca="1" si="939"/>
        <v>14212.857650718655</v>
      </c>
      <c r="AHQ8" s="29">
        <f t="shared" ca="1" si="940"/>
        <v>14851.344042919101</v>
      </c>
      <c r="AHR8" s="29">
        <f t="shared" ca="1" si="941"/>
        <v>14743.29235711615</v>
      </c>
      <c r="AHS8" s="29">
        <f t="shared" ca="1" si="942"/>
        <v>14416.750389206029</v>
      </c>
      <c r="AHT8" s="29">
        <f t="shared" ca="1" si="943"/>
        <v>14608.533798312799</v>
      </c>
      <c r="AHU8" s="29">
        <f t="shared" ca="1" si="944"/>
        <v>14645.562725300479</v>
      </c>
      <c r="AHV8" s="29">
        <f t="shared" ca="1" si="945"/>
        <v>14210.115347620056</v>
      </c>
      <c r="AHW8" s="29">
        <f t="shared" ca="1" si="946"/>
        <v>14391.542823568625</v>
      </c>
      <c r="AHX8" s="29">
        <f t="shared" ca="1" si="947"/>
        <v>14695.698506161682</v>
      </c>
      <c r="AHY8" s="29">
        <f t="shared" ca="1" si="948"/>
        <v>14131.449643461794</v>
      </c>
      <c r="AHZ8" s="29">
        <f t="shared" ca="1" si="949"/>
        <v>13627.821134995413</v>
      </c>
      <c r="AIA8" s="29">
        <f t="shared" ca="1" si="950"/>
        <v>14596.021534565034</v>
      </c>
      <c r="AIB8" s="29">
        <f t="shared" ca="1" si="951"/>
        <v>14679.819157056641</v>
      </c>
      <c r="AIC8" s="29">
        <f t="shared" ca="1" si="952"/>
        <v>14390.969290116618</v>
      </c>
      <c r="AID8" s="29">
        <f t="shared" ca="1" si="953"/>
        <v>14724.847841976587</v>
      </c>
      <c r="AIE8" s="29">
        <f t="shared" ca="1" si="954"/>
        <v>13987.71345147908</v>
      </c>
      <c r="AIF8" s="29">
        <f t="shared" ca="1" si="955"/>
        <v>14232.81172297253</v>
      </c>
      <c r="AIG8" s="29">
        <f t="shared" ca="1" si="956"/>
        <v>14718.748676355117</v>
      </c>
      <c r="AIH8" s="29">
        <f t="shared" ca="1" si="957"/>
        <v>14612.89274236922</v>
      </c>
      <c r="AII8" s="29">
        <f t="shared" ca="1" si="958"/>
        <v>13950.294458823648</v>
      </c>
      <c r="AIJ8" s="29">
        <f t="shared" ca="1" si="959"/>
        <v>14044.777308435108</v>
      </c>
      <c r="AIK8" s="29">
        <f t="shared" ca="1" si="960"/>
        <v>14335.451506638559</v>
      </c>
      <c r="AIL8" s="29">
        <f t="shared" ca="1" si="961"/>
        <v>14392.589867784098</v>
      </c>
      <c r="AIM8" s="29">
        <f t="shared" ca="1" si="962"/>
        <v>14679.599423250271</v>
      </c>
      <c r="AIN8" s="29">
        <f t="shared" ca="1" si="963"/>
        <v>14773.741687278347</v>
      </c>
      <c r="AIO8" s="29">
        <f t="shared" ca="1" si="964"/>
        <v>14056.370385717704</v>
      </c>
      <c r="AIP8" s="29">
        <f t="shared" ca="1" si="965"/>
        <v>14289.404083008762</v>
      </c>
      <c r="AIQ8" s="29">
        <f t="shared" ca="1" si="966"/>
        <v>13547.711848167446</v>
      </c>
      <c r="AIR8" s="29">
        <f t="shared" ca="1" si="967"/>
        <v>13923.543248726484</v>
      </c>
      <c r="AIS8" s="29">
        <f t="shared" ca="1" si="968"/>
        <v>14581.48140142856</v>
      </c>
      <c r="AIT8" s="29">
        <f t="shared" ca="1" si="969"/>
        <v>14113.175286703037</v>
      </c>
      <c r="AIU8" s="29">
        <f t="shared" ca="1" si="970"/>
        <v>13984.131385808223</v>
      </c>
      <c r="AIV8" s="29">
        <f t="shared" ca="1" si="971"/>
        <v>14624.477806222021</v>
      </c>
      <c r="AIW8" s="29">
        <f t="shared" ca="1" si="972"/>
        <v>13545.587865598029</v>
      </c>
      <c r="AIX8" s="29">
        <f t="shared" ca="1" si="973"/>
        <v>14076.381901708537</v>
      </c>
      <c r="AIY8" s="29">
        <f t="shared" ca="1" si="974"/>
        <v>14382.038334085855</v>
      </c>
      <c r="AIZ8" s="29">
        <f t="shared" ca="1" si="975"/>
        <v>14834.449934621824</v>
      </c>
      <c r="AJA8" s="29">
        <f t="shared" ca="1" si="976"/>
        <v>14562.386896687509</v>
      </c>
      <c r="AJB8" s="29">
        <f t="shared" ca="1" si="977"/>
        <v>14845.079224716814</v>
      </c>
      <c r="AJC8" s="29">
        <f t="shared" ca="1" si="978"/>
        <v>14613.536999944072</v>
      </c>
      <c r="AJD8" s="29">
        <f t="shared" ca="1" si="979"/>
        <v>13900.924855997127</v>
      </c>
      <c r="AJE8" s="29">
        <f t="shared" ca="1" si="980"/>
        <v>14491.754350505549</v>
      </c>
      <c r="AJF8" s="29">
        <f t="shared" ca="1" si="981"/>
        <v>14742.024795150572</v>
      </c>
      <c r="AJG8" s="29">
        <f t="shared" ca="1" si="982"/>
        <v>14366.397979774591</v>
      </c>
      <c r="AJH8" s="29">
        <f t="shared" ca="1" si="983"/>
        <v>14222.339046486437</v>
      </c>
      <c r="AJI8" s="29">
        <f t="shared" ca="1" si="984"/>
        <v>14719.044758711167</v>
      </c>
      <c r="AJJ8" s="29">
        <f t="shared" ca="1" si="985"/>
        <v>14627.182276636007</v>
      </c>
      <c r="AJK8" s="29">
        <f t="shared" ca="1" si="986"/>
        <v>14090.748680170936</v>
      </c>
      <c r="AJL8" s="29">
        <f t="shared" ca="1" si="987"/>
        <v>14830.842523497375</v>
      </c>
      <c r="AJM8" s="29">
        <f t="shared" ca="1" si="988"/>
        <v>14020.557115217742</v>
      </c>
      <c r="AJN8" s="29">
        <f t="shared" ca="1" si="989"/>
        <v>14513.947116573949</v>
      </c>
      <c r="AJO8" s="29">
        <f t="shared" ca="1" si="990"/>
        <v>14344.47727833414</v>
      </c>
      <c r="AJP8" s="29">
        <f t="shared" ca="1" si="991"/>
        <v>14799.732906569989</v>
      </c>
      <c r="AJQ8" s="29">
        <f t="shared" ca="1" si="992"/>
        <v>14413.715871061981</v>
      </c>
      <c r="AJR8" s="29">
        <f t="shared" ca="1" si="993"/>
        <v>14629.533960320136</v>
      </c>
      <c r="AJS8" s="29">
        <f t="shared" ca="1" si="994"/>
        <v>14631.281122812923</v>
      </c>
      <c r="AJT8" s="29">
        <f t="shared" ca="1" si="995"/>
        <v>14298.731146822018</v>
      </c>
      <c r="AJU8" s="29">
        <f t="shared" ca="1" si="996"/>
        <v>14405.879371708595</v>
      </c>
      <c r="AJV8" s="29">
        <f t="shared" ca="1" si="997"/>
        <v>14166.969239926881</v>
      </c>
      <c r="AJW8" s="29">
        <f t="shared" ca="1" si="998"/>
        <v>14623.57633858551</v>
      </c>
      <c r="AJX8" s="29">
        <f t="shared" ca="1" si="999"/>
        <v>14623.333533925999</v>
      </c>
      <c r="AJY8" s="29">
        <f t="shared" ca="1" si="1000"/>
        <v>14609.277744261832</v>
      </c>
      <c r="AJZ8" s="29">
        <f t="shared" ca="1" si="1001"/>
        <v>14220.702811207801</v>
      </c>
      <c r="AKA8" s="29">
        <f t="shared" ca="1" si="1002"/>
        <v>14559.345320329068</v>
      </c>
      <c r="AKB8" s="29">
        <f t="shared" ca="1" si="1003"/>
        <v>14778.4184038493</v>
      </c>
      <c r="AKC8" s="29">
        <f t="shared" ca="1" si="1004"/>
        <v>14760.992138340876</v>
      </c>
      <c r="AKD8" s="29">
        <f t="shared" ca="1" si="1005"/>
        <v>14396.901378174989</v>
      </c>
      <c r="AKE8" s="29">
        <f t="shared" ca="1" si="1006"/>
        <v>13615.245784574094</v>
      </c>
      <c r="AKF8" s="29">
        <f t="shared" ca="1" si="1007"/>
        <v>14771.837633285581</v>
      </c>
      <c r="AKG8" s="29">
        <f t="shared" ca="1" si="1008"/>
        <v>14501.403738908626</v>
      </c>
      <c r="AKH8" s="29">
        <f t="shared" ca="1" si="1009"/>
        <v>14431.742559521343</v>
      </c>
      <c r="AKI8" s="29">
        <f t="shared" ca="1" si="1010"/>
        <v>14494.225472400949</v>
      </c>
      <c r="AKJ8" s="29">
        <f t="shared" ca="1" si="1011"/>
        <v>13862.817183721387</v>
      </c>
      <c r="AKK8" s="29">
        <f t="shared" ca="1" si="1012"/>
        <v>14882.41333767049</v>
      </c>
      <c r="AKL8" s="29">
        <f t="shared" ca="1" si="1013"/>
        <v>14202.559014913242</v>
      </c>
      <c r="AKM8" s="29">
        <f t="shared" ca="1" si="1014"/>
        <v>14128.641256882296</v>
      </c>
      <c r="AKN8" s="29">
        <f t="shared" ca="1" si="1015"/>
        <v>14295.058840195561</v>
      </c>
      <c r="AKO8" s="29">
        <f t="shared" ca="1" si="1016"/>
        <v>14402.135979246765</v>
      </c>
      <c r="AKP8" s="29">
        <f t="shared" ca="1" si="1017"/>
        <v>14941.390881145186</v>
      </c>
      <c r="AKQ8" s="29">
        <f t="shared" ca="1" si="1018"/>
        <v>13930.125102186415</v>
      </c>
      <c r="AKR8" s="29">
        <f t="shared" ca="1" si="1019"/>
        <v>14626.532711661548</v>
      </c>
      <c r="AKS8" s="29">
        <f t="shared" ca="1" si="1020"/>
        <v>14605.369129089582</v>
      </c>
      <c r="AKT8" s="29">
        <f t="shared" ca="1" si="1021"/>
        <v>14314.729974327829</v>
      </c>
      <c r="AKU8" s="29">
        <f t="shared" ca="1" si="1022"/>
        <v>14372.792615274962</v>
      </c>
      <c r="AKV8" s="29">
        <f t="shared" ca="1" si="1023"/>
        <v>13359.361989652411</v>
      </c>
      <c r="AKW8" s="29">
        <f t="shared" ca="1" si="1024"/>
        <v>14449.471421025537</v>
      </c>
      <c r="AKX8" s="29">
        <f t="shared" ca="1" si="1025"/>
        <v>14238.430591501663</v>
      </c>
      <c r="AKY8" s="29">
        <f t="shared" ca="1" si="1026"/>
        <v>14770.08799942061</v>
      </c>
      <c r="AKZ8" s="29">
        <f t="shared" ca="1" si="1027"/>
        <v>13866.547017044213</v>
      </c>
      <c r="ALA8" s="29">
        <f t="shared" ca="1" si="1028"/>
        <v>15004.726491232232</v>
      </c>
      <c r="ALB8" s="29">
        <f t="shared" ca="1" si="1029"/>
        <v>14421.018966413418</v>
      </c>
      <c r="ALC8" s="29">
        <f t="shared" ca="1" si="1030"/>
        <v>15174.90157066105</v>
      </c>
      <c r="ALD8" s="29">
        <f t="shared" ca="1" si="1031"/>
        <v>14575.63716128506</v>
      </c>
      <c r="ALE8" s="29">
        <f t="shared" ca="1" si="1032"/>
        <v>14113.466312806802</v>
      </c>
      <c r="ALF8" s="29">
        <f t="shared" ca="1" si="1033"/>
        <v>14368.637842427033</v>
      </c>
      <c r="ALG8" s="29">
        <f t="shared" ca="1" si="1034"/>
        <v>14845.126521812623</v>
      </c>
      <c r="ALH8" s="29">
        <f t="shared" ca="1" si="1035"/>
        <v>14270.871121444088</v>
      </c>
      <c r="ALI8" s="29">
        <f t="shared" ca="1" si="1036"/>
        <v>14838.623359718293</v>
      </c>
      <c r="ALJ8" s="29">
        <f t="shared" ca="1" si="1037"/>
        <v>14760.299918957318</v>
      </c>
      <c r="ALK8" s="29">
        <f t="shared" ca="1" si="1038"/>
        <v>14309.473283720476</v>
      </c>
      <c r="ALL8" s="29">
        <f t="shared" ca="1" si="1039"/>
        <v>13773.72190903161</v>
      </c>
      <c r="ALM8" s="29">
        <f t="shared" ca="1" si="1040"/>
        <v>13787.692809876255</v>
      </c>
      <c r="ALN8" s="29">
        <f t="shared" ca="1" si="1041"/>
        <v>14257.91273725389</v>
      </c>
      <c r="ALO8" s="29">
        <f t="shared" ca="1" si="1042"/>
        <v>13795.620858530208</v>
      </c>
      <c r="ALP8" s="29">
        <f t="shared" ca="1" si="1043"/>
        <v>14260.809724760176</v>
      </c>
      <c r="ALQ8" s="29">
        <f t="shared" ca="1" si="1044"/>
        <v>14869.229605775179</v>
      </c>
      <c r="ALR8" s="29">
        <f t="shared" ca="1" si="1045"/>
        <v>14134.087289260107</v>
      </c>
      <c r="ALS8" s="29">
        <f t="shared" ca="1" si="1046"/>
        <v>14476.377586647435</v>
      </c>
      <c r="ALT8" s="29">
        <f t="shared" ca="1" si="1047"/>
        <v>14490.447486553761</v>
      </c>
      <c r="ALU8" s="29">
        <f t="shared" ca="1" si="1048"/>
        <v>14985.482985824536</v>
      </c>
      <c r="ALV8" s="29">
        <f t="shared" ca="1" si="1049"/>
        <v>14067.528299066125</v>
      </c>
    </row>
    <row r="9" spans="1:1258" x14ac:dyDescent="0.25">
      <c r="A9" s="1">
        <v>40485</v>
      </c>
      <c r="B9" s="2">
        <v>6160.5</v>
      </c>
      <c r="C9" s="16">
        <f t="shared" si="32"/>
        <v>6.7592586021823315E-3</v>
      </c>
      <c r="J9" s="29">
        <f t="shared" si="49"/>
        <v>6</v>
      </c>
      <c r="K9" s="29">
        <f t="shared" ca="1" si="50"/>
        <v>14165.623017822267</v>
      </c>
      <c r="L9" s="29">
        <f t="shared" ca="1" si="51"/>
        <v>13933.86917352986</v>
      </c>
      <c r="M9" s="29">
        <f t="shared" ca="1" si="52"/>
        <v>15218.109236580007</v>
      </c>
      <c r="N9" s="29">
        <f t="shared" ca="1" si="53"/>
        <v>13545.871687383191</v>
      </c>
      <c r="O9" s="29">
        <f t="shared" ca="1" si="54"/>
        <v>14448.83960991347</v>
      </c>
      <c r="P9" s="29">
        <f t="shared" ca="1" si="55"/>
        <v>14760.082515099291</v>
      </c>
      <c r="Q9" s="29">
        <f t="shared" ca="1" si="56"/>
        <v>13479.407088795775</v>
      </c>
      <c r="R9" s="29">
        <f t="shared" ca="1" si="57"/>
        <v>14479.280957394843</v>
      </c>
      <c r="S9" s="29">
        <f t="shared" ca="1" si="58"/>
        <v>14850.34530443234</v>
      </c>
      <c r="T9" s="29">
        <f t="shared" ca="1" si="59"/>
        <v>15400.13695783151</v>
      </c>
      <c r="U9" s="29">
        <f t="shared" ca="1" si="60"/>
        <v>14755.760200583885</v>
      </c>
      <c r="V9" s="29">
        <f t="shared" ca="1" si="61"/>
        <v>14914.598641643286</v>
      </c>
      <c r="W9" s="29">
        <f t="shared" ca="1" si="62"/>
        <v>14581.271979935715</v>
      </c>
      <c r="X9" s="29">
        <f t="shared" ca="1" si="63"/>
        <v>14489.189280671873</v>
      </c>
      <c r="Y9" s="29">
        <f t="shared" ca="1" si="64"/>
        <v>14436.083297035455</v>
      </c>
      <c r="Z9" s="29">
        <f t="shared" ca="1" si="65"/>
        <v>13632.454775731958</v>
      </c>
      <c r="AA9" s="29">
        <f t="shared" ca="1" si="66"/>
        <v>14922.723645813774</v>
      </c>
      <c r="AB9" s="29">
        <f t="shared" ca="1" si="67"/>
        <v>15133.603460747971</v>
      </c>
      <c r="AC9" s="29">
        <f t="shared" ca="1" si="68"/>
        <v>14573.569440509835</v>
      </c>
      <c r="AD9" s="29">
        <f t="shared" ca="1" si="69"/>
        <v>14287.726340488111</v>
      </c>
      <c r="AE9" s="29">
        <f t="shared" ca="1" si="70"/>
        <v>15205.637050655945</v>
      </c>
      <c r="AF9" s="29">
        <f t="shared" ca="1" si="71"/>
        <v>14243.925339373824</v>
      </c>
      <c r="AG9" s="29">
        <f t="shared" ca="1" si="72"/>
        <v>13687.966838817227</v>
      </c>
      <c r="AH9" s="29">
        <f t="shared" ca="1" si="73"/>
        <v>14415.304309381991</v>
      </c>
      <c r="AI9" s="29">
        <f t="shared" ca="1" si="74"/>
        <v>14258.733660259839</v>
      </c>
      <c r="AJ9" s="29">
        <f t="shared" ca="1" si="75"/>
        <v>14173.017589361143</v>
      </c>
      <c r="AK9" s="29">
        <f t="shared" ca="1" si="76"/>
        <v>13690.299985306623</v>
      </c>
      <c r="AL9" s="29">
        <f t="shared" ca="1" si="77"/>
        <v>14578.340166975524</v>
      </c>
      <c r="AM9" s="29">
        <f t="shared" ca="1" si="78"/>
        <v>14617.848396870269</v>
      </c>
      <c r="AN9" s="29">
        <f t="shared" ca="1" si="79"/>
        <v>15079.894782132451</v>
      </c>
      <c r="AO9" s="29">
        <f t="shared" ca="1" si="80"/>
        <v>14595.032683832582</v>
      </c>
      <c r="AP9" s="29">
        <f t="shared" ca="1" si="81"/>
        <v>14169.58212358309</v>
      </c>
      <c r="AQ9" s="29">
        <f t="shared" ca="1" si="82"/>
        <v>14765.052539344626</v>
      </c>
      <c r="AR9" s="29">
        <f t="shared" ca="1" si="83"/>
        <v>14951.897496891279</v>
      </c>
      <c r="AS9" s="29">
        <f t="shared" ca="1" si="84"/>
        <v>13924.265782145583</v>
      </c>
      <c r="AT9" s="29">
        <f t="shared" ca="1" si="85"/>
        <v>14164.562234029181</v>
      </c>
      <c r="AU9" s="29">
        <f t="shared" ca="1" si="86"/>
        <v>14207.546006532317</v>
      </c>
      <c r="AV9" s="29">
        <f t="shared" ca="1" si="87"/>
        <v>14679.103067908498</v>
      </c>
      <c r="AW9" s="29">
        <f t="shared" ca="1" si="88"/>
        <v>15021.059513359372</v>
      </c>
      <c r="AX9" s="29">
        <f t="shared" ca="1" si="89"/>
        <v>14198.035677493222</v>
      </c>
      <c r="AY9" s="29">
        <f t="shared" ca="1" si="90"/>
        <v>14024.6630460301</v>
      </c>
      <c r="AZ9" s="29">
        <f t="shared" ca="1" si="91"/>
        <v>13875.314554507833</v>
      </c>
      <c r="BA9" s="29">
        <f t="shared" ca="1" si="92"/>
        <v>14400.331857982372</v>
      </c>
      <c r="BB9" s="29">
        <f t="shared" ca="1" si="93"/>
        <v>14150.467226438497</v>
      </c>
      <c r="BC9" s="29">
        <f t="shared" ca="1" si="94"/>
        <v>13994.088337563842</v>
      </c>
      <c r="BD9" s="29">
        <f t="shared" ca="1" si="95"/>
        <v>14364.634441515063</v>
      </c>
      <c r="BE9" s="29">
        <f t="shared" ca="1" si="96"/>
        <v>14306.562107671969</v>
      </c>
      <c r="BF9" s="29">
        <f t="shared" ca="1" si="97"/>
        <v>14753.33831508995</v>
      </c>
      <c r="BG9" s="29">
        <f t="shared" ca="1" si="98"/>
        <v>14352.18816786832</v>
      </c>
      <c r="BH9" s="29">
        <f t="shared" ca="1" si="99"/>
        <v>14642.980472134368</v>
      </c>
      <c r="BI9" s="29">
        <f t="shared" ca="1" si="100"/>
        <v>14517.157888502481</v>
      </c>
      <c r="BJ9" s="29">
        <f t="shared" ca="1" si="101"/>
        <v>14424.05656968016</v>
      </c>
      <c r="BK9" s="29">
        <f t="shared" ca="1" si="102"/>
        <v>13998.731076451486</v>
      </c>
      <c r="BL9" s="29">
        <f t="shared" ca="1" si="103"/>
        <v>14478.252302333087</v>
      </c>
      <c r="BM9" s="29">
        <f t="shared" ca="1" si="104"/>
        <v>14057.459745832713</v>
      </c>
      <c r="BN9" s="29">
        <f t="shared" ca="1" si="105"/>
        <v>14565.914874495997</v>
      </c>
      <c r="BO9" s="29">
        <f t="shared" ca="1" si="106"/>
        <v>14743.926239040991</v>
      </c>
      <c r="BP9" s="29">
        <f t="shared" ca="1" si="107"/>
        <v>14442.534985159402</v>
      </c>
      <c r="BQ9" s="29">
        <f t="shared" ca="1" si="108"/>
        <v>14685.534901277237</v>
      </c>
      <c r="BR9" s="29">
        <f t="shared" ca="1" si="109"/>
        <v>14386.108692984677</v>
      </c>
      <c r="BS9" s="29">
        <f t="shared" ca="1" si="110"/>
        <v>15017.608003893682</v>
      </c>
      <c r="BT9" s="29">
        <f t="shared" ca="1" si="111"/>
        <v>14355.328208925268</v>
      </c>
      <c r="BU9" s="29">
        <f t="shared" ca="1" si="112"/>
        <v>13950.745841445387</v>
      </c>
      <c r="BV9" s="29">
        <f t="shared" ca="1" si="113"/>
        <v>15016.206750439498</v>
      </c>
      <c r="BW9" s="29">
        <f t="shared" ca="1" si="114"/>
        <v>14854.56242873076</v>
      </c>
      <c r="BX9" s="29">
        <f t="shared" ca="1" si="115"/>
        <v>14635.013451402903</v>
      </c>
      <c r="BY9" s="29">
        <f t="shared" ca="1" si="116"/>
        <v>14441.268456499756</v>
      </c>
      <c r="BZ9" s="29">
        <f t="shared" ca="1" si="117"/>
        <v>14075.205780627204</v>
      </c>
      <c r="CA9" s="29">
        <f t="shared" ca="1" si="118"/>
        <v>14558.090310820049</v>
      </c>
      <c r="CB9" s="29">
        <f t="shared" ca="1" si="119"/>
        <v>15196.524571576867</v>
      </c>
      <c r="CC9" s="29">
        <f t="shared" ca="1" si="120"/>
        <v>13792.786709497832</v>
      </c>
      <c r="CD9" s="29">
        <f t="shared" ca="1" si="121"/>
        <v>14666.374339755519</v>
      </c>
      <c r="CE9" s="29">
        <f t="shared" ca="1" si="122"/>
        <v>14774.655541004468</v>
      </c>
      <c r="CF9" s="29">
        <f t="shared" ca="1" si="123"/>
        <v>14636.885439038846</v>
      </c>
      <c r="CG9" s="29">
        <f t="shared" ca="1" si="124"/>
        <v>14272.929890584201</v>
      </c>
      <c r="CH9" s="29">
        <f t="shared" ca="1" si="125"/>
        <v>14824.089562854668</v>
      </c>
      <c r="CI9" s="29">
        <f t="shared" ca="1" si="126"/>
        <v>14147.609946796125</v>
      </c>
      <c r="CJ9" s="29">
        <f t="shared" ca="1" si="127"/>
        <v>14166.490744582226</v>
      </c>
      <c r="CK9" s="29">
        <f t="shared" ca="1" si="128"/>
        <v>14195.764629213694</v>
      </c>
      <c r="CL9" s="29">
        <f t="shared" ca="1" si="129"/>
        <v>14355.178744752062</v>
      </c>
      <c r="CM9" s="29">
        <f t="shared" ca="1" si="130"/>
        <v>14387.875645273858</v>
      </c>
      <c r="CN9" s="29">
        <f t="shared" ca="1" si="131"/>
        <v>14390.994835015355</v>
      </c>
      <c r="CO9" s="29">
        <f t="shared" ca="1" si="132"/>
        <v>14983.271882451714</v>
      </c>
      <c r="CP9" s="29">
        <f t="shared" ca="1" si="133"/>
        <v>14460.387277201791</v>
      </c>
      <c r="CQ9" s="29">
        <f t="shared" ca="1" si="134"/>
        <v>14487.505970940127</v>
      </c>
      <c r="CR9" s="29">
        <f t="shared" ca="1" si="135"/>
        <v>14620.91129710002</v>
      </c>
      <c r="CS9" s="29">
        <f t="shared" ca="1" si="136"/>
        <v>14183.668870342353</v>
      </c>
      <c r="CT9" s="29">
        <f t="shared" ca="1" si="137"/>
        <v>14810.597710818987</v>
      </c>
      <c r="CU9" s="29">
        <f t="shared" ca="1" si="138"/>
        <v>13766.072018618574</v>
      </c>
      <c r="CV9" s="29">
        <f t="shared" ca="1" si="139"/>
        <v>14273.291231345771</v>
      </c>
      <c r="CW9" s="29">
        <f t="shared" ca="1" si="140"/>
        <v>14209.635120476962</v>
      </c>
      <c r="CX9" s="29">
        <f t="shared" ca="1" si="141"/>
        <v>14241.598602733144</v>
      </c>
      <c r="CY9" s="29">
        <f t="shared" ca="1" si="142"/>
        <v>14395.19860189049</v>
      </c>
      <c r="CZ9" s="29">
        <f t="shared" ca="1" si="143"/>
        <v>13898.616432401794</v>
      </c>
      <c r="DA9" s="29">
        <f t="shared" ca="1" si="144"/>
        <v>14487.191595422739</v>
      </c>
      <c r="DB9" s="29">
        <f t="shared" ca="1" si="145"/>
        <v>15283.762605284579</v>
      </c>
      <c r="DC9" s="29">
        <f t="shared" ca="1" si="146"/>
        <v>14489.077431869136</v>
      </c>
      <c r="DD9" s="29">
        <f t="shared" ca="1" si="147"/>
        <v>13807.606978462629</v>
      </c>
      <c r="DE9" s="29">
        <f t="shared" ca="1" si="148"/>
        <v>14600.78610829126</v>
      </c>
      <c r="DF9" s="29">
        <f t="shared" ca="1" si="149"/>
        <v>14270.250396846848</v>
      </c>
      <c r="DG9" s="29">
        <f t="shared" ca="1" si="150"/>
        <v>14025.599662137838</v>
      </c>
      <c r="DH9" s="29">
        <f t="shared" ca="1" si="151"/>
        <v>14103.002325503174</v>
      </c>
      <c r="DI9" s="29">
        <f t="shared" ca="1" si="152"/>
        <v>14700.821972487802</v>
      </c>
      <c r="DJ9" s="29">
        <f t="shared" ca="1" si="153"/>
        <v>14591.051690214863</v>
      </c>
      <c r="DK9" s="29">
        <f t="shared" ca="1" si="154"/>
        <v>14451.845079238765</v>
      </c>
      <c r="DL9" s="29">
        <f t="shared" ca="1" si="155"/>
        <v>14399.058824528476</v>
      </c>
      <c r="DM9" s="29">
        <f t="shared" ca="1" si="156"/>
        <v>14186.386946339886</v>
      </c>
      <c r="DN9" s="29">
        <f t="shared" ca="1" si="157"/>
        <v>14981.116875546124</v>
      </c>
      <c r="DO9" s="29">
        <f t="shared" ca="1" si="158"/>
        <v>13845.849152914327</v>
      </c>
      <c r="DP9" s="29">
        <f t="shared" ca="1" si="159"/>
        <v>14669.141971686018</v>
      </c>
      <c r="DQ9" s="29">
        <f t="shared" ca="1" si="160"/>
        <v>14779.715055996716</v>
      </c>
      <c r="DR9" s="29">
        <f t="shared" ca="1" si="161"/>
        <v>13886.421305996066</v>
      </c>
      <c r="DS9" s="29">
        <f t="shared" ca="1" si="162"/>
        <v>14491.864438799697</v>
      </c>
      <c r="DT9" s="29">
        <f t="shared" ca="1" si="163"/>
        <v>14357.746796092684</v>
      </c>
      <c r="DU9" s="29">
        <f t="shared" ca="1" si="164"/>
        <v>14739.485126347847</v>
      </c>
      <c r="DV9" s="29">
        <f t="shared" ca="1" si="165"/>
        <v>14279.199869208611</v>
      </c>
      <c r="DW9" s="29">
        <f t="shared" ca="1" si="166"/>
        <v>14346.009950742691</v>
      </c>
      <c r="DX9" s="29">
        <f t="shared" ca="1" si="167"/>
        <v>13782.303161167772</v>
      </c>
      <c r="DY9" s="29">
        <f t="shared" ca="1" si="168"/>
        <v>14258.570659191188</v>
      </c>
      <c r="DZ9" s="29">
        <f t="shared" ca="1" si="169"/>
        <v>14830.874547385867</v>
      </c>
      <c r="EA9" s="29">
        <f t="shared" ca="1" si="170"/>
        <v>14062.969926376481</v>
      </c>
      <c r="EB9" s="29">
        <f t="shared" ca="1" si="171"/>
        <v>13950.76998143649</v>
      </c>
      <c r="EC9" s="29">
        <f t="shared" ca="1" si="172"/>
        <v>14561.635710428605</v>
      </c>
      <c r="ED9" s="29">
        <f t="shared" ca="1" si="173"/>
        <v>15394.130367293757</v>
      </c>
      <c r="EE9" s="29">
        <f t="shared" ca="1" si="174"/>
        <v>14775.67720536554</v>
      </c>
      <c r="EF9" s="29">
        <f t="shared" ca="1" si="175"/>
        <v>14137.286303581372</v>
      </c>
      <c r="EG9" s="29">
        <f t="shared" ca="1" si="176"/>
        <v>14771.122058082603</v>
      </c>
      <c r="EH9" s="29">
        <f t="shared" ca="1" si="177"/>
        <v>13352.690969811434</v>
      </c>
      <c r="EI9" s="29">
        <f t="shared" ca="1" si="178"/>
        <v>14422.357057414842</v>
      </c>
      <c r="EJ9" s="29">
        <f t="shared" ca="1" si="179"/>
        <v>14412.182734642061</v>
      </c>
      <c r="EK9" s="29">
        <f t="shared" ca="1" si="180"/>
        <v>14193.605415189191</v>
      </c>
      <c r="EL9" s="29">
        <f t="shared" ca="1" si="181"/>
        <v>14343.925762334153</v>
      </c>
      <c r="EM9" s="29">
        <f t="shared" ca="1" si="182"/>
        <v>13231.6771118959</v>
      </c>
      <c r="EN9" s="29">
        <f t="shared" ca="1" si="183"/>
        <v>14761.24718862255</v>
      </c>
      <c r="EO9" s="29">
        <f t="shared" ca="1" si="184"/>
        <v>13782.422356668012</v>
      </c>
      <c r="EP9" s="29">
        <f t="shared" ca="1" si="185"/>
        <v>14804.355148149882</v>
      </c>
      <c r="EQ9" s="29">
        <f t="shared" ca="1" si="186"/>
        <v>14492.727219270198</v>
      </c>
      <c r="ER9" s="29">
        <f t="shared" ca="1" si="187"/>
        <v>14424.490210521864</v>
      </c>
      <c r="ES9" s="29">
        <f t="shared" ca="1" si="188"/>
        <v>14217.187644581663</v>
      </c>
      <c r="ET9" s="29">
        <f t="shared" ca="1" si="189"/>
        <v>14657.763542603272</v>
      </c>
      <c r="EU9" s="29">
        <f t="shared" ca="1" si="190"/>
        <v>14734.598616326914</v>
      </c>
      <c r="EV9" s="29">
        <f t="shared" ca="1" si="191"/>
        <v>14662.144201987572</v>
      </c>
      <c r="EW9" s="29">
        <f t="shared" ca="1" si="192"/>
        <v>14214.253039793846</v>
      </c>
      <c r="EX9" s="29">
        <f t="shared" ca="1" si="193"/>
        <v>15175.089249678962</v>
      </c>
      <c r="EY9" s="29">
        <f t="shared" ca="1" si="194"/>
        <v>14115.448094609641</v>
      </c>
      <c r="EZ9" s="29">
        <f t="shared" ca="1" si="195"/>
        <v>14167.761931278894</v>
      </c>
      <c r="FA9" s="29">
        <f t="shared" ca="1" si="196"/>
        <v>14642.263334202609</v>
      </c>
      <c r="FB9" s="29">
        <f t="shared" ca="1" si="197"/>
        <v>14533.01475468356</v>
      </c>
      <c r="FC9" s="29">
        <f t="shared" ca="1" si="198"/>
        <v>14598.961720812842</v>
      </c>
      <c r="FD9" s="29">
        <f t="shared" ca="1" si="199"/>
        <v>14149.942119453648</v>
      </c>
      <c r="FE9" s="29">
        <f t="shared" ca="1" si="200"/>
        <v>14352.463033060181</v>
      </c>
      <c r="FF9" s="29">
        <f t="shared" ca="1" si="201"/>
        <v>14168.805948005132</v>
      </c>
      <c r="FG9" s="29">
        <f t="shared" ca="1" si="202"/>
        <v>13823.181522442777</v>
      </c>
      <c r="FH9" s="29">
        <f t="shared" ca="1" si="203"/>
        <v>14237.822403014105</v>
      </c>
      <c r="FI9" s="29">
        <f t="shared" ca="1" si="204"/>
        <v>14288.845818208205</v>
      </c>
      <c r="FJ9" s="29">
        <f t="shared" ca="1" si="205"/>
        <v>14172.721859440502</v>
      </c>
      <c r="FK9" s="29">
        <f t="shared" ca="1" si="206"/>
        <v>14681.875650023529</v>
      </c>
      <c r="FL9" s="29">
        <f t="shared" ca="1" si="207"/>
        <v>13775.652400371464</v>
      </c>
      <c r="FM9" s="29">
        <f t="shared" ca="1" si="208"/>
        <v>14997.493139471655</v>
      </c>
      <c r="FN9" s="29">
        <f t="shared" ca="1" si="209"/>
        <v>13853.009838740207</v>
      </c>
      <c r="FO9" s="29">
        <f t="shared" ca="1" si="210"/>
        <v>13950.728162565347</v>
      </c>
      <c r="FP9" s="29">
        <f t="shared" ca="1" si="211"/>
        <v>13971.006730470519</v>
      </c>
      <c r="FQ9" s="29">
        <f t="shared" ca="1" si="212"/>
        <v>14340.143453630237</v>
      </c>
      <c r="FR9" s="29">
        <f t="shared" ca="1" si="213"/>
        <v>13836.770109712912</v>
      </c>
      <c r="FS9" s="29">
        <f t="shared" ca="1" si="214"/>
        <v>15027.359716031606</v>
      </c>
      <c r="FT9" s="29">
        <f t="shared" ca="1" si="215"/>
        <v>14426.378969759975</v>
      </c>
      <c r="FU9" s="29">
        <f t="shared" ca="1" si="216"/>
        <v>14541.264256029184</v>
      </c>
      <c r="FV9" s="29">
        <f t="shared" ca="1" si="217"/>
        <v>14457.605940848858</v>
      </c>
      <c r="FW9" s="29">
        <f t="shared" ca="1" si="218"/>
        <v>14176.305358496196</v>
      </c>
      <c r="FX9" s="29">
        <f t="shared" ca="1" si="219"/>
        <v>14888.244301184597</v>
      </c>
      <c r="FY9" s="29">
        <f t="shared" ca="1" si="220"/>
        <v>14471.080670609968</v>
      </c>
      <c r="FZ9" s="29">
        <f t="shared" ca="1" si="221"/>
        <v>14296.326295341154</v>
      </c>
      <c r="GA9" s="29">
        <f t="shared" ca="1" si="222"/>
        <v>14131.594394388227</v>
      </c>
      <c r="GB9" s="29">
        <f t="shared" ca="1" si="223"/>
        <v>15123.275056440081</v>
      </c>
      <c r="GC9" s="29">
        <f t="shared" ca="1" si="224"/>
        <v>14949.792501456983</v>
      </c>
      <c r="GD9" s="29">
        <f t="shared" ca="1" si="225"/>
        <v>14354.255056965781</v>
      </c>
      <c r="GE9" s="29">
        <f t="shared" ca="1" si="226"/>
        <v>14137.413824770225</v>
      </c>
      <c r="GF9" s="29">
        <f t="shared" ca="1" si="227"/>
        <v>14367.380717880129</v>
      </c>
      <c r="GG9" s="29">
        <f t="shared" ca="1" si="228"/>
        <v>14953.856707157762</v>
      </c>
      <c r="GH9" s="29">
        <f t="shared" ca="1" si="229"/>
        <v>14235.60363870402</v>
      </c>
      <c r="GI9" s="29">
        <f t="shared" ca="1" si="230"/>
        <v>14313.773997956599</v>
      </c>
      <c r="GJ9" s="29">
        <f t="shared" ca="1" si="231"/>
        <v>14043.692074335986</v>
      </c>
      <c r="GK9" s="29">
        <f t="shared" ca="1" si="232"/>
        <v>14186.090602568825</v>
      </c>
      <c r="GL9" s="29">
        <f t="shared" ca="1" si="233"/>
        <v>14247.628042852009</v>
      </c>
      <c r="GM9" s="29">
        <f t="shared" ca="1" si="234"/>
        <v>13608.074133519007</v>
      </c>
      <c r="GN9" s="29">
        <f t="shared" ca="1" si="235"/>
        <v>13983.642713603813</v>
      </c>
      <c r="GO9" s="29">
        <f t="shared" ca="1" si="236"/>
        <v>13838.853801370633</v>
      </c>
      <c r="GP9" s="29">
        <f t="shared" ca="1" si="237"/>
        <v>14763.012281439012</v>
      </c>
      <c r="GQ9" s="29">
        <f t="shared" ca="1" si="238"/>
        <v>14470.863516204594</v>
      </c>
      <c r="GR9" s="29">
        <f t="shared" ca="1" si="239"/>
        <v>14120.501242650755</v>
      </c>
      <c r="GS9" s="29">
        <f t="shared" ca="1" si="240"/>
        <v>14974.430041200763</v>
      </c>
      <c r="GT9" s="29">
        <f t="shared" ca="1" si="241"/>
        <v>14357.718144191758</v>
      </c>
      <c r="GU9" s="29">
        <f t="shared" ca="1" si="242"/>
        <v>13804.492154543543</v>
      </c>
      <c r="GV9" s="29">
        <f t="shared" ca="1" si="243"/>
        <v>14218.595835844131</v>
      </c>
      <c r="GW9" s="29">
        <f t="shared" ca="1" si="244"/>
        <v>14152.128613778361</v>
      </c>
      <c r="GX9" s="29">
        <f t="shared" ca="1" si="245"/>
        <v>13989.624868645555</v>
      </c>
      <c r="GY9" s="29">
        <f t="shared" ca="1" si="246"/>
        <v>14455.900263243288</v>
      </c>
      <c r="GZ9" s="29">
        <f t="shared" ca="1" si="247"/>
        <v>14467.796044375171</v>
      </c>
      <c r="HA9" s="29">
        <f t="shared" ca="1" si="248"/>
        <v>15115.759642306673</v>
      </c>
      <c r="HB9" s="29">
        <f t="shared" ca="1" si="249"/>
        <v>14421.94694744803</v>
      </c>
      <c r="HC9" s="29">
        <f t="shared" ca="1" si="250"/>
        <v>14615.237246313316</v>
      </c>
      <c r="HD9" s="29">
        <f t="shared" ca="1" si="251"/>
        <v>14221.819009415283</v>
      </c>
      <c r="HE9" s="29">
        <f t="shared" ca="1" si="252"/>
        <v>14634.900400514465</v>
      </c>
      <c r="HF9" s="29">
        <f t="shared" ca="1" si="253"/>
        <v>14282.51584229073</v>
      </c>
      <c r="HG9" s="29">
        <f t="shared" ca="1" si="254"/>
        <v>14105.167488921781</v>
      </c>
      <c r="HH9" s="29">
        <f t="shared" ca="1" si="255"/>
        <v>13468.092990952178</v>
      </c>
      <c r="HI9" s="29">
        <f t="shared" ca="1" si="256"/>
        <v>13965.851958616273</v>
      </c>
      <c r="HJ9" s="29">
        <f t="shared" ca="1" si="257"/>
        <v>14615.007418044337</v>
      </c>
      <c r="HK9" s="29">
        <f t="shared" ca="1" si="258"/>
        <v>14885.991788424395</v>
      </c>
      <c r="HL9" s="29">
        <f t="shared" ca="1" si="259"/>
        <v>14749.577198126706</v>
      </c>
      <c r="HM9" s="29">
        <f t="shared" ca="1" si="260"/>
        <v>14306.413449492513</v>
      </c>
      <c r="HN9" s="29">
        <f t="shared" ca="1" si="261"/>
        <v>14120.924072247364</v>
      </c>
      <c r="HO9" s="29">
        <f t="shared" ca="1" si="262"/>
        <v>14793.536865896061</v>
      </c>
      <c r="HP9" s="29">
        <f t="shared" ca="1" si="263"/>
        <v>13838.577298554861</v>
      </c>
      <c r="HQ9" s="29">
        <f t="shared" ca="1" si="264"/>
        <v>14220.604512862088</v>
      </c>
      <c r="HR9" s="29">
        <f t="shared" ca="1" si="265"/>
        <v>14591.918860940246</v>
      </c>
      <c r="HS9" s="29">
        <f t="shared" ca="1" si="266"/>
        <v>15050.920806249113</v>
      </c>
      <c r="HT9" s="29">
        <f t="shared" ca="1" si="267"/>
        <v>14543.315152206553</v>
      </c>
      <c r="HU9" s="29">
        <f t="shared" ca="1" si="268"/>
        <v>14707.957528767049</v>
      </c>
      <c r="HV9" s="29">
        <f t="shared" ca="1" si="269"/>
        <v>14720.264188667765</v>
      </c>
      <c r="HW9" s="29">
        <f t="shared" ca="1" si="270"/>
        <v>14277.186419004709</v>
      </c>
      <c r="HX9" s="29">
        <f t="shared" ca="1" si="271"/>
        <v>14405.149975896415</v>
      </c>
      <c r="HY9" s="29">
        <f t="shared" ca="1" si="272"/>
        <v>14499.480011959575</v>
      </c>
      <c r="HZ9" s="29">
        <f t="shared" ca="1" si="273"/>
        <v>14208.443307942674</v>
      </c>
      <c r="IA9" s="29">
        <f t="shared" ca="1" si="274"/>
        <v>14443.520917955655</v>
      </c>
      <c r="IB9" s="29">
        <f t="shared" ca="1" si="275"/>
        <v>14807.933049140811</v>
      </c>
      <c r="IC9" s="29">
        <f t="shared" ca="1" si="276"/>
        <v>13982.944453432747</v>
      </c>
      <c r="ID9" s="29">
        <f t="shared" ca="1" si="277"/>
        <v>14870.862599890064</v>
      </c>
      <c r="IE9" s="29">
        <f t="shared" ca="1" si="278"/>
        <v>13750.945891968287</v>
      </c>
      <c r="IF9" s="29">
        <f t="shared" ca="1" si="279"/>
        <v>14617.266097882602</v>
      </c>
      <c r="IG9" s="29">
        <f t="shared" ca="1" si="280"/>
        <v>14107.874940578691</v>
      </c>
      <c r="IH9" s="29">
        <f t="shared" ca="1" si="281"/>
        <v>14306.568033388319</v>
      </c>
      <c r="II9" s="29">
        <f t="shared" ca="1" si="282"/>
        <v>14588.696521517622</v>
      </c>
      <c r="IJ9" s="29">
        <f t="shared" ca="1" si="283"/>
        <v>14613.358968071876</v>
      </c>
      <c r="IK9" s="29">
        <f t="shared" ca="1" si="284"/>
        <v>13322.452782234708</v>
      </c>
      <c r="IL9" s="29">
        <f t="shared" ca="1" si="285"/>
        <v>15030.58011906271</v>
      </c>
      <c r="IM9" s="29">
        <f t="shared" ca="1" si="286"/>
        <v>14228.249590353307</v>
      </c>
      <c r="IN9" s="29">
        <f t="shared" ca="1" si="287"/>
        <v>14654.724551852893</v>
      </c>
      <c r="IO9" s="29">
        <f t="shared" ca="1" si="288"/>
        <v>14594.714923584685</v>
      </c>
      <c r="IP9" s="29">
        <f t="shared" ca="1" si="289"/>
        <v>14639.88820331126</v>
      </c>
      <c r="IQ9" s="29">
        <f t="shared" ca="1" si="290"/>
        <v>14193.534498483794</v>
      </c>
      <c r="IR9" s="29">
        <f t="shared" ca="1" si="291"/>
        <v>14550.446172921182</v>
      </c>
      <c r="IS9" s="29">
        <f t="shared" ca="1" si="292"/>
        <v>13810.891220989723</v>
      </c>
      <c r="IT9" s="29">
        <f t="shared" ca="1" si="293"/>
        <v>14951.892655161309</v>
      </c>
      <c r="IU9" s="29">
        <f t="shared" ca="1" si="294"/>
        <v>15663.045409899842</v>
      </c>
      <c r="IV9" s="29">
        <f t="shared" ca="1" si="295"/>
        <v>14531.065613864632</v>
      </c>
      <c r="IW9" s="29">
        <f t="shared" ca="1" si="296"/>
        <v>14812.623020455741</v>
      </c>
      <c r="IX9" s="29">
        <f t="shared" ca="1" si="297"/>
        <v>14531.134740445154</v>
      </c>
      <c r="IY9" s="29">
        <f t="shared" ca="1" si="298"/>
        <v>13527.584953855156</v>
      </c>
      <c r="IZ9" s="29">
        <f t="shared" ca="1" si="299"/>
        <v>14230.009216686949</v>
      </c>
      <c r="JA9" s="29">
        <f t="shared" ca="1" si="300"/>
        <v>13820.621552225854</v>
      </c>
      <c r="JB9" s="29">
        <f t="shared" ca="1" si="301"/>
        <v>14184.685219131588</v>
      </c>
      <c r="JC9" s="29">
        <f t="shared" ca="1" si="302"/>
        <v>14241.815094675394</v>
      </c>
      <c r="JD9" s="29">
        <f t="shared" ca="1" si="303"/>
        <v>13901.700495143157</v>
      </c>
      <c r="JE9" s="29">
        <f t="shared" ca="1" si="304"/>
        <v>13812.453348407296</v>
      </c>
      <c r="JF9" s="29">
        <f t="shared" ca="1" si="305"/>
        <v>14436.379613015013</v>
      </c>
      <c r="JG9" s="29">
        <f t="shared" ca="1" si="306"/>
        <v>14411.565913496814</v>
      </c>
      <c r="JH9" s="29">
        <f t="shared" ca="1" si="307"/>
        <v>14305.183219584636</v>
      </c>
      <c r="JI9" s="29">
        <f t="shared" ca="1" si="308"/>
        <v>14481.93223032356</v>
      </c>
      <c r="JJ9" s="29">
        <f t="shared" ca="1" si="309"/>
        <v>14730.497391680163</v>
      </c>
      <c r="JK9" s="29">
        <f t="shared" ca="1" si="310"/>
        <v>14516.348223708354</v>
      </c>
      <c r="JL9" s="29">
        <f t="shared" ca="1" si="311"/>
        <v>14355.352456243832</v>
      </c>
      <c r="JM9" s="29">
        <f t="shared" ca="1" si="312"/>
        <v>13499.600673226258</v>
      </c>
      <c r="JN9" s="29">
        <f t="shared" ca="1" si="313"/>
        <v>14810.779213701662</v>
      </c>
      <c r="JO9" s="29">
        <f t="shared" ca="1" si="314"/>
        <v>14698.724898133922</v>
      </c>
      <c r="JP9" s="29">
        <f t="shared" ca="1" si="315"/>
        <v>14799.904785543795</v>
      </c>
      <c r="JQ9" s="29">
        <f t="shared" ca="1" si="316"/>
        <v>13774.102152084708</v>
      </c>
      <c r="JR9" s="29">
        <f t="shared" ca="1" si="317"/>
        <v>14909.265729621546</v>
      </c>
      <c r="JS9" s="29">
        <f t="shared" ca="1" si="318"/>
        <v>14622.280324118687</v>
      </c>
      <c r="JT9" s="29">
        <f t="shared" ca="1" si="319"/>
        <v>14931.959299385173</v>
      </c>
      <c r="JU9" s="29">
        <f t="shared" ca="1" si="320"/>
        <v>14651.43725424964</v>
      </c>
      <c r="JV9" s="29">
        <f t="shared" ca="1" si="321"/>
        <v>14533.368254027269</v>
      </c>
      <c r="JW9" s="29">
        <f t="shared" ca="1" si="322"/>
        <v>14694.076721166717</v>
      </c>
      <c r="JX9" s="29">
        <f t="shared" ca="1" si="323"/>
        <v>14990.92325338585</v>
      </c>
      <c r="JY9" s="29">
        <f t="shared" ca="1" si="324"/>
        <v>14151.757170667395</v>
      </c>
      <c r="JZ9" s="29">
        <f t="shared" ca="1" si="325"/>
        <v>14453.242637224876</v>
      </c>
      <c r="KA9" s="29">
        <f t="shared" ca="1" si="326"/>
        <v>13764.983178405029</v>
      </c>
      <c r="KB9" s="29">
        <f t="shared" ca="1" si="327"/>
        <v>13993.682356748392</v>
      </c>
      <c r="KC9" s="29">
        <f t="shared" ca="1" si="328"/>
        <v>14640.741686661489</v>
      </c>
      <c r="KD9" s="29">
        <f t="shared" ca="1" si="329"/>
        <v>14337.73725928854</v>
      </c>
      <c r="KE9" s="29">
        <f t="shared" ca="1" si="330"/>
        <v>15373.776567111627</v>
      </c>
      <c r="KF9" s="29">
        <f t="shared" ca="1" si="331"/>
        <v>14421.793209940546</v>
      </c>
      <c r="KG9" s="29">
        <f t="shared" ca="1" si="332"/>
        <v>14396.809414417665</v>
      </c>
      <c r="KH9" s="29">
        <f t="shared" ca="1" si="333"/>
        <v>14556.912959834061</v>
      </c>
      <c r="KI9" s="29">
        <f t="shared" ca="1" si="334"/>
        <v>14400.743852243266</v>
      </c>
      <c r="KJ9" s="29">
        <f t="shared" ca="1" si="335"/>
        <v>14812.683314963033</v>
      </c>
      <c r="KK9" s="29">
        <f t="shared" ca="1" si="336"/>
        <v>14194.18870841922</v>
      </c>
      <c r="KL9" s="29">
        <f t="shared" ca="1" si="337"/>
        <v>14242.814494742846</v>
      </c>
      <c r="KM9" s="29">
        <f t="shared" ca="1" si="338"/>
        <v>15410.339571454013</v>
      </c>
      <c r="KN9" s="29">
        <f t="shared" ca="1" si="339"/>
        <v>14080.810122703253</v>
      </c>
      <c r="KO9" s="29">
        <f t="shared" ca="1" si="340"/>
        <v>14495.287367012275</v>
      </c>
      <c r="KP9" s="29">
        <f t="shared" ca="1" si="341"/>
        <v>14334.466402190747</v>
      </c>
      <c r="KQ9" s="29">
        <f t="shared" ca="1" si="342"/>
        <v>14496.403937910894</v>
      </c>
      <c r="KR9" s="29">
        <f t="shared" ca="1" si="343"/>
        <v>14472.931622639922</v>
      </c>
      <c r="KS9" s="29">
        <f t="shared" ca="1" si="344"/>
        <v>13672.618798973006</v>
      </c>
      <c r="KT9" s="29">
        <f t="shared" ca="1" si="345"/>
        <v>14384.663506747926</v>
      </c>
      <c r="KU9" s="29">
        <f t="shared" ca="1" si="346"/>
        <v>14161.624287236422</v>
      </c>
      <c r="KV9" s="29">
        <f t="shared" ca="1" si="347"/>
        <v>14052.341876203342</v>
      </c>
      <c r="KW9" s="29">
        <f t="shared" ca="1" si="348"/>
        <v>14885.165315429114</v>
      </c>
      <c r="KX9" s="29">
        <f t="shared" ca="1" si="349"/>
        <v>13614.391922019651</v>
      </c>
      <c r="KY9" s="29">
        <f t="shared" ca="1" si="350"/>
        <v>14728.132247409112</v>
      </c>
      <c r="KZ9" s="29">
        <f t="shared" ca="1" si="351"/>
        <v>14014.135558572045</v>
      </c>
      <c r="LA9" s="29">
        <f t="shared" ca="1" si="352"/>
        <v>15315.624091966105</v>
      </c>
      <c r="LB9" s="29">
        <f t="shared" ca="1" si="353"/>
        <v>13878.045113376667</v>
      </c>
      <c r="LC9" s="29">
        <f t="shared" ca="1" si="354"/>
        <v>14320.040062966671</v>
      </c>
      <c r="LD9" s="29">
        <f t="shared" ca="1" si="355"/>
        <v>13864.967477066764</v>
      </c>
      <c r="LE9" s="29">
        <f t="shared" ca="1" si="356"/>
        <v>13990.675874848528</v>
      </c>
      <c r="LF9" s="29">
        <f t="shared" ca="1" si="357"/>
        <v>14115.398031500497</v>
      </c>
      <c r="LG9" s="29">
        <f t="shared" ca="1" si="358"/>
        <v>14334.152327505624</v>
      </c>
      <c r="LH9" s="29">
        <f t="shared" ca="1" si="359"/>
        <v>13639.84925977101</v>
      </c>
      <c r="LI9" s="29">
        <f t="shared" ca="1" si="360"/>
        <v>14074.088835480701</v>
      </c>
      <c r="LJ9" s="29">
        <f t="shared" ca="1" si="361"/>
        <v>14443.514612011721</v>
      </c>
      <c r="LK9" s="29">
        <f t="shared" ca="1" si="362"/>
        <v>14406.710324680247</v>
      </c>
      <c r="LL9" s="29">
        <f t="shared" ca="1" si="363"/>
        <v>14104.571481080091</v>
      </c>
      <c r="LM9" s="29">
        <f t="shared" ca="1" si="364"/>
        <v>14286.242720225968</v>
      </c>
      <c r="LN9" s="29">
        <f t="shared" ca="1" si="365"/>
        <v>14776.045974835208</v>
      </c>
      <c r="LO9" s="29">
        <f t="shared" ca="1" si="366"/>
        <v>13699.420958631465</v>
      </c>
      <c r="LP9" s="29">
        <f t="shared" ca="1" si="367"/>
        <v>14407.790507690426</v>
      </c>
      <c r="LQ9" s="29">
        <f t="shared" ca="1" si="368"/>
        <v>15137.488298055347</v>
      </c>
      <c r="LR9" s="29">
        <f t="shared" ca="1" si="369"/>
        <v>14462.004766105456</v>
      </c>
      <c r="LS9" s="29">
        <f t="shared" ca="1" si="370"/>
        <v>13689.019028604163</v>
      </c>
      <c r="LT9" s="29">
        <f t="shared" ca="1" si="371"/>
        <v>14156.310109382339</v>
      </c>
      <c r="LU9" s="29">
        <f t="shared" ca="1" si="372"/>
        <v>14573.327347193059</v>
      </c>
      <c r="LV9" s="29">
        <f t="shared" ca="1" si="373"/>
        <v>13873.555788549114</v>
      </c>
      <c r="LW9" s="29">
        <f t="shared" ca="1" si="374"/>
        <v>14235.218650880051</v>
      </c>
      <c r="LX9" s="29">
        <f t="shared" ca="1" si="375"/>
        <v>14420.328741046931</v>
      </c>
      <c r="LY9" s="29">
        <f t="shared" ca="1" si="376"/>
        <v>14817.595810110308</v>
      </c>
      <c r="LZ9" s="29">
        <f t="shared" ca="1" si="377"/>
        <v>14528.095303558186</v>
      </c>
      <c r="MA9" s="29">
        <f t="shared" ca="1" si="378"/>
        <v>14045.562803381805</v>
      </c>
      <c r="MB9" s="29">
        <f t="shared" ca="1" si="379"/>
        <v>14079.093557460545</v>
      </c>
      <c r="MC9" s="29">
        <f t="shared" ca="1" si="380"/>
        <v>14371.114371237822</v>
      </c>
      <c r="MD9" s="29">
        <f t="shared" ca="1" si="381"/>
        <v>14753.805225106853</v>
      </c>
      <c r="ME9" s="29">
        <f t="shared" ca="1" si="382"/>
        <v>13490.988129802347</v>
      </c>
      <c r="MF9" s="29">
        <f t="shared" ca="1" si="383"/>
        <v>14298.256197839142</v>
      </c>
      <c r="MG9" s="29">
        <f t="shared" ca="1" si="384"/>
        <v>14039.232550847217</v>
      </c>
      <c r="MH9" s="29">
        <f t="shared" ca="1" si="385"/>
        <v>14493.427545242603</v>
      </c>
      <c r="MI9" s="29">
        <f t="shared" ca="1" si="386"/>
        <v>14483.503850411842</v>
      </c>
      <c r="MJ9" s="29">
        <f t="shared" ca="1" si="387"/>
        <v>14874.88489130477</v>
      </c>
      <c r="MK9" s="29">
        <f t="shared" ca="1" si="388"/>
        <v>14355.020450476955</v>
      </c>
      <c r="ML9" s="29">
        <f t="shared" ca="1" si="389"/>
        <v>14758.54771278897</v>
      </c>
      <c r="MM9" s="29">
        <f t="shared" ca="1" si="390"/>
        <v>14488.317987583483</v>
      </c>
      <c r="MN9" s="29">
        <f t="shared" ca="1" si="391"/>
        <v>14763.689666680701</v>
      </c>
      <c r="MO9" s="29">
        <f t="shared" ca="1" si="392"/>
        <v>14397.376789675594</v>
      </c>
      <c r="MP9" s="29">
        <f t="shared" ca="1" si="393"/>
        <v>14545.05741633427</v>
      </c>
      <c r="MQ9" s="29">
        <f t="shared" ca="1" si="394"/>
        <v>14728.360121572945</v>
      </c>
      <c r="MR9" s="29">
        <f t="shared" ca="1" si="395"/>
        <v>14140.018910265751</v>
      </c>
      <c r="MS9" s="29">
        <f t="shared" ca="1" si="396"/>
        <v>14085.058173925177</v>
      </c>
      <c r="MT9" s="29">
        <f t="shared" ca="1" si="397"/>
        <v>14465.995998794551</v>
      </c>
      <c r="MU9" s="29">
        <f t="shared" ca="1" si="398"/>
        <v>13947.11457321062</v>
      </c>
      <c r="MV9" s="29">
        <f t="shared" ca="1" si="399"/>
        <v>13870.94405485642</v>
      </c>
      <c r="MW9" s="29">
        <f t="shared" ca="1" si="400"/>
        <v>14023.739088060811</v>
      </c>
      <c r="MX9" s="29">
        <f t="shared" ca="1" si="401"/>
        <v>14597.849167043361</v>
      </c>
      <c r="MY9" s="29">
        <f t="shared" ca="1" si="402"/>
        <v>14325.586920508071</v>
      </c>
      <c r="MZ9" s="29">
        <f t="shared" ca="1" si="403"/>
        <v>14927.755811709969</v>
      </c>
      <c r="NA9" s="29">
        <f t="shared" ca="1" si="404"/>
        <v>14682.485462618011</v>
      </c>
      <c r="NB9" s="29">
        <f t="shared" ca="1" si="405"/>
        <v>14926.456096601907</v>
      </c>
      <c r="NC9" s="29">
        <f t="shared" ca="1" si="406"/>
        <v>14082.992440822274</v>
      </c>
      <c r="ND9" s="29">
        <f t="shared" ca="1" si="407"/>
        <v>14051.419570680606</v>
      </c>
      <c r="NE9" s="29">
        <f t="shared" ca="1" si="408"/>
        <v>15000.917753662015</v>
      </c>
      <c r="NF9" s="29">
        <f t="shared" ca="1" si="409"/>
        <v>14852.844556384369</v>
      </c>
      <c r="NG9" s="29">
        <f t="shared" ca="1" si="410"/>
        <v>13947.35911451117</v>
      </c>
      <c r="NH9" s="29">
        <f t="shared" ca="1" si="411"/>
        <v>14329.849389007568</v>
      </c>
      <c r="NI9" s="29">
        <f t="shared" ca="1" si="412"/>
        <v>14719.319943437318</v>
      </c>
      <c r="NJ9" s="29">
        <f t="shared" ca="1" si="413"/>
        <v>14207.217033229037</v>
      </c>
      <c r="NK9" s="29">
        <f t="shared" ca="1" si="414"/>
        <v>14890.419622332456</v>
      </c>
      <c r="NL9" s="29">
        <f t="shared" ca="1" si="415"/>
        <v>13519.084284616492</v>
      </c>
      <c r="NM9" s="29">
        <f t="shared" ca="1" si="416"/>
        <v>14606.761142418629</v>
      </c>
      <c r="NN9" s="29">
        <f t="shared" ca="1" si="417"/>
        <v>14378.004298554235</v>
      </c>
      <c r="NO9" s="29">
        <f t="shared" ca="1" si="418"/>
        <v>14604.398001903663</v>
      </c>
      <c r="NP9" s="29">
        <f t="shared" ca="1" si="419"/>
        <v>13423.90338682545</v>
      </c>
      <c r="NQ9" s="29">
        <f t="shared" ca="1" si="420"/>
        <v>14335.795322834541</v>
      </c>
      <c r="NR9" s="29">
        <f t="shared" ca="1" si="421"/>
        <v>14475.17921567341</v>
      </c>
      <c r="NS9" s="29">
        <f t="shared" ca="1" si="422"/>
        <v>14779.401785928736</v>
      </c>
      <c r="NT9" s="29">
        <f t="shared" ca="1" si="423"/>
        <v>14694.477478391325</v>
      </c>
      <c r="NU9" s="29">
        <f t="shared" ca="1" si="424"/>
        <v>14780.755131426849</v>
      </c>
      <c r="NV9" s="29">
        <f t="shared" ca="1" si="425"/>
        <v>13813.433853264136</v>
      </c>
      <c r="NW9" s="29">
        <f t="shared" ca="1" si="426"/>
        <v>13895.52922230337</v>
      </c>
      <c r="NX9" s="29">
        <f t="shared" ca="1" si="427"/>
        <v>14972.462495289537</v>
      </c>
      <c r="NY9" s="29">
        <f t="shared" ca="1" si="428"/>
        <v>14735.254690804084</v>
      </c>
      <c r="NZ9" s="29">
        <f t="shared" ca="1" si="429"/>
        <v>14342.433512159345</v>
      </c>
      <c r="OA9" s="29">
        <f t="shared" ca="1" si="430"/>
        <v>14097.520586233453</v>
      </c>
      <c r="OB9" s="29">
        <f t="shared" ca="1" si="431"/>
        <v>14546.186685599669</v>
      </c>
      <c r="OC9" s="29">
        <f t="shared" ca="1" si="432"/>
        <v>14264.517767826917</v>
      </c>
      <c r="OD9" s="29">
        <f t="shared" ca="1" si="433"/>
        <v>14628.303692132911</v>
      </c>
      <c r="OE9" s="29">
        <f t="shared" ca="1" si="434"/>
        <v>15250.101264025447</v>
      </c>
      <c r="OF9" s="29">
        <f t="shared" ca="1" si="435"/>
        <v>13866.054478281743</v>
      </c>
      <c r="OG9" s="29">
        <f t="shared" ca="1" si="436"/>
        <v>14938.840052946698</v>
      </c>
      <c r="OH9" s="29">
        <f t="shared" ca="1" si="437"/>
        <v>15069.256956337023</v>
      </c>
      <c r="OI9" s="29">
        <f t="shared" ca="1" si="438"/>
        <v>14038.307643472042</v>
      </c>
      <c r="OJ9" s="29">
        <f t="shared" ca="1" si="439"/>
        <v>14263.157351251934</v>
      </c>
      <c r="OK9" s="29">
        <f t="shared" ca="1" si="440"/>
        <v>13535.19912429436</v>
      </c>
      <c r="OL9" s="29">
        <f t="shared" ca="1" si="441"/>
        <v>14454.449275870393</v>
      </c>
      <c r="OM9" s="29">
        <f t="shared" ca="1" si="442"/>
        <v>14159.274078361786</v>
      </c>
      <c r="ON9" s="29">
        <f t="shared" ca="1" si="443"/>
        <v>15020.062865700877</v>
      </c>
      <c r="OO9" s="29">
        <f t="shared" ca="1" si="444"/>
        <v>13663.910314746947</v>
      </c>
      <c r="OP9" s="29">
        <f t="shared" ca="1" si="445"/>
        <v>15297.947058654878</v>
      </c>
      <c r="OQ9" s="29">
        <f t="shared" ca="1" si="446"/>
        <v>13896.900585368176</v>
      </c>
      <c r="OR9" s="29">
        <f t="shared" ca="1" si="447"/>
        <v>13836.04278364852</v>
      </c>
      <c r="OS9" s="29">
        <f t="shared" ca="1" si="448"/>
        <v>13626.425443480321</v>
      </c>
      <c r="OT9" s="29">
        <f t="shared" ca="1" si="449"/>
        <v>14136.225051638967</v>
      </c>
      <c r="OU9" s="29">
        <f t="shared" ca="1" si="450"/>
        <v>14871.397458877696</v>
      </c>
      <c r="OV9" s="29">
        <f t="shared" ca="1" si="451"/>
        <v>14349.565214026296</v>
      </c>
      <c r="OW9" s="29">
        <f t="shared" ca="1" si="452"/>
        <v>14934.198274593116</v>
      </c>
      <c r="OX9" s="29">
        <f t="shared" ca="1" si="453"/>
        <v>14431.589401628738</v>
      </c>
      <c r="OY9" s="29">
        <f t="shared" ca="1" si="454"/>
        <v>14557.319668135002</v>
      </c>
      <c r="OZ9" s="29">
        <f t="shared" ca="1" si="455"/>
        <v>13538.865637673014</v>
      </c>
      <c r="PA9" s="29">
        <f t="shared" ca="1" si="456"/>
        <v>14298.802284525018</v>
      </c>
      <c r="PB9" s="29">
        <f t="shared" ca="1" si="457"/>
        <v>13806.336934304831</v>
      </c>
      <c r="PC9" s="29">
        <f t="shared" ca="1" si="458"/>
        <v>14205.70335956001</v>
      </c>
      <c r="PD9" s="29">
        <f t="shared" ca="1" si="459"/>
        <v>14744.936812254495</v>
      </c>
      <c r="PE9" s="29">
        <f t="shared" ca="1" si="460"/>
        <v>14562.093915336251</v>
      </c>
      <c r="PF9" s="29">
        <f t="shared" ca="1" si="461"/>
        <v>14578.411883933572</v>
      </c>
      <c r="PG9" s="29">
        <f t="shared" ca="1" si="462"/>
        <v>14552.508546708241</v>
      </c>
      <c r="PH9" s="29">
        <f t="shared" ca="1" si="463"/>
        <v>14584.711224963314</v>
      </c>
      <c r="PI9" s="29">
        <f t="shared" ca="1" si="464"/>
        <v>13223.507418001702</v>
      </c>
      <c r="PJ9" s="29">
        <f t="shared" ca="1" si="465"/>
        <v>14518.510400460835</v>
      </c>
      <c r="PK9" s="29">
        <f t="shared" ca="1" si="466"/>
        <v>14384.958698052447</v>
      </c>
      <c r="PL9" s="29">
        <f t="shared" ca="1" si="467"/>
        <v>13874.962902364659</v>
      </c>
      <c r="PM9" s="29">
        <f t="shared" ca="1" si="468"/>
        <v>13778.293385135144</v>
      </c>
      <c r="PN9" s="29">
        <f t="shared" ca="1" si="469"/>
        <v>14250.77700874406</v>
      </c>
      <c r="PO9" s="29">
        <f t="shared" ca="1" si="470"/>
        <v>14565.633346947725</v>
      </c>
      <c r="PP9" s="29">
        <f t="shared" ca="1" si="471"/>
        <v>14262.498524276029</v>
      </c>
      <c r="PQ9" s="29">
        <f t="shared" ca="1" si="472"/>
        <v>14634.059336348982</v>
      </c>
      <c r="PR9" s="29">
        <f t="shared" ca="1" si="473"/>
        <v>14196.285325679861</v>
      </c>
      <c r="PS9" s="29">
        <f t="shared" ca="1" si="474"/>
        <v>14726.688009138299</v>
      </c>
      <c r="PT9" s="29">
        <f t="shared" ca="1" si="475"/>
        <v>14387.187505169662</v>
      </c>
      <c r="PU9" s="29">
        <f t="shared" ca="1" si="476"/>
        <v>14468.108139258982</v>
      </c>
      <c r="PV9" s="29">
        <f t="shared" ca="1" si="477"/>
        <v>14533.076768832358</v>
      </c>
      <c r="PW9" s="29">
        <f t="shared" ca="1" si="478"/>
        <v>14617.005384228016</v>
      </c>
      <c r="PX9" s="29">
        <f t="shared" ca="1" si="479"/>
        <v>13986.002125595647</v>
      </c>
      <c r="PY9" s="29">
        <f t="shared" ca="1" si="480"/>
        <v>14102.747194106025</v>
      </c>
      <c r="PZ9" s="29">
        <f t="shared" ca="1" si="481"/>
        <v>13501.21409871351</v>
      </c>
      <c r="QA9" s="29">
        <f t="shared" ca="1" si="482"/>
        <v>14742.903034469824</v>
      </c>
      <c r="QB9" s="29">
        <f t="shared" ca="1" si="483"/>
        <v>14547.199087827747</v>
      </c>
      <c r="QC9" s="29">
        <f t="shared" ca="1" si="484"/>
        <v>13985.464523466306</v>
      </c>
      <c r="QD9" s="29">
        <f t="shared" ca="1" si="485"/>
        <v>14212.960924616951</v>
      </c>
      <c r="QE9" s="29">
        <f t="shared" ca="1" si="486"/>
        <v>14474.420516256812</v>
      </c>
      <c r="QF9" s="29">
        <f t="shared" ca="1" si="487"/>
        <v>15029.552285842396</v>
      </c>
      <c r="QG9" s="29">
        <f t="shared" ca="1" si="488"/>
        <v>14972.208809035052</v>
      </c>
      <c r="QH9" s="29">
        <f t="shared" ca="1" si="489"/>
        <v>14645.617431079976</v>
      </c>
      <c r="QI9" s="29">
        <f t="shared" ca="1" si="490"/>
        <v>14804.701401398046</v>
      </c>
      <c r="QJ9" s="29">
        <f t="shared" ca="1" si="491"/>
        <v>13859.570123940652</v>
      </c>
      <c r="QK9" s="29">
        <f t="shared" ca="1" si="492"/>
        <v>14742.344327277015</v>
      </c>
      <c r="QL9" s="29">
        <f t="shared" ca="1" si="493"/>
        <v>14494.614259787835</v>
      </c>
      <c r="QM9" s="29">
        <f t="shared" ca="1" si="494"/>
        <v>13993.912967097871</v>
      </c>
      <c r="QN9" s="29">
        <f t="shared" ca="1" si="495"/>
        <v>14819.007458259071</v>
      </c>
      <c r="QO9" s="29">
        <f t="shared" ca="1" si="496"/>
        <v>14536.246263165343</v>
      </c>
      <c r="QP9" s="29">
        <f t="shared" ca="1" si="497"/>
        <v>14321.426657852287</v>
      </c>
      <c r="QQ9" s="29">
        <f t="shared" ca="1" si="498"/>
        <v>14940.623182419526</v>
      </c>
      <c r="QR9" s="29">
        <f t="shared" ca="1" si="499"/>
        <v>14762.406920420744</v>
      </c>
      <c r="QS9" s="29">
        <f t="shared" ca="1" si="500"/>
        <v>15001.901841247822</v>
      </c>
      <c r="QT9" s="29">
        <f t="shared" ca="1" si="501"/>
        <v>14959.268943528026</v>
      </c>
      <c r="QU9" s="29">
        <f t="shared" ca="1" si="502"/>
        <v>14142.467596462771</v>
      </c>
      <c r="QV9" s="29">
        <f t="shared" ca="1" si="503"/>
        <v>14585.637076212888</v>
      </c>
      <c r="QW9" s="29">
        <f t="shared" ca="1" si="504"/>
        <v>14493.594159936185</v>
      </c>
      <c r="QX9" s="29">
        <f t="shared" ca="1" si="505"/>
        <v>14548.725554066343</v>
      </c>
      <c r="QY9" s="29">
        <f t="shared" ca="1" si="506"/>
        <v>14879.895873349271</v>
      </c>
      <c r="QZ9" s="29">
        <f t="shared" ca="1" si="507"/>
        <v>14045.962494467038</v>
      </c>
      <c r="RA9" s="29">
        <f t="shared" ca="1" si="508"/>
        <v>14426.365190939932</v>
      </c>
      <c r="RB9" s="29">
        <f t="shared" ca="1" si="509"/>
        <v>13897.053651931588</v>
      </c>
      <c r="RC9" s="29">
        <f t="shared" ca="1" si="510"/>
        <v>14219.957558098709</v>
      </c>
      <c r="RD9" s="29">
        <f t="shared" ca="1" si="511"/>
        <v>14841.274098103619</v>
      </c>
      <c r="RE9" s="29">
        <f t="shared" ca="1" si="512"/>
        <v>14345.174232652267</v>
      </c>
      <c r="RF9" s="29">
        <f t="shared" ca="1" si="513"/>
        <v>14161.966754256062</v>
      </c>
      <c r="RG9" s="29">
        <f t="shared" ca="1" si="514"/>
        <v>14365.983400739891</v>
      </c>
      <c r="RH9" s="29">
        <f t="shared" ca="1" si="515"/>
        <v>14207.31948167637</v>
      </c>
      <c r="RI9" s="29">
        <f t="shared" ca="1" si="516"/>
        <v>14137.252309467407</v>
      </c>
      <c r="RJ9" s="29">
        <f t="shared" ca="1" si="517"/>
        <v>14757.11506610258</v>
      </c>
      <c r="RK9" s="29">
        <f t="shared" ca="1" si="518"/>
        <v>14009.453079439554</v>
      </c>
      <c r="RL9" s="29">
        <f t="shared" ca="1" si="519"/>
        <v>14253.457370612834</v>
      </c>
      <c r="RM9" s="29">
        <f t="shared" ca="1" si="520"/>
        <v>14685.604551295635</v>
      </c>
      <c r="RN9" s="29">
        <f t="shared" ca="1" si="521"/>
        <v>13897.031816371213</v>
      </c>
      <c r="RO9" s="29">
        <f t="shared" ca="1" si="522"/>
        <v>13990.412199163558</v>
      </c>
      <c r="RP9" s="29">
        <f t="shared" ca="1" si="523"/>
        <v>14925.472426663942</v>
      </c>
      <c r="RQ9" s="29">
        <f t="shared" ca="1" si="524"/>
        <v>15019.359026710868</v>
      </c>
      <c r="RR9" s="29">
        <f t="shared" ca="1" si="525"/>
        <v>14470.410758380511</v>
      </c>
      <c r="RS9" s="29">
        <f t="shared" ca="1" si="526"/>
        <v>14655.260848621998</v>
      </c>
      <c r="RT9" s="29">
        <f t="shared" ca="1" si="527"/>
        <v>14525.654100250906</v>
      </c>
      <c r="RU9" s="29">
        <f t="shared" ca="1" si="528"/>
        <v>14009.502799312877</v>
      </c>
      <c r="RV9" s="29">
        <f t="shared" ca="1" si="529"/>
        <v>13955.696636281535</v>
      </c>
      <c r="RW9" s="29">
        <f t="shared" ca="1" si="530"/>
        <v>15007.632232446664</v>
      </c>
      <c r="RX9" s="29">
        <f t="shared" ca="1" si="531"/>
        <v>14310.797216868479</v>
      </c>
      <c r="RY9" s="29">
        <f t="shared" ca="1" si="532"/>
        <v>14469.39472133826</v>
      </c>
      <c r="RZ9" s="29">
        <f t="shared" ca="1" si="533"/>
        <v>15030.233758715311</v>
      </c>
      <c r="SA9" s="29">
        <f t="shared" ca="1" si="534"/>
        <v>14257.202657256743</v>
      </c>
      <c r="SB9" s="29">
        <f t="shared" ca="1" si="535"/>
        <v>14213.029666705692</v>
      </c>
      <c r="SC9" s="29">
        <f t="shared" ca="1" si="536"/>
        <v>14509.826032628918</v>
      </c>
      <c r="SD9" s="29">
        <f t="shared" ca="1" si="537"/>
        <v>14417.461558205527</v>
      </c>
      <c r="SE9" s="29">
        <f t="shared" ca="1" si="538"/>
        <v>14072.623236327054</v>
      </c>
      <c r="SF9" s="29">
        <f t="shared" ca="1" si="539"/>
        <v>14037.460176302833</v>
      </c>
      <c r="SG9" s="29">
        <f t="shared" ca="1" si="540"/>
        <v>15442.586754363825</v>
      </c>
      <c r="SH9" s="29">
        <f t="shared" ca="1" si="541"/>
        <v>15267.64807264774</v>
      </c>
      <c r="SI9" s="29">
        <f t="shared" ca="1" si="542"/>
        <v>14170.024992661331</v>
      </c>
      <c r="SJ9" s="29">
        <f t="shared" ca="1" si="543"/>
        <v>14146.083630040321</v>
      </c>
      <c r="SK9" s="29">
        <f t="shared" ca="1" si="544"/>
        <v>15083.522396935372</v>
      </c>
      <c r="SL9" s="29">
        <f t="shared" ca="1" si="545"/>
        <v>14288.963289540297</v>
      </c>
      <c r="SM9" s="29">
        <f t="shared" ca="1" si="546"/>
        <v>14552.566737752728</v>
      </c>
      <c r="SN9" s="29">
        <f t="shared" ca="1" si="547"/>
        <v>14111.358070143391</v>
      </c>
      <c r="SO9" s="29">
        <f t="shared" ca="1" si="548"/>
        <v>14032.280171927656</v>
      </c>
      <c r="SP9" s="29">
        <f t="shared" ca="1" si="549"/>
        <v>14893.041490788628</v>
      </c>
      <c r="SQ9" s="29">
        <f t="shared" ca="1" si="550"/>
        <v>14637.683355642816</v>
      </c>
      <c r="SR9" s="29">
        <f t="shared" ca="1" si="551"/>
        <v>13990.495550565427</v>
      </c>
      <c r="SS9" s="29">
        <f t="shared" ca="1" si="552"/>
        <v>14841.171415046305</v>
      </c>
      <c r="ST9" s="29">
        <f t="shared" ca="1" si="553"/>
        <v>14016.887421066122</v>
      </c>
      <c r="SU9" s="29">
        <f t="shared" ca="1" si="554"/>
        <v>15142.624596374499</v>
      </c>
      <c r="SV9" s="29">
        <f t="shared" ca="1" si="555"/>
        <v>14300.067843727391</v>
      </c>
      <c r="SW9" s="29">
        <f t="shared" ca="1" si="556"/>
        <v>14180.021009188085</v>
      </c>
      <c r="SX9" s="29">
        <f t="shared" ca="1" si="557"/>
        <v>13548.203673410411</v>
      </c>
      <c r="SY9" s="29">
        <f t="shared" ca="1" si="558"/>
        <v>14131.050467853329</v>
      </c>
      <c r="SZ9" s="29">
        <f t="shared" ca="1" si="559"/>
        <v>14393.984032542137</v>
      </c>
      <c r="TA9" s="29">
        <f t="shared" ca="1" si="560"/>
        <v>14191.8151654428</v>
      </c>
      <c r="TB9" s="29">
        <f t="shared" ca="1" si="561"/>
        <v>14133.19192479039</v>
      </c>
      <c r="TC9" s="29">
        <f t="shared" ca="1" si="562"/>
        <v>14712.579999092217</v>
      </c>
      <c r="TD9" s="29">
        <f t="shared" ca="1" si="563"/>
        <v>13736.176691672821</v>
      </c>
      <c r="TE9" s="29">
        <f t="shared" ca="1" si="564"/>
        <v>14215.220767932296</v>
      </c>
      <c r="TF9" s="29">
        <f t="shared" ca="1" si="565"/>
        <v>14198.251322184447</v>
      </c>
      <c r="TG9" s="29">
        <f t="shared" ca="1" si="566"/>
        <v>14285.075275842562</v>
      </c>
      <c r="TH9" s="29">
        <f t="shared" ca="1" si="567"/>
        <v>14252.621867267901</v>
      </c>
      <c r="TI9" s="29">
        <f t="shared" ca="1" si="568"/>
        <v>13778.538765518755</v>
      </c>
      <c r="TJ9" s="29">
        <f t="shared" ca="1" si="569"/>
        <v>14483.521981663205</v>
      </c>
      <c r="TK9" s="29">
        <f t="shared" ca="1" si="570"/>
        <v>14253.816561013375</v>
      </c>
      <c r="TL9" s="29">
        <f t="shared" ca="1" si="571"/>
        <v>14776.762695618774</v>
      </c>
      <c r="TM9" s="29">
        <f t="shared" ca="1" si="572"/>
        <v>14045.480257308462</v>
      </c>
      <c r="TN9" s="29">
        <f t="shared" ca="1" si="573"/>
        <v>13988.475799526677</v>
      </c>
      <c r="TO9" s="29">
        <f t="shared" ca="1" si="574"/>
        <v>14392.955465768922</v>
      </c>
      <c r="TP9" s="29">
        <f t="shared" ca="1" si="575"/>
        <v>14907.362875278204</v>
      </c>
      <c r="TQ9" s="29">
        <f t="shared" ca="1" si="576"/>
        <v>14628.686120552182</v>
      </c>
      <c r="TR9" s="29">
        <f t="shared" ca="1" si="577"/>
        <v>14307.897728162359</v>
      </c>
      <c r="TS9" s="29">
        <f t="shared" ca="1" si="578"/>
        <v>14517.645610731208</v>
      </c>
      <c r="TT9" s="29">
        <f t="shared" ca="1" si="579"/>
        <v>14476.240778651369</v>
      </c>
      <c r="TU9" s="29">
        <f t="shared" ca="1" si="580"/>
        <v>14545.285503364252</v>
      </c>
      <c r="TV9" s="29">
        <f t="shared" ca="1" si="581"/>
        <v>14349.635466321384</v>
      </c>
      <c r="TW9" s="29">
        <f t="shared" ca="1" si="582"/>
        <v>14874.792712073158</v>
      </c>
      <c r="TX9" s="29">
        <f t="shared" ca="1" si="583"/>
        <v>14237.939349689987</v>
      </c>
      <c r="TY9" s="29">
        <f t="shared" ca="1" si="584"/>
        <v>14395.331523493889</v>
      </c>
      <c r="TZ9" s="29">
        <f t="shared" ca="1" si="585"/>
        <v>14644.800996826485</v>
      </c>
      <c r="UA9" s="29">
        <f t="shared" ca="1" si="586"/>
        <v>13961.301393310587</v>
      </c>
      <c r="UB9" s="29">
        <f t="shared" ca="1" si="587"/>
        <v>14621.202665656308</v>
      </c>
      <c r="UC9" s="29">
        <f t="shared" ca="1" si="588"/>
        <v>13775.856245763263</v>
      </c>
      <c r="UD9" s="29">
        <f t="shared" ca="1" si="589"/>
        <v>14490.476783735361</v>
      </c>
      <c r="UE9" s="29">
        <f t="shared" ca="1" si="590"/>
        <v>14063.783062978144</v>
      </c>
      <c r="UF9" s="29">
        <f t="shared" ca="1" si="591"/>
        <v>14297.100978198812</v>
      </c>
      <c r="UG9" s="29">
        <f t="shared" ca="1" si="592"/>
        <v>14348.325487048014</v>
      </c>
      <c r="UH9" s="29">
        <f t="shared" ca="1" si="593"/>
        <v>13965.260292769812</v>
      </c>
      <c r="UI9" s="29">
        <f t="shared" ca="1" si="594"/>
        <v>14732.957734070458</v>
      </c>
      <c r="UJ9" s="29">
        <f t="shared" ca="1" si="595"/>
        <v>14698.206247219967</v>
      </c>
      <c r="UK9" s="29">
        <f t="shared" ca="1" si="596"/>
        <v>14810.972556940804</v>
      </c>
      <c r="UL9" s="29">
        <f t="shared" ca="1" si="597"/>
        <v>15640.458797496063</v>
      </c>
      <c r="UM9" s="29">
        <f t="shared" ca="1" si="598"/>
        <v>13819.328102707896</v>
      </c>
      <c r="UN9" s="29">
        <f t="shared" ca="1" si="599"/>
        <v>13929.220552662153</v>
      </c>
      <c r="UO9" s="29">
        <f t="shared" ca="1" si="600"/>
        <v>14819.826529030854</v>
      </c>
      <c r="UP9" s="29">
        <f t="shared" ca="1" si="601"/>
        <v>14068.282897021798</v>
      </c>
      <c r="UQ9" s="29">
        <f t="shared" ca="1" si="602"/>
        <v>14588.03271087489</v>
      </c>
      <c r="UR9" s="29">
        <f t="shared" ca="1" si="603"/>
        <v>14519.895081800032</v>
      </c>
      <c r="US9" s="29">
        <f t="shared" ca="1" si="604"/>
        <v>14897.459092136358</v>
      </c>
      <c r="UT9" s="29">
        <f t="shared" ca="1" si="605"/>
        <v>14189.914783992568</v>
      </c>
      <c r="UU9" s="29">
        <f t="shared" ca="1" si="606"/>
        <v>14072.065542993672</v>
      </c>
      <c r="UV9" s="29">
        <f t="shared" ca="1" si="607"/>
        <v>14837.287865730023</v>
      </c>
      <c r="UW9" s="29">
        <f t="shared" ca="1" si="608"/>
        <v>14322.30728779695</v>
      </c>
      <c r="UX9" s="29">
        <f t="shared" ca="1" si="609"/>
        <v>14148.9052726266</v>
      </c>
      <c r="UY9" s="29">
        <f t="shared" ca="1" si="610"/>
        <v>14521.012151871071</v>
      </c>
      <c r="UZ9" s="29">
        <f t="shared" ca="1" si="611"/>
        <v>14126.213958770781</v>
      </c>
      <c r="VA9" s="29">
        <f t="shared" ca="1" si="612"/>
        <v>14580.835727956133</v>
      </c>
      <c r="VB9" s="29">
        <f t="shared" ca="1" si="613"/>
        <v>14359.317947788491</v>
      </c>
      <c r="VC9" s="29">
        <f t="shared" ca="1" si="614"/>
        <v>14109.509212509907</v>
      </c>
      <c r="VD9" s="29">
        <f t="shared" ca="1" si="615"/>
        <v>14243.940195289881</v>
      </c>
      <c r="VE9" s="29">
        <f t="shared" ca="1" si="616"/>
        <v>14889.217789292623</v>
      </c>
      <c r="VF9" s="29">
        <f t="shared" ca="1" si="617"/>
        <v>14351.571257424692</v>
      </c>
      <c r="VG9" s="29">
        <f t="shared" ca="1" si="618"/>
        <v>14587.783381220301</v>
      </c>
      <c r="VH9" s="29">
        <f t="shared" ca="1" si="619"/>
        <v>13828.547788654429</v>
      </c>
      <c r="VI9" s="29">
        <f t="shared" ca="1" si="620"/>
        <v>13926.374023846638</v>
      </c>
      <c r="VJ9" s="29">
        <f t="shared" ca="1" si="621"/>
        <v>13799.249298401341</v>
      </c>
      <c r="VK9" s="29">
        <f t="shared" ca="1" si="622"/>
        <v>13954.628655968261</v>
      </c>
      <c r="VL9" s="29">
        <f t="shared" ca="1" si="623"/>
        <v>13930.339730228006</v>
      </c>
      <c r="VM9" s="29">
        <f t="shared" ca="1" si="624"/>
        <v>13863.841054912422</v>
      </c>
      <c r="VN9" s="29">
        <f t="shared" ca="1" si="625"/>
        <v>14106.33816569985</v>
      </c>
      <c r="VO9" s="29">
        <f t="shared" ca="1" si="626"/>
        <v>14904.649113347476</v>
      </c>
      <c r="VP9" s="29">
        <f t="shared" ca="1" si="627"/>
        <v>13973.377936021567</v>
      </c>
      <c r="VQ9" s="29">
        <f t="shared" ca="1" si="628"/>
        <v>14534.036218042153</v>
      </c>
      <c r="VR9" s="29">
        <f t="shared" ca="1" si="629"/>
        <v>13924.361779616587</v>
      </c>
      <c r="VS9" s="29">
        <f t="shared" ca="1" si="630"/>
        <v>13842.327681019502</v>
      </c>
      <c r="VT9" s="29">
        <f t="shared" ca="1" si="631"/>
        <v>14695.118347815434</v>
      </c>
      <c r="VU9" s="29">
        <f t="shared" ca="1" si="632"/>
        <v>15542.291256016259</v>
      </c>
      <c r="VV9" s="29">
        <f t="shared" ca="1" si="633"/>
        <v>14635.852301458255</v>
      </c>
      <c r="VW9" s="29">
        <f t="shared" ca="1" si="634"/>
        <v>14216.011123598455</v>
      </c>
      <c r="VX9" s="29">
        <f t="shared" ca="1" si="635"/>
        <v>14680.224585776457</v>
      </c>
      <c r="VY9" s="29">
        <f t="shared" ca="1" si="636"/>
        <v>14658.626829543558</v>
      </c>
      <c r="VZ9" s="29">
        <f t="shared" ca="1" si="637"/>
        <v>14271.356070251592</v>
      </c>
      <c r="WA9" s="29">
        <f t="shared" ca="1" si="638"/>
        <v>14454.459997423035</v>
      </c>
      <c r="WB9" s="29">
        <f t="shared" ca="1" si="639"/>
        <v>14310.088926605766</v>
      </c>
      <c r="WC9" s="29">
        <f t="shared" ca="1" si="640"/>
        <v>14609.429569938608</v>
      </c>
      <c r="WD9" s="29">
        <f t="shared" ca="1" si="641"/>
        <v>14739.97362801246</v>
      </c>
      <c r="WE9" s="29">
        <f t="shared" ca="1" si="642"/>
        <v>14583.904822981116</v>
      </c>
      <c r="WF9" s="29">
        <f t="shared" ca="1" si="643"/>
        <v>14772.987667679343</v>
      </c>
      <c r="WG9" s="29">
        <f t="shared" ca="1" si="644"/>
        <v>14322.030769615745</v>
      </c>
      <c r="WH9" s="29">
        <f t="shared" ca="1" si="645"/>
        <v>13824.090040582752</v>
      </c>
      <c r="WI9" s="29">
        <f t="shared" ca="1" si="646"/>
        <v>14746.798490338395</v>
      </c>
      <c r="WJ9" s="29">
        <f t="shared" ca="1" si="647"/>
        <v>14687.973402216254</v>
      </c>
      <c r="WK9" s="29">
        <f t="shared" ca="1" si="648"/>
        <v>14087.358051597819</v>
      </c>
      <c r="WL9" s="29">
        <f t="shared" ca="1" si="649"/>
        <v>13763.753538632667</v>
      </c>
      <c r="WM9" s="29">
        <f t="shared" ca="1" si="650"/>
        <v>14416.494914890171</v>
      </c>
      <c r="WN9" s="29">
        <f t="shared" ca="1" si="651"/>
        <v>14254.916448271293</v>
      </c>
      <c r="WO9" s="29">
        <f t="shared" ca="1" si="652"/>
        <v>14766.895437090465</v>
      </c>
      <c r="WP9" s="29">
        <f t="shared" ca="1" si="653"/>
        <v>14209.675752402671</v>
      </c>
      <c r="WQ9" s="29">
        <f t="shared" ca="1" si="654"/>
        <v>14205.510630489942</v>
      </c>
      <c r="WR9" s="29">
        <f t="shared" ca="1" si="655"/>
        <v>14400.695027352906</v>
      </c>
      <c r="WS9" s="29">
        <f t="shared" ca="1" si="656"/>
        <v>14297.929142457006</v>
      </c>
      <c r="WT9" s="29">
        <f t="shared" ca="1" si="657"/>
        <v>14560.171817596614</v>
      </c>
      <c r="WU9" s="29">
        <f t="shared" ca="1" si="658"/>
        <v>14497.455207368883</v>
      </c>
      <c r="WV9" s="29">
        <f t="shared" ca="1" si="659"/>
        <v>14429.574120742072</v>
      </c>
      <c r="WW9" s="29">
        <f t="shared" ca="1" si="660"/>
        <v>13377.656979291136</v>
      </c>
      <c r="WX9" s="29">
        <f t="shared" ca="1" si="661"/>
        <v>14890.31210566457</v>
      </c>
      <c r="WY9" s="29">
        <f t="shared" ca="1" si="662"/>
        <v>14693.437645111759</v>
      </c>
      <c r="WZ9" s="29">
        <f t="shared" ca="1" si="663"/>
        <v>14172.667838133471</v>
      </c>
      <c r="XA9" s="29">
        <f t="shared" ca="1" si="664"/>
        <v>14582.015010253752</v>
      </c>
      <c r="XB9" s="29">
        <f t="shared" ca="1" si="665"/>
        <v>14435.723304075811</v>
      </c>
      <c r="XC9" s="29">
        <f t="shared" ca="1" si="666"/>
        <v>14054.607360037688</v>
      </c>
      <c r="XD9" s="29">
        <f t="shared" ca="1" si="667"/>
        <v>13916.606932556271</v>
      </c>
      <c r="XE9" s="29">
        <f t="shared" ca="1" si="668"/>
        <v>14247.032881903113</v>
      </c>
      <c r="XF9" s="29">
        <f t="shared" ca="1" si="669"/>
        <v>14231.457140677945</v>
      </c>
      <c r="XG9" s="29">
        <f t="shared" ca="1" si="670"/>
        <v>14243.938808740195</v>
      </c>
      <c r="XH9" s="29">
        <f t="shared" ca="1" si="671"/>
        <v>14138.960007984188</v>
      </c>
      <c r="XI9" s="29">
        <f t="shared" ca="1" si="672"/>
        <v>14859.9231378643</v>
      </c>
      <c r="XJ9" s="29">
        <f t="shared" ca="1" si="673"/>
        <v>14884.190746061486</v>
      </c>
      <c r="XK9" s="29">
        <f t="shared" ca="1" si="674"/>
        <v>13743.559389736203</v>
      </c>
      <c r="XL9" s="29">
        <f t="shared" ca="1" si="675"/>
        <v>14199.265360214406</v>
      </c>
      <c r="XM9" s="29">
        <f t="shared" ca="1" si="676"/>
        <v>13707.979856856098</v>
      </c>
      <c r="XN9" s="29">
        <f t="shared" ca="1" si="677"/>
        <v>14257.995636331214</v>
      </c>
      <c r="XO9" s="29">
        <f t="shared" ca="1" si="678"/>
        <v>14325.646522310812</v>
      </c>
      <c r="XP9" s="29">
        <f t="shared" ca="1" si="679"/>
        <v>15053.817979007183</v>
      </c>
      <c r="XQ9" s="29">
        <f t="shared" ca="1" si="680"/>
        <v>14440.369975512898</v>
      </c>
      <c r="XR9" s="29">
        <f t="shared" ca="1" si="681"/>
        <v>14140.081456576476</v>
      </c>
      <c r="XS9" s="29">
        <f t="shared" ca="1" si="682"/>
        <v>13950.299488045246</v>
      </c>
      <c r="XT9" s="29">
        <f t="shared" ca="1" si="683"/>
        <v>14978.459446758166</v>
      </c>
      <c r="XU9" s="29">
        <f t="shared" ca="1" si="684"/>
        <v>15077.633182984668</v>
      </c>
      <c r="XV9" s="29">
        <f t="shared" ca="1" si="685"/>
        <v>14554.022936944468</v>
      </c>
      <c r="XW9" s="29">
        <f t="shared" ca="1" si="686"/>
        <v>14512.58119150218</v>
      </c>
      <c r="XX9" s="29">
        <f t="shared" ca="1" si="687"/>
        <v>14225.256493458355</v>
      </c>
      <c r="XY9" s="29">
        <f t="shared" ca="1" si="688"/>
        <v>14646.78370289793</v>
      </c>
      <c r="XZ9" s="29">
        <f t="shared" ca="1" si="689"/>
        <v>15152.232817354037</v>
      </c>
      <c r="YA9" s="29">
        <f t="shared" ca="1" si="690"/>
        <v>15066.524594794271</v>
      </c>
      <c r="YB9" s="29">
        <f t="shared" ca="1" si="691"/>
        <v>14431.460750004098</v>
      </c>
      <c r="YC9" s="29">
        <f t="shared" ca="1" si="692"/>
        <v>14418.426664037843</v>
      </c>
      <c r="YD9" s="29">
        <f t="shared" ca="1" si="693"/>
        <v>13811.845615645618</v>
      </c>
      <c r="YE9" s="29">
        <f t="shared" ca="1" si="694"/>
        <v>14453.253287043242</v>
      </c>
      <c r="YF9" s="29">
        <f t="shared" ca="1" si="695"/>
        <v>14048.349624848313</v>
      </c>
      <c r="YG9" s="29">
        <f t="shared" ca="1" si="696"/>
        <v>14446.538742002429</v>
      </c>
      <c r="YH9" s="29">
        <f t="shared" ca="1" si="697"/>
        <v>14090.000493299674</v>
      </c>
      <c r="YI9" s="29">
        <f t="shared" ca="1" si="698"/>
        <v>13932.142137508728</v>
      </c>
      <c r="YJ9" s="29">
        <f t="shared" ca="1" si="699"/>
        <v>14081.685768698009</v>
      </c>
      <c r="YK9" s="29">
        <f t="shared" ca="1" si="700"/>
        <v>14126.055404688963</v>
      </c>
      <c r="YL9" s="29">
        <f t="shared" ca="1" si="701"/>
        <v>13620.945836816616</v>
      </c>
      <c r="YM9" s="29">
        <f t="shared" ca="1" si="702"/>
        <v>13987.227947227497</v>
      </c>
      <c r="YN9" s="29">
        <f t="shared" ca="1" si="703"/>
        <v>14668.364264328664</v>
      </c>
      <c r="YO9" s="29">
        <f t="shared" ca="1" si="704"/>
        <v>13909.981519887975</v>
      </c>
      <c r="YP9" s="29">
        <f t="shared" ca="1" si="705"/>
        <v>14960.680753686604</v>
      </c>
      <c r="YQ9" s="29">
        <f t="shared" ca="1" si="706"/>
        <v>14270.040080247034</v>
      </c>
      <c r="YR9" s="29">
        <f t="shared" ca="1" si="707"/>
        <v>13981.050251914357</v>
      </c>
      <c r="YS9" s="29">
        <f t="shared" ca="1" si="708"/>
        <v>14871.120109429619</v>
      </c>
      <c r="YT9" s="29">
        <f t="shared" ca="1" si="709"/>
        <v>14215.356391023035</v>
      </c>
      <c r="YU9" s="29">
        <f t="shared" ca="1" si="710"/>
        <v>14702.418616457875</v>
      </c>
      <c r="YV9" s="29">
        <f t="shared" ca="1" si="711"/>
        <v>14550.031069833669</v>
      </c>
      <c r="YW9" s="29">
        <f t="shared" ca="1" si="712"/>
        <v>14445.33132424209</v>
      </c>
      <c r="YX9" s="29">
        <f t="shared" ca="1" si="713"/>
        <v>14925.074055807841</v>
      </c>
      <c r="YY9" s="29">
        <f t="shared" ca="1" si="714"/>
        <v>14109.42203908519</v>
      </c>
      <c r="YZ9" s="29">
        <f t="shared" ca="1" si="715"/>
        <v>14603.63956595763</v>
      </c>
      <c r="ZA9" s="29">
        <f t="shared" ca="1" si="716"/>
        <v>14629.426798891036</v>
      </c>
      <c r="ZB9" s="29">
        <f t="shared" ca="1" si="717"/>
        <v>14205.102673897292</v>
      </c>
      <c r="ZC9" s="29">
        <f t="shared" ca="1" si="718"/>
        <v>14538.151198769216</v>
      </c>
      <c r="ZD9" s="29">
        <f t="shared" ca="1" si="719"/>
        <v>14023.237865733574</v>
      </c>
      <c r="ZE9" s="29">
        <f t="shared" ca="1" si="720"/>
        <v>13815.733179316312</v>
      </c>
      <c r="ZF9" s="29">
        <f t="shared" ca="1" si="721"/>
        <v>14191.89522915085</v>
      </c>
      <c r="ZG9" s="29">
        <f t="shared" ca="1" si="722"/>
        <v>13330.41817258351</v>
      </c>
      <c r="ZH9" s="29">
        <f t="shared" ca="1" si="723"/>
        <v>14715.04717218674</v>
      </c>
      <c r="ZI9" s="29">
        <f t="shared" ca="1" si="724"/>
        <v>13729.861996019878</v>
      </c>
      <c r="ZJ9" s="29">
        <f t="shared" ca="1" si="725"/>
        <v>14388.042166034935</v>
      </c>
      <c r="ZK9" s="29">
        <f t="shared" ca="1" si="726"/>
        <v>13447.985971656166</v>
      </c>
      <c r="ZL9" s="29">
        <f t="shared" ca="1" si="727"/>
        <v>13587.972423573912</v>
      </c>
      <c r="ZM9" s="29">
        <f t="shared" ca="1" si="728"/>
        <v>13752.391582575439</v>
      </c>
      <c r="ZN9" s="29">
        <f t="shared" ca="1" si="729"/>
        <v>14039.030139995382</v>
      </c>
      <c r="ZO9" s="29">
        <f t="shared" ca="1" si="730"/>
        <v>14509.823848541064</v>
      </c>
      <c r="ZP9" s="29">
        <f t="shared" ca="1" si="731"/>
        <v>13943.67349268295</v>
      </c>
      <c r="ZQ9" s="29">
        <f t="shared" ca="1" si="732"/>
        <v>14095.274643426961</v>
      </c>
      <c r="ZR9" s="29">
        <f t="shared" ca="1" si="733"/>
        <v>14468.627886963315</v>
      </c>
      <c r="ZS9" s="29">
        <f t="shared" ca="1" si="734"/>
        <v>14355.050472505074</v>
      </c>
      <c r="ZT9" s="29">
        <f t="shared" ca="1" si="735"/>
        <v>14450.050362632668</v>
      </c>
      <c r="ZU9" s="29">
        <f t="shared" ca="1" si="736"/>
        <v>14053.675305697439</v>
      </c>
      <c r="ZV9" s="29">
        <f t="shared" ca="1" si="737"/>
        <v>13979.798348076878</v>
      </c>
      <c r="ZW9" s="29">
        <f t="shared" ca="1" si="738"/>
        <v>14638.694459014514</v>
      </c>
      <c r="ZX9" s="29">
        <f t="shared" ca="1" si="739"/>
        <v>14466.4537768356</v>
      </c>
      <c r="ZY9" s="29">
        <f t="shared" ca="1" si="740"/>
        <v>14522.306268495255</v>
      </c>
      <c r="ZZ9" s="29">
        <f t="shared" ca="1" si="741"/>
        <v>14024.658597717002</v>
      </c>
      <c r="AAA9" s="29">
        <f t="shared" ca="1" si="742"/>
        <v>15115.255774517896</v>
      </c>
      <c r="AAB9" s="29">
        <f t="shared" ca="1" si="743"/>
        <v>14542.580594335648</v>
      </c>
      <c r="AAC9" s="29">
        <f t="shared" ca="1" si="744"/>
        <v>14845.267632522477</v>
      </c>
      <c r="AAD9" s="29">
        <f t="shared" ca="1" si="745"/>
        <v>14628.659714617905</v>
      </c>
      <c r="AAE9" s="29">
        <f t="shared" ca="1" si="746"/>
        <v>13739.398664841057</v>
      </c>
      <c r="AAF9" s="29">
        <f t="shared" ca="1" si="747"/>
        <v>15200.761351202733</v>
      </c>
      <c r="AAG9" s="29">
        <f t="shared" ca="1" si="748"/>
        <v>14568.428777216212</v>
      </c>
      <c r="AAH9" s="29">
        <f t="shared" ca="1" si="749"/>
        <v>14551.418135183485</v>
      </c>
      <c r="AAI9" s="29">
        <f t="shared" ca="1" si="750"/>
        <v>14134.426202810278</v>
      </c>
      <c r="AAJ9" s="29">
        <f t="shared" ca="1" si="751"/>
        <v>14403.847046308929</v>
      </c>
      <c r="AAK9" s="29">
        <f t="shared" ca="1" si="752"/>
        <v>14818.746509534609</v>
      </c>
      <c r="AAL9" s="29">
        <f t="shared" ca="1" si="753"/>
        <v>14060.897885745775</v>
      </c>
      <c r="AAM9" s="29">
        <f t="shared" ca="1" si="754"/>
        <v>14595.021807277895</v>
      </c>
      <c r="AAN9" s="29">
        <f t="shared" ca="1" si="755"/>
        <v>15304.161306553216</v>
      </c>
      <c r="AAO9" s="29">
        <f t="shared" ca="1" si="756"/>
        <v>14485.102267912369</v>
      </c>
      <c r="AAP9" s="29">
        <f t="shared" ca="1" si="757"/>
        <v>15055.628295648614</v>
      </c>
      <c r="AAQ9" s="29">
        <f t="shared" ca="1" si="758"/>
        <v>14368.403643968511</v>
      </c>
      <c r="AAR9" s="29">
        <f t="shared" ca="1" si="759"/>
        <v>15233.475213790714</v>
      </c>
      <c r="AAS9" s="29">
        <f t="shared" ca="1" si="760"/>
        <v>14132.363854708332</v>
      </c>
      <c r="AAT9" s="29">
        <f t="shared" ca="1" si="761"/>
        <v>14747.64982229248</v>
      </c>
      <c r="AAU9" s="29">
        <f t="shared" ca="1" si="762"/>
        <v>14634.347751203848</v>
      </c>
      <c r="AAV9" s="29">
        <f t="shared" ca="1" si="763"/>
        <v>13622.687020981968</v>
      </c>
      <c r="AAW9" s="29">
        <f t="shared" ca="1" si="764"/>
        <v>14118.118338908345</v>
      </c>
      <c r="AAX9" s="29">
        <f t="shared" ca="1" si="765"/>
        <v>14587.872675367144</v>
      </c>
      <c r="AAY9" s="29">
        <f t="shared" ca="1" si="766"/>
        <v>14375.32747243089</v>
      </c>
      <c r="AAZ9" s="29">
        <f t="shared" ca="1" si="767"/>
        <v>14358.051376429716</v>
      </c>
      <c r="ABA9" s="29">
        <f t="shared" ca="1" si="768"/>
        <v>14647.603683552925</v>
      </c>
      <c r="ABB9" s="29">
        <f t="shared" ca="1" si="769"/>
        <v>14231.2536263901</v>
      </c>
      <c r="ABC9" s="29">
        <f t="shared" ca="1" si="770"/>
        <v>14477.891331999788</v>
      </c>
      <c r="ABD9" s="29">
        <f t="shared" ca="1" si="771"/>
        <v>13758.924343036377</v>
      </c>
      <c r="ABE9" s="29">
        <f t="shared" ca="1" si="772"/>
        <v>13352.428333726701</v>
      </c>
      <c r="ABF9" s="29">
        <f t="shared" ca="1" si="773"/>
        <v>14471.375122303394</v>
      </c>
      <c r="ABG9" s="29">
        <f t="shared" ca="1" si="774"/>
        <v>14397.021668034677</v>
      </c>
      <c r="ABH9" s="29">
        <f t="shared" ca="1" si="775"/>
        <v>15099.753856733274</v>
      </c>
      <c r="ABI9" s="29">
        <f t="shared" ca="1" si="776"/>
        <v>14363.688989538574</v>
      </c>
      <c r="ABJ9" s="29">
        <f t="shared" ca="1" si="777"/>
        <v>14232.186588786284</v>
      </c>
      <c r="ABK9" s="29">
        <f t="shared" ca="1" si="778"/>
        <v>15009.184415148795</v>
      </c>
      <c r="ABL9" s="29">
        <f t="shared" ca="1" si="779"/>
        <v>14737.371025101858</v>
      </c>
      <c r="ABM9" s="29">
        <f t="shared" ca="1" si="780"/>
        <v>15041.865016590365</v>
      </c>
      <c r="ABN9" s="29">
        <f t="shared" ca="1" si="781"/>
        <v>14236.444075283072</v>
      </c>
      <c r="ABO9" s="29">
        <f t="shared" ca="1" si="782"/>
        <v>14752.255173345275</v>
      </c>
      <c r="ABP9" s="29">
        <f t="shared" ca="1" si="783"/>
        <v>14432.014786411417</v>
      </c>
      <c r="ABQ9" s="29">
        <f t="shared" ca="1" si="784"/>
        <v>13858.710416150563</v>
      </c>
      <c r="ABR9" s="29">
        <f t="shared" ca="1" si="785"/>
        <v>13621.110596171928</v>
      </c>
      <c r="ABS9" s="29">
        <f t="shared" ca="1" si="786"/>
        <v>14296.103953840198</v>
      </c>
      <c r="ABT9" s="29">
        <f t="shared" ca="1" si="787"/>
        <v>14444.869854170876</v>
      </c>
      <c r="ABU9" s="29">
        <f t="shared" ca="1" si="788"/>
        <v>14307.437576586302</v>
      </c>
      <c r="ABV9" s="29">
        <f t="shared" ca="1" si="789"/>
        <v>15091.571166230759</v>
      </c>
      <c r="ABW9" s="29">
        <f t="shared" ca="1" si="790"/>
        <v>15350.365823319595</v>
      </c>
      <c r="ABX9" s="29">
        <f t="shared" ca="1" si="791"/>
        <v>14711.267867033395</v>
      </c>
      <c r="ABY9" s="29">
        <f t="shared" ca="1" si="792"/>
        <v>14405.913801538274</v>
      </c>
      <c r="ABZ9" s="29">
        <f t="shared" ca="1" si="793"/>
        <v>14766.125132901008</v>
      </c>
      <c r="ACA9" s="29">
        <f t="shared" ca="1" si="794"/>
        <v>14848.09035329594</v>
      </c>
      <c r="ACB9" s="29">
        <f t="shared" ca="1" si="795"/>
        <v>15503.862242487332</v>
      </c>
      <c r="ACC9" s="29">
        <f t="shared" ca="1" si="796"/>
        <v>14107.147032764567</v>
      </c>
      <c r="ACD9" s="29">
        <f t="shared" ca="1" si="797"/>
        <v>14290.936337194786</v>
      </c>
      <c r="ACE9" s="29">
        <f t="shared" ca="1" si="798"/>
        <v>14379.102602044197</v>
      </c>
      <c r="ACF9" s="29">
        <f t="shared" ca="1" si="799"/>
        <v>14282.915580142679</v>
      </c>
      <c r="ACG9" s="29">
        <f t="shared" ca="1" si="800"/>
        <v>13999.732821539883</v>
      </c>
      <c r="ACH9" s="29">
        <f t="shared" ca="1" si="801"/>
        <v>14586.502951141681</v>
      </c>
      <c r="ACI9" s="29">
        <f t="shared" ca="1" si="802"/>
        <v>14851.941945083521</v>
      </c>
      <c r="ACJ9" s="29">
        <f t="shared" ca="1" si="803"/>
        <v>14644.220341697655</v>
      </c>
      <c r="ACK9" s="29">
        <f t="shared" ca="1" si="804"/>
        <v>14143.15497895903</v>
      </c>
      <c r="ACL9" s="29">
        <f t="shared" ca="1" si="805"/>
        <v>13235.518808214349</v>
      </c>
      <c r="ACM9" s="29">
        <f t="shared" ca="1" si="806"/>
        <v>14428.782927149483</v>
      </c>
      <c r="ACN9" s="29">
        <f t="shared" ca="1" si="807"/>
        <v>14741.047369196182</v>
      </c>
      <c r="ACO9" s="29">
        <f t="shared" ca="1" si="808"/>
        <v>15488.913502368201</v>
      </c>
      <c r="ACP9" s="29">
        <f t="shared" ca="1" si="809"/>
        <v>14203.929537998756</v>
      </c>
      <c r="ACQ9" s="29">
        <f t="shared" ca="1" si="810"/>
        <v>14769.188671387878</v>
      </c>
      <c r="ACR9" s="29">
        <f t="shared" ca="1" si="811"/>
        <v>14472.10540379122</v>
      </c>
      <c r="ACS9" s="29">
        <f t="shared" ca="1" si="812"/>
        <v>13858.930228428353</v>
      </c>
      <c r="ACT9" s="29">
        <f t="shared" ca="1" si="813"/>
        <v>14319.148471690223</v>
      </c>
      <c r="ACU9" s="29">
        <f t="shared" ca="1" si="814"/>
        <v>13925.9751883767</v>
      </c>
      <c r="ACV9" s="29">
        <f t="shared" ca="1" si="815"/>
        <v>14625.912143378022</v>
      </c>
      <c r="ACW9" s="29">
        <f t="shared" ca="1" si="816"/>
        <v>14434.044157414128</v>
      </c>
      <c r="ACX9" s="29">
        <f t="shared" ca="1" si="817"/>
        <v>14595.733936717679</v>
      </c>
      <c r="ACY9" s="29">
        <f t="shared" ca="1" si="818"/>
        <v>14632.699648232438</v>
      </c>
      <c r="ACZ9" s="29">
        <f t="shared" ca="1" si="819"/>
        <v>14173.846065867107</v>
      </c>
      <c r="ADA9" s="29">
        <f t="shared" ca="1" si="820"/>
        <v>14132.025905021124</v>
      </c>
      <c r="ADB9" s="29">
        <f t="shared" ca="1" si="821"/>
        <v>13736.678182060317</v>
      </c>
      <c r="ADC9" s="29">
        <f t="shared" ca="1" si="822"/>
        <v>14429.859867900557</v>
      </c>
      <c r="ADD9" s="29">
        <f t="shared" ca="1" si="823"/>
        <v>14787.638432761265</v>
      </c>
      <c r="ADE9" s="29">
        <f t="shared" ca="1" si="824"/>
        <v>14832.806724509423</v>
      </c>
      <c r="ADF9" s="29">
        <f t="shared" ca="1" si="825"/>
        <v>13648.033309703571</v>
      </c>
      <c r="ADG9" s="29">
        <f t="shared" ca="1" si="826"/>
        <v>14479.444712181281</v>
      </c>
      <c r="ADH9" s="29">
        <f t="shared" ca="1" si="827"/>
        <v>14830.220132678614</v>
      </c>
      <c r="ADI9" s="29">
        <f t="shared" ca="1" si="828"/>
        <v>14108.500922240823</v>
      </c>
      <c r="ADJ9" s="29">
        <f t="shared" ca="1" si="829"/>
        <v>14918.768026047808</v>
      </c>
      <c r="ADK9" s="29">
        <f t="shared" ca="1" si="830"/>
        <v>14840.979664781167</v>
      </c>
      <c r="ADL9" s="29">
        <f t="shared" ca="1" si="831"/>
        <v>14349.421075890215</v>
      </c>
      <c r="ADM9" s="29">
        <f t="shared" ca="1" si="832"/>
        <v>14199.467704163584</v>
      </c>
      <c r="ADN9" s="29">
        <f t="shared" ca="1" si="833"/>
        <v>14241.426020101762</v>
      </c>
      <c r="ADO9" s="29">
        <f t="shared" ca="1" si="834"/>
        <v>14868.106123029784</v>
      </c>
      <c r="ADP9" s="29">
        <f t="shared" ca="1" si="835"/>
        <v>14695.514385608683</v>
      </c>
      <c r="ADQ9" s="29">
        <f t="shared" ca="1" si="836"/>
        <v>15220.292865839425</v>
      </c>
      <c r="ADR9" s="29">
        <f t="shared" ca="1" si="837"/>
        <v>14269.003478370329</v>
      </c>
      <c r="ADS9" s="29">
        <f t="shared" ca="1" si="838"/>
        <v>14370.148975640857</v>
      </c>
      <c r="ADT9" s="29">
        <f t="shared" ca="1" si="839"/>
        <v>14190.899433161032</v>
      </c>
      <c r="ADU9" s="29">
        <f t="shared" ca="1" si="840"/>
        <v>14279.090620156907</v>
      </c>
      <c r="ADV9" s="29">
        <f t="shared" ca="1" si="841"/>
        <v>14300.443494392865</v>
      </c>
      <c r="ADW9" s="29">
        <f t="shared" ca="1" si="842"/>
        <v>14956.398492742272</v>
      </c>
      <c r="ADX9" s="29">
        <f t="shared" ca="1" si="843"/>
        <v>14216.980044032094</v>
      </c>
      <c r="ADY9" s="29">
        <f t="shared" ca="1" si="844"/>
        <v>15401.95012777436</v>
      </c>
      <c r="ADZ9" s="29">
        <f t="shared" ca="1" si="845"/>
        <v>14338.337761298617</v>
      </c>
      <c r="AEA9" s="29">
        <f t="shared" ca="1" si="846"/>
        <v>14714.497641641681</v>
      </c>
      <c r="AEB9" s="29">
        <f t="shared" ca="1" si="847"/>
        <v>13638.656161877896</v>
      </c>
      <c r="AEC9" s="29">
        <f t="shared" ca="1" si="848"/>
        <v>14768.292402164725</v>
      </c>
      <c r="AED9" s="29">
        <f t="shared" ca="1" si="849"/>
        <v>14535.476760599386</v>
      </c>
      <c r="AEE9" s="29">
        <f t="shared" ca="1" si="850"/>
        <v>14439.816531040226</v>
      </c>
      <c r="AEF9" s="29">
        <f t="shared" ca="1" si="851"/>
        <v>14212.819307217478</v>
      </c>
      <c r="AEG9" s="29">
        <f t="shared" ca="1" si="852"/>
        <v>14937.042940292606</v>
      </c>
      <c r="AEH9" s="29">
        <f t="shared" ca="1" si="853"/>
        <v>13937.093511062156</v>
      </c>
      <c r="AEI9" s="29">
        <f t="shared" ca="1" si="854"/>
        <v>14499.498800496516</v>
      </c>
      <c r="AEJ9" s="29">
        <f t="shared" ca="1" si="855"/>
        <v>14463.902709895687</v>
      </c>
      <c r="AEK9" s="29">
        <f t="shared" ca="1" si="856"/>
        <v>14608.030641318919</v>
      </c>
      <c r="AEL9" s="29">
        <f t="shared" ca="1" si="857"/>
        <v>14125.775293245621</v>
      </c>
      <c r="AEM9" s="29">
        <f t="shared" ca="1" si="858"/>
        <v>14527.208617555047</v>
      </c>
      <c r="AEN9" s="29">
        <f t="shared" ca="1" si="859"/>
        <v>14579.427820094928</v>
      </c>
      <c r="AEO9" s="29">
        <f t="shared" ca="1" si="860"/>
        <v>14144.983528928004</v>
      </c>
      <c r="AEP9" s="29">
        <f t="shared" ca="1" si="861"/>
        <v>14297.154072905252</v>
      </c>
      <c r="AEQ9" s="29">
        <f t="shared" ca="1" si="862"/>
        <v>14941.972164585985</v>
      </c>
      <c r="AER9" s="29">
        <f t="shared" ca="1" si="863"/>
        <v>14383.000075035752</v>
      </c>
      <c r="AES9" s="29">
        <f t="shared" ca="1" si="864"/>
        <v>14425.172872570065</v>
      </c>
      <c r="AET9" s="29">
        <f t="shared" ca="1" si="865"/>
        <v>14542.632799739071</v>
      </c>
      <c r="AEU9" s="29">
        <f t="shared" ca="1" si="866"/>
        <v>13636.584274927054</v>
      </c>
      <c r="AEV9" s="29">
        <f t="shared" ca="1" si="867"/>
        <v>14621.531136301435</v>
      </c>
      <c r="AEW9" s="29">
        <f t="shared" ca="1" si="868"/>
        <v>14075.340351913077</v>
      </c>
      <c r="AEX9" s="29">
        <f t="shared" ca="1" si="869"/>
        <v>14146.427609931639</v>
      </c>
      <c r="AEY9" s="29">
        <f t="shared" ca="1" si="870"/>
        <v>14534.154422257121</v>
      </c>
      <c r="AEZ9" s="29">
        <f t="shared" ca="1" si="871"/>
        <v>14032.796688458377</v>
      </c>
      <c r="AFA9" s="29">
        <f t="shared" ca="1" si="872"/>
        <v>14842.428653412695</v>
      </c>
      <c r="AFB9" s="29">
        <f t="shared" ca="1" si="873"/>
        <v>13737.334783206601</v>
      </c>
      <c r="AFC9" s="29">
        <f t="shared" ca="1" si="874"/>
        <v>14476.63001154339</v>
      </c>
      <c r="AFD9" s="29">
        <f t="shared" ca="1" si="875"/>
        <v>14612.413329957428</v>
      </c>
      <c r="AFE9" s="29">
        <f t="shared" ca="1" si="876"/>
        <v>15172.824141085262</v>
      </c>
      <c r="AFF9" s="29">
        <f t="shared" ca="1" si="877"/>
        <v>14401.46289859118</v>
      </c>
      <c r="AFG9" s="29">
        <f t="shared" ca="1" si="878"/>
        <v>14509.906624409103</v>
      </c>
      <c r="AFH9" s="29">
        <f t="shared" ca="1" si="879"/>
        <v>14730.858691514786</v>
      </c>
      <c r="AFI9" s="29">
        <f t="shared" ca="1" si="880"/>
        <v>14793.688043833865</v>
      </c>
      <c r="AFJ9" s="29">
        <f t="shared" ca="1" si="881"/>
        <v>14678.259900893354</v>
      </c>
      <c r="AFK9" s="29">
        <f t="shared" ca="1" si="882"/>
        <v>14433.079702993697</v>
      </c>
      <c r="AFL9" s="29">
        <f t="shared" ca="1" si="883"/>
        <v>14333.169551666406</v>
      </c>
      <c r="AFM9" s="29">
        <f t="shared" ca="1" si="884"/>
        <v>13913.74976090476</v>
      </c>
      <c r="AFN9" s="29">
        <f t="shared" ca="1" si="885"/>
        <v>14474.34101942674</v>
      </c>
      <c r="AFO9" s="29">
        <f t="shared" ca="1" si="886"/>
        <v>15059.040491766136</v>
      </c>
      <c r="AFP9" s="29">
        <f t="shared" ca="1" si="887"/>
        <v>14794.011533178096</v>
      </c>
      <c r="AFQ9" s="29">
        <f t="shared" ca="1" si="888"/>
        <v>14347.405151584282</v>
      </c>
      <c r="AFR9" s="29">
        <f t="shared" ca="1" si="889"/>
        <v>15056.616524477566</v>
      </c>
      <c r="AFS9" s="29">
        <f t="shared" ca="1" si="890"/>
        <v>14599.952778927031</v>
      </c>
      <c r="AFT9" s="29">
        <f t="shared" ca="1" si="891"/>
        <v>14218.105556182498</v>
      </c>
      <c r="AFU9" s="29">
        <f t="shared" ca="1" si="892"/>
        <v>14139.919908970898</v>
      </c>
      <c r="AFV9" s="29">
        <f t="shared" ca="1" si="893"/>
        <v>14089.332941103065</v>
      </c>
      <c r="AFW9" s="29">
        <f t="shared" ca="1" si="894"/>
        <v>14465.840420243449</v>
      </c>
      <c r="AFX9" s="29">
        <f t="shared" ca="1" si="895"/>
        <v>14819.147961427436</v>
      </c>
      <c r="AFY9" s="29">
        <f t="shared" ca="1" si="896"/>
        <v>14658.240805217058</v>
      </c>
      <c r="AFZ9" s="29">
        <f t="shared" ca="1" si="897"/>
        <v>14608.057969480747</v>
      </c>
      <c r="AGA9" s="29">
        <f t="shared" ca="1" si="898"/>
        <v>14844.607589998872</v>
      </c>
      <c r="AGB9" s="29">
        <f t="shared" ca="1" si="899"/>
        <v>14345.447273802401</v>
      </c>
      <c r="AGC9" s="29">
        <f t="shared" ca="1" si="900"/>
        <v>14224.720045239816</v>
      </c>
      <c r="AGD9" s="29">
        <f t="shared" ca="1" si="901"/>
        <v>14348.011214860828</v>
      </c>
      <c r="AGE9" s="29">
        <f t="shared" ca="1" si="902"/>
        <v>14344.749501651009</v>
      </c>
      <c r="AGF9" s="29">
        <f t="shared" ca="1" si="903"/>
        <v>14289.329987412517</v>
      </c>
      <c r="AGG9" s="29">
        <f t="shared" ca="1" si="904"/>
        <v>13879.138666784485</v>
      </c>
      <c r="AGH9" s="29">
        <f t="shared" ca="1" si="905"/>
        <v>14736.20673152776</v>
      </c>
      <c r="AGI9" s="29">
        <f t="shared" ca="1" si="906"/>
        <v>14603.80591493575</v>
      </c>
      <c r="AGJ9" s="29">
        <f t="shared" ca="1" si="907"/>
        <v>15159.275846230265</v>
      </c>
      <c r="AGK9" s="29">
        <f t="shared" ca="1" si="908"/>
        <v>14729.583546388156</v>
      </c>
      <c r="AGL9" s="29">
        <f t="shared" ca="1" si="909"/>
        <v>14344.557317782534</v>
      </c>
      <c r="AGM9" s="29">
        <f t="shared" ca="1" si="910"/>
        <v>14348.838011864682</v>
      </c>
      <c r="AGN9" s="29">
        <f t="shared" ca="1" si="911"/>
        <v>14248.353456846884</v>
      </c>
      <c r="AGO9" s="29">
        <f t="shared" ca="1" si="912"/>
        <v>14656.403993235737</v>
      </c>
      <c r="AGP9" s="29">
        <f t="shared" ca="1" si="913"/>
        <v>14103.27201552551</v>
      </c>
      <c r="AGQ9" s="29">
        <f t="shared" ca="1" si="914"/>
        <v>14644.501926968545</v>
      </c>
      <c r="AGR9" s="29">
        <f t="shared" ca="1" si="915"/>
        <v>14085.590481512323</v>
      </c>
      <c r="AGS9" s="29">
        <f t="shared" ca="1" si="916"/>
        <v>14763.781814995345</v>
      </c>
      <c r="AGT9" s="29">
        <f t="shared" ca="1" si="917"/>
        <v>13728.703176631401</v>
      </c>
      <c r="AGU9" s="29">
        <f t="shared" ca="1" si="918"/>
        <v>14642.395238315292</v>
      </c>
      <c r="AGV9" s="29">
        <f t="shared" ca="1" si="919"/>
        <v>14633.065376935168</v>
      </c>
      <c r="AGW9" s="29">
        <f t="shared" ca="1" si="920"/>
        <v>14914.380659943878</v>
      </c>
      <c r="AGX9" s="29">
        <f t="shared" ca="1" si="921"/>
        <v>14755.008113788379</v>
      </c>
      <c r="AGY9" s="29">
        <f t="shared" ca="1" si="922"/>
        <v>14324.856335353361</v>
      </c>
      <c r="AGZ9" s="29">
        <f t="shared" ca="1" si="923"/>
        <v>14593.033296036423</v>
      </c>
      <c r="AHA9" s="29">
        <f t="shared" ca="1" si="924"/>
        <v>13819.555935035978</v>
      </c>
      <c r="AHB9" s="29">
        <f t="shared" ca="1" si="925"/>
        <v>14052.653762730399</v>
      </c>
      <c r="AHC9" s="29">
        <f t="shared" ca="1" si="926"/>
        <v>14773.608347440266</v>
      </c>
      <c r="AHD9" s="29">
        <f t="shared" ca="1" si="927"/>
        <v>14131.273281897711</v>
      </c>
      <c r="AHE9" s="29">
        <f t="shared" ca="1" si="928"/>
        <v>14788.972604085209</v>
      </c>
      <c r="AHF9" s="29">
        <f t="shared" ca="1" si="929"/>
        <v>14321.812477541836</v>
      </c>
      <c r="AHG9" s="29">
        <f t="shared" ca="1" si="930"/>
        <v>14902.587974114498</v>
      </c>
      <c r="AHH9" s="29">
        <f t="shared" ca="1" si="931"/>
        <v>14919.189907483209</v>
      </c>
      <c r="AHI9" s="29">
        <f t="shared" ca="1" si="932"/>
        <v>14643.458082673958</v>
      </c>
      <c r="AHJ9" s="29">
        <f t="shared" ca="1" si="933"/>
        <v>14135.57360941297</v>
      </c>
      <c r="AHK9" s="29">
        <f t="shared" ca="1" si="934"/>
        <v>15578.469579119354</v>
      </c>
      <c r="AHL9" s="29">
        <f t="shared" ca="1" si="935"/>
        <v>14876.083137086134</v>
      </c>
      <c r="AHM9" s="29">
        <f t="shared" ca="1" si="936"/>
        <v>15344.045474789345</v>
      </c>
      <c r="AHN9" s="29">
        <f t="shared" ca="1" si="937"/>
        <v>14641.558343145247</v>
      </c>
      <c r="AHO9" s="29">
        <f t="shared" ca="1" si="938"/>
        <v>14906.292011523954</v>
      </c>
      <c r="AHP9" s="29">
        <f t="shared" ca="1" si="939"/>
        <v>14356.964587402446</v>
      </c>
      <c r="AHQ9" s="29">
        <f t="shared" ca="1" si="940"/>
        <v>15018.944681305713</v>
      </c>
      <c r="AHR9" s="29">
        <f t="shared" ca="1" si="941"/>
        <v>14438.137734500542</v>
      </c>
      <c r="AHS9" s="29">
        <f t="shared" ca="1" si="942"/>
        <v>14317.939538524666</v>
      </c>
      <c r="AHT9" s="29">
        <f t="shared" ca="1" si="943"/>
        <v>14670.647222177169</v>
      </c>
      <c r="AHU9" s="29">
        <f t="shared" ca="1" si="944"/>
        <v>14859.668019148043</v>
      </c>
      <c r="AHV9" s="29">
        <f t="shared" ca="1" si="945"/>
        <v>14334.309533117057</v>
      </c>
      <c r="AHW9" s="29">
        <f t="shared" ca="1" si="946"/>
        <v>14503.736400345808</v>
      </c>
      <c r="AHX9" s="29">
        <f t="shared" ca="1" si="947"/>
        <v>14797.928908295089</v>
      </c>
      <c r="AHY9" s="29">
        <f t="shared" ca="1" si="948"/>
        <v>13990.026480745806</v>
      </c>
      <c r="AHZ9" s="29">
        <f t="shared" ca="1" si="949"/>
        <v>13597.344964113163</v>
      </c>
      <c r="AIA9" s="29">
        <f t="shared" ca="1" si="950"/>
        <v>14904.348745287549</v>
      </c>
      <c r="AIB9" s="29">
        <f t="shared" ca="1" si="951"/>
        <v>14639.532700740561</v>
      </c>
      <c r="AIC9" s="29">
        <f t="shared" ca="1" si="952"/>
        <v>14444.832847103356</v>
      </c>
      <c r="AID9" s="29">
        <f t="shared" ca="1" si="953"/>
        <v>14745.372620220343</v>
      </c>
      <c r="AIE9" s="29">
        <f t="shared" ca="1" si="954"/>
        <v>13722.899198908241</v>
      </c>
      <c r="AIF9" s="29">
        <f t="shared" ca="1" si="955"/>
        <v>14227.179584390518</v>
      </c>
      <c r="AIG9" s="29">
        <f t="shared" ca="1" si="956"/>
        <v>15009.187205703174</v>
      </c>
      <c r="AIH9" s="29">
        <f t="shared" ca="1" si="957"/>
        <v>14643.28498480226</v>
      </c>
      <c r="AII9" s="29">
        <f t="shared" ca="1" si="958"/>
        <v>13963.849091940012</v>
      </c>
      <c r="AIJ9" s="29">
        <f t="shared" ca="1" si="959"/>
        <v>13924.486420174962</v>
      </c>
      <c r="AIK9" s="29">
        <f t="shared" ca="1" si="960"/>
        <v>14180.631765455613</v>
      </c>
      <c r="AIL9" s="29">
        <f t="shared" ca="1" si="961"/>
        <v>14491.963596703165</v>
      </c>
      <c r="AIM9" s="29">
        <f t="shared" ca="1" si="962"/>
        <v>14829.47699221981</v>
      </c>
      <c r="AIN9" s="29">
        <f t="shared" ca="1" si="963"/>
        <v>14657.246670257016</v>
      </c>
      <c r="AIO9" s="29">
        <f t="shared" ca="1" si="964"/>
        <v>13990.162063330965</v>
      </c>
      <c r="AIP9" s="29">
        <f t="shared" ca="1" si="965"/>
        <v>14243.322758454435</v>
      </c>
      <c r="AIQ9" s="29">
        <f t="shared" ca="1" si="966"/>
        <v>13413.853396749595</v>
      </c>
      <c r="AIR9" s="29">
        <f t="shared" ca="1" si="967"/>
        <v>13982.713822061463</v>
      </c>
      <c r="AIS9" s="29">
        <f t="shared" ca="1" si="968"/>
        <v>14426.666770210095</v>
      </c>
      <c r="AIT9" s="29">
        <f t="shared" ca="1" si="969"/>
        <v>14251.25238492724</v>
      </c>
      <c r="AIU9" s="29">
        <f t="shared" ca="1" si="970"/>
        <v>13880.833733171974</v>
      </c>
      <c r="AIV9" s="29">
        <f t="shared" ca="1" si="971"/>
        <v>14505.844260845655</v>
      </c>
      <c r="AIW9" s="29">
        <f t="shared" ca="1" si="972"/>
        <v>13609.708810971164</v>
      </c>
      <c r="AIX9" s="29">
        <f t="shared" ca="1" si="973"/>
        <v>14267.946623078624</v>
      </c>
      <c r="AIY9" s="29">
        <f t="shared" ca="1" si="974"/>
        <v>14203.672235945274</v>
      </c>
      <c r="AIZ9" s="29">
        <f t="shared" ca="1" si="975"/>
        <v>14797.498149870436</v>
      </c>
      <c r="AJA9" s="29">
        <f t="shared" ca="1" si="976"/>
        <v>14548.745892271754</v>
      </c>
      <c r="AJB9" s="29">
        <f t="shared" ca="1" si="977"/>
        <v>15073.338054841288</v>
      </c>
      <c r="AJC9" s="29">
        <f t="shared" ca="1" si="978"/>
        <v>14689.811567352328</v>
      </c>
      <c r="AJD9" s="29">
        <f t="shared" ca="1" si="979"/>
        <v>14080.891755674207</v>
      </c>
      <c r="AJE9" s="29">
        <f t="shared" ca="1" si="980"/>
        <v>14686.924831123048</v>
      </c>
      <c r="AJF9" s="29">
        <f t="shared" ca="1" si="981"/>
        <v>14690.220284280471</v>
      </c>
      <c r="AJG9" s="29">
        <f t="shared" ca="1" si="982"/>
        <v>14567.146044460205</v>
      </c>
      <c r="AJH9" s="29">
        <f t="shared" ca="1" si="983"/>
        <v>14187.153960294532</v>
      </c>
      <c r="AJI9" s="29">
        <f t="shared" ca="1" si="984"/>
        <v>14595.898930691488</v>
      </c>
      <c r="AJJ9" s="29">
        <f t="shared" ca="1" si="985"/>
        <v>14891.223394028215</v>
      </c>
      <c r="AJK9" s="29">
        <f t="shared" ca="1" si="986"/>
        <v>14200.395342760081</v>
      </c>
      <c r="AJL9" s="29">
        <f t="shared" ca="1" si="987"/>
        <v>14919.9221746147</v>
      </c>
      <c r="AJM9" s="29">
        <f t="shared" ca="1" si="988"/>
        <v>14006.822705812607</v>
      </c>
      <c r="AJN9" s="29">
        <f t="shared" ca="1" si="989"/>
        <v>14261.564560449831</v>
      </c>
      <c r="AJO9" s="29">
        <f t="shared" ca="1" si="990"/>
        <v>14398.917890665103</v>
      </c>
      <c r="AJP9" s="29">
        <f t="shared" ca="1" si="991"/>
        <v>15177.490693870395</v>
      </c>
      <c r="AJQ9" s="29">
        <f t="shared" ca="1" si="992"/>
        <v>14249.251735578884</v>
      </c>
      <c r="AJR9" s="29">
        <f t="shared" ca="1" si="993"/>
        <v>14982.465329040282</v>
      </c>
      <c r="AJS9" s="29">
        <f t="shared" ca="1" si="994"/>
        <v>14535.814761305572</v>
      </c>
      <c r="AJT9" s="29">
        <f t="shared" ca="1" si="995"/>
        <v>14631.77661328905</v>
      </c>
      <c r="AJU9" s="29">
        <f t="shared" ca="1" si="996"/>
        <v>14119.518599758721</v>
      </c>
      <c r="AJV9" s="29">
        <f t="shared" ca="1" si="997"/>
        <v>14132.462669931812</v>
      </c>
      <c r="AJW9" s="29">
        <f t="shared" ca="1" si="998"/>
        <v>14601.369827969678</v>
      </c>
      <c r="AJX9" s="29">
        <f t="shared" ca="1" si="999"/>
        <v>14531.543518237591</v>
      </c>
      <c r="AJY9" s="29">
        <f t="shared" ca="1" si="1000"/>
        <v>14647.538425967299</v>
      </c>
      <c r="AJZ9" s="29">
        <f t="shared" ca="1" si="1001"/>
        <v>14154.338956686015</v>
      </c>
      <c r="AKA9" s="29">
        <f t="shared" ca="1" si="1002"/>
        <v>14590.549615783697</v>
      </c>
      <c r="AKB9" s="29">
        <f t="shared" ca="1" si="1003"/>
        <v>14476.214626877267</v>
      </c>
      <c r="AKC9" s="29">
        <f t="shared" ca="1" si="1004"/>
        <v>14663.394557316255</v>
      </c>
      <c r="AKD9" s="29">
        <f t="shared" ca="1" si="1005"/>
        <v>14530.465684168528</v>
      </c>
      <c r="AKE9" s="29">
        <f t="shared" ca="1" si="1006"/>
        <v>13649.497337297027</v>
      </c>
      <c r="AKF9" s="29">
        <f t="shared" ca="1" si="1007"/>
        <v>15074.502099417959</v>
      </c>
      <c r="AKG9" s="29">
        <f t="shared" ca="1" si="1008"/>
        <v>14401.626483434369</v>
      </c>
      <c r="AKH9" s="29">
        <f t="shared" ca="1" si="1009"/>
        <v>14069.835719334847</v>
      </c>
      <c r="AKI9" s="29">
        <f t="shared" ca="1" si="1010"/>
        <v>14679.891658635634</v>
      </c>
      <c r="AKJ9" s="29">
        <f t="shared" ca="1" si="1011"/>
        <v>14298.708400852391</v>
      </c>
      <c r="AKK9" s="29">
        <f t="shared" ca="1" si="1012"/>
        <v>14957.297679192516</v>
      </c>
      <c r="AKL9" s="29">
        <f t="shared" ca="1" si="1013"/>
        <v>14084.136124622401</v>
      </c>
      <c r="AKM9" s="29">
        <f t="shared" ca="1" si="1014"/>
        <v>13983.882059283133</v>
      </c>
      <c r="AKN9" s="29">
        <f t="shared" ca="1" si="1015"/>
        <v>14376.946908723552</v>
      </c>
      <c r="AKO9" s="29">
        <f t="shared" ca="1" si="1016"/>
        <v>14166.199617654489</v>
      </c>
      <c r="AKP9" s="29">
        <f t="shared" ca="1" si="1017"/>
        <v>15070.320469860491</v>
      </c>
      <c r="AKQ9" s="29">
        <f t="shared" ca="1" si="1018"/>
        <v>14087.106217032018</v>
      </c>
      <c r="AKR9" s="29">
        <f t="shared" ca="1" si="1019"/>
        <v>14445.340175964795</v>
      </c>
      <c r="AKS9" s="29">
        <f t="shared" ca="1" si="1020"/>
        <v>14442.098273092393</v>
      </c>
      <c r="AKT9" s="29">
        <f t="shared" ca="1" si="1021"/>
        <v>14507.894440320611</v>
      </c>
      <c r="AKU9" s="29">
        <f t="shared" ca="1" si="1022"/>
        <v>14166.570801030664</v>
      </c>
      <c r="AKV9" s="29">
        <f t="shared" ca="1" si="1023"/>
        <v>13147.178753768001</v>
      </c>
      <c r="AKW9" s="29">
        <f t="shared" ca="1" si="1024"/>
        <v>14445.805731386936</v>
      </c>
      <c r="AKX9" s="29">
        <f t="shared" ca="1" si="1025"/>
        <v>14237.784189365135</v>
      </c>
      <c r="AKY9" s="29">
        <f t="shared" ca="1" si="1026"/>
        <v>14756.663455427755</v>
      </c>
      <c r="AKZ9" s="29">
        <f t="shared" ca="1" si="1027"/>
        <v>14095.942400196482</v>
      </c>
      <c r="ALA9" s="29">
        <f t="shared" ca="1" si="1028"/>
        <v>14798.00895415766</v>
      </c>
      <c r="ALB9" s="29">
        <f t="shared" ca="1" si="1029"/>
        <v>14869.813056695251</v>
      </c>
      <c r="ALC9" s="29">
        <f t="shared" ca="1" si="1030"/>
        <v>14879.58501795655</v>
      </c>
      <c r="ALD9" s="29">
        <f t="shared" ca="1" si="1031"/>
        <v>14382.814759434656</v>
      </c>
      <c r="ALE9" s="29">
        <f t="shared" ca="1" si="1032"/>
        <v>14190.681279070523</v>
      </c>
      <c r="ALF9" s="29">
        <f t="shared" ca="1" si="1033"/>
        <v>13985.192841055781</v>
      </c>
      <c r="ALG9" s="29">
        <f t="shared" ca="1" si="1034"/>
        <v>15016.353066402859</v>
      </c>
      <c r="ALH9" s="29">
        <f t="shared" ca="1" si="1035"/>
        <v>14319.649006408195</v>
      </c>
      <c r="ALI9" s="29">
        <f t="shared" ca="1" si="1036"/>
        <v>14918.686381139854</v>
      </c>
      <c r="ALJ9" s="29">
        <f t="shared" ca="1" si="1037"/>
        <v>14988.02668760286</v>
      </c>
      <c r="ALK9" s="29">
        <f t="shared" ca="1" si="1038"/>
        <v>14046.18774348517</v>
      </c>
      <c r="ALL9" s="29">
        <f t="shared" ca="1" si="1039"/>
        <v>14041.435858391958</v>
      </c>
      <c r="ALM9" s="29">
        <f t="shared" ca="1" si="1040"/>
        <v>13468.085119799611</v>
      </c>
      <c r="ALN9" s="29">
        <f t="shared" ca="1" si="1041"/>
        <v>14153.873500157697</v>
      </c>
      <c r="ALO9" s="29">
        <f t="shared" ca="1" si="1042"/>
        <v>13583.406911759266</v>
      </c>
      <c r="ALP9" s="29">
        <f t="shared" ca="1" si="1043"/>
        <v>14153.420664129399</v>
      </c>
      <c r="ALQ9" s="29">
        <f t="shared" ca="1" si="1044"/>
        <v>14911.097617126334</v>
      </c>
      <c r="ALR9" s="29">
        <f t="shared" ca="1" si="1045"/>
        <v>14551.595745178751</v>
      </c>
      <c r="ALS9" s="29">
        <f t="shared" ca="1" si="1046"/>
        <v>14275.838654738189</v>
      </c>
      <c r="ALT9" s="29">
        <f t="shared" ca="1" si="1047"/>
        <v>14361.254387711855</v>
      </c>
      <c r="ALU9" s="29">
        <f t="shared" ca="1" si="1048"/>
        <v>15154.300203889106</v>
      </c>
      <c r="ALV9" s="29">
        <f t="shared" ca="1" si="1049"/>
        <v>14089.013386748009</v>
      </c>
    </row>
    <row r="10" spans="1:1258" ht="18" x14ac:dyDescent="0.35">
      <c r="A10" s="1">
        <v>40486</v>
      </c>
      <c r="B10" s="2">
        <v>6281.7998049999997</v>
      </c>
      <c r="C10" s="16">
        <f t="shared" si="32"/>
        <v>1.9498589490414796E-2</v>
      </c>
      <c r="E10" s="26" t="s">
        <v>52</v>
      </c>
      <c r="F10" t="s">
        <v>55</v>
      </c>
      <c r="J10" s="29">
        <f t="shared" si="49"/>
        <v>7</v>
      </c>
      <c r="K10" s="29">
        <f t="shared" ca="1" si="50"/>
        <v>14362.773348114753</v>
      </c>
      <c r="L10" s="29">
        <f t="shared" ca="1" si="51"/>
        <v>13898.704085754876</v>
      </c>
      <c r="M10" s="29">
        <f t="shared" ca="1" si="52"/>
        <v>15033.34095379736</v>
      </c>
      <c r="N10" s="29">
        <f t="shared" ca="1" si="53"/>
        <v>13363.940397817087</v>
      </c>
      <c r="O10" s="29">
        <f t="shared" ca="1" si="54"/>
        <v>14669.702564378911</v>
      </c>
      <c r="P10" s="29">
        <f t="shared" ca="1" si="55"/>
        <v>14854.570945535099</v>
      </c>
      <c r="Q10" s="29">
        <f t="shared" ca="1" si="56"/>
        <v>13496.937745405894</v>
      </c>
      <c r="R10" s="29">
        <f t="shared" ca="1" si="57"/>
        <v>14403.012873598671</v>
      </c>
      <c r="S10" s="29">
        <f t="shared" ca="1" si="58"/>
        <v>14550.959572711041</v>
      </c>
      <c r="T10" s="29">
        <f t="shared" ca="1" si="59"/>
        <v>15512.120893691957</v>
      </c>
      <c r="U10" s="29">
        <f t="shared" ca="1" si="60"/>
        <v>14772.75449646271</v>
      </c>
      <c r="V10" s="29">
        <f t="shared" ca="1" si="61"/>
        <v>14846.817983956884</v>
      </c>
      <c r="W10" s="29">
        <f t="shared" ca="1" si="62"/>
        <v>14608.002342261487</v>
      </c>
      <c r="X10" s="29">
        <f t="shared" ca="1" si="63"/>
        <v>14547.125521324428</v>
      </c>
      <c r="Y10" s="29">
        <f t="shared" ca="1" si="64"/>
        <v>14190.326827099443</v>
      </c>
      <c r="Z10" s="29">
        <f t="shared" ca="1" si="65"/>
        <v>13690.020556879112</v>
      </c>
      <c r="AA10" s="29">
        <f t="shared" ca="1" si="66"/>
        <v>14737.423885891752</v>
      </c>
      <c r="AB10" s="29">
        <f t="shared" ca="1" si="67"/>
        <v>15091.688160956734</v>
      </c>
      <c r="AC10" s="29">
        <f t="shared" ca="1" si="68"/>
        <v>14773.987048711191</v>
      </c>
      <c r="AD10" s="29">
        <f t="shared" ca="1" si="69"/>
        <v>14174.45019731496</v>
      </c>
      <c r="AE10" s="29">
        <f t="shared" ca="1" si="70"/>
        <v>15462.043575589983</v>
      </c>
      <c r="AF10" s="29">
        <f t="shared" ca="1" si="71"/>
        <v>14352.487082723446</v>
      </c>
      <c r="AG10" s="29">
        <f t="shared" ca="1" si="72"/>
        <v>13480.993471283518</v>
      </c>
      <c r="AH10" s="29">
        <f t="shared" ca="1" si="73"/>
        <v>14710.943698959823</v>
      </c>
      <c r="AI10" s="29">
        <f t="shared" ca="1" si="74"/>
        <v>14198.67297984988</v>
      </c>
      <c r="AJ10" s="29">
        <f t="shared" ca="1" si="75"/>
        <v>14215.56231502336</v>
      </c>
      <c r="AK10" s="29">
        <f t="shared" ca="1" si="76"/>
        <v>13735.526250597504</v>
      </c>
      <c r="AL10" s="29">
        <f t="shared" ca="1" si="77"/>
        <v>14474.811868162747</v>
      </c>
      <c r="AM10" s="29">
        <f t="shared" ca="1" si="78"/>
        <v>14712.643955145424</v>
      </c>
      <c r="AN10" s="29">
        <f t="shared" ca="1" si="79"/>
        <v>15100.190243772384</v>
      </c>
      <c r="AO10" s="29">
        <f t="shared" ca="1" si="80"/>
        <v>14433.113007347116</v>
      </c>
      <c r="AP10" s="29">
        <f t="shared" ca="1" si="81"/>
        <v>14200.866954541183</v>
      </c>
      <c r="AQ10" s="29">
        <f t="shared" ca="1" si="82"/>
        <v>14960.907655276949</v>
      </c>
      <c r="AR10" s="29">
        <f t="shared" ca="1" si="83"/>
        <v>15111.309290771811</v>
      </c>
      <c r="AS10" s="29">
        <f t="shared" ca="1" si="84"/>
        <v>13829.674676988901</v>
      </c>
      <c r="AT10" s="29">
        <f t="shared" ca="1" si="85"/>
        <v>14326.648715890988</v>
      </c>
      <c r="AU10" s="29">
        <f t="shared" ca="1" si="86"/>
        <v>13924.90737237949</v>
      </c>
      <c r="AV10" s="29">
        <f t="shared" ca="1" si="87"/>
        <v>14925.089792008266</v>
      </c>
      <c r="AW10" s="29">
        <f t="shared" ca="1" si="88"/>
        <v>15146.067968436664</v>
      </c>
      <c r="AX10" s="29">
        <f t="shared" ca="1" si="89"/>
        <v>14042.98871185505</v>
      </c>
      <c r="AY10" s="29">
        <f t="shared" ca="1" si="90"/>
        <v>14029.3228613911</v>
      </c>
      <c r="AZ10" s="29">
        <f t="shared" ca="1" si="91"/>
        <v>14022.501897641454</v>
      </c>
      <c r="BA10" s="29">
        <f t="shared" ca="1" si="92"/>
        <v>14591.424450256183</v>
      </c>
      <c r="BB10" s="29">
        <f t="shared" ca="1" si="93"/>
        <v>13873.943117756775</v>
      </c>
      <c r="BC10" s="29">
        <f t="shared" ca="1" si="94"/>
        <v>13740.547300985241</v>
      </c>
      <c r="BD10" s="29">
        <f t="shared" ca="1" si="95"/>
        <v>14386.092587366828</v>
      </c>
      <c r="BE10" s="29">
        <f t="shared" ca="1" si="96"/>
        <v>14576.456296111324</v>
      </c>
      <c r="BF10" s="29">
        <f t="shared" ca="1" si="97"/>
        <v>15081.117874596825</v>
      </c>
      <c r="BG10" s="29">
        <f t="shared" ca="1" si="98"/>
        <v>14238.555959922367</v>
      </c>
      <c r="BH10" s="29">
        <f t="shared" ca="1" si="99"/>
        <v>14699.494802022935</v>
      </c>
      <c r="BI10" s="29">
        <f t="shared" ca="1" si="100"/>
        <v>14471.805700236253</v>
      </c>
      <c r="BJ10" s="29">
        <f t="shared" ca="1" si="101"/>
        <v>14544.842705473719</v>
      </c>
      <c r="BK10" s="29">
        <f t="shared" ca="1" si="102"/>
        <v>13996.610133847897</v>
      </c>
      <c r="BL10" s="29">
        <f t="shared" ca="1" si="103"/>
        <v>14682.989285457872</v>
      </c>
      <c r="BM10" s="29">
        <f t="shared" ca="1" si="104"/>
        <v>13930.158058593463</v>
      </c>
      <c r="BN10" s="29">
        <f t="shared" ca="1" si="105"/>
        <v>14609.801324071968</v>
      </c>
      <c r="BO10" s="29">
        <f t="shared" ca="1" si="106"/>
        <v>14546.001529553483</v>
      </c>
      <c r="BP10" s="29">
        <f t="shared" ca="1" si="107"/>
        <v>14685.503463089222</v>
      </c>
      <c r="BQ10" s="29">
        <f t="shared" ca="1" si="108"/>
        <v>14483.000273226624</v>
      </c>
      <c r="BR10" s="29">
        <f t="shared" ca="1" si="109"/>
        <v>14050.534357257104</v>
      </c>
      <c r="BS10" s="29">
        <f t="shared" ca="1" si="110"/>
        <v>15145.975339313629</v>
      </c>
      <c r="BT10" s="29">
        <f t="shared" ca="1" si="111"/>
        <v>14309.027470336958</v>
      </c>
      <c r="BU10" s="29">
        <f t="shared" ca="1" si="112"/>
        <v>14401.428169375353</v>
      </c>
      <c r="BV10" s="29">
        <f t="shared" ca="1" si="113"/>
        <v>14716.013780101237</v>
      </c>
      <c r="BW10" s="29">
        <f t="shared" ca="1" si="114"/>
        <v>14557.769661234848</v>
      </c>
      <c r="BX10" s="29">
        <f t="shared" ca="1" si="115"/>
        <v>14704.845052228688</v>
      </c>
      <c r="BY10" s="29">
        <f t="shared" ca="1" si="116"/>
        <v>14248.849565813814</v>
      </c>
      <c r="BZ10" s="29">
        <f t="shared" ca="1" si="117"/>
        <v>14002.35018681743</v>
      </c>
      <c r="CA10" s="29">
        <f t="shared" ca="1" si="118"/>
        <v>14378.30312623932</v>
      </c>
      <c r="CB10" s="29">
        <f t="shared" ca="1" si="119"/>
        <v>15337.739748819928</v>
      </c>
      <c r="CC10" s="29">
        <f t="shared" ca="1" si="120"/>
        <v>14099.216633645519</v>
      </c>
      <c r="CD10" s="29">
        <f t="shared" ca="1" si="121"/>
        <v>14707.27971860439</v>
      </c>
      <c r="CE10" s="29">
        <f t="shared" ca="1" si="122"/>
        <v>14982.858948949979</v>
      </c>
      <c r="CF10" s="29">
        <f t="shared" ca="1" si="123"/>
        <v>14744.143348286032</v>
      </c>
      <c r="CG10" s="29">
        <f t="shared" ca="1" si="124"/>
        <v>14496.053442917608</v>
      </c>
      <c r="CH10" s="29">
        <f t="shared" ca="1" si="125"/>
        <v>14671.777569767917</v>
      </c>
      <c r="CI10" s="29">
        <f t="shared" ca="1" si="126"/>
        <v>14592.4055221212</v>
      </c>
      <c r="CJ10" s="29">
        <f t="shared" ca="1" si="127"/>
        <v>13946.926908711992</v>
      </c>
      <c r="CK10" s="29">
        <f t="shared" ca="1" si="128"/>
        <v>14080.332402738786</v>
      </c>
      <c r="CL10" s="29">
        <f t="shared" ca="1" si="129"/>
        <v>14616.352773492481</v>
      </c>
      <c r="CM10" s="29">
        <f t="shared" ca="1" si="130"/>
        <v>14232.145803947944</v>
      </c>
      <c r="CN10" s="29">
        <f t="shared" ca="1" si="131"/>
        <v>14420.757746826233</v>
      </c>
      <c r="CO10" s="29">
        <f t="shared" ca="1" si="132"/>
        <v>15081.298746625625</v>
      </c>
      <c r="CP10" s="29">
        <f t="shared" ca="1" si="133"/>
        <v>14354.33408243695</v>
      </c>
      <c r="CQ10" s="29">
        <f t="shared" ca="1" si="134"/>
        <v>14374.431813913976</v>
      </c>
      <c r="CR10" s="29">
        <f t="shared" ca="1" si="135"/>
        <v>14227.331617480748</v>
      </c>
      <c r="CS10" s="29">
        <f t="shared" ca="1" si="136"/>
        <v>14033.506853930847</v>
      </c>
      <c r="CT10" s="29">
        <f t="shared" ca="1" si="137"/>
        <v>14895.433676456249</v>
      </c>
      <c r="CU10" s="29">
        <f t="shared" ca="1" si="138"/>
        <v>13958.949905205969</v>
      </c>
      <c r="CV10" s="29">
        <f t="shared" ca="1" si="139"/>
        <v>14230.691521399433</v>
      </c>
      <c r="CW10" s="29">
        <f t="shared" ca="1" si="140"/>
        <v>14119.373320035216</v>
      </c>
      <c r="CX10" s="29">
        <f t="shared" ca="1" si="141"/>
        <v>14120.780241803606</v>
      </c>
      <c r="CY10" s="29">
        <f t="shared" ca="1" si="142"/>
        <v>14310.281595626628</v>
      </c>
      <c r="CZ10" s="29">
        <f t="shared" ca="1" si="143"/>
        <v>13670.209634416351</v>
      </c>
      <c r="DA10" s="29">
        <f t="shared" ca="1" si="144"/>
        <v>14467.288769300909</v>
      </c>
      <c r="DB10" s="29">
        <f t="shared" ca="1" si="145"/>
        <v>15261.428433180481</v>
      </c>
      <c r="DC10" s="29">
        <f t="shared" ca="1" si="146"/>
        <v>14690.156726703946</v>
      </c>
      <c r="DD10" s="29">
        <f t="shared" ca="1" si="147"/>
        <v>13816.529632553984</v>
      </c>
      <c r="DE10" s="29">
        <f t="shared" ca="1" si="148"/>
        <v>14578.226339376584</v>
      </c>
      <c r="DF10" s="29">
        <f t="shared" ca="1" si="149"/>
        <v>14010.881835104577</v>
      </c>
      <c r="DG10" s="29">
        <f t="shared" ca="1" si="150"/>
        <v>14076.73455230632</v>
      </c>
      <c r="DH10" s="29">
        <f t="shared" ca="1" si="151"/>
        <v>13903.790884484617</v>
      </c>
      <c r="DI10" s="29">
        <f t="shared" ca="1" si="152"/>
        <v>14594.704969444556</v>
      </c>
      <c r="DJ10" s="29">
        <f t="shared" ca="1" si="153"/>
        <v>14486.060464471351</v>
      </c>
      <c r="DK10" s="29">
        <f t="shared" ca="1" si="154"/>
        <v>14483.437611561121</v>
      </c>
      <c r="DL10" s="29">
        <f t="shared" ca="1" si="155"/>
        <v>14544.420217617244</v>
      </c>
      <c r="DM10" s="29">
        <f t="shared" ca="1" si="156"/>
        <v>14038.148279531239</v>
      </c>
      <c r="DN10" s="29">
        <f t="shared" ca="1" si="157"/>
        <v>14864.021782519314</v>
      </c>
      <c r="DO10" s="29">
        <f t="shared" ca="1" si="158"/>
        <v>14205.854269054529</v>
      </c>
      <c r="DP10" s="29">
        <f t="shared" ca="1" si="159"/>
        <v>14689.140347618006</v>
      </c>
      <c r="DQ10" s="29">
        <f t="shared" ca="1" si="160"/>
        <v>14705.658693968611</v>
      </c>
      <c r="DR10" s="29">
        <f t="shared" ca="1" si="161"/>
        <v>13891.850366939152</v>
      </c>
      <c r="DS10" s="29">
        <f t="shared" ca="1" si="162"/>
        <v>14688.263516726294</v>
      </c>
      <c r="DT10" s="29">
        <f t="shared" ca="1" si="163"/>
        <v>14126.301518079437</v>
      </c>
      <c r="DU10" s="29">
        <f t="shared" ca="1" si="164"/>
        <v>14418.438661293168</v>
      </c>
      <c r="DV10" s="29">
        <f t="shared" ca="1" si="165"/>
        <v>14234.425763463965</v>
      </c>
      <c r="DW10" s="29">
        <f t="shared" ca="1" si="166"/>
        <v>14515.441779482164</v>
      </c>
      <c r="DX10" s="29">
        <f t="shared" ca="1" si="167"/>
        <v>13877.455055455912</v>
      </c>
      <c r="DY10" s="29">
        <f t="shared" ca="1" si="168"/>
        <v>14372.605001163058</v>
      </c>
      <c r="DZ10" s="29">
        <f t="shared" ca="1" si="169"/>
        <v>14920.678246358801</v>
      </c>
      <c r="EA10" s="29">
        <f t="shared" ca="1" si="170"/>
        <v>13941.404803889725</v>
      </c>
      <c r="EB10" s="29">
        <f t="shared" ca="1" si="171"/>
        <v>13857.18651186227</v>
      </c>
      <c r="EC10" s="29">
        <f t="shared" ca="1" si="172"/>
        <v>14624.836167866248</v>
      </c>
      <c r="ED10" s="29">
        <f t="shared" ca="1" si="173"/>
        <v>15059.234234315763</v>
      </c>
      <c r="EE10" s="29">
        <f t="shared" ca="1" si="174"/>
        <v>14992.531067281207</v>
      </c>
      <c r="EF10" s="29">
        <f t="shared" ca="1" si="175"/>
        <v>14369.651979999997</v>
      </c>
      <c r="EG10" s="29">
        <f t="shared" ca="1" si="176"/>
        <v>14629.199663898758</v>
      </c>
      <c r="EH10" s="29">
        <f t="shared" ca="1" si="177"/>
        <v>13395.957794183347</v>
      </c>
      <c r="EI10" s="29">
        <f t="shared" ca="1" si="178"/>
        <v>14392.877112071679</v>
      </c>
      <c r="EJ10" s="29">
        <f t="shared" ca="1" si="179"/>
        <v>14518.055083216739</v>
      </c>
      <c r="EK10" s="29">
        <f t="shared" ca="1" si="180"/>
        <v>14225.587608606133</v>
      </c>
      <c r="EL10" s="29">
        <f t="shared" ca="1" si="181"/>
        <v>14215.061761476778</v>
      </c>
      <c r="EM10" s="29">
        <f t="shared" ca="1" si="182"/>
        <v>13376.730522124284</v>
      </c>
      <c r="EN10" s="29">
        <f t="shared" ca="1" si="183"/>
        <v>14805.913897130249</v>
      </c>
      <c r="EO10" s="29">
        <f t="shared" ca="1" si="184"/>
        <v>13934.42724106017</v>
      </c>
      <c r="EP10" s="29">
        <f t="shared" ca="1" si="185"/>
        <v>14485.544562964926</v>
      </c>
      <c r="EQ10" s="29">
        <f t="shared" ca="1" si="186"/>
        <v>14161.741039761804</v>
      </c>
      <c r="ER10" s="29">
        <f t="shared" ca="1" si="187"/>
        <v>14524.695774405254</v>
      </c>
      <c r="ES10" s="29">
        <f t="shared" ca="1" si="188"/>
        <v>14275.243477685479</v>
      </c>
      <c r="ET10" s="29">
        <f t="shared" ca="1" si="189"/>
        <v>14584.557200424066</v>
      </c>
      <c r="EU10" s="29">
        <f t="shared" ca="1" si="190"/>
        <v>14682.379285570651</v>
      </c>
      <c r="EV10" s="29">
        <f t="shared" ca="1" si="191"/>
        <v>14560.750686560212</v>
      </c>
      <c r="EW10" s="29">
        <f t="shared" ca="1" si="192"/>
        <v>13998.868979265653</v>
      </c>
      <c r="EX10" s="29">
        <f t="shared" ca="1" si="193"/>
        <v>15075.803487282123</v>
      </c>
      <c r="EY10" s="29">
        <f t="shared" ca="1" si="194"/>
        <v>14134.172601230948</v>
      </c>
      <c r="EZ10" s="29">
        <f t="shared" ca="1" si="195"/>
        <v>14353.393104531859</v>
      </c>
      <c r="FA10" s="29">
        <f t="shared" ca="1" si="196"/>
        <v>14714.091239921419</v>
      </c>
      <c r="FB10" s="29">
        <f t="shared" ca="1" si="197"/>
        <v>14764.182702229906</v>
      </c>
      <c r="FC10" s="29">
        <f t="shared" ca="1" si="198"/>
        <v>14546.834917250197</v>
      </c>
      <c r="FD10" s="29">
        <f t="shared" ca="1" si="199"/>
        <v>14171.554774123884</v>
      </c>
      <c r="FE10" s="29">
        <f t="shared" ca="1" si="200"/>
        <v>14559.329519724346</v>
      </c>
      <c r="FF10" s="29">
        <f t="shared" ca="1" si="201"/>
        <v>14031.429578197247</v>
      </c>
      <c r="FG10" s="29">
        <f t="shared" ca="1" si="202"/>
        <v>13832.951402210607</v>
      </c>
      <c r="FH10" s="29">
        <f t="shared" ca="1" si="203"/>
        <v>14257.689359436841</v>
      </c>
      <c r="FI10" s="29">
        <f t="shared" ca="1" si="204"/>
        <v>14411.722701449646</v>
      </c>
      <c r="FJ10" s="29">
        <f t="shared" ca="1" si="205"/>
        <v>14319.722101293948</v>
      </c>
      <c r="FK10" s="29">
        <f t="shared" ca="1" si="206"/>
        <v>14748.343157573177</v>
      </c>
      <c r="FL10" s="29">
        <f t="shared" ca="1" si="207"/>
        <v>13934.23445587383</v>
      </c>
      <c r="FM10" s="29">
        <f t="shared" ca="1" si="208"/>
        <v>15039.155902885179</v>
      </c>
      <c r="FN10" s="29">
        <f t="shared" ca="1" si="209"/>
        <v>13722.640157478065</v>
      </c>
      <c r="FO10" s="29">
        <f t="shared" ca="1" si="210"/>
        <v>14079.378135867251</v>
      </c>
      <c r="FP10" s="29">
        <f t="shared" ca="1" si="211"/>
        <v>13949.399449774051</v>
      </c>
      <c r="FQ10" s="29">
        <f t="shared" ca="1" si="212"/>
        <v>14440.248572662606</v>
      </c>
      <c r="FR10" s="29">
        <f t="shared" ca="1" si="213"/>
        <v>13844.953026615609</v>
      </c>
      <c r="FS10" s="29">
        <f t="shared" ca="1" si="214"/>
        <v>15067.774193941015</v>
      </c>
      <c r="FT10" s="29">
        <f t="shared" ca="1" si="215"/>
        <v>14363.924033393898</v>
      </c>
      <c r="FU10" s="29">
        <f t="shared" ca="1" si="216"/>
        <v>14646.870847167835</v>
      </c>
      <c r="FV10" s="29">
        <f t="shared" ca="1" si="217"/>
        <v>14614.309047167959</v>
      </c>
      <c r="FW10" s="29">
        <f t="shared" ca="1" si="218"/>
        <v>14405.760764739573</v>
      </c>
      <c r="FX10" s="29">
        <f t="shared" ca="1" si="219"/>
        <v>14860.593509665387</v>
      </c>
      <c r="FY10" s="29">
        <f t="shared" ca="1" si="220"/>
        <v>14588.204281592753</v>
      </c>
      <c r="FZ10" s="29">
        <f t="shared" ca="1" si="221"/>
        <v>14129.355623597898</v>
      </c>
      <c r="GA10" s="29">
        <f t="shared" ca="1" si="222"/>
        <v>14063.515112729585</v>
      </c>
      <c r="GB10" s="29">
        <f t="shared" ca="1" si="223"/>
        <v>14990.359139515345</v>
      </c>
      <c r="GC10" s="29">
        <f t="shared" ca="1" si="224"/>
        <v>15129.61386085143</v>
      </c>
      <c r="GD10" s="29">
        <f t="shared" ca="1" si="225"/>
        <v>14603.979663334738</v>
      </c>
      <c r="GE10" s="29">
        <f t="shared" ca="1" si="226"/>
        <v>13996.250418003079</v>
      </c>
      <c r="GF10" s="29">
        <f t="shared" ca="1" si="227"/>
        <v>14336.139086422143</v>
      </c>
      <c r="GG10" s="29">
        <f t="shared" ca="1" si="228"/>
        <v>14764.483337351805</v>
      </c>
      <c r="GH10" s="29">
        <f t="shared" ca="1" si="229"/>
        <v>14364.011360273525</v>
      </c>
      <c r="GI10" s="29">
        <f t="shared" ca="1" si="230"/>
        <v>14438.06410357908</v>
      </c>
      <c r="GJ10" s="29">
        <f t="shared" ca="1" si="231"/>
        <v>13822.746621746212</v>
      </c>
      <c r="GK10" s="29">
        <f t="shared" ca="1" si="232"/>
        <v>14172.675838843261</v>
      </c>
      <c r="GL10" s="29">
        <f t="shared" ca="1" si="233"/>
        <v>14024.291869754243</v>
      </c>
      <c r="GM10" s="29">
        <f t="shared" ca="1" si="234"/>
        <v>13786.049640287085</v>
      </c>
      <c r="GN10" s="29">
        <f t="shared" ca="1" si="235"/>
        <v>13831.992041661739</v>
      </c>
      <c r="GO10" s="29">
        <f t="shared" ca="1" si="236"/>
        <v>13687.521720526278</v>
      </c>
      <c r="GP10" s="29">
        <f t="shared" ca="1" si="237"/>
        <v>14763.890586921691</v>
      </c>
      <c r="GQ10" s="29">
        <f t="shared" ca="1" si="238"/>
        <v>14230.395290536908</v>
      </c>
      <c r="GR10" s="29">
        <f t="shared" ca="1" si="239"/>
        <v>14179.117918360522</v>
      </c>
      <c r="GS10" s="29">
        <f t="shared" ca="1" si="240"/>
        <v>14512.544229075173</v>
      </c>
      <c r="GT10" s="29">
        <f t="shared" ca="1" si="241"/>
        <v>14210.875603570239</v>
      </c>
      <c r="GU10" s="29">
        <f t="shared" ca="1" si="242"/>
        <v>13923.665012693029</v>
      </c>
      <c r="GV10" s="29">
        <f t="shared" ca="1" si="243"/>
        <v>14413.068225639556</v>
      </c>
      <c r="GW10" s="29">
        <f t="shared" ca="1" si="244"/>
        <v>14140.278740811262</v>
      </c>
      <c r="GX10" s="29">
        <f t="shared" ca="1" si="245"/>
        <v>14048.45013873509</v>
      </c>
      <c r="GY10" s="29">
        <f t="shared" ca="1" si="246"/>
        <v>14269.877516570697</v>
      </c>
      <c r="GZ10" s="29">
        <f t="shared" ca="1" si="247"/>
        <v>14601.380305997007</v>
      </c>
      <c r="HA10" s="29">
        <f t="shared" ca="1" si="248"/>
        <v>15439.740939890355</v>
      </c>
      <c r="HB10" s="29">
        <f t="shared" ca="1" si="249"/>
        <v>14377.700910003343</v>
      </c>
      <c r="HC10" s="29">
        <f t="shared" ca="1" si="250"/>
        <v>14665.407918929925</v>
      </c>
      <c r="HD10" s="29">
        <f t="shared" ca="1" si="251"/>
        <v>14273.822509256996</v>
      </c>
      <c r="HE10" s="29">
        <f t="shared" ca="1" si="252"/>
        <v>14743.597714886651</v>
      </c>
      <c r="HF10" s="29">
        <f t="shared" ca="1" si="253"/>
        <v>14280.238466773902</v>
      </c>
      <c r="HG10" s="29">
        <f t="shared" ca="1" si="254"/>
        <v>14108.040255450453</v>
      </c>
      <c r="HH10" s="29">
        <f t="shared" ca="1" si="255"/>
        <v>13425.977232015886</v>
      </c>
      <c r="HI10" s="29">
        <f t="shared" ca="1" si="256"/>
        <v>14125.889155543297</v>
      </c>
      <c r="HJ10" s="29">
        <f t="shared" ca="1" si="257"/>
        <v>14685.241680642308</v>
      </c>
      <c r="HK10" s="29">
        <f t="shared" ca="1" si="258"/>
        <v>14819.250292951536</v>
      </c>
      <c r="HL10" s="29">
        <f t="shared" ca="1" si="259"/>
        <v>14656.485290402852</v>
      </c>
      <c r="HM10" s="29">
        <f t="shared" ca="1" si="260"/>
        <v>14397.960354018842</v>
      </c>
      <c r="HN10" s="29">
        <f t="shared" ca="1" si="261"/>
        <v>14176.249534516493</v>
      </c>
      <c r="HO10" s="29">
        <f t="shared" ca="1" si="262"/>
        <v>14800.132466556281</v>
      </c>
      <c r="HP10" s="29">
        <f t="shared" ca="1" si="263"/>
        <v>13832.401536372878</v>
      </c>
      <c r="HQ10" s="29">
        <f t="shared" ca="1" si="264"/>
        <v>14175.166984420684</v>
      </c>
      <c r="HR10" s="29">
        <f t="shared" ca="1" si="265"/>
        <v>14829.176088797803</v>
      </c>
      <c r="HS10" s="29">
        <f t="shared" ca="1" si="266"/>
        <v>14875.752304291576</v>
      </c>
      <c r="HT10" s="29">
        <f t="shared" ca="1" si="267"/>
        <v>14494.370041095763</v>
      </c>
      <c r="HU10" s="29">
        <f t="shared" ca="1" si="268"/>
        <v>14795.011004369901</v>
      </c>
      <c r="HV10" s="29">
        <f t="shared" ca="1" si="269"/>
        <v>14796.63140637938</v>
      </c>
      <c r="HW10" s="29">
        <f t="shared" ca="1" si="270"/>
        <v>14621.678803796651</v>
      </c>
      <c r="HX10" s="29">
        <f t="shared" ca="1" si="271"/>
        <v>14520.479065002983</v>
      </c>
      <c r="HY10" s="29">
        <f t="shared" ca="1" si="272"/>
        <v>14441.592843887896</v>
      </c>
      <c r="HZ10" s="29">
        <f t="shared" ca="1" si="273"/>
        <v>14275.040423323873</v>
      </c>
      <c r="IA10" s="29">
        <f t="shared" ca="1" si="274"/>
        <v>14525.953576289839</v>
      </c>
      <c r="IB10" s="29">
        <f t="shared" ca="1" si="275"/>
        <v>14710.649203210682</v>
      </c>
      <c r="IC10" s="29">
        <f t="shared" ca="1" si="276"/>
        <v>14065.355889563582</v>
      </c>
      <c r="ID10" s="29">
        <f t="shared" ca="1" si="277"/>
        <v>14929.646025718759</v>
      </c>
      <c r="IE10" s="29">
        <f t="shared" ca="1" si="278"/>
        <v>13387.063163649378</v>
      </c>
      <c r="IF10" s="29">
        <f t="shared" ca="1" si="279"/>
        <v>14663.476305027207</v>
      </c>
      <c r="IG10" s="29">
        <f t="shared" ca="1" si="280"/>
        <v>14045.380878499025</v>
      </c>
      <c r="IH10" s="29">
        <f t="shared" ca="1" si="281"/>
        <v>14294.605329253334</v>
      </c>
      <c r="II10" s="29">
        <f t="shared" ca="1" si="282"/>
        <v>14745.600527006241</v>
      </c>
      <c r="IJ10" s="29">
        <f t="shared" ca="1" si="283"/>
        <v>14778.779941667757</v>
      </c>
      <c r="IK10" s="29">
        <f t="shared" ca="1" si="284"/>
        <v>13695.840909851298</v>
      </c>
      <c r="IL10" s="29">
        <f t="shared" ca="1" si="285"/>
        <v>14992.691687529488</v>
      </c>
      <c r="IM10" s="29">
        <f t="shared" ca="1" si="286"/>
        <v>14067.278772366173</v>
      </c>
      <c r="IN10" s="29">
        <f t="shared" ca="1" si="287"/>
        <v>14932.567210080051</v>
      </c>
      <c r="IO10" s="29">
        <f t="shared" ca="1" si="288"/>
        <v>14583.332781123599</v>
      </c>
      <c r="IP10" s="29">
        <f t="shared" ca="1" si="289"/>
        <v>14637.974380970818</v>
      </c>
      <c r="IQ10" s="29">
        <f t="shared" ca="1" si="290"/>
        <v>14012.443249566377</v>
      </c>
      <c r="IR10" s="29">
        <f t="shared" ca="1" si="291"/>
        <v>14562.91382984118</v>
      </c>
      <c r="IS10" s="29">
        <f t="shared" ca="1" si="292"/>
        <v>13674.29229518142</v>
      </c>
      <c r="IT10" s="29">
        <f t="shared" ca="1" si="293"/>
        <v>15236.02703178682</v>
      </c>
      <c r="IU10" s="29">
        <f t="shared" ca="1" si="294"/>
        <v>15808.138436497436</v>
      </c>
      <c r="IV10" s="29">
        <f t="shared" ca="1" si="295"/>
        <v>14237.174403315559</v>
      </c>
      <c r="IW10" s="29">
        <f t="shared" ca="1" si="296"/>
        <v>14679.692223793492</v>
      </c>
      <c r="IX10" s="29">
        <f t="shared" ca="1" si="297"/>
        <v>14564.418937953984</v>
      </c>
      <c r="IY10" s="29">
        <f t="shared" ca="1" si="298"/>
        <v>13573.450054627408</v>
      </c>
      <c r="IZ10" s="29">
        <f t="shared" ca="1" si="299"/>
        <v>14082.2292363737</v>
      </c>
      <c r="JA10" s="29">
        <f t="shared" ca="1" si="300"/>
        <v>13734.964659279834</v>
      </c>
      <c r="JB10" s="29">
        <f t="shared" ca="1" si="301"/>
        <v>14156.591769085218</v>
      </c>
      <c r="JC10" s="29">
        <f t="shared" ca="1" si="302"/>
        <v>14054.790954529093</v>
      </c>
      <c r="JD10" s="29">
        <f t="shared" ca="1" si="303"/>
        <v>13933.299640412017</v>
      </c>
      <c r="JE10" s="29">
        <f t="shared" ca="1" si="304"/>
        <v>13590.028913141354</v>
      </c>
      <c r="JF10" s="29">
        <f t="shared" ca="1" si="305"/>
        <v>14615.70972436893</v>
      </c>
      <c r="JG10" s="29">
        <f t="shared" ca="1" si="306"/>
        <v>14201.207198936741</v>
      </c>
      <c r="JH10" s="29">
        <f t="shared" ca="1" si="307"/>
        <v>14022.612313050719</v>
      </c>
      <c r="JI10" s="29">
        <f t="shared" ca="1" si="308"/>
        <v>14470.202840478445</v>
      </c>
      <c r="JJ10" s="29">
        <f t="shared" ca="1" si="309"/>
        <v>14283.580767539412</v>
      </c>
      <c r="JK10" s="29">
        <f t="shared" ca="1" si="310"/>
        <v>14254.005348288492</v>
      </c>
      <c r="JL10" s="29">
        <f t="shared" ca="1" si="311"/>
        <v>14319.64689671451</v>
      </c>
      <c r="JM10" s="29">
        <f t="shared" ca="1" si="312"/>
        <v>13526.546354423972</v>
      </c>
      <c r="JN10" s="29">
        <f t="shared" ca="1" si="313"/>
        <v>14719.040072632959</v>
      </c>
      <c r="JO10" s="29">
        <f t="shared" ca="1" si="314"/>
        <v>14711.528290892644</v>
      </c>
      <c r="JP10" s="29">
        <f t="shared" ca="1" si="315"/>
        <v>14671.830754008983</v>
      </c>
      <c r="JQ10" s="29">
        <f t="shared" ca="1" si="316"/>
        <v>13991.408165243107</v>
      </c>
      <c r="JR10" s="29">
        <f t="shared" ca="1" si="317"/>
        <v>14953.390961776537</v>
      </c>
      <c r="JS10" s="29">
        <f t="shared" ca="1" si="318"/>
        <v>14643.410770484776</v>
      </c>
      <c r="JT10" s="29">
        <f t="shared" ca="1" si="319"/>
        <v>14904.749288007166</v>
      </c>
      <c r="JU10" s="29">
        <f t="shared" ca="1" si="320"/>
        <v>14714.183396893992</v>
      </c>
      <c r="JV10" s="29">
        <f t="shared" ca="1" si="321"/>
        <v>14659.497256260878</v>
      </c>
      <c r="JW10" s="29">
        <f t="shared" ca="1" si="322"/>
        <v>14814.492004183512</v>
      </c>
      <c r="JX10" s="29">
        <f t="shared" ca="1" si="323"/>
        <v>14925.686416086544</v>
      </c>
      <c r="JY10" s="29">
        <f t="shared" ca="1" si="324"/>
        <v>13822.054954825539</v>
      </c>
      <c r="JZ10" s="29">
        <f t="shared" ca="1" si="325"/>
        <v>14296.157966854111</v>
      </c>
      <c r="KA10" s="29">
        <f t="shared" ca="1" si="326"/>
        <v>14001.726698535094</v>
      </c>
      <c r="KB10" s="29">
        <f t="shared" ca="1" si="327"/>
        <v>13929.727386569299</v>
      </c>
      <c r="KC10" s="29">
        <f t="shared" ca="1" si="328"/>
        <v>14531.2606804801</v>
      </c>
      <c r="KD10" s="29">
        <f t="shared" ca="1" si="329"/>
        <v>14400.193736764519</v>
      </c>
      <c r="KE10" s="29">
        <f t="shared" ca="1" si="330"/>
        <v>15241.383592746537</v>
      </c>
      <c r="KF10" s="29">
        <f t="shared" ca="1" si="331"/>
        <v>14216.427214958452</v>
      </c>
      <c r="KG10" s="29">
        <f t="shared" ca="1" si="332"/>
        <v>14301.052738398661</v>
      </c>
      <c r="KH10" s="29">
        <f t="shared" ca="1" si="333"/>
        <v>14685.482154538473</v>
      </c>
      <c r="KI10" s="29">
        <f t="shared" ca="1" si="334"/>
        <v>14140.834228021955</v>
      </c>
      <c r="KJ10" s="29">
        <f t="shared" ca="1" si="335"/>
        <v>14784.048598328882</v>
      </c>
      <c r="KK10" s="29">
        <f t="shared" ca="1" si="336"/>
        <v>14105.611595048722</v>
      </c>
      <c r="KL10" s="29">
        <f t="shared" ca="1" si="337"/>
        <v>14277.431965771122</v>
      </c>
      <c r="KM10" s="29">
        <f t="shared" ca="1" si="338"/>
        <v>15384.541214797759</v>
      </c>
      <c r="KN10" s="29">
        <f t="shared" ca="1" si="339"/>
        <v>13759.08796713825</v>
      </c>
      <c r="KO10" s="29">
        <f t="shared" ca="1" si="340"/>
        <v>14550.733689665951</v>
      </c>
      <c r="KP10" s="29">
        <f t="shared" ca="1" si="341"/>
        <v>14238.973670319469</v>
      </c>
      <c r="KQ10" s="29">
        <f t="shared" ca="1" si="342"/>
        <v>14407.910143244486</v>
      </c>
      <c r="KR10" s="29">
        <f t="shared" ca="1" si="343"/>
        <v>14334.666975577496</v>
      </c>
      <c r="KS10" s="29">
        <f t="shared" ca="1" si="344"/>
        <v>13526.273748680642</v>
      </c>
      <c r="KT10" s="29">
        <f t="shared" ca="1" si="345"/>
        <v>14279.862980388198</v>
      </c>
      <c r="KU10" s="29">
        <f t="shared" ca="1" si="346"/>
        <v>14333.884802493734</v>
      </c>
      <c r="KV10" s="29">
        <f t="shared" ca="1" si="347"/>
        <v>13725.654375824151</v>
      </c>
      <c r="KW10" s="29">
        <f t="shared" ca="1" si="348"/>
        <v>14871.372871324538</v>
      </c>
      <c r="KX10" s="29">
        <f t="shared" ca="1" si="349"/>
        <v>13561.360523088653</v>
      </c>
      <c r="KY10" s="29">
        <f t="shared" ca="1" si="350"/>
        <v>15014.578407020093</v>
      </c>
      <c r="KZ10" s="29">
        <f t="shared" ca="1" si="351"/>
        <v>13994.219574223005</v>
      </c>
      <c r="LA10" s="29">
        <f t="shared" ca="1" si="352"/>
        <v>15346.427004804475</v>
      </c>
      <c r="LB10" s="29">
        <f t="shared" ca="1" si="353"/>
        <v>13955.904053709248</v>
      </c>
      <c r="LC10" s="29">
        <f t="shared" ca="1" si="354"/>
        <v>14396.482942047962</v>
      </c>
      <c r="LD10" s="29">
        <f t="shared" ca="1" si="355"/>
        <v>13808.27120663532</v>
      </c>
      <c r="LE10" s="29">
        <f t="shared" ca="1" si="356"/>
        <v>13892.280963945912</v>
      </c>
      <c r="LF10" s="29">
        <f t="shared" ca="1" si="357"/>
        <v>14223.374828823347</v>
      </c>
      <c r="LG10" s="29">
        <f t="shared" ca="1" si="358"/>
        <v>14509.149293235163</v>
      </c>
      <c r="LH10" s="29">
        <f t="shared" ca="1" si="359"/>
        <v>13546.563408374321</v>
      </c>
      <c r="LI10" s="29">
        <f t="shared" ca="1" si="360"/>
        <v>14008.933955630049</v>
      </c>
      <c r="LJ10" s="29">
        <f t="shared" ca="1" si="361"/>
        <v>14370.840954071491</v>
      </c>
      <c r="LK10" s="29">
        <f t="shared" ca="1" si="362"/>
        <v>14303.768205293592</v>
      </c>
      <c r="LL10" s="29">
        <f t="shared" ca="1" si="363"/>
        <v>14232.418157340184</v>
      </c>
      <c r="LM10" s="29">
        <f t="shared" ca="1" si="364"/>
        <v>14584.025302091995</v>
      </c>
      <c r="LN10" s="29">
        <f t="shared" ca="1" si="365"/>
        <v>14808.334196621519</v>
      </c>
      <c r="LO10" s="29">
        <f t="shared" ca="1" si="366"/>
        <v>13852.62730638271</v>
      </c>
      <c r="LP10" s="29">
        <f t="shared" ca="1" si="367"/>
        <v>14455.270552605729</v>
      </c>
      <c r="LQ10" s="29">
        <f t="shared" ca="1" si="368"/>
        <v>15195.190839179388</v>
      </c>
      <c r="LR10" s="29">
        <f t="shared" ca="1" si="369"/>
        <v>14572.754556759006</v>
      </c>
      <c r="LS10" s="29">
        <f t="shared" ca="1" si="370"/>
        <v>13699.494294341352</v>
      </c>
      <c r="LT10" s="29">
        <f t="shared" ca="1" si="371"/>
        <v>14055.597228925308</v>
      </c>
      <c r="LU10" s="29">
        <f t="shared" ca="1" si="372"/>
        <v>14758.513800655035</v>
      </c>
      <c r="LV10" s="29">
        <f t="shared" ca="1" si="373"/>
        <v>13797.300164533472</v>
      </c>
      <c r="LW10" s="29">
        <f t="shared" ca="1" si="374"/>
        <v>14459.600910670973</v>
      </c>
      <c r="LX10" s="29">
        <f t="shared" ca="1" si="375"/>
        <v>14464.428581541471</v>
      </c>
      <c r="LY10" s="29">
        <f t="shared" ca="1" si="376"/>
        <v>14958.410505187067</v>
      </c>
      <c r="LZ10" s="29">
        <f t="shared" ca="1" si="377"/>
        <v>14542.44619441652</v>
      </c>
      <c r="MA10" s="29">
        <f t="shared" ca="1" si="378"/>
        <v>13899.552621463801</v>
      </c>
      <c r="MB10" s="29">
        <f t="shared" ca="1" si="379"/>
        <v>14085.568818255502</v>
      </c>
      <c r="MC10" s="29">
        <f t="shared" ca="1" si="380"/>
        <v>14714.767223291052</v>
      </c>
      <c r="MD10" s="29">
        <f t="shared" ca="1" si="381"/>
        <v>14806.671048162867</v>
      </c>
      <c r="ME10" s="29">
        <f t="shared" ca="1" si="382"/>
        <v>13440.976793990802</v>
      </c>
      <c r="MF10" s="29">
        <f t="shared" ca="1" si="383"/>
        <v>14582.330574519794</v>
      </c>
      <c r="MG10" s="29">
        <f t="shared" ca="1" si="384"/>
        <v>13851.191824011868</v>
      </c>
      <c r="MH10" s="29">
        <f t="shared" ca="1" si="385"/>
        <v>14431.53241881155</v>
      </c>
      <c r="MI10" s="29">
        <f t="shared" ca="1" si="386"/>
        <v>14694.94652472648</v>
      </c>
      <c r="MJ10" s="29">
        <f t="shared" ca="1" si="387"/>
        <v>15126.103847596683</v>
      </c>
      <c r="MK10" s="29">
        <f t="shared" ca="1" si="388"/>
        <v>14190.405187163959</v>
      </c>
      <c r="ML10" s="29">
        <f t="shared" ca="1" si="389"/>
        <v>15079.71752578578</v>
      </c>
      <c r="MM10" s="29">
        <f t="shared" ca="1" si="390"/>
        <v>14555.258998905605</v>
      </c>
      <c r="MN10" s="29">
        <f t="shared" ca="1" si="391"/>
        <v>14548.007239454546</v>
      </c>
      <c r="MO10" s="29">
        <f t="shared" ca="1" si="392"/>
        <v>14253.139697355229</v>
      </c>
      <c r="MP10" s="29">
        <f t="shared" ca="1" si="393"/>
        <v>14484.778222673374</v>
      </c>
      <c r="MQ10" s="29">
        <f t="shared" ca="1" si="394"/>
        <v>14569.387341725989</v>
      </c>
      <c r="MR10" s="29">
        <f t="shared" ca="1" si="395"/>
        <v>14100.349722603652</v>
      </c>
      <c r="MS10" s="29">
        <f t="shared" ca="1" si="396"/>
        <v>13765.492543988103</v>
      </c>
      <c r="MT10" s="29">
        <f t="shared" ca="1" si="397"/>
        <v>14532.505760940374</v>
      </c>
      <c r="MU10" s="29">
        <f t="shared" ca="1" si="398"/>
        <v>14052.469574519562</v>
      </c>
      <c r="MV10" s="29">
        <f t="shared" ca="1" si="399"/>
        <v>13739.29045908369</v>
      </c>
      <c r="MW10" s="29">
        <f t="shared" ca="1" si="400"/>
        <v>14065.56226621126</v>
      </c>
      <c r="MX10" s="29">
        <f t="shared" ca="1" si="401"/>
        <v>14598.99816705981</v>
      </c>
      <c r="MY10" s="29">
        <f t="shared" ca="1" si="402"/>
        <v>14508.71087646538</v>
      </c>
      <c r="MZ10" s="29">
        <f t="shared" ca="1" si="403"/>
        <v>14915.933072632251</v>
      </c>
      <c r="NA10" s="29">
        <f t="shared" ca="1" si="404"/>
        <v>14773.122586673975</v>
      </c>
      <c r="NB10" s="29">
        <f t="shared" ca="1" si="405"/>
        <v>14870.62779983134</v>
      </c>
      <c r="NC10" s="29">
        <f t="shared" ca="1" si="406"/>
        <v>14257.59221367274</v>
      </c>
      <c r="ND10" s="29">
        <f t="shared" ca="1" si="407"/>
        <v>14046.908614542259</v>
      </c>
      <c r="NE10" s="29">
        <f t="shared" ca="1" si="408"/>
        <v>14830.858931648989</v>
      </c>
      <c r="NF10" s="29">
        <f t="shared" ca="1" si="409"/>
        <v>14803.975079443573</v>
      </c>
      <c r="NG10" s="29">
        <f t="shared" ca="1" si="410"/>
        <v>13898.525902361367</v>
      </c>
      <c r="NH10" s="29">
        <f t="shared" ca="1" si="411"/>
        <v>14169.033550043834</v>
      </c>
      <c r="NI10" s="29">
        <f t="shared" ca="1" si="412"/>
        <v>14779.264730444627</v>
      </c>
      <c r="NJ10" s="29">
        <f t="shared" ca="1" si="413"/>
        <v>14302.945767090287</v>
      </c>
      <c r="NK10" s="29">
        <f t="shared" ca="1" si="414"/>
        <v>14895.928210453838</v>
      </c>
      <c r="NL10" s="29">
        <f t="shared" ca="1" si="415"/>
        <v>13536.125036426269</v>
      </c>
      <c r="NM10" s="29">
        <f t="shared" ca="1" si="416"/>
        <v>14656.015765419163</v>
      </c>
      <c r="NN10" s="29">
        <f t="shared" ca="1" si="417"/>
        <v>14281.398768555355</v>
      </c>
      <c r="NO10" s="29">
        <f t="shared" ca="1" si="418"/>
        <v>14517.707434703605</v>
      </c>
      <c r="NP10" s="29">
        <f t="shared" ca="1" si="419"/>
        <v>13498.661437207526</v>
      </c>
      <c r="NQ10" s="29">
        <f t="shared" ca="1" si="420"/>
        <v>14376.975368960415</v>
      </c>
      <c r="NR10" s="29">
        <f t="shared" ca="1" si="421"/>
        <v>14722.937646345725</v>
      </c>
      <c r="NS10" s="29">
        <f t="shared" ca="1" si="422"/>
        <v>14607.713915790229</v>
      </c>
      <c r="NT10" s="29">
        <f t="shared" ca="1" si="423"/>
        <v>14653.057872312198</v>
      </c>
      <c r="NU10" s="29">
        <f t="shared" ca="1" si="424"/>
        <v>14661.556299329466</v>
      </c>
      <c r="NV10" s="29">
        <f t="shared" ca="1" si="425"/>
        <v>13788.510740474561</v>
      </c>
      <c r="NW10" s="29">
        <f t="shared" ca="1" si="426"/>
        <v>13963.082419683047</v>
      </c>
      <c r="NX10" s="29">
        <f t="shared" ca="1" si="427"/>
        <v>14624.206967233335</v>
      </c>
      <c r="NY10" s="29">
        <f t="shared" ca="1" si="428"/>
        <v>14540.106182591149</v>
      </c>
      <c r="NZ10" s="29">
        <f t="shared" ca="1" si="429"/>
        <v>14330.1421731544</v>
      </c>
      <c r="OA10" s="29">
        <f t="shared" ca="1" si="430"/>
        <v>14192.967955474971</v>
      </c>
      <c r="OB10" s="29">
        <f t="shared" ca="1" si="431"/>
        <v>14743.768959815408</v>
      </c>
      <c r="OC10" s="29">
        <f t="shared" ca="1" si="432"/>
        <v>14355.64757233656</v>
      </c>
      <c r="OD10" s="29">
        <f t="shared" ca="1" si="433"/>
        <v>14571.037336635651</v>
      </c>
      <c r="OE10" s="29">
        <f t="shared" ca="1" si="434"/>
        <v>15571.800913461115</v>
      </c>
      <c r="OF10" s="29">
        <f t="shared" ca="1" si="435"/>
        <v>13855.566102324341</v>
      </c>
      <c r="OG10" s="29">
        <f t="shared" ca="1" si="436"/>
        <v>14910.31909453779</v>
      </c>
      <c r="OH10" s="29">
        <f t="shared" ca="1" si="437"/>
        <v>14981.503679284251</v>
      </c>
      <c r="OI10" s="29">
        <f t="shared" ca="1" si="438"/>
        <v>14263.142302317188</v>
      </c>
      <c r="OJ10" s="29">
        <f t="shared" ca="1" si="439"/>
        <v>14171.645210720351</v>
      </c>
      <c r="OK10" s="29">
        <f t="shared" ca="1" si="440"/>
        <v>13587.514453617543</v>
      </c>
      <c r="OL10" s="29">
        <f t="shared" ca="1" si="441"/>
        <v>14670.181250919979</v>
      </c>
      <c r="OM10" s="29">
        <f t="shared" ca="1" si="442"/>
        <v>14183.883393442693</v>
      </c>
      <c r="ON10" s="29">
        <f t="shared" ca="1" si="443"/>
        <v>14796.582854356582</v>
      </c>
      <c r="OO10" s="29">
        <f t="shared" ca="1" si="444"/>
        <v>13743.505591026014</v>
      </c>
      <c r="OP10" s="29">
        <f t="shared" ca="1" si="445"/>
        <v>15453.181608912308</v>
      </c>
      <c r="OQ10" s="29">
        <f t="shared" ca="1" si="446"/>
        <v>14029.94907278189</v>
      </c>
      <c r="OR10" s="29">
        <f t="shared" ca="1" si="447"/>
        <v>13854.899440301318</v>
      </c>
      <c r="OS10" s="29">
        <f t="shared" ca="1" si="448"/>
        <v>13687.934855478803</v>
      </c>
      <c r="OT10" s="29">
        <f t="shared" ca="1" si="449"/>
        <v>14444.051454903793</v>
      </c>
      <c r="OU10" s="29">
        <f t="shared" ca="1" si="450"/>
        <v>14687.350579095393</v>
      </c>
      <c r="OV10" s="29">
        <f t="shared" ca="1" si="451"/>
        <v>14613.30524359469</v>
      </c>
      <c r="OW10" s="29">
        <f t="shared" ca="1" si="452"/>
        <v>14929.943867378126</v>
      </c>
      <c r="OX10" s="29">
        <f t="shared" ca="1" si="453"/>
        <v>14536.461635186042</v>
      </c>
      <c r="OY10" s="29">
        <f t="shared" ca="1" si="454"/>
        <v>14825.092323279012</v>
      </c>
      <c r="OZ10" s="29">
        <f t="shared" ca="1" si="455"/>
        <v>13513.355664045339</v>
      </c>
      <c r="PA10" s="29">
        <f t="shared" ca="1" si="456"/>
        <v>14348.890874154924</v>
      </c>
      <c r="PB10" s="29">
        <f t="shared" ca="1" si="457"/>
        <v>13900.8029886399</v>
      </c>
      <c r="PC10" s="29">
        <f t="shared" ca="1" si="458"/>
        <v>14152.084275119585</v>
      </c>
      <c r="PD10" s="29">
        <f t="shared" ca="1" si="459"/>
        <v>14713.925603816107</v>
      </c>
      <c r="PE10" s="29">
        <f t="shared" ca="1" si="460"/>
        <v>14356.325967139832</v>
      </c>
      <c r="PF10" s="29">
        <f t="shared" ca="1" si="461"/>
        <v>14522.237111372919</v>
      </c>
      <c r="PG10" s="29">
        <f t="shared" ca="1" si="462"/>
        <v>14616.83850720491</v>
      </c>
      <c r="PH10" s="29">
        <f t="shared" ca="1" si="463"/>
        <v>14718.914108297144</v>
      </c>
      <c r="PI10" s="29">
        <f t="shared" ca="1" si="464"/>
        <v>13076.468801878971</v>
      </c>
      <c r="PJ10" s="29">
        <f t="shared" ca="1" si="465"/>
        <v>14555.807967453766</v>
      </c>
      <c r="PK10" s="29">
        <f t="shared" ca="1" si="466"/>
        <v>14496.768357166573</v>
      </c>
      <c r="PL10" s="29">
        <f t="shared" ca="1" si="467"/>
        <v>13682.406802737854</v>
      </c>
      <c r="PM10" s="29">
        <f t="shared" ca="1" si="468"/>
        <v>13773.095336838593</v>
      </c>
      <c r="PN10" s="29">
        <f t="shared" ca="1" si="469"/>
        <v>14145.145881879513</v>
      </c>
      <c r="PO10" s="29">
        <f t="shared" ca="1" si="470"/>
        <v>14429.398281004418</v>
      </c>
      <c r="PP10" s="29">
        <f t="shared" ca="1" si="471"/>
        <v>14074.319367711847</v>
      </c>
      <c r="PQ10" s="29">
        <f t="shared" ca="1" si="472"/>
        <v>14757.767602534128</v>
      </c>
      <c r="PR10" s="29">
        <f t="shared" ca="1" si="473"/>
        <v>14249.527131852494</v>
      </c>
      <c r="PS10" s="29">
        <f t="shared" ca="1" si="474"/>
        <v>14798.094549533758</v>
      </c>
      <c r="PT10" s="29">
        <f t="shared" ca="1" si="475"/>
        <v>14407.632362022801</v>
      </c>
      <c r="PU10" s="29">
        <f t="shared" ca="1" si="476"/>
        <v>14426.953989759751</v>
      </c>
      <c r="PV10" s="29">
        <f t="shared" ca="1" si="477"/>
        <v>14665.590666550377</v>
      </c>
      <c r="PW10" s="29">
        <f t="shared" ca="1" si="478"/>
        <v>14733.095273257428</v>
      </c>
      <c r="PX10" s="29">
        <f t="shared" ca="1" si="479"/>
        <v>13843.779599387321</v>
      </c>
      <c r="PY10" s="29">
        <f t="shared" ca="1" si="480"/>
        <v>14296.190345219851</v>
      </c>
      <c r="PZ10" s="29">
        <f t="shared" ca="1" si="481"/>
        <v>13217.434995243777</v>
      </c>
      <c r="QA10" s="29">
        <f t="shared" ca="1" si="482"/>
        <v>14778.538475250905</v>
      </c>
      <c r="QB10" s="29">
        <f t="shared" ca="1" si="483"/>
        <v>14582.659125990047</v>
      </c>
      <c r="QC10" s="29">
        <f t="shared" ca="1" si="484"/>
        <v>13855.83290240424</v>
      </c>
      <c r="QD10" s="29">
        <f t="shared" ca="1" si="485"/>
        <v>14127.95009392198</v>
      </c>
      <c r="QE10" s="29">
        <f t="shared" ca="1" si="486"/>
        <v>14478.484061565418</v>
      </c>
      <c r="QF10" s="29">
        <f t="shared" ca="1" si="487"/>
        <v>15063.142888117576</v>
      </c>
      <c r="QG10" s="29">
        <f t="shared" ca="1" si="488"/>
        <v>14819.451199831738</v>
      </c>
      <c r="QH10" s="29">
        <f t="shared" ca="1" si="489"/>
        <v>14976.430562487252</v>
      </c>
      <c r="QI10" s="29">
        <f t="shared" ca="1" si="490"/>
        <v>14975.585278523557</v>
      </c>
      <c r="QJ10" s="29">
        <f t="shared" ca="1" si="491"/>
        <v>13725.240114628601</v>
      </c>
      <c r="QK10" s="29">
        <f t="shared" ca="1" si="492"/>
        <v>14917.105894522792</v>
      </c>
      <c r="QL10" s="29">
        <f t="shared" ca="1" si="493"/>
        <v>14605.107833352424</v>
      </c>
      <c r="QM10" s="29">
        <f t="shared" ca="1" si="494"/>
        <v>13995.942293276717</v>
      </c>
      <c r="QN10" s="29">
        <f t="shared" ca="1" si="495"/>
        <v>14852.041084152082</v>
      </c>
      <c r="QO10" s="29">
        <f t="shared" ca="1" si="496"/>
        <v>14576.526790887736</v>
      </c>
      <c r="QP10" s="29">
        <f t="shared" ca="1" si="497"/>
        <v>14288.734188374134</v>
      </c>
      <c r="QQ10" s="29">
        <f t="shared" ca="1" si="498"/>
        <v>14980.549224128054</v>
      </c>
      <c r="QR10" s="29">
        <f t="shared" ca="1" si="499"/>
        <v>14697.950846963618</v>
      </c>
      <c r="QS10" s="29">
        <f t="shared" ca="1" si="500"/>
        <v>15072.264360078321</v>
      </c>
      <c r="QT10" s="29">
        <f t="shared" ca="1" si="501"/>
        <v>15083.611172956835</v>
      </c>
      <c r="QU10" s="29">
        <f t="shared" ca="1" si="502"/>
        <v>13992.774117960591</v>
      </c>
      <c r="QV10" s="29">
        <f t="shared" ca="1" si="503"/>
        <v>14617.727246049213</v>
      </c>
      <c r="QW10" s="29">
        <f t="shared" ca="1" si="504"/>
        <v>14347.134696300744</v>
      </c>
      <c r="QX10" s="29">
        <f t="shared" ca="1" si="505"/>
        <v>14611.543098982102</v>
      </c>
      <c r="QY10" s="29">
        <f t="shared" ca="1" si="506"/>
        <v>15205.020484300965</v>
      </c>
      <c r="QZ10" s="29">
        <f t="shared" ca="1" si="507"/>
        <v>13961.410687046804</v>
      </c>
      <c r="RA10" s="29">
        <f t="shared" ca="1" si="508"/>
        <v>14282.023722542026</v>
      </c>
      <c r="RB10" s="29">
        <f t="shared" ca="1" si="509"/>
        <v>13905.007922967927</v>
      </c>
      <c r="RC10" s="29">
        <f t="shared" ca="1" si="510"/>
        <v>14295.869091387161</v>
      </c>
      <c r="RD10" s="29">
        <f t="shared" ca="1" si="511"/>
        <v>14673.950634622119</v>
      </c>
      <c r="RE10" s="29">
        <f t="shared" ca="1" si="512"/>
        <v>14483.059127013834</v>
      </c>
      <c r="RF10" s="29">
        <f t="shared" ca="1" si="513"/>
        <v>14329.737596745361</v>
      </c>
      <c r="RG10" s="29">
        <f t="shared" ca="1" si="514"/>
        <v>14333.70040382472</v>
      </c>
      <c r="RH10" s="29">
        <f t="shared" ca="1" si="515"/>
        <v>14168.940554742096</v>
      </c>
      <c r="RI10" s="29">
        <f t="shared" ca="1" si="516"/>
        <v>13911.598858253972</v>
      </c>
      <c r="RJ10" s="29">
        <f t="shared" ca="1" si="517"/>
        <v>14533.112941074805</v>
      </c>
      <c r="RK10" s="29">
        <f t="shared" ca="1" si="518"/>
        <v>14017.359388742405</v>
      </c>
      <c r="RL10" s="29">
        <f t="shared" ca="1" si="519"/>
        <v>14267.126698184367</v>
      </c>
      <c r="RM10" s="29">
        <f t="shared" ca="1" si="520"/>
        <v>14300.570687783502</v>
      </c>
      <c r="RN10" s="29">
        <f t="shared" ca="1" si="521"/>
        <v>13834.418600203589</v>
      </c>
      <c r="RO10" s="29">
        <f t="shared" ca="1" si="522"/>
        <v>14121.350810565707</v>
      </c>
      <c r="RP10" s="29">
        <f t="shared" ca="1" si="523"/>
        <v>14933.401071458826</v>
      </c>
      <c r="RQ10" s="29">
        <f t="shared" ca="1" si="524"/>
        <v>15026.224733651592</v>
      </c>
      <c r="RR10" s="29">
        <f t="shared" ca="1" si="525"/>
        <v>14425.133942512119</v>
      </c>
      <c r="RS10" s="29">
        <f t="shared" ca="1" si="526"/>
        <v>14811.611198620092</v>
      </c>
      <c r="RT10" s="29">
        <f t="shared" ca="1" si="527"/>
        <v>14580.814722902374</v>
      </c>
      <c r="RU10" s="29">
        <f t="shared" ca="1" si="528"/>
        <v>14007.196518257184</v>
      </c>
      <c r="RV10" s="29">
        <f t="shared" ca="1" si="529"/>
        <v>13903.708316766153</v>
      </c>
      <c r="RW10" s="29">
        <f t="shared" ca="1" si="530"/>
        <v>15188.406280667272</v>
      </c>
      <c r="RX10" s="29">
        <f t="shared" ca="1" si="531"/>
        <v>14329.35904098096</v>
      </c>
      <c r="RY10" s="29">
        <f t="shared" ca="1" si="532"/>
        <v>14116.995217826441</v>
      </c>
      <c r="RZ10" s="29">
        <f t="shared" ca="1" si="533"/>
        <v>15186.946785911927</v>
      </c>
      <c r="SA10" s="29">
        <f t="shared" ca="1" si="534"/>
        <v>14121.760113394064</v>
      </c>
      <c r="SB10" s="29">
        <f t="shared" ca="1" si="535"/>
        <v>14220.648586449208</v>
      </c>
      <c r="SC10" s="29">
        <f t="shared" ca="1" si="536"/>
        <v>14650.144337814185</v>
      </c>
      <c r="SD10" s="29">
        <f t="shared" ca="1" si="537"/>
        <v>14460.567563544088</v>
      </c>
      <c r="SE10" s="29">
        <f t="shared" ca="1" si="538"/>
        <v>13970.663177422904</v>
      </c>
      <c r="SF10" s="29">
        <f t="shared" ca="1" si="539"/>
        <v>14101.039901676691</v>
      </c>
      <c r="SG10" s="29">
        <f t="shared" ca="1" si="540"/>
        <v>15594.792080154584</v>
      </c>
      <c r="SH10" s="29">
        <f t="shared" ca="1" si="541"/>
        <v>15070.758853702346</v>
      </c>
      <c r="SI10" s="29">
        <f t="shared" ca="1" si="542"/>
        <v>14295.090965899455</v>
      </c>
      <c r="SJ10" s="29">
        <f t="shared" ca="1" si="543"/>
        <v>14152.896954062278</v>
      </c>
      <c r="SK10" s="29">
        <f t="shared" ca="1" si="544"/>
        <v>14868.548256342758</v>
      </c>
      <c r="SL10" s="29">
        <f t="shared" ca="1" si="545"/>
        <v>14572.584550202439</v>
      </c>
      <c r="SM10" s="29">
        <f t="shared" ca="1" si="546"/>
        <v>14505.481388108543</v>
      </c>
      <c r="SN10" s="29">
        <f t="shared" ca="1" si="547"/>
        <v>14342.101058435854</v>
      </c>
      <c r="SO10" s="29">
        <f t="shared" ca="1" si="548"/>
        <v>13977.098912522737</v>
      </c>
      <c r="SP10" s="29">
        <f t="shared" ca="1" si="549"/>
        <v>15195.270934963861</v>
      </c>
      <c r="SQ10" s="29">
        <f t="shared" ca="1" si="550"/>
        <v>14549.769180472775</v>
      </c>
      <c r="SR10" s="29">
        <f t="shared" ca="1" si="551"/>
        <v>13990.2754447151</v>
      </c>
      <c r="SS10" s="29">
        <f t="shared" ca="1" si="552"/>
        <v>14590.180916803514</v>
      </c>
      <c r="ST10" s="29">
        <f t="shared" ca="1" si="553"/>
        <v>13979.197363350164</v>
      </c>
      <c r="SU10" s="29">
        <f t="shared" ca="1" si="554"/>
        <v>15167.477898319024</v>
      </c>
      <c r="SV10" s="29">
        <f t="shared" ca="1" si="555"/>
        <v>14324.138427029369</v>
      </c>
      <c r="SW10" s="29">
        <f t="shared" ca="1" si="556"/>
        <v>14146.307040449678</v>
      </c>
      <c r="SX10" s="29">
        <f t="shared" ca="1" si="557"/>
        <v>13692.44605434448</v>
      </c>
      <c r="SY10" s="29">
        <f t="shared" ca="1" si="558"/>
        <v>14150.368207157282</v>
      </c>
      <c r="SZ10" s="29">
        <f t="shared" ca="1" si="559"/>
        <v>14573.533806560206</v>
      </c>
      <c r="TA10" s="29">
        <f t="shared" ca="1" si="560"/>
        <v>14152.497434581615</v>
      </c>
      <c r="TB10" s="29">
        <f t="shared" ca="1" si="561"/>
        <v>13955.085245058666</v>
      </c>
      <c r="TC10" s="29">
        <f t="shared" ca="1" si="562"/>
        <v>14709.812964685383</v>
      </c>
      <c r="TD10" s="29">
        <f t="shared" ca="1" si="563"/>
        <v>13823.402287016237</v>
      </c>
      <c r="TE10" s="29">
        <f t="shared" ca="1" si="564"/>
        <v>14133.091738568886</v>
      </c>
      <c r="TF10" s="29">
        <f t="shared" ca="1" si="565"/>
        <v>14079.369076874973</v>
      </c>
      <c r="TG10" s="29">
        <f t="shared" ca="1" si="566"/>
        <v>14455.855936197779</v>
      </c>
      <c r="TH10" s="29">
        <f t="shared" ca="1" si="567"/>
        <v>14268.389504672972</v>
      </c>
      <c r="TI10" s="29">
        <f t="shared" ca="1" si="568"/>
        <v>13698.199199341752</v>
      </c>
      <c r="TJ10" s="29">
        <f t="shared" ca="1" si="569"/>
        <v>14727.062996294624</v>
      </c>
      <c r="TK10" s="29">
        <f t="shared" ca="1" si="570"/>
        <v>14109.649256028399</v>
      </c>
      <c r="TL10" s="29">
        <f t="shared" ca="1" si="571"/>
        <v>14773.788339253693</v>
      </c>
      <c r="TM10" s="29">
        <f t="shared" ca="1" si="572"/>
        <v>13984.241363781735</v>
      </c>
      <c r="TN10" s="29">
        <f t="shared" ca="1" si="573"/>
        <v>14061.599422323967</v>
      </c>
      <c r="TO10" s="29">
        <f t="shared" ca="1" si="574"/>
        <v>14295.611067352622</v>
      </c>
      <c r="TP10" s="29">
        <f t="shared" ca="1" si="575"/>
        <v>14980.849776662497</v>
      </c>
      <c r="TQ10" s="29">
        <f t="shared" ca="1" si="576"/>
        <v>14590.36985377195</v>
      </c>
      <c r="TR10" s="29">
        <f t="shared" ca="1" si="577"/>
        <v>14335.354353182111</v>
      </c>
      <c r="TS10" s="29">
        <f t="shared" ca="1" si="578"/>
        <v>14775.165837536788</v>
      </c>
      <c r="TT10" s="29">
        <f t="shared" ca="1" si="579"/>
        <v>14277.992289226122</v>
      </c>
      <c r="TU10" s="29">
        <f t="shared" ca="1" si="580"/>
        <v>14309.633452485548</v>
      </c>
      <c r="TV10" s="29">
        <f t="shared" ca="1" si="581"/>
        <v>14451.921982834581</v>
      </c>
      <c r="TW10" s="29">
        <f t="shared" ca="1" si="582"/>
        <v>14806.550391171313</v>
      </c>
      <c r="TX10" s="29">
        <f t="shared" ca="1" si="583"/>
        <v>14530.748485439179</v>
      </c>
      <c r="TY10" s="29">
        <f t="shared" ca="1" si="584"/>
        <v>14336.538975329317</v>
      </c>
      <c r="TZ10" s="29">
        <f t="shared" ca="1" si="585"/>
        <v>14658.800396988783</v>
      </c>
      <c r="UA10" s="29">
        <f t="shared" ca="1" si="586"/>
        <v>14239.570439403797</v>
      </c>
      <c r="UB10" s="29">
        <f t="shared" ca="1" si="587"/>
        <v>14853.640073104865</v>
      </c>
      <c r="UC10" s="29">
        <f t="shared" ca="1" si="588"/>
        <v>13853.00900399385</v>
      </c>
      <c r="UD10" s="29">
        <f t="shared" ca="1" si="589"/>
        <v>14857.514307812933</v>
      </c>
      <c r="UE10" s="29">
        <f t="shared" ca="1" si="590"/>
        <v>14008.830375616204</v>
      </c>
      <c r="UF10" s="29">
        <f t="shared" ca="1" si="591"/>
        <v>14250.906928835022</v>
      </c>
      <c r="UG10" s="29">
        <f t="shared" ca="1" si="592"/>
        <v>14399.704321588182</v>
      </c>
      <c r="UH10" s="29">
        <f t="shared" ca="1" si="593"/>
        <v>13867.602764074094</v>
      </c>
      <c r="UI10" s="29">
        <f t="shared" ca="1" si="594"/>
        <v>14685.232044354058</v>
      </c>
      <c r="UJ10" s="29">
        <f t="shared" ca="1" si="595"/>
        <v>14762.095538193118</v>
      </c>
      <c r="UK10" s="29">
        <f t="shared" ca="1" si="596"/>
        <v>14708.582432115332</v>
      </c>
      <c r="UL10" s="29">
        <f t="shared" ca="1" si="597"/>
        <v>15824.747352943999</v>
      </c>
      <c r="UM10" s="29">
        <f t="shared" ca="1" si="598"/>
        <v>13573.064678987859</v>
      </c>
      <c r="UN10" s="29">
        <f t="shared" ca="1" si="599"/>
        <v>14172.020209426824</v>
      </c>
      <c r="UO10" s="29">
        <f t="shared" ca="1" si="600"/>
        <v>14809.801875087089</v>
      </c>
      <c r="UP10" s="29">
        <f t="shared" ca="1" si="601"/>
        <v>13687.333699590676</v>
      </c>
      <c r="UQ10" s="29">
        <f t="shared" ca="1" si="602"/>
        <v>14701.208000003635</v>
      </c>
      <c r="UR10" s="29">
        <f t="shared" ca="1" si="603"/>
        <v>14387.809490168731</v>
      </c>
      <c r="US10" s="29">
        <f t="shared" ca="1" si="604"/>
        <v>14835.885045936411</v>
      </c>
      <c r="UT10" s="29">
        <f t="shared" ca="1" si="605"/>
        <v>14191.815420669323</v>
      </c>
      <c r="UU10" s="29">
        <f t="shared" ca="1" si="606"/>
        <v>13824.469572582782</v>
      </c>
      <c r="UV10" s="29">
        <f t="shared" ca="1" si="607"/>
        <v>14557.952746403967</v>
      </c>
      <c r="UW10" s="29">
        <f t="shared" ca="1" si="608"/>
        <v>14359.62159312077</v>
      </c>
      <c r="UX10" s="29">
        <f t="shared" ca="1" si="609"/>
        <v>14127.88577625948</v>
      </c>
      <c r="UY10" s="29">
        <f t="shared" ca="1" si="610"/>
        <v>14381.732467434782</v>
      </c>
      <c r="UZ10" s="29">
        <f t="shared" ca="1" si="611"/>
        <v>13973.588507392482</v>
      </c>
      <c r="VA10" s="29">
        <f t="shared" ca="1" si="612"/>
        <v>14429.161418114205</v>
      </c>
      <c r="VB10" s="29">
        <f t="shared" ca="1" si="613"/>
        <v>14443.656762041846</v>
      </c>
      <c r="VC10" s="29">
        <f t="shared" ca="1" si="614"/>
        <v>14444.126522372953</v>
      </c>
      <c r="VD10" s="29">
        <f t="shared" ca="1" si="615"/>
        <v>14330.200258400948</v>
      </c>
      <c r="VE10" s="29">
        <f t="shared" ca="1" si="616"/>
        <v>14928.59012858558</v>
      </c>
      <c r="VF10" s="29">
        <f t="shared" ca="1" si="617"/>
        <v>14523.548814393447</v>
      </c>
      <c r="VG10" s="29">
        <f t="shared" ca="1" si="618"/>
        <v>14487.620758605057</v>
      </c>
      <c r="VH10" s="29">
        <f t="shared" ca="1" si="619"/>
        <v>13819.889786070897</v>
      </c>
      <c r="VI10" s="29">
        <f t="shared" ca="1" si="620"/>
        <v>14038.8902089205</v>
      </c>
      <c r="VJ10" s="29">
        <f t="shared" ca="1" si="621"/>
        <v>13819.023594220063</v>
      </c>
      <c r="VK10" s="29">
        <f t="shared" ca="1" si="622"/>
        <v>13997.827553494189</v>
      </c>
      <c r="VL10" s="29">
        <f t="shared" ca="1" si="623"/>
        <v>13765.47442326121</v>
      </c>
      <c r="VM10" s="29">
        <f t="shared" ca="1" si="624"/>
        <v>14137.416462047981</v>
      </c>
      <c r="VN10" s="29">
        <f t="shared" ca="1" si="625"/>
        <v>13974.616399831806</v>
      </c>
      <c r="VO10" s="29">
        <f t="shared" ca="1" si="626"/>
        <v>14959.700705456318</v>
      </c>
      <c r="VP10" s="29">
        <f t="shared" ca="1" si="627"/>
        <v>13887.510151175988</v>
      </c>
      <c r="VQ10" s="29">
        <f t="shared" ca="1" si="628"/>
        <v>14266.397738444595</v>
      </c>
      <c r="VR10" s="29">
        <f t="shared" ca="1" si="629"/>
        <v>14101.362900530645</v>
      </c>
      <c r="VS10" s="29">
        <f t="shared" ca="1" si="630"/>
        <v>13654.37068647697</v>
      </c>
      <c r="VT10" s="29">
        <f t="shared" ca="1" si="631"/>
        <v>14758.521333939419</v>
      </c>
      <c r="VU10" s="29">
        <f t="shared" ca="1" si="632"/>
        <v>15391.989994727575</v>
      </c>
      <c r="VV10" s="29">
        <f t="shared" ca="1" si="633"/>
        <v>14774.975318431949</v>
      </c>
      <c r="VW10" s="29">
        <f t="shared" ca="1" si="634"/>
        <v>14169.512677003044</v>
      </c>
      <c r="VX10" s="29">
        <f t="shared" ca="1" si="635"/>
        <v>14706.225288536127</v>
      </c>
      <c r="VY10" s="29">
        <f t="shared" ca="1" si="636"/>
        <v>14543.109069901813</v>
      </c>
      <c r="VZ10" s="29">
        <f t="shared" ca="1" si="637"/>
        <v>14492.857759378981</v>
      </c>
      <c r="WA10" s="29">
        <f t="shared" ca="1" si="638"/>
        <v>14595.304293264557</v>
      </c>
      <c r="WB10" s="29">
        <f t="shared" ca="1" si="639"/>
        <v>14290.759944952706</v>
      </c>
      <c r="WC10" s="29">
        <f t="shared" ca="1" si="640"/>
        <v>14368.750195104885</v>
      </c>
      <c r="WD10" s="29">
        <f t="shared" ca="1" si="641"/>
        <v>14804.744409573665</v>
      </c>
      <c r="WE10" s="29">
        <f t="shared" ca="1" si="642"/>
        <v>14621.201161234274</v>
      </c>
      <c r="WF10" s="29">
        <f t="shared" ca="1" si="643"/>
        <v>14821.53445791605</v>
      </c>
      <c r="WG10" s="29">
        <f t="shared" ca="1" si="644"/>
        <v>14298.844671144449</v>
      </c>
      <c r="WH10" s="29">
        <f t="shared" ca="1" si="645"/>
        <v>13734.091667448934</v>
      </c>
      <c r="WI10" s="29">
        <f t="shared" ca="1" si="646"/>
        <v>14617.533174271382</v>
      </c>
      <c r="WJ10" s="29">
        <f t="shared" ca="1" si="647"/>
        <v>14945.330237714978</v>
      </c>
      <c r="WK10" s="29">
        <f t="shared" ca="1" si="648"/>
        <v>14386.207879477901</v>
      </c>
      <c r="WL10" s="29">
        <f t="shared" ca="1" si="649"/>
        <v>13558.581332289838</v>
      </c>
      <c r="WM10" s="29">
        <f t="shared" ca="1" si="650"/>
        <v>14186.367797228058</v>
      </c>
      <c r="WN10" s="29">
        <f t="shared" ca="1" si="651"/>
        <v>14383.749653859553</v>
      </c>
      <c r="WO10" s="29">
        <f t="shared" ca="1" si="652"/>
        <v>15031.05543184558</v>
      </c>
      <c r="WP10" s="29">
        <f t="shared" ca="1" si="653"/>
        <v>13993.328792576012</v>
      </c>
      <c r="WQ10" s="29">
        <f t="shared" ca="1" si="654"/>
        <v>14315.22585920526</v>
      </c>
      <c r="WR10" s="29">
        <f t="shared" ca="1" si="655"/>
        <v>14675.402032882586</v>
      </c>
      <c r="WS10" s="29">
        <f t="shared" ca="1" si="656"/>
        <v>14362.547824606501</v>
      </c>
      <c r="WT10" s="29">
        <f t="shared" ca="1" si="657"/>
        <v>14450.420301615355</v>
      </c>
      <c r="WU10" s="29">
        <f t="shared" ca="1" si="658"/>
        <v>14682.732740342464</v>
      </c>
      <c r="WV10" s="29">
        <f t="shared" ca="1" si="659"/>
        <v>14111.924213167631</v>
      </c>
      <c r="WW10" s="29">
        <f t="shared" ca="1" si="660"/>
        <v>13312.600575555411</v>
      </c>
      <c r="WX10" s="29">
        <f t="shared" ca="1" si="661"/>
        <v>15028.195151110203</v>
      </c>
      <c r="WY10" s="29">
        <f t="shared" ca="1" si="662"/>
        <v>14821.778161805858</v>
      </c>
      <c r="WZ10" s="29">
        <f t="shared" ca="1" si="663"/>
        <v>14291.460613309864</v>
      </c>
      <c r="XA10" s="29">
        <f t="shared" ca="1" si="664"/>
        <v>14631.101411425081</v>
      </c>
      <c r="XB10" s="29">
        <f t="shared" ca="1" si="665"/>
        <v>14706.058221163725</v>
      </c>
      <c r="XC10" s="29">
        <f t="shared" ca="1" si="666"/>
        <v>13960.747957084977</v>
      </c>
      <c r="XD10" s="29">
        <f t="shared" ca="1" si="667"/>
        <v>13846.617698031821</v>
      </c>
      <c r="XE10" s="29">
        <f t="shared" ca="1" si="668"/>
        <v>14377.15294375247</v>
      </c>
      <c r="XF10" s="29">
        <f t="shared" ca="1" si="669"/>
        <v>14004.855910362776</v>
      </c>
      <c r="XG10" s="29">
        <f t="shared" ca="1" si="670"/>
        <v>14297.606356315793</v>
      </c>
      <c r="XH10" s="29">
        <f t="shared" ca="1" si="671"/>
        <v>14428.323329039637</v>
      </c>
      <c r="XI10" s="29">
        <f t="shared" ca="1" si="672"/>
        <v>14839.311349874815</v>
      </c>
      <c r="XJ10" s="29">
        <f t="shared" ca="1" si="673"/>
        <v>14725.163941441881</v>
      </c>
      <c r="XK10" s="29">
        <f t="shared" ca="1" si="674"/>
        <v>13861.537585908412</v>
      </c>
      <c r="XL10" s="29">
        <f t="shared" ca="1" si="675"/>
        <v>14253.283584452731</v>
      </c>
      <c r="XM10" s="29">
        <f t="shared" ca="1" si="676"/>
        <v>13900.021880477318</v>
      </c>
      <c r="XN10" s="29">
        <f t="shared" ca="1" si="677"/>
        <v>14743.001067586913</v>
      </c>
      <c r="XO10" s="29">
        <f t="shared" ca="1" si="678"/>
        <v>14606.851049401397</v>
      </c>
      <c r="XP10" s="29">
        <f t="shared" ca="1" si="679"/>
        <v>15091.022633780585</v>
      </c>
      <c r="XQ10" s="29">
        <f t="shared" ca="1" si="680"/>
        <v>14439.993529938227</v>
      </c>
      <c r="XR10" s="29">
        <f t="shared" ca="1" si="681"/>
        <v>14349.933602373536</v>
      </c>
      <c r="XS10" s="29">
        <f t="shared" ca="1" si="682"/>
        <v>13981.487042050039</v>
      </c>
      <c r="XT10" s="29">
        <f t="shared" ca="1" si="683"/>
        <v>14927.542950557954</v>
      </c>
      <c r="XU10" s="29">
        <f t="shared" ca="1" si="684"/>
        <v>15005.944457559706</v>
      </c>
      <c r="XV10" s="29">
        <f t="shared" ca="1" si="685"/>
        <v>14617.057065767456</v>
      </c>
      <c r="XW10" s="29">
        <f t="shared" ca="1" si="686"/>
        <v>14747.41510748479</v>
      </c>
      <c r="XX10" s="29">
        <f t="shared" ca="1" si="687"/>
        <v>14169.535396062978</v>
      </c>
      <c r="XY10" s="29">
        <f t="shared" ca="1" si="688"/>
        <v>14746.804345392729</v>
      </c>
      <c r="XZ10" s="29">
        <f t="shared" ca="1" si="689"/>
        <v>14992.472037441408</v>
      </c>
      <c r="YA10" s="29">
        <f t="shared" ca="1" si="690"/>
        <v>14934.724431452652</v>
      </c>
      <c r="YB10" s="29">
        <f t="shared" ca="1" si="691"/>
        <v>14479.652282076771</v>
      </c>
      <c r="YC10" s="29">
        <f t="shared" ca="1" si="692"/>
        <v>14474.379494933622</v>
      </c>
      <c r="YD10" s="29">
        <f t="shared" ca="1" si="693"/>
        <v>13805.743385105097</v>
      </c>
      <c r="YE10" s="29">
        <f t="shared" ca="1" si="694"/>
        <v>14641.216162776476</v>
      </c>
      <c r="YF10" s="29">
        <f t="shared" ca="1" si="695"/>
        <v>13845.985503255855</v>
      </c>
      <c r="YG10" s="29">
        <f t="shared" ca="1" si="696"/>
        <v>14486.517104411021</v>
      </c>
      <c r="YH10" s="29">
        <f t="shared" ca="1" si="697"/>
        <v>14124.033755715856</v>
      </c>
      <c r="YI10" s="29">
        <f t="shared" ca="1" si="698"/>
        <v>14076.911503508327</v>
      </c>
      <c r="YJ10" s="29">
        <f t="shared" ca="1" si="699"/>
        <v>13835.188658144305</v>
      </c>
      <c r="YK10" s="29">
        <f t="shared" ca="1" si="700"/>
        <v>13940.459012400868</v>
      </c>
      <c r="YL10" s="29">
        <f t="shared" ca="1" si="701"/>
        <v>13659.24965167116</v>
      </c>
      <c r="YM10" s="29">
        <f t="shared" ca="1" si="702"/>
        <v>14288.612606951425</v>
      </c>
      <c r="YN10" s="29">
        <f t="shared" ca="1" si="703"/>
        <v>14911.329222410062</v>
      </c>
      <c r="YO10" s="29">
        <f t="shared" ca="1" si="704"/>
        <v>13790.779849822549</v>
      </c>
      <c r="YP10" s="29">
        <f t="shared" ca="1" si="705"/>
        <v>15062.666533328964</v>
      </c>
      <c r="YQ10" s="29">
        <f t="shared" ca="1" si="706"/>
        <v>14063.804386052725</v>
      </c>
      <c r="YR10" s="29">
        <f t="shared" ca="1" si="707"/>
        <v>13929.931689556135</v>
      </c>
      <c r="YS10" s="29">
        <f t="shared" ca="1" si="708"/>
        <v>14736.851834252575</v>
      </c>
      <c r="YT10" s="29">
        <f t="shared" ca="1" si="709"/>
        <v>14407.415583406524</v>
      </c>
      <c r="YU10" s="29">
        <f t="shared" ca="1" si="710"/>
        <v>14654.569186518891</v>
      </c>
      <c r="YV10" s="29">
        <f t="shared" ca="1" si="711"/>
        <v>14790.159083556473</v>
      </c>
      <c r="YW10" s="29">
        <f t="shared" ca="1" si="712"/>
        <v>14648.264104031139</v>
      </c>
      <c r="YX10" s="29">
        <f t="shared" ca="1" si="713"/>
        <v>14834.97425659805</v>
      </c>
      <c r="YY10" s="29">
        <f t="shared" ca="1" si="714"/>
        <v>13930.202806226445</v>
      </c>
      <c r="YZ10" s="29">
        <f t="shared" ca="1" si="715"/>
        <v>14593.058956768989</v>
      </c>
      <c r="ZA10" s="29">
        <f t="shared" ca="1" si="716"/>
        <v>14597.941863140482</v>
      </c>
      <c r="ZB10" s="29">
        <f t="shared" ca="1" si="717"/>
        <v>14272.612125153681</v>
      </c>
      <c r="ZC10" s="29">
        <f t="shared" ca="1" si="718"/>
        <v>14622.316388425847</v>
      </c>
      <c r="ZD10" s="29">
        <f t="shared" ca="1" si="719"/>
        <v>14011.914250961081</v>
      </c>
      <c r="ZE10" s="29">
        <f t="shared" ca="1" si="720"/>
        <v>13655.36946938753</v>
      </c>
      <c r="ZF10" s="29">
        <f t="shared" ca="1" si="721"/>
        <v>14413.417776070128</v>
      </c>
      <c r="ZG10" s="29">
        <f t="shared" ca="1" si="722"/>
        <v>13161.829629021542</v>
      </c>
      <c r="ZH10" s="29">
        <f t="shared" ca="1" si="723"/>
        <v>14624.495363098973</v>
      </c>
      <c r="ZI10" s="29">
        <f t="shared" ca="1" si="724"/>
        <v>13723.009818309269</v>
      </c>
      <c r="ZJ10" s="29">
        <f t="shared" ca="1" si="725"/>
        <v>14115.105402743704</v>
      </c>
      <c r="ZK10" s="29">
        <f t="shared" ca="1" si="726"/>
        <v>13527.571139934023</v>
      </c>
      <c r="ZL10" s="29">
        <f t="shared" ca="1" si="727"/>
        <v>13622.489504208754</v>
      </c>
      <c r="ZM10" s="29">
        <f t="shared" ca="1" si="728"/>
        <v>13634.673247311694</v>
      </c>
      <c r="ZN10" s="29">
        <f t="shared" ca="1" si="729"/>
        <v>13934.603848548597</v>
      </c>
      <c r="ZO10" s="29">
        <f t="shared" ca="1" si="730"/>
        <v>14312.738439089942</v>
      </c>
      <c r="ZP10" s="29">
        <f t="shared" ca="1" si="731"/>
        <v>14124.004506365494</v>
      </c>
      <c r="ZQ10" s="29">
        <f t="shared" ca="1" si="732"/>
        <v>14252.664005717872</v>
      </c>
      <c r="ZR10" s="29">
        <f t="shared" ca="1" si="733"/>
        <v>14820.258272633366</v>
      </c>
      <c r="ZS10" s="29">
        <f t="shared" ca="1" si="734"/>
        <v>14427.056456388349</v>
      </c>
      <c r="ZT10" s="29">
        <f t="shared" ca="1" si="735"/>
        <v>14379.773591037136</v>
      </c>
      <c r="ZU10" s="29">
        <f t="shared" ca="1" si="736"/>
        <v>14132.791153101974</v>
      </c>
      <c r="ZV10" s="29">
        <f t="shared" ca="1" si="737"/>
        <v>13806.531226113158</v>
      </c>
      <c r="ZW10" s="29">
        <f t="shared" ca="1" si="738"/>
        <v>14750.305628732436</v>
      </c>
      <c r="ZX10" s="29">
        <f t="shared" ca="1" si="739"/>
        <v>14822.185662740829</v>
      </c>
      <c r="ZY10" s="29">
        <f t="shared" ca="1" si="740"/>
        <v>14635.322942132378</v>
      </c>
      <c r="ZZ10" s="29">
        <f t="shared" ca="1" si="741"/>
        <v>14136.249367353555</v>
      </c>
      <c r="AAA10" s="29">
        <f t="shared" ca="1" si="742"/>
        <v>15013.940933243139</v>
      </c>
      <c r="AAB10" s="29">
        <f t="shared" ca="1" si="743"/>
        <v>14600.962078261942</v>
      </c>
      <c r="AAC10" s="29">
        <f t="shared" ca="1" si="744"/>
        <v>14744.926986116696</v>
      </c>
      <c r="AAD10" s="29">
        <f t="shared" ca="1" si="745"/>
        <v>14533.357708298812</v>
      </c>
      <c r="AAE10" s="29">
        <f t="shared" ca="1" si="746"/>
        <v>13896.759943444682</v>
      </c>
      <c r="AAF10" s="29">
        <f t="shared" ca="1" si="747"/>
        <v>15229.984112699183</v>
      </c>
      <c r="AAG10" s="29">
        <f t="shared" ca="1" si="748"/>
        <v>14360.668570281221</v>
      </c>
      <c r="AAH10" s="29">
        <f t="shared" ca="1" si="749"/>
        <v>14493.120476454962</v>
      </c>
      <c r="AAI10" s="29">
        <f t="shared" ca="1" si="750"/>
        <v>14386.849025043353</v>
      </c>
      <c r="AAJ10" s="29">
        <f t="shared" ca="1" si="751"/>
        <v>14399.006821339621</v>
      </c>
      <c r="AAK10" s="29">
        <f t="shared" ca="1" si="752"/>
        <v>14768.541668360915</v>
      </c>
      <c r="AAL10" s="29">
        <f t="shared" ca="1" si="753"/>
        <v>14270.834060453213</v>
      </c>
      <c r="AAM10" s="29">
        <f t="shared" ca="1" si="754"/>
        <v>14521.018898001845</v>
      </c>
      <c r="AAN10" s="29">
        <f t="shared" ca="1" si="755"/>
        <v>15502.376177318516</v>
      </c>
      <c r="AAO10" s="29">
        <f t="shared" ca="1" si="756"/>
        <v>14362.071266402278</v>
      </c>
      <c r="AAP10" s="29">
        <f t="shared" ca="1" si="757"/>
        <v>15219.461244418684</v>
      </c>
      <c r="AAQ10" s="29">
        <f t="shared" ca="1" si="758"/>
        <v>14360.531693211064</v>
      </c>
      <c r="AAR10" s="29">
        <f t="shared" ca="1" si="759"/>
        <v>15306.663678733927</v>
      </c>
      <c r="AAS10" s="29">
        <f t="shared" ca="1" si="760"/>
        <v>14204.413441687164</v>
      </c>
      <c r="AAT10" s="29">
        <f t="shared" ca="1" si="761"/>
        <v>14863.065718475587</v>
      </c>
      <c r="AAU10" s="29">
        <f t="shared" ca="1" si="762"/>
        <v>14630.510636245212</v>
      </c>
      <c r="AAV10" s="29">
        <f t="shared" ca="1" si="763"/>
        <v>13489.805339544522</v>
      </c>
      <c r="AAW10" s="29">
        <f t="shared" ca="1" si="764"/>
        <v>13877.935579206587</v>
      </c>
      <c r="AAX10" s="29">
        <f t="shared" ca="1" si="765"/>
        <v>14470.653042336016</v>
      </c>
      <c r="AAY10" s="29">
        <f t="shared" ca="1" si="766"/>
        <v>14446.773805108869</v>
      </c>
      <c r="AAZ10" s="29">
        <f t="shared" ca="1" si="767"/>
        <v>14746.570553334603</v>
      </c>
      <c r="ABA10" s="29">
        <f t="shared" ca="1" si="768"/>
        <v>14757.859141128753</v>
      </c>
      <c r="ABB10" s="29">
        <f t="shared" ca="1" si="769"/>
        <v>14413.223593360419</v>
      </c>
      <c r="ABC10" s="29">
        <f t="shared" ca="1" si="770"/>
        <v>14482.677190608729</v>
      </c>
      <c r="ABD10" s="29">
        <f t="shared" ca="1" si="771"/>
        <v>13821.050431113847</v>
      </c>
      <c r="ABE10" s="29">
        <f t="shared" ca="1" si="772"/>
        <v>13031.1398105154</v>
      </c>
      <c r="ABF10" s="29">
        <f t="shared" ca="1" si="773"/>
        <v>14285.163949791326</v>
      </c>
      <c r="ABG10" s="29">
        <f t="shared" ca="1" si="774"/>
        <v>14194.721744938644</v>
      </c>
      <c r="ABH10" s="29">
        <f t="shared" ca="1" si="775"/>
        <v>15123.670801970842</v>
      </c>
      <c r="ABI10" s="29">
        <f t="shared" ca="1" si="776"/>
        <v>14422.099010418377</v>
      </c>
      <c r="ABJ10" s="29">
        <f t="shared" ca="1" si="777"/>
        <v>14387.233097656987</v>
      </c>
      <c r="ABK10" s="29">
        <f t="shared" ca="1" si="778"/>
        <v>14897.677312061374</v>
      </c>
      <c r="ABL10" s="29">
        <f t="shared" ca="1" si="779"/>
        <v>14365.205220880984</v>
      </c>
      <c r="ABM10" s="29">
        <f t="shared" ca="1" si="780"/>
        <v>15035.521450408116</v>
      </c>
      <c r="ABN10" s="29">
        <f t="shared" ca="1" si="781"/>
        <v>14352.649593274349</v>
      </c>
      <c r="ABO10" s="29">
        <f t="shared" ca="1" si="782"/>
        <v>15073.221024062399</v>
      </c>
      <c r="ABP10" s="29">
        <f t="shared" ca="1" si="783"/>
        <v>14464.097593666571</v>
      </c>
      <c r="ABQ10" s="29">
        <f t="shared" ca="1" si="784"/>
        <v>14078.966254284764</v>
      </c>
      <c r="ABR10" s="29">
        <f t="shared" ca="1" si="785"/>
        <v>13688.042421123469</v>
      </c>
      <c r="ABS10" s="29">
        <f t="shared" ca="1" si="786"/>
        <v>14372.552067414048</v>
      </c>
      <c r="ABT10" s="29">
        <f t="shared" ca="1" si="787"/>
        <v>14595.993731147822</v>
      </c>
      <c r="ABU10" s="29">
        <f t="shared" ca="1" si="788"/>
        <v>14512.409313798524</v>
      </c>
      <c r="ABV10" s="29">
        <f t="shared" ca="1" si="789"/>
        <v>14603.820174756716</v>
      </c>
      <c r="ABW10" s="29">
        <f t="shared" ca="1" si="790"/>
        <v>15292.861384959815</v>
      </c>
      <c r="ABX10" s="29">
        <f t="shared" ca="1" si="791"/>
        <v>14661.031531765617</v>
      </c>
      <c r="ABY10" s="29">
        <f t="shared" ca="1" si="792"/>
        <v>14589.729833132067</v>
      </c>
      <c r="ABZ10" s="29">
        <f t="shared" ca="1" si="793"/>
        <v>14858.659544691112</v>
      </c>
      <c r="ACA10" s="29">
        <f t="shared" ca="1" si="794"/>
        <v>15250.837882098218</v>
      </c>
      <c r="ACB10" s="29">
        <f t="shared" ca="1" si="795"/>
        <v>15398.63629188985</v>
      </c>
      <c r="ACC10" s="29">
        <f t="shared" ca="1" si="796"/>
        <v>14112.832076612041</v>
      </c>
      <c r="ACD10" s="29">
        <f t="shared" ca="1" si="797"/>
        <v>14180.705130553715</v>
      </c>
      <c r="ACE10" s="29">
        <f t="shared" ca="1" si="798"/>
        <v>14435.961309712373</v>
      </c>
      <c r="ACF10" s="29">
        <f t="shared" ca="1" si="799"/>
        <v>14517.037477414005</v>
      </c>
      <c r="ACG10" s="29">
        <f t="shared" ca="1" si="800"/>
        <v>13820.911584286543</v>
      </c>
      <c r="ACH10" s="29">
        <f t="shared" ca="1" si="801"/>
        <v>14522.381717408251</v>
      </c>
      <c r="ACI10" s="29">
        <f t="shared" ca="1" si="802"/>
        <v>15075.396405390051</v>
      </c>
      <c r="ACJ10" s="29">
        <f t="shared" ca="1" si="803"/>
        <v>14567.643879664885</v>
      </c>
      <c r="ACK10" s="29">
        <f t="shared" ca="1" si="804"/>
        <v>14238.88175529545</v>
      </c>
      <c r="ACL10" s="29">
        <f t="shared" ca="1" si="805"/>
        <v>13163.099901436775</v>
      </c>
      <c r="ACM10" s="29">
        <f t="shared" ca="1" si="806"/>
        <v>14633.42634801964</v>
      </c>
      <c r="ACN10" s="29">
        <f t="shared" ca="1" si="807"/>
        <v>15122.648893566165</v>
      </c>
      <c r="ACO10" s="29">
        <f t="shared" ca="1" si="808"/>
        <v>15261.703553410027</v>
      </c>
      <c r="ACP10" s="29">
        <f t="shared" ca="1" si="809"/>
        <v>14409.597535052197</v>
      </c>
      <c r="ACQ10" s="29">
        <f t="shared" ca="1" si="810"/>
        <v>14871.252515228774</v>
      </c>
      <c r="ACR10" s="29">
        <f t="shared" ca="1" si="811"/>
        <v>14525.812378876195</v>
      </c>
      <c r="ACS10" s="29">
        <f t="shared" ca="1" si="812"/>
        <v>13933.502990264573</v>
      </c>
      <c r="ACT10" s="29">
        <f t="shared" ca="1" si="813"/>
        <v>14283.920015452568</v>
      </c>
      <c r="ACU10" s="29">
        <f t="shared" ca="1" si="814"/>
        <v>13775.431210511497</v>
      </c>
      <c r="ACV10" s="29">
        <f t="shared" ca="1" si="815"/>
        <v>14565.286455081843</v>
      </c>
      <c r="ACW10" s="29">
        <f t="shared" ca="1" si="816"/>
        <v>14444.612261379161</v>
      </c>
      <c r="ACX10" s="29">
        <f t="shared" ca="1" si="817"/>
        <v>14462.728809407688</v>
      </c>
      <c r="ACY10" s="29">
        <f t="shared" ca="1" si="818"/>
        <v>14816.381852529943</v>
      </c>
      <c r="ACZ10" s="29">
        <f t="shared" ca="1" si="819"/>
        <v>14416.76620722374</v>
      </c>
      <c r="ADA10" s="29">
        <f t="shared" ca="1" si="820"/>
        <v>14025.268970799258</v>
      </c>
      <c r="ADB10" s="29">
        <f t="shared" ca="1" si="821"/>
        <v>13583.632684886603</v>
      </c>
      <c r="ADC10" s="29">
        <f t="shared" ca="1" si="822"/>
        <v>14488.643066720741</v>
      </c>
      <c r="ADD10" s="29">
        <f t="shared" ca="1" si="823"/>
        <v>15165.372903238895</v>
      </c>
      <c r="ADE10" s="29">
        <f t="shared" ca="1" si="824"/>
        <v>14632.023646358257</v>
      </c>
      <c r="ADF10" s="29">
        <f t="shared" ca="1" si="825"/>
        <v>13440.942932758606</v>
      </c>
      <c r="ADG10" s="29">
        <f t="shared" ca="1" si="826"/>
        <v>14759.966748684044</v>
      </c>
      <c r="ADH10" s="29">
        <f t="shared" ca="1" si="827"/>
        <v>14707.933484271898</v>
      </c>
      <c r="ADI10" s="29">
        <f t="shared" ca="1" si="828"/>
        <v>13824.853390545069</v>
      </c>
      <c r="ADJ10" s="29">
        <f t="shared" ca="1" si="829"/>
        <v>14536.593839393485</v>
      </c>
      <c r="ADK10" s="29">
        <f t="shared" ca="1" si="830"/>
        <v>14579.993330242636</v>
      </c>
      <c r="ADL10" s="29">
        <f t="shared" ca="1" si="831"/>
        <v>14494.444619573556</v>
      </c>
      <c r="ADM10" s="29">
        <f t="shared" ca="1" si="832"/>
        <v>14051.099250843148</v>
      </c>
      <c r="ADN10" s="29">
        <f t="shared" ca="1" si="833"/>
        <v>14332.834850449537</v>
      </c>
      <c r="ADO10" s="29">
        <f t="shared" ca="1" si="834"/>
        <v>14800.241193237967</v>
      </c>
      <c r="ADP10" s="29">
        <f t="shared" ca="1" si="835"/>
        <v>14532.383228121196</v>
      </c>
      <c r="ADQ10" s="29">
        <f t="shared" ca="1" si="836"/>
        <v>15408.130165518282</v>
      </c>
      <c r="ADR10" s="29">
        <f t="shared" ca="1" si="837"/>
        <v>14341.786197773401</v>
      </c>
      <c r="ADS10" s="29">
        <f t="shared" ca="1" si="838"/>
        <v>14350.97223808307</v>
      </c>
      <c r="ADT10" s="29">
        <f t="shared" ca="1" si="839"/>
        <v>14360.479974497306</v>
      </c>
      <c r="ADU10" s="29">
        <f t="shared" ca="1" si="840"/>
        <v>14205.224827481223</v>
      </c>
      <c r="ADV10" s="29">
        <f t="shared" ca="1" si="841"/>
        <v>14567.655378214471</v>
      </c>
      <c r="ADW10" s="29">
        <f t="shared" ca="1" si="842"/>
        <v>14867.017026778993</v>
      </c>
      <c r="ADX10" s="29">
        <f t="shared" ca="1" si="843"/>
        <v>14439.158556546919</v>
      </c>
      <c r="ADY10" s="29">
        <f t="shared" ca="1" si="844"/>
        <v>15305.709835690623</v>
      </c>
      <c r="ADZ10" s="29">
        <f t="shared" ca="1" si="845"/>
        <v>13956.886295761666</v>
      </c>
      <c r="AEA10" s="29">
        <f t="shared" ca="1" si="846"/>
        <v>14713.490932772653</v>
      </c>
      <c r="AEB10" s="29">
        <f t="shared" ca="1" si="847"/>
        <v>13218.501056261754</v>
      </c>
      <c r="AEC10" s="29">
        <f t="shared" ca="1" si="848"/>
        <v>14660.962951937072</v>
      </c>
      <c r="AED10" s="29">
        <f t="shared" ca="1" si="849"/>
        <v>14539.060648280478</v>
      </c>
      <c r="AEE10" s="29">
        <f t="shared" ca="1" si="850"/>
        <v>14400.364188917501</v>
      </c>
      <c r="AEF10" s="29">
        <f t="shared" ca="1" si="851"/>
        <v>14040.060232053884</v>
      </c>
      <c r="AEG10" s="29">
        <f t="shared" ca="1" si="852"/>
        <v>15106.9892173894</v>
      </c>
      <c r="AEH10" s="29">
        <f t="shared" ca="1" si="853"/>
        <v>13881.117312948199</v>
      </c>
      <c r="AEI10" s="29">
        <f t="shared" ca="1" si="854"/>
        <v>14449.305865445958</v>
      </c>
      <c r="AEJ10" s="29">
        <f t="shared" ca="1" si="855"/>
        <v>14499.759566100078</v>
      </c>
      <c r="AEK10" s="29">
        <f t="shared" ca="1" si="856"/>
        <v>14435.539083753305</v>
      </c>
      <c r="AEL10" s="29">
        <f t="shared" ca="1" si="857"/>
        <v>14180.136205721612</v>
      </c>
      <c r="AEM10" s="29">
        <f t="shared" ca="1" si="858"/>
        <v>14421.031512485824</v>
      </c>
      <c r="AEN10" s="29">
        <f t="shared" ca="1" si="859"/>
        <v>14413.753486964128</v>
      </c>
      <c r="AEO10" s="29">
        <f t="shared" ca="1" si="860"/>
        <v>14153.244634191542</v>
      </c>
      <c r="AEP10" s="29">
        <f t="shared" ca="1" si="861"/>
        <v>14481.30814958172</v>
      </c>
      <c r="AEQ10" s="29">
        <f t="shared" ca="1" si="862"/>
        <v>14941.34465524734</v>
      </c>
      <c r="AER10" s="29">
        <f t="shared" ca="1" si="863"/>
        <v>14496.106417931875</v>
      </c>
      <c r="AES10" s="29">
        <f t="shared" ca="1" si="864"/>
        <v>14259.62738704933</v>
      </c>
      <c r="AET10" s="29">
        <f t="shared" ca="1" si="865"/>
        <v>14662.338179455379</v>
      </c>
      <c r="AEU10" s="29">
        <f t="shared" ca="1" si="866"/>
        <v>13494.905965925032</v>
      </c>
      <c r="AEV10" s="29">
        <f t="shared" ca="1" si="867"/>
        <v>14711.837033346908</v>
      </c>
      <c r="AEW10" s="29">
        <f t="shared" ca="1" si="868"/>
        <v>13752.888126590289</v>
      </c>
      <c r="AEX10" s="29">
        <f t="shared" ca="1" si="869"/>
        <v>14067.945536015764</v>
      </c>
      <c r="AEY10" s="29">
        <f t="shared" ca="1" si="870"/>
        <v>14547.075760013482</v>
      </c>
      <c r="AEZ10" s="29">
        <f t="shared" ca="1" si="871"/>
        <v>14104.957553938262</v>
      </c>
      <c r="AFA10" s="29">
        <f t="shared" ca="1" si="872"/>
        <v>14815.246120704247</v>
      </c>
      <c r="AFB10" s="29">
        <f t="shared" ca="1" si="873"/>
        <v>14136.174510782783</v>
      </c>
      <c r="AFC10" s="29">
        <f t="shared" ca="1" si="874"/>
        <v>14295.089530617079</v>
      </c>
      <c r="AFD10" s="29">
        <f t="shared" ca="1" si="875"/>
        <v>14707.421331175445</v>
      </c>
      <c r="AFE10" s="29">
        <f t="shared" ca="1" si="876"/>
        <v>15109.002047033819</v>
      </c>
      <c r="AFF10" s="29">
        <f t="shared" ca="1" si="877"/>
        <v>14320.774501412696</v>
      </c>
      <c r="AFG10" s="29">
        <f t="shared" ca="1" si="878"/>
        <v>14514.200448114994</v>
      </c>
      <c r="AFH10" s="29">
        <f t="shared" ca="1" si="879"/>
        <v>14886.518879324552</v>
      </c>
      <c r="AFI10" s="29">
        <f t="shared" ca="1" si="880"/>
        <v>14657.225191155636</v>
      </c>
      <c r="AFJ10" s="29">
        <f t="shared" ca="1" si="881"/>
        <v>14317.863281342008</v>
      </c>
      <c r="AFK10" s="29">
        <f t="shared" ca="1" si="882"/>
        <v>14358.31517340402</v>
      </c>
      <c r="AFL10" s="29">
        <f t="shared" ca="1" si="883"/>
        <v>14532.840009240235</v>
      </c>
      <c r="AFM10" s="29">
        <f t="shared" ca="1" si="884"/>
        <v>13923.818489821968</v>
      </c>
      <c r="AFN10" s="29">
        <f t="shared" ca="1" si="885"/>
        <v>14347.951202005857</v>
      </c>
      <c r="AFO10" s="29">
        <f t="shared" ca="1" si="886"/>
        <v>15032.074765177045</v>
      </c>
      <c r="AFP10" s="29">
        <f t="shared" ca="1" si="887"/>
        <v>14668.890230542078</v>
      </c>
      <c r="AFQ10" s="29">
        <f t="shared" ca="1" si="888"/>
        <v>14663.004756077107</v>
      </c>
      <c r="AFR10" s="29">
        <f t="shared" ca="1" si="889"/>
        <v>15198.470034493885</v>
      </c>
      <c r="AFS10" s="29">
        <f t="shared" ca="1" si="890"/>
        <v>14691.396986653259</v>
      </c>
      <c r="AFT10" s="29">
        <f t="shared" ca="1" si="891"/>
        <v>14341.699857647865</v>
      </c>
      <c r="AFU10" s="29">
        <f t="shared" ca="1" si="892"/>
        <v>14100.598133646881</v>
      </c>
      <c r="AFV10" s="29">
        <f t="shared" ca="1" si="893"/>
        <v>14158.792210657452</v>
      </c>
      <c r="AFW10" s="29">
        <f t="shared" ca="1" si="894"/>
        <v>14504.465614990559</v>
      </c>
      <c r="AFX10" s="29">
        <f t="shared" ca="1" si="895"/>
        <v>14840.390884648225</v>
      </c>
      <c r="AFY10" s="29">
        <f t="shared" ca="1" si="896"/>
        <v>14813.769320416299</v>
      </c>
      <c r="AFZ10" s="29">
        <f t="shared" ca="1" si="897"/>
        <v>14527.17057967831</v>
      </c>
      <c r="AGA10" s="29">
        <f t="shared" ca="1" si="898"/>
        <v>14629.523308133861</v>
      </c>
      <c r="AGB10" s="29">
        <f t="shared" ca="1" si="899"/>
        <v>14490.980590722429</v>
      </c>
      <c r="AGC10" s="29">
        <f t="shared" ca="1" si="900"/>
        <v>14153.682202312128</v>
      </c>
      <c r="AGD10" s="29">
        <f t="shared" ca="1" si="901"/>
        <v>14549.313183738093</v>
      </c>
      <c r="AGE10" s="29">
        <f t="shared" ca="1" si="902"/>
        <v>13983.945539477705</v>
      </c>
      <c r="AGF10" s="29">
        <f t="shared" ca="1" si="903"/>
        <v>14296.162715927816</v>
      </c>
      <c r="AGG10" s="29">
        <f t="shared" ca="1" si="904"/>
        <v>13795.791478392835</v>
      </c>
      <c r="AGH10" s="29">
        <f t="shared" ca="1" si="905"/>
        <v>14967.742479872481</v>
      </c>
      <c r="AGI10" s="29">
        <f t="shared" ca="1" si="906"/>
        <v>14410.966575954406</v>
      </c>
      <c r="AGJ10" s="29">
        <f t="shared" ca="1" si="907"/>
        <v>15086.529748682218</v>
      </c>
      <c r="AGK10" s="29">
        <f t="shared" ca="1" si="908"/>
        <v>14665.728296135059</v>
      </c>
      <c r="AGL10" s="29">
        <f t="shared" ca="1" si="909"/>
        <v>14330.043624087108</v>
      </c>
      <c r="AGM10" s="29">
        <f t="shared" ca="1" si="910"/>
        <v>14100.968921219192</v>
      </c>
      <c r="AGN10" s="29">
        <f t="shared" ca="1" si="911"/>
        <v>14268.4141362392</v>
      </c>
      <c r="AGO10" s="29">
        <f t="shared" ca="1" si="912"/>
        <v>14356.295555812965</v>
      </c>
      <c r="AGP10" s="29">
        <f t="shared" ca="1" si="913"/>
        <v>14016.518502097344</v>
      </c>
      <c r="AGQ10" s="29">
        <f t="shared" ca="1" si="914"/>
        <v>14574.900924286436</v>
      </c>
      <c r="AGR10" s="29">
        <f t="shared" ca="1" si="915"/>
        <v>14127.707522160834</v>
      </c>
      <c r="AGS10" s="29">
        <f t="shared" ca="1" si="916"/>
        <v>14617.673973810442</v>
      </c>
      <c r="AGT10" s="29">
        <f t="shared" ca="1" si="917"/>
        <v>13524.88000092589</v>
      </c>
      <c r="AGU10" s="29">
        <f t="shared" ca="1" si="918"/>
        <v>14820.793039172186</v>
      </c>
      <c r="AGV10" s="29">
        <f t="shared" ca="1" si="919"/>
        <v>14799.805928024944</v>
      </c>
      <c r="AGW10" s="29">
        <f t="shared" ca="1" si="920"/>
        <v>15023.406743425285</v>
      </c>
      <c r="AGX10" s="29">
        <f t="shared" ca="1" si="921"/>
        <v>14653.689508611231</v>
      </c>
      <c r="AGY10" s="29">
        <f t="shared" ca="1" si="922"/>
        <v>14538.106535626715</v>
      </c>
      <c r="AGZ10" s="29">
        <f t="shared" ca="1" si="923"/>
        <v>14709.167281583537</v>
      </c>
      <c r="AHA10" s="29">
        <f t="shared" ca="1" si="924"/>
        <v>13911.437962214608</v>
      </c>
      <c r="AHB10" s="29">
        <f t="shared" ca="1" si="925"/>
        <v>13781.971494411213</v>
      </c>
      <c r="AHC10" s="29">
        <f t="shared" ca="1" si="926"/>
        <v>14742.397799208864</v>
      </c>
      <c r="AHD10" s="29">
        <f t="shared" ca="1" si="927"/>
        <v>14173.411703073991</v>
      </c>
      <c r="AHE10" s="29">
        <f t="shared" ca="1" si="928"/>
        <v>15052.238196159038</v>
      </c>
      <c r="AHF10" s="29">
        <f t="shared" ca="1" si="929"/>
        <v>14332.005739179396</v>
      </c>
      <c r="AHG10" s="29">
        <f t="shared" ca="1" si="930"/>
        <v>14899.107426575954</v>
      </c>
      <c r="AHH10" s="29">
        <f t="shared" ca="1" si="931"/>
        <v>15173.961371695386</v>
      </c>
      <c r="AHI10" s="29">
        <f t="shared" ca="1" si="932"/>
        <v>14331.30289742823</v>
      </c>
      <c r="AHJ10" s="29">
        <f t="shared" ca="1" si="933"/>
        <v>14182.026619796703</v>
      </c>
      <c r="AHK10" s="29">
        <f t="shared" ca="1" si="934"/>
        <v>15499.576010394941</v>
      </c>
      <c r="AHL10" s="29">
        <f t="shared" ca="1" si="935"/>
        <v>15063.520904139459</v>
      </c>
      <c r="AHM10" s="29">
        <f t="shared" ca="1" si="936"/>
        <v>15205.468327577755</v>
      </c>
      <c r="AHN10" s="29">
        <f t="shared" ca="1" si="937"/>
        <v>14411.186720377296</v>
      </c>
      <c r="AHO10" s="29">
        <f t="shared" ca="1" si="938"/>
        <v>14747.295415225428</v>
      </c>
      <c r="AHP10" s="29">
        <f t="shared" ca="1" si="939"/>
        <v>14733.680792146723</v>
      </c>
      <c r="AHQ10" s="29">
        <f t="shared" ca="1" si="940"/>
        <v>14756.023698037954</v>
      </c>
      <c r="AHR10" s="29">
        <f t="shared" ca="1" si="941"/>
        <v>14181.772232654272</v>
      </c>
      <c r="AHS10" s="29">
        <f t="shared" ca="1" si="942"/>
        <v>14565.300980167302</v>
      </c>
      <c r="AHT10" s="29">
        <f t="shared" ca="1" si="943"/>
        <v>14623.155859463503</v>
      </c>
      <c r="AHU10" s="29">
        <f t="shared" ca="1" si="944"/>
        <v>14911.47889787518</v>
      </c>
      <c r="AHV10" s="29">
        <f t="shared" ca="1" si="945"/>
        <v>14784.765043458518</v>
      </c>
      <c r="AHW10" s="29">
        <f t="shared" ca="1" si="946"/>
        <v>14708.157833806827</v>
      </c>
      <c r="AHX10" s="29">
        <f t="shared" ca="1" si="947"/>
        <v>14769.66526870612</v>
      </c>
      <c r="AHY10" s="29">
        <f t="shared" ca="1" si="948"/>
        <v>13981.885975956982</v>
      </c>
      <c r="AHZ10" s="29">
        <f t="shared" ca="1" si="949"/>
        <v>13481.658477800216</v>
      </c>
      <c r="AIA10" s="29">
        <f t="shared" ca="1" si="950"/>
        <v>14611.632190149408</v>
      </c>
      <c r="AIB10" s="29">
        <f t="shared" ca="1" si="951"/>
        <v>14380.216371371884</v>
      </c>
      <c r="AIC10" s="29">
        <f t="shared" ca="1" si="952"/>
        <v>14334.712452068166</v>
      </c>
      <c r="AID10" s="29">
        <f t="shared" ca="1" si="953"/>
        <v>14779.965272568632</v>
      </c>
      <c r="AIE10" s="29">
        <f t="shared" ca="1" si="954"/>
        <v>13614.035130807708</v>
      </c>
      <c r="AIF10" s="29">
        <f t="shared" ca="1" si="955"/>
        <v>14442.493079285117</v>
      </c>
      <c r="AIG10" s="29">
        <f t="shared" ca="1" si="956"/>
        <v>15003.900752486921</v>
      </c>
      <c r="AIH10" s="29">
        <f t="shared" ca="1" si="957"/>
        <v>14247.238273375564</v>
      </c>
      <c r="AII10" s="29">
        <f t="shared" ca="1" si="958"/>
        <v>13867.856775921389</v>
      </c>
      <c r="AIJ10" s="29">
        <f t="shared" ca="1" si="959"/>
        <v>13926.570101588668</v>
      </c>
      <c r="AIK10" s="29">
        <f t="shared" ca="1" si="960"/>
        <v>14421.187046747622</v>
      </c>
      <c r="AIL10" s="29">
        <f t="shared" ca="1" si="961"/>
        <v>14396.189598830408</v>
      </c>
      <c r="AIM10" s="29">
        <f t="shared" ca="1" si="962"/>
        <v>14744.882630713169</v>
      </c>
      <c r="AIN10" s="29">
        <f t="shared" ca="1" si="963"/>
        <v>15009.007028573642</v>
      </c>
      <c r="AIO10" s="29">
        <f t="shared" ca="1" si="964"/>
        <v>13994.442857644975</v>
      </c>
      <c r="AIP10" s="29">
        <f t="shared" ca="1" si="965"/>
        <v>14135.91998063832</v>
      </c>
      <c r="AIQ10" s="29">
        <f t="shared" ca="1" si="966"/>
        <v>13422.255510167655</v>
      </c>
      <c r="AIR10" s="29">
        <f t="shared" ca="1" si="967"/>
        <v>13935.697777917283</v>
      </c>
      <c r="AIS10" s="29">
        <f t="shared" ca="1" si="968"/>
        <v>14316.820194590662</v>
      </c>
      <c r="AIT10" s="29">
        <f t="shared" ca="1" si="969"/>
        <v>13969.64469393553</v>
      </c>
      <c r="AIU10" s="29">
        <f t="shared" ca="1" si="970"/>
        <v>13913.849866746043</v>
      </c>
      <c r="AIV10" s="29">
        <f t="shared" ca="1" si="971"/>
        <v>14639.867346374745</v>
      </c>
      <c r="AIW10" s="29">
        <f t="shared" ca="1" si="972"/>
        <v>13429.274889323449</v>
      </c>
      <c r="AIX10" s="29">
        <f t="shared" ca="1" si="973"/>
        <v>14103.922829287238</v>
      </c>
      <c r="AIY10" s="29">
        <f t="shared" ca="1" si="974"/>
        <v>14083.981050315208</v>
      </c>
      <c r="AIZ10" s="29">
        <f t="shared" ca="1" si="975"/>
        <v>14726.869078703472</v>
      </c>
      <c r="AJA10" s="29">
        <f t="shared" ca="1" si="976"/>
        <v>14621.303775775832</v>
      </c>
      <c r="AJB10" s="29">
        <f t="shared" ca="1" si="977"/>
        <v>14817.646789796423</v>
      </c>
      <c r="AJC10" s="29">
        <f t="shared" ca="1" si="978"/>
        <v>14699.590061773666</v>
      </c>
      <c r="AJD10" s="29">
        <f t="shared" ca="1" si="979"/>
        <v>13981.175202981844</v>
      </c>
      <c r="AJE10" s="29">
        <f t="shared" ca="1" si="980"/>
        <v>14714.095205085981</v>
      </c>
      <c r="AJF10" s="29">
        <f t="shared" ca="1" si="981"/>
        <v>14609.892342748806</v>
      </c>
      <c r="AJG10" s="29">
        <f t="shared" ca="1" si="982"/>
        <v>14627.754209726198</v>
      </c>
      <c r="AJH10" s="29">
        <f t="shared" ca="1" si="983"/>
        <v>14033.285840013432</v>
      </c>
      <c r="AJI10" s="29">
        <f t="shared" ca="1" si="984"/>
        <v>14822.805064816632</v>
      </c>
      <c r="AJJ10" s="29">
        <f t="shared" ca="1" si="985"/>
        <v>15184.449128317279</v>
      </c>
      <c r="AJK10" s="29">
        <f t="shared" ca="1" si="986"/>
        <v>14121.516007934179</v>
      </c>
      <c r="AJL10" s="29">
        <f t="shared" ca="1" si="987"/>
        <v>14665.397678995569</v>
      </c>
      <c r="AJM10" s="29">
        <f t="shared" ca="1" si="988"/>
        <v>14217.804337593459</v>
      </c>
      <c r="AJN10" s="29">
        <f t="shared" ca="1" si="989"/>
        <v>14088.227514483171</v>
      </c>
      <c r="AJO10" s="29">
        <f t="shared" ca="1" si="990"/>
        <v>14500.141997257198</v>
      </c>
      <c r="AJP10" s="29">
        <f t="shared" ca="1" si="991"/>
        <v>15315.768802382274</v>
      </c>
      <c r="AJQ10" s="29">
        <f t="shared" ca="1" si="992"/>
        <v>14166.724917503823</v>
      </c>
      <c r="AJR10" s="29">
        <f t="shared" ca="1" si="993"/>
        <v>15043.93580464465</v>
      </c>
      <c r="AJS10" s="29">
        <f t="shared" ca="1" si="994"/>
        <v>14403.222846966722</v>
      </c>
      <c r="AJT10" s="29">
        <f t="shared" ca="1" si="995"/>
        <v>14614.259991288316</v>
      </c>
      <c r="AJU10" s="29">
        <f t="shared" ca="1" si="996"/>
        <v>14223.396339874764</v>
      </c>
      <c r="AJV10" s="29">
        <f t="shared" ca="1" si="997"/>
        <v>14268.102571099866</v>
      </c>
      <c r="AJW10" s="29">
        <f t="shared" ca="1" si="998"/>
        <v>14283.96434833023</v>
      </c>
      <c r="AJX10" s="29">
        <f t="shared" ca="1" si="999"/>
        <v>14474.110403409648</v>
      </c>
      <c r="AJY10" s="29">
        <f t="shared" ca="1" si="1000"/>
        <v>14509.884239057017</v>
      </c>
      <c r="AJZ10" s="29">
        <f t="shared" ca="1" si="1001"/>
        <v>14464.215099188563</v>
      </c>
      <c r="AKA10" s="29">
        <f t="shared" ca="1" si="1002"/>
        <v>14716.588126027365</v>
      </c>
      <c r="AKB10" s="29">
        <f t="shared" ca="1" si="1003"/>
        <v>14546.362189178584</v>
      </c>
      <c r="AKC10" s="29">
        <f t="shared" ca="1" si="1004"/>
        <v>14634.69635620281</v>
      </c>
      <c r="AKD10" s="29">
        <f t="shared" ca="1" si="1005"/>
        <v>14408.488710243946</v>
      </c>
      <c r="AKE10" s="29">
        <f t="shared" ca="1" si="1006"/>
        <v>13709.824995271978</v>
      </c>
      <c r="AKF10" s="29">
        <f t="shared" ca="1" si="1007"/>
        <v>14767.420917751497</v>
      </c>
      <c r="AKG10" s="29">
        <f t="shared" ca="1" si="1008"/>
        <v>14349.855629706479</v>
      </c>
      <c r="AKH10" s="29">
        <f t="shared" ca="1" si="1009"/>
        <v>14252.713345125727</v>
      </c>
      <c r="AKI10" s="29">
        <f t="shared" ca="1" si="1010"/>
        <v>14781.695209897445</v>
      </c>
      <c r="AKJ10" s="29">
        <f t="shared" ca="1" si="1011"/>
        <v>14340.792810205186</v>
      </c>
      <c r="AKK10" s="29">
        <f t="shared" ca="1" si="1012"/>
        <v>14779.528536518357</v>
      </c>
      <c r="AKL10" s="29">
        <f t="shared" ca="1" si="1013"/>
        <v>14182.904574444095</v>
      </c>
      <c r="AKM10" s="29">
        <f t="shared" ca="1" si="1014"/>
        <v>14314.094829095846</v>
      </c>
      <c r="AKN10" s="29">
        <f t="shared" ca="1" si="1015"/>
        <v>14463.430074008993</v>
      </c>
      <c r="AKO10" s="29">
        <f t="shared" ca="1" si="1016"/>
        <v>13902.406465351509</v>
      </c>
      <c r="AKP10" s="29">
        <f t="shared" ca="1" si="1017"/>
        <v>14931.40944296821</v>
      </c>
      <c r="AKQ10" s="29">
        <f t="shared" ca="1" si="1018"/>
        <v>13942.796957360437</v>
      </c>
      <c r="AKR10" s="29">
        <f t="shared" ca="1" si="1019"/>
        <v>14155.291405920967</v>
      </c>
      <c r="AKS10" s="29">
        <f t="shared" ca="1" si="1020"/>
        <v>14820.759622456539</v>
      </c>
      <c r="AKT10" s="29">
        <f t="shared" ca="1" si="1021"/>
        <v>14708.581625700714</v>
      </c>
      <c r="AKU10" s="29">
        <f t="shared" ca="1" si="1022"/>
        <v>14109.975158945772</v>
      </c>
      <c r="AKV10" s="29">
        <f t="shared" ca="1" si="1023"/>
        <v>13217.146176815542</v>
      </c>
      <c r="AKW10" s="29">
        <f t="shared" ca="1" si="1024"/>
        <v>14326.354210097037</v>
      </c>
      <c r="AKX10" s="29">
        <f t="shared" ca="1" si="1025"/>
        <v>14042.206334091905</v>
      </c>
      <c r="AKY10" s="29">
        <f t="shared" ca="1" si="1026"/>
        <v>14696.774416275313</v>
      </c>
      <c r="AKZ10" s="29">
        <f t="shared" ca="1" si="1027"/>
        <v>13957.432437348984</v>
      </c>
      <c r="ALA10" s="29">
        <f t="shared" ca="1" si="1028"/>
        <v>14920.101817091932</v>
      </c>
      <c r="ALB10" s="29">
        <f t="shared" ca="1" si="1029"/>
        <v>15007.284553678657</v>
      </c>
      <c r="ALC10" s="29">
        <f t="shared" ca="1" si="1030"/>
        <v>14713.423105001788</v>
      </c>
      <c r="ALD10" s="29">
        <f t="shared" ca="1" si="1031"/>
        <v>14585.488264836646</v>
      </c>
      <c r="ALE10" s="29">
        <f t="shared" ca="1" si="1032"/>
        <v>14127.693551651897</v>
      </c>
      <c r="ALF10" s="29">
        <f t="shared" ca="1" si="1033"/>
        <v>13867.561935402575</v>
      </c>
      <c r="ALG10" s="29">
        <f t="shared" ca="1" si="1034"/>
        <v>14742.640700548587</v>
      </c>
      <c r="ALH10" s="29">
        <f t="shared" ca="1" si="1035"/>
        <v>14196.312439156796</v>
      </c>
      <c r="ALI10" s="29">
        <f t="shared" ca="1" si="1036"/>
        <v>14833.138222996704</v>
      </c>
      <c r="ALJ10" s="29">
        <f t="shared" ca="1" si="1037"/>
        <v>14956.328522983069</v>
      </c>
      <c r="ALK10" s="29">
        <f t="shared" ca="1" si="1038"/>
        <v>14115.012840458619</v>
      </c>
      <c r="ALL10" s="29">
        <f t="shared" ca="1" si="1039"/>
        <v>13970.284916364144</v>
      </c>
      <c r="ALM10" s="29">
        <f t="shared" ca="1" si="1040"/>
        <v>13329.452492629795</v>
      </c>
      <c r="ALN10" s="29">
        <f t="shared" ca="1" si="1041"/>
        <v>14160.870073982935</v>
      </c>
      <c r="ALO10" s="29">
        <f t="shared" ca="1" si="1042"/>
        <v>13759.970920763935</v>
      </c>
      <c r="ALP10" s="29">
        <f t="shared" ca="1" si="1043"/>
        <v>14084.117247722825</v>
      </c>
      <c r="ALQ10" s="29">
        <f t="shared" ca="1" si="1044"/>
        <v>14942.792848637644</v>
      </c>
      <c r="ALR10" s="29">
        <f t="shared" ca="1" si="1045"/>
        <v>14649.110836997574</v>
      </c>
      <c r="ALS10" s="29">
        <f t="shared" ca="1" si="1046"/>
        <v>14015.59166474321</v>
      </c>
      <c r="ALT10" s="29">
        <f t="shared" ca="1" si="1047"/>
        <v>14377.59497098789</v>
      </c>
      <c r="ALU10" s="29">
        <f t="shared" ca="1" si="1048"/>
        <v>15281.571485414832</v>
      </c>
      <c r="ALV10" s="29">
        <f t="shared" ca="1" si="1049"/>
        <v>13904.903008977344</v>
      </c>
    </row>
    <row r="11" spans="1:1258" x14ac:dyDescent="0.25">
      <c r="A11" s="1">
        <v>40490</v>
      </c>
      <c r="B11" s="2">
        <v>6273.2001950000003</v>
      </c>
      <c r="C11" s="16">
        <f t="shared" si="32"/>
        <v>-1.3699102102547067E-3</v>
      </c>
      <c r="F11" s="13">
        <f>E7-2*G7</f>
        <v>-9.4294995407297577E-2</v>
      </c>
      <c r="G11" t="s">
        <v>56</v>
      </c>
      <c r="H11" s="13">
        <f>E7+2*G7</f>
        <v>0.10546477770083279</v>
      </c>
      <c r="J11" s="29">
        <f t="shared" si="49"/>
        <v>8</v>
      </c>
      <c r="K11" s="29">
        <f t="shared" ca="1" si="50"/>
        <v>14508.050493334948</v>
      </c>
      <c r="L11" s="29">
        <f t="shared" ca="1" si="51"/>
        <v>13957.946684661143</v>
      </c>
      <c r="M11" s="29">
        <f t="shared" ca="1" si="52"/>
        <v>15126.382106793419</v>
      </c>
      <c r="N11" s="29">
        <f t="shared" ca="1" si="53"/>
        <v>13453.747555007665</v>
      </c>
      <c r="O11" s="29">
        <f t="shared" ca="1" si="54"/>
        <v>14634.115153750101</v>
      </c>
      <c r="P11" s="29">
        <f t="shared" ca="1" si="55"/>
        <v>15000.643695109944</v>
      </c>
      <c r="Q11" s="29">
        <f t="shared" ca="1" si="56"/>
        <v>13660.646661647306</v>
      </c>
      <c r="R11" s="29">
        <f t="shared" ca="1" si="57"/>
        <v>14336.609853967144</v>
      </c>
      <c r="S11" s="29">
        <f t="shared" ca="1" si="58"/>
        <v>14377.18149723319</v>
      </c>
      <c r="T11" s="29">
        <f t="shared" ca="1" si="59"/>
        <v>15224.964983529935</v>
      </c>
      <c r="U11" s="29">
        <f t="shared" ca="1" si="60"/>
        <v>14796.850269596271</v>
      </c>
      <c r="V11" s="29">
        <f t="shared" ca="1" si="61"/>
        <v>14834.647295015469</v>
      </c>
      <c r="W11" s="29">
        <f t="shared" ca="1" si="62"/>
        <v>14658.53031668103</v>
      </c>
      <c r="X11" s="29">
        <f t="shared" ca="1" si="63"/>
        <v>14831.644172092121</v>
      </c>
      <c r="Y11" s="29">
        <f t="shared" ca="1" si="64"/>
        <v>14119.634270564458</v>
      </c>
      <c r="Z11" s="29">
        <f t="shared" ca="1" si="65"/>
        <v>13907.150295670166</v>
      </c>
      <c r="AA11" s="29">
        <f t="shared" ca="1" si="66"/>
        <v>14782.766025670053</v>
      </c>
      <c r="AB11" s="29">
        <f t="shared" ca="1" si="67"/>
        <v>15177.21572583305</v>
      </c>
      <c r="AC11" s="29">
        <f t="shared" ca="1" si="68"/>
        <v>15353.646321091206</v>
      </c>
      <c r="AD11" s="29">
        <f t="shared" ca="1" si="69"/>
        <v>14078.565980451689</v>
      </c>
      <c r="AE11" s="29">
        <f t="shared" ca="1" si="70"/>
        <v>15335.065193042736</v>
      </c>
      <c r="AF11" s="29">
        <f t="shared" ca="1" si="71"/>
        <v>14148.700261541884</v>
      </c>
      <c r="AG11" s="29">
        <f t="shared" ca="1" si="72"/>
        <v>13378.731495469092</v>
      </c>
      <c r="AH11" s="29">
        <f t="shared" ca="1" si="73"/>
        <v>14791.863769745891</v>
      </c>
      <c r="AI11" s="29">
        <f t="shared" ca="1" si="74"/>
        <v>14137.203615389337</v>
      </c>
      <c r="AJ11" s="29">
        <f t="shared" ca="1" si="75"/>
        <v>14204.932877072295</v>
      </c>
      <c r="AK11" s="29">
        <f t="shared" ca="1" si="76"/>
        <v>13657.778564897231</v>
      </c>
      <c r="AL11" s="29">
        <f t="shared" ca="1" si="77"/>
        <v>14315.681229942618</v>
      </c>
      <c r="AM11" s="29">
        <f t="shared" ca="1" si="78"/>
        <v>14875.055954606647</v>
      </c>
      <c r="AN11" s="29">
        <f t="shared" ca="1" si="79"/>
        <v>14939.588196468776</v>
      </c>
      <c r="AO11" s="29">
        <f t="shared" ca="1" si="80"/>
        <v>14363.228378832937</v>
      </c>
      <c r="AP11" s="29">
        <f t="shared" ca="1" si="81"/>
        <v>14340.41964256913</v>
      </c>
      <c r="AQ11" s="29">
        <f t="shared" ca="1" si="82"/>
        <v>15066.289146956036</v>
      </c>
      <c r="AR11" s="29">
        <f t="shared" ca="1" si="83"/>
        <v>14892.678071959586</v>
      </c>
      <c r="AS11" s="29">
        <f t="shared" ca="1" si="84"/>
        <v>13701.209378052044</v>
      </c>
      <c r="AT11" s="29">
        <f t="shared" ca="1" si="85"/>
        <v>14230.780276602523</v>
      </c>
      <c r="AU11" s="29">
        <f t="shared" ca="1" si="86"/>
        <v>13832.705656964197</v>
      </c>
      <c r="AV11" s="29">
        <f t="shared" ca="1" si="87"/>
        <v>14919.314927424768</v>
      </c>
      <c r="AW11" s="29">
        <f t="shared" ca="1" si="88"/>
        <v>15136.689393911209</v>
      </c>
      <c r="AX11" s="29">
        <f t="shared" ca="1" si="89"/>
        <v>13958.434038354007</v>
      </c>
      <c r="AY11" s="29">
        <f t="shared" ca="1" si="90"/>
        <v>14050.02258110527</v>
      </c>
      <c r="AZ11" s="29">
        <f t="shared" ca="1" si="91"/>
        <v>14139.716651014867</v>
      </c>
      <c r="BA11" s="29">
        <f t="shared" ca="1" si="92"/>
        <v>14729.063613564816</v>
      </c>
      <c r="BB11" s="29">
        <f t="shared" ca="1" si="93"/>
        <v>13992.925061655716</v>
      </c>
      <c r="BC11" s="29">
        <f t="shared" ca="1" si="94"/>
        <v>13759.412370284239</v>
      </c>
      <c r="BD11" s="29">
        <f t="shared" ca="1" si="95"/>
        <v>13993.285915017539</v>
      </c>
      <c r="BE11" s="29">
        <f t="shared" ca="1" si="96"/>
        <v>14684.363896067105</v>
      </c>
      <c r="BF11" s="29">
        <f t="shared" ca="1" si="97"/>
        <v>15017.676555421955</v>
      </c>
      <c r="BG11" s="29">
        <f t="shared" ca="1" si="98"/>
        <v>13892.556838734037</v>
      </c>
      <c r="BH11" s="29">
        <f t="shared" ca="1" si="99"/>
        <v>14656.152204703256</v>
      </c>
      <c r="BI11" s="29">
        <f t="shared" ca="1" si="100"/>
        <v>14631.750752674119</v>
      </c>
      <c r="BJ11" s="29">
        <f t="shared" ca="1" si="101"/>
        <v>14316.081373209816</v>
      </c>
      <c r="BK11" s="29">
        <f t="shared" ca="1" si="102"/>
        <v>13935.098770554965</v>
      </c>
      <c r="BL11" s="29">
        <f t="shared" ca="1" si="103"/>
        <v>14691.671548890681</v>
      </c>
      <c r="BM11" s="29">
        <f t="shared" ca="1" si="104"/>
        <v>14089.30199140154</v>
      </c>
      <c r="BN11" s="29">
        <f t="shared" ca="1" si="105"/>
        <v>14619.889899599073</v>
      </c>
      <c r="BO11" s="29">
        <f t="shared" ca="1" si="106"/>
        <v>14540.984693896529</v>
      </c>
      <c r="BP11" s="29">
        <f t="shared" ca="1" si="107"/>
        <v>14818.878296633105</v>
      </c>
      <c r="BQ11" s="29">
        <f t="shared" ca="1" si="108"/>
        <v>14311.44724509178</v>
      </c>
      <c r="BR11" s="29">
        <f t="shared" ca="1" si="109"/>
        <v>14074.621467828318</v>
      </c>
      <c r="BS11" s="29">
        <f t="shared" ca="1" si="110"/>
        <v>14788.44692490166</v>
      </c>
      <c r="BT11" s="29">
        <f t="shared" ca="1" si="111"/>
        <v>14557.729554513715</v>
      </c>
      <c r="BU11" s="29">
        <f t="shared" ca="1" si="112"/>
        <v>14333.071899999768</v>
      </c>
      <c r="BV11" s="29">
        <f t="shared" ca="1" si="113"/>
        <v>14773.57831130098</v>
      </c>
      <c r="BW11" s="29">
        <f t="shared" ca="1" si="114"/>
        <v>14671.697054429387</v>
      </c>
      <c r="BX11" s="29">
        <f t="shared" ca="1" si="115"/>
        <v>14553.941578855094</v>
      </c>
      <c r="BY11" s="29">
        <f t="shared" ca="1" si="116"/>
        <v>14260.674033705409</v>
      </c>
      <c r="BZ11" s="29">
        <f t="shared" ca="1" si="117"/>
        <v>14111.723957345379</v>
      </c>
      <c r="CA11" s="29">
        <f t="shared" ca="1" si="118"/>
        <v>14782.130998784851</v>
      </c>
      <c r="CB11" s="29">
        <f t="shared" ca="1" si="119"/>
        <v>15389.634382600378</v>
      </c>
      <c r="CC11" s="29">
        <f t="shared" ca="1" si="120"/>
        <v>13815.644032145001</v>
      </c>
      <c r="CD11" s="29">
        <f t="shared" ca="1" si="121"/>
        <v>14710.078032425452</v>
      </c>
      <c r="CE11" s="29">
        <f t="shared" ca="1" si="122"/>
        <v>15337.35717373855</v>
      </c>
      <c r="CF11" s="29">
        <f t="shared" ca="1" si="123"/>
        <v>14970.601266603759</v>
      </c>
      <c r="CG11" s="29">
        <f t="shared" ca="1" si="124"/>
        <v>14633.536729506101</v>
      </c>
      <c r="CH11" s="29">
        <f t="shared" ca="1" si="125"/>
        <v>14839.726100134347</v>
      </c>
      <c r="CI11" s="29">
        <f t="shared" ca="1" si="126"/>
        <v>14676.929210316561</v>
      </c>
      <c r="CJ11" s="29">
        <f t="shared" ca="1" si="127"/>
        <v>14035.22706848332</v>
      </c>
      <c r="CK11" s="29">
        <f t="shared" ca="1" si="128"/>
        <v>14049.650919614256</v>
      </c>
      <c r="CL11" s="29">
        <f t="shared" ca="1" si="129"/>
        <v>14729.898479649795</v>
      </c>
      <c r="CM11" s="29">
        <f t="shared" ca="1" si="130"/>
        <v>14113.528722431312</v>
      </c>
      <c r="CN11" s="29">
        <f t="shared" ca="1" si="131"/>
        <v>14232.583685627777</v>
      </c>
      <c r="CO11" s="29">
        <f t="shared" ca="1" si="132"/>
        <v>15055.996512862692</v>
      </c>
      <c r="CP11" s="29">
        <f t="shared" ca="1" si="133"/>
        <v>14331.580776801444</v>
      </c>
      <c r="CQ11" s="29">
        <f t="shared" ca="1" si="134"/>
        <v>14318.142360835382</v>
      </c>
      <c r="CR11" s="29">
        <f t="shared" ca="1" si="135"/>
        <v>14146.166129533223</v>
      </c>
      <c r="CS11" s="29">
        <f t="shared" ca="1" si="136"/>
        <v>13809.438214297956</v>
      </c>
      <c r="CT11" s="29">
        <f t="shared" ca="1" si="137"/>
        <v>14685.577560353327</v>
      </c>
      <c r="CU11" s="29">
        <f t="shared" ca="1" si="138"/>
        <v>13905.166296653877</v>
      </c>
      <c r="CV11" s="29">
        <f t="shared" ca="1" si="139"/>
        <v>14088.278493779655</v>
      </c>
      <c r="CW11" s="29">
        <f t="shared" ca="1" si="140"/>
        <v>14311.471611251171</v>
      </c>
      <c r="CX11" s="29">
        <f t="shared" ca="1" si="141"/>
        <v>14256.540879921993</v>
      </c>
      <c r="CY11" s="29">
        <f t="shared" ca="1" si="142"/>
        <v>14224.440575847586</v>
      </c>
      <c r="CZ11" s="29">
        <f t="shared" ca="1" si="143"/>
        <v>13808.114166384445</v>
      </c>
      <c r="DA11" s="29">
        <f t="shared" ca="1" si="144"/>
        <v>14524.612777828946</v>
      </c>
      <c r="DB11" s="29">
        <f t="shared" ca="1" si="145"/>
        <v>15512.271812276165</v>
      </c>
      <c r="DC11" s="29">
        <f t="shared" ca="1" si="146"/>
        <v>14584.505607868417</v>
      </c>
      <c r="DD11" s="29">
        <f t="shared" ca="1" si="147"/>
        <v>13650.76570719068</v>
      </c>
      <c r="DE11" s="29">
        <f t="shared" ca="1" si="148"/>
        <v>14744.646958262982</v>
      </c>
      <c r="DF11" s="29">
        <f t="shared" ca="1" si="149"/>
        <v>13969.533815459657</v>
      </c>
      <c r="DG11" s="29">
        <f t="shared" ca="1" si="150"/>
        <v>14048.200385012418</v>
      </c>
      <c r="DH11" s="29">
        <f t="shared" ca="1" si="151"/>
        <v>13969.972899010027</v>
      </c>
      <c r="DI11" s="29">
        <f t="shared" ca="1" si="152"/>
        <v>14381.066714477303</v>
      </c>
      <c r="DJ11" s="29">
        <f t="shared" ca="1" si="153"/>
        <v>14613.936889622159</v>
      </c>
      <c r="DK11" s="29">
        <f t="shared" ca="1" si="154"/>
        <v>14060.339060127248</v>
      </c>
      <c r="DL11" s="29">
        <f t="shared" ca="1" si="155"/>
        <v>14729.077226730775</v>
      </c>
      <c r="DM11" s="29">
        <f t="shared" ca="1" si="156"/>
        <v>14037.984987549564</v>
      </c>
      <c r="DN11" s="29">
        <f t="shared" ca="1" si="157"/>
        <v>14927.170390463116</v>
      </c>
      <c r="DO11" s="29">
        <f t="shared" ca="1" si="158"/>
        <v>14208.040232992224</v>
      </c>
      <c r="DP11" s="29">
        <f t="shared" ca="1" si="159"/>
        <v>14773.609471625892</v>
      </c>
      <c r="DQ11" s="29">
        <f t="shared" ca="1" si="160"/>
        <v>14632.880594666494</v>
      </c>
      <c r="DR11" s="29">
        <f t="shared" ca="1" si="161"/>
        <v>13663.085114290274</v>
      </c>
      <c r="DS11" s="29">
        <f t="shared" ca="1" si="162"/>
        <v>14755.130164533382</v>
      </c>
      <c r="DT11" s="29">
        <f t="shared" ca="1" si="163"/>
        <v>14216.610804177528</v>
      </c>
      <c r="DU11" s="29">
        <f t="shared" ca="1" si="164"/>
        <v>14273.907624408745</v>
      </c>
      <c r="DV11" s="29">
        <f t="shared" ca="1" si="165"/>
        <v>14201.564110097019</v>
      </c>
      <c r="DW11" s="29">
        <f t="shared" ca="1" si="166"/>
        <v>14409.873600565797</v>
      </c>
      <c r="DX11" s="29">
        <f t="shared" ca="1" si="167"/>
        <v>13821.860252854771</v>
      </c>
      <c r="DY11" s="29">
        <f t="shared" ca="1" si="168"/>
        <v>14420.23554117692</v>
      </c>
      <c r="DZ11" s="29">
        <f t="shared" ca="1" si="169"/>
        <v>15088.306810047477</v>
      </c>
      <c r="EA11" s="29">
        <f t="shared" ca="1" si="170"/>
        <v>13794.20107542633</v>
      </c>
      <c r="EB11" s="29">
        <f t="shared" ca="1" si="171"/>
        <v>13806.893015980238</v>
      </c>
      <c r="EC11" s="29">
        <f t="shared" ca="1" si="172"/>
        <v>14725.418263914009</v>
      </c>
      <c r="ED11" s="29">
        <f t="shared" ca="1" si="173"/>
        <v>15148.912731758783</v>
      </c>
      <c r="EE11" s="29">
        <f t="shared" ca="1" si="174"/>
        <v>14884.940919092505</v>
      </c>
      <c r="EF11" s="29">
        <f t="shared" ca="1" si="175"/>
        <v>14367.82580259345</v>
      </c>
      <c r="EG11" s="29">
        <f t="shared" ca="1" si="176"/>
        <v>14619.338391096053</v>
      </c>
      <c r="EH11" s="29">
        <f t="shared" ca="1" si="177"/>
        <v>13662.974940480675</v>
      </c>
      <c r="EI11" s="29">
        <f t="shared" ca="1" si="178"/>
        <v>14422.514727376552</v>
      </c>
      <c r="EJ11" s="29">
        <f t="shared" ca="1" si="179"/>
        <v>14683.399536636312</v>
      </c>
      <c r="EK11" s="29">
        <f t="shared" ca="1" si="180"/>
        <v>14355.533444498698</v>
      </c>
      <c r="EL11" s="29">
        <f t="shared" ca="1" si="181"/>
        <v>14491.293561909208</v>
      </c>
      <c r="EM11" s="29">
        <f t="shared" ca="1" si="182"/>
        <v>13604.825395391394</v>
      </c>
      <c r="EN11" s="29">
        <f t="shared" ca="1" si="183"/>
        <v>14815.965475655854</v>
      </c>
      <c r="EO11" s="29">
        <f t="shared" ca="1" si="184"/>
        <v>13996.818301010679</v>
      </c>
      <c r="EP11" s="29">
        <f t="shared" ca="1" si="185"/>
        <v>14413.872196821691</v>
      </c>
      <c r="EQ11" s="29">
        <f t="shared" ca="1" si="186"/>
        <v>14224.705092556729</v>
      </c>
      <c r="ER11" s="29">
        <f t="shared" ca="1" si="187"/>
        <v>14590.751784578417</v>
      </c>
      <c r="ES11" s="29">
        <f t="shared" ca="1" si="188"/>
        <v>14238.644793081075</v>
      </c>
      <c r="ET11" s="29">
        <f t="shared" ca="1" si="189"/>
        <v>14346.84561534219</v>
      </c>
      <c r="EU11" s="29">
        <f t="shared" ca="1" si="190"/>
        <v>14619.8370152643</v>
      </c>
      <c r="EV11" s="29">
        <f t="shared" ca="1" si="191"/>
        <v>14501.173387400782</v>
      </c>
      <c r="EW11" s="29">
        <f t="shared" ca="1" si="192"/>
        <v>13838.431375332602</v>
      </c>
      <c r="EX11" s="29">
        <f t="shared" ca="1" si="193"/>
        <v>15110.875261215724</v>
      </c>
      <c r="EY11" s="29">
        <f t="shared" ca="1" si="194"/>
        <v>14055.481301149128</v>
      </c>
      <c r="EZ11" s="29">
        <f t="shared" ca="1" si="195"/>
        <v>14367.194325099135</v>
      </c>
      <c r="FA11" s="29">
        <f t="shared" ca="1" si="196"/>
        <v>14721.231280775597</v>
      </c>
      <c r="FB11" s="29">
        <f t="shared" ca="1" si="197"/>
        <v>15209.162103790808</v>
      </c>
      <c r="FC11" s="29">
        <f t="shared" ca="1" si="198"/>
        <v>14689.573290019311</v>
      </c>
      <c r="FD11" s="29">
        <f t="shared" ca="1" si="199"/>
        <v>14390.951858866552</v>
      </c>
      <c r="FE11" s="29">
        <f t="shared" ca="1" si="200"/>
        <v>14806.906306418259</v>
      </c>
      <c r="FF11" s="29">
        <f t="shared" ca="1" si="201"/>
        <v>14015.154254699701</v>
      </c>
      <c r="FG11" s="29">
        <f t="shared" ca="1" si="202"/>
        <v>13639.803511881673</v>
      </c>
      <c r="FH11" s="29">
        <f t="shared" ca="1" si="203"/>
        <v>14138.589903011607</v>
      </c>
      <c r="FI11" s="29">
        <f t="shared" ca="1" si="204"/>
        <v>14433.35766956354</v>
      </c>
      <c r="FJ11" s="29">
        <f t="shared" ca="1" si="205"/>
        <v>14039.10413942066</v>
      </c>
      <c r="FK11" s="29">
        <f t="shared" ca="1" si="206"/>
        <v>14892.546370912807</v>
      </c>
      <c r="FL11" s="29">
        <f t="shared" ca="1" si="207"/>
        <v>14148.298508768085</v>
      </c>
      <c r="FM11" s="29">
        <f t="shared" ca="1" si="208"/>
        <v>14761.81096536453</v>
      </c>
      <c r="FN11" s="29">
        <f t="shared" ca="1" si="209"/>
        <v>13778.837875286339</v>
      </c>
      <c r="FO11" s="29">
        <f t="shared" ca="1" si="210"/>
        <v>14216.920005450324</v>
      </c>
      <c r="FP11" s="29">
        <f t="shared" ca="1" si="211"/>
        <v>13945.649503773555</v>
      </c>
      <c r="FQ11" s="29">
        <f t="shared" ca="1" si="212"/>
        <v>14334.252974172341</v>
      </c>
      <c r="FR11" s="29">
        <f t="shared" ca="1" si="213"/>
        <v>14006.976022356934</v>
      </c>
      <c r="FS11" s="29">
        <f t="shared" ca="1" si="214"/>
        <v>15291.147667571535</v>
      </c>
      <c r="FT11" s="29">
        <f t="shared" ca="1" si="215"/>
        <v>14570.083861834541</v>
      </c>
      <c r="FU11" s="29">
        <f t="shared" ca="1" si="216"/>
        <v>14609.004731038882</v>
      </c>
      <c r="FV11" s="29">
        <f t="shared" ca="1" si="217"/>
        <v>14641.587254690634</v>
      </c>
      <c r="FW11" s="29">
        <f t="shared" ca="1" si="218"/>
        <v>14253.113590977851</v>
      </c>
      <c r="FX11" s="29">
        <f t="shared" ca="1" si="219"/>
        <v>14742.901721261862</v>
      </c>
      <c r="FY11" s="29">
        <f t="shared" ca="1" si="220"/>
        <v>14268.756840663624</v>
      </c>
      <c r="FZ11" s="29">
        <f t="shared" ca="1" si="221"/>
        <v>13950.39891637668</v>
      </c>
      <c r="GA11" s="29">
        <f t="shared" ca="1" si="222"/>
        <v>13807.027299633488</v>
      </c>
      <c r="GB11" s="29">
        <f t="shared" ca="1" si="223"/>
        <v>15238.877095946473</v>
      </c>
      <c r="GC11" s="29">
        <f t="shared" ca="1" si="224"/>
        <v>15043.803347863814</v>
      </c>
      <c r="GD11" s="29">
        <f t="shared" ca="1" si="225"/>
        <v>14730.696023385271</v>
      </c>
      <c r="GE11" s="29">
        <f t="shared" ca="1" si="226"/>
        <v>14262.693684372995</v>
      </c>
      <c r="GF11" s="29">
        <f t="shared" ca="1" si="227"/>
        <v>14170.578215163123</v>
      </c>
      <c r="GG11" s="29">
        <f t="shared" ca="1" si="228"/>
        <v>14639.861458050374</v>
      </c>
      <c r="GH11" s="29">
        <f t="shared" ca="1" si="229"/>
        <v>14538.463041482215</v>
      </c>
      <c r="GI11" s="29">
        <f t="shared" ca="1" si="230"/>
        <v>14285.232739000954</v>
      </c>
      <c r="GJ11" s="29">
        <f t="shared" ca="1" si="231"/>
        <v>13857.248328429603</v>
      </c>
      <c r="GK11" s="29">
        <f t="shared" ca="1" si="232"/>
        <v>13813.277572927302</v>
      </c>
      <c r="GL11" s="29">
        <f t="shared" ca="1" si="233"/>
        <v>14104.612970328242</v>
      </c>
      <c r="GM11" s="29">
        <f t="shared" ca="1" si="234"/>
        <v>14029.328194264686</v>
      </c>
      <c r="GN11" s="29">
        <f t="shared" ca="1" si="235"/>
        <v>13714.972028268401</v>
      </c>
      <c r="GO11" s="29">
        <f t="shared" ca="1" si="236"/>
        <v>13582.151365238988</v>
      </c>
      <c r="GP11" s="29">
        <f t="shared" ca="1" si="237"/>
        <v>15026.563680897823</v>
      </c>
      <c r="GQ11" s="29">
        <f t="shared" ca="1" si="238"/>
        <v>14171.40466813272</v>
      </c>
      <c r="GR11" s="29">
        <f t="shared" ca="1" si="239"/>
        <v>14145.780101268203</v>
      </c>
      <c r="GS11" s="29">
        <f t="shared" ca="1" si="240"/>
        <v>14448.358899693525</v>
      </c>
      <c r="GT11" s="29">
        <f t="shared" ca="1" si="241"/>
        <v>14075.905911810736</v>
      </c>
      <c r="GU11" s="29">
        <f t="shared" ca="1" si="242"/>
        <v>13809.658556997212</v>
      </c>
      <c r="GV11" s="29">
        <f t="shared" ca="1" si="243"/>
        <v>14562.138827108822</v>
      </c>
      <c r="GW11" s="29">
        <f t="shared" ca="1" si="244"/>
        <v>14221.68227931217</v>
      </c>
      <c r="GX11" s="29">
        <f t="shared" ca="1" si="245"/>
        <v>13861.279561439855</v>
      </c>
      <c r="GY11" s="29">
        <f t="shared" ca="1" si="246"/>
        <v>14184.82122777099</v>
      </c>
      <c r="GZ11" s="29">
        <f t="shared" ca="1" si="247"/>
        <v>14743.819203199489</v>
      </c>
      <c r="HA11" s="29">
        <f t="shared" ca="1" si="248"/>
        <v>15359.807227409709</v>
      </c>
      <c r="HB11" s="29">
        <f t="shared" ca="1" si="249"/>
        <v>14400.763016130737</v>
      </c>
      <c r="HC11" s="29">
        <f t="shared" ca="1" si="250"/>
        <v>14713.494552885495</v>
      </c>
      <c r="HD11" s="29">
        <f t="shared" ca="1" si="251"/>
        <v>14193.592592403431</v>
      </c>
      <c r="HE11" s="29">
        <f t="shared" ca="1" si="252"/>
        <v>14664.620011248468</v>
      </c>
      <c r="HF11" s="29">
        <f t="shared" ca="1" si="253"/>
        <v>14202.726591500759</v>
      </c>
      <c r="HG11" s="29">
        <f t="shared" ca="1" si="254"/>
        <v>14276.002447043322</v>
      </c>
      <c r="HH11" s="29">
        <f t="shared" ca="1" si="255"/>
        <v>13186.76666860709</v>
      </c>
      <c r="HI11" s="29">
        <f t="shared" ca="1" si="256"/>
        <v>14041.107864379183</v>
      </c>
      <c r="HJ11" s="29">
        <f t="shared" ca="1" si="257"/>
        <v>14463.790797005813</v>
      </c>
      <c r="HK11" s="29">
        <f t="shared" ca="1" si="258"/>
        <v>14892.732874678501</v>
      </c>
      <c r="HL11" s="29">
        <f t="shared" ca="1" si="259"/>
        <v>14876.780508272306</v>
      </c>
      <c r="HM11" s="29">
        <f t="shared" ca="1" si="260"/>
        <v>14183.699248608944</v>
      </c>
      <c r="HN11" s="29">
        <f t="shared" ca="1" si="261"/>
        <v>14134.175187805056</v>
      </c>
      <c r="HO11" s="29">
        <f t="shared" ca="1" si="262"/>
        <v>15083.772303362286</v>
      </c>
      <c r="HP11" s="29">
        <f t="shared" ca="1" si="263"/>
        <v>13885.528474347106</v>
      </c>
      <c r="HQ11" s="29">
        <f t="shared" ca="1" si="264"/>
        <v>14228.407844781295</v>
      </c>
      <c r="HR11" s="29">
        <f t="shared" ca="1" si="265"/>
        <v>14984.956565782639</v>
      </c>
      <c r="HS11" s="29">
        <f t="shared" ca="1" si="266"/>
        <v>14855.613433356128</v>
      </c>
      <c r="HT11" s="29">
        <f t="shared" ca="1" si="267"/>
        <v>14303.053737215645</v>
      </c>
      <c r="HU11" s="29">
        <f t="shared" ca="1" si="268"/>
        <v>14821.093557734959</v>
      </c>
      <c r="HV11" s="29">
        <f t="shared" ca="1" si="269"/>
        <v>14840.290576120364</v>
      </c>
      <c r="HW11" s="29">
        <f t="shared" ca="1" si="270"/>
        <v>14722.662856062248</v>
      </c>
      <c r="HX11" s="29">
        <f t="shared" ca="1" si="271"/>
        <v>14766.723860749298</v>
      </c>
      <c r="HY11" s="29">
        <f t="shared" ca="1" si="272"/>
        <v>14407.488423862409</v>
      </c>
      <c r="HZ11" s="29">
        <f t="shared" ca="1" si="273"/>
        <v>14201.733041050242</v>
      </c>
      <c r="IA11" s="29">
        <f t="shared" ca="1" si="274"/>
        <v>14542.230977687801</v>
      </c>
      <c r="IB11" s="29">
        <f t="shared" ca="1" si="275"/>
        <v>14987.855064510777</v>
      </c>
      <c r="IC11" s="29">
        <f t="shared" ca="1" si="276"/>
        <v>13983.101059282593</v>
      </c>
      <c r="ID11" s="29">
        <f t="shared" ca="1" si="277"/>
        <v>14994.37129267188</v>
      </c>
      <c r="IE11" s="29">
        <f t="shared" ca="1" si="278"/>
        <v>13090.915739624985</v>
      </c>
      <c r="IF11" s="29">
        <f t="shared" ca="1" si="279"/>
        <v>14812.541271405828</v>
      </c>
      <c r="IG11" s="29">
        <f t="shared" ca="1" si="280"/>
        <v>14130.820096501644</v>
      </c>
      <c r="IH11" s="29">
        <f t="shared" ca="1" si="281"/>
        <v>14289.746471417864</v>
      </c>
      <c r="II11" s="29">
        <f t="shared" ca="1" si="282"/>
        <v>14652.504902450977</v>
      </c>
      <c r="IJ11" s="29">
        <f t="shared" ca="1" si="283"/>
        <v>14812.369288864396</v>
      </c>
      <c r="IK11" s="29">
        <f t="shared" ca="1" si="284"/>
        <v>13792.387712214169</v>
      </c>
      <c r="IL11" s="29">
        <f t="shared" ca="1" si="285"/>
        <v>15016.500148613597</v>
      </c>
      <c r="IM11" s="29">
        <f t="shared" ca="1" si="286"/>
        <v>14259.533690097263</v>
      </c>
      <c r="IN11" s="29">
        <f t="shared" ca="1" si="287"/>
        <v>15043.885738110152</v>
      </c>
      <c r="IO11" s="29">
        <f t="shared" ca="1" si="288"/>
        <v>14537.355665504543</v>
      </c>
      <c r="IP11" s="29">
        <f t="shared" ca="1" si="289"/>
        <v>14667.557822596762</v>
      </c>
      <c r="IQ11" s="29">
        <f t="shared" ca="1" si="290"/>
        <v>13917.725884295156</v>
      </c>
      <c r="IR11" s="29">
        <f t="shared" ca="1" si="291"/>
        <v>14646.639364781331</v>
      </c>
      <c r="IS11" s="29">
        <f t="shared" ca="1" si="292"/>
        <v>13535.181875946328</v>
      </c>
      <c r="IT11" s="29">
        <f t="shared" ca="1" si="293"/>
        <v>15429.791278888191</v>
      </c>
      <c r="IU11" s="29">
        <f t="shared" ca="1" si="294"/>
        <v>15825.482871951061</v>
      </c>
      <c r="IV11" s="29">
        <f t="shared" ca="1" si="295"/>
        <v>14332.379072502932</v>
      </c>
      <c r="IW11" s="29">
        <f t="shared" ca="1" si="296"/>
        <v>14638.099964583113</v>
      </c>
      <c r="IX11" s="29">
        <f t="shared" ca="1" si="297"/>
        <v>14730.74336481761</v>
      </c>
      <c r="IY11" s="29">
        <f t="shared" ca="1" si="298"/>
        <v>13506.40768095105</v>
      </c>
      <c r="IZ11" s="29">
        <f t="shared" ca="1" si="299"/>
        <v>13867.689658538697</v>
      </c>
      <c r="JA11" s="29">
        <f t="shared" ca="1" si="300"/>
        <v>13752.220525084786</v>
      </c>
      <c r="JB11" s="29">
        <f t="shared" ca="1" si="301"/>
        <v>14468.998915111337</v>
      </c>
      <c r="JC11" s="29">
        <f t="shared" ca="1" si="302"/>
        <v>14069.749111361436</v>
      </c>
      <c r="JD11" s="29">
        <f t="shared" ca="1" si="303"/>
        <v>13664.888731727457</v>
      </c>
      <c r="JE11" s="29">
        <f t="shared" ca="1" si="304"/>
        <v>13637.153260083807</v>
      </c>
      <c r="JF11" s="29">
        <f t="shared" ca="1" si="305"/>
        <v>14818.750696276606</v>
      </c>
      <c r="JG11" s="29">
        <f t="shared" ca="1" si="306"/>
        <v>14157.218712731545</v>
      </c>
      <c r="JH11" s="29">
        <f t="shared" ca="1" si="307"/>
        <v>14520.554000685757</v>
      </c>
      <c r="JI11" s="29">
        <f t="shared" ca="1" si="308"/>
        <v>14558.000351018249</v>
      </c>
      <c r="JJ11" s="29">
        <f t="shared" ca="1" si="309"/>
        <v>14204.154091381559</v>
      </c>
      <c r="JK11" s="29">
        <f t="shared" ca="1" si="310"/>
        <v>14099.233461053576</v>
      </c>
      <c r="JL11" s="29">
        <f t="shared" ca="1" si="311"/>
        <v>14385.034558933401</v>
      </c>
      <c r="JM11" s="29">
        <f t="shared" ca="1" si="312"/>
        <v>13376.361031740991</v>
      </c>
      <c r="JN11" s="29">
        <f t="shared" ca="1" si="313"/>
        <v>14618.86141833424</v>
      </c>
      <c r="JO11" s="29">
        <f t="shared" ca="1" si="314"/>
        <v>14710.865466044626</v>
      </c>
      <c r="JP11" s="29">
        <f t="shared" ca="1" si="315"/>
        <v>14761.572884065101</v>
      </c>
      <c r="JQ11" s="29">
        <f t="shared" ca="1" si="316"/>
        <v>14178.658625527114</v>
      </c>
      <c r="JR11" s="29">
        <f t="shared" ca="1" si="317"/>
        <v>14891.797305583983</v>
      </c>
      <c r="JS11" s="29">
        <f t="shared" ca="1" si="318"/>
        <v>14780.872682967512</v>
      </c>
      <c r="JT11" s="29">
        <f t="shared" ca="1" si="319"/>
        <v>14741.516364254041</v>
      </c>
      <c r="JU11" s="29">
        <f t="shared" ca="1" si="320"/>
        <v>14492.866614611707</v>
      </c>
      <c r="JV11" s="29">
        <f t="shared" ca="1" si="321"/>
        <v>14496.345776643169</v>
      </c>
      <c r="JW11" s="29">
        <f t="shared" ca="1" si="322"/>
        <v>14896.650684143011</v>
      </c>
      <c r="JX11" s="29">
        <f t="shared" ca="1" si="323"/>
        <v>14648.345191135757</v>
      </c>
      <c r="JY11" s="29">
        <f t="shared" ca="1" si="324"/>
        <v>14025.030886179844</v>
      </c>
      <c r="JZ11" s="29">
        <f t="shared" ca="1" si="325"/>
        <v>14469.163292601383</v>
      </c>
      <c r="KA11" s="29">
        <f t="shared" ca="1" si="326"/>
        <v>14135.778665630294</v>
      </c>
      <c r="KB11" s="29">
        <f t="shared" ca="1" si="327"/>
        <v>13638.622838579591</v>
      </c>
      <c r="KC11" s="29">
        <f t="shared" ca="1" si="328"/>
        <v>14569.598477666603</v>
      </c>
      <c r="KD11" s="29">
        <f t="shared" ca="1" si="329"/>
        <v>14091.539955589133</v>
      </c>
      <c r="KE11" s="29">
        <f t="shared" ca="1" si="330"/>
        <v>15391.951062525937</v>
      </c>
      <c r="KF11" s="29">
        <f t="shared" ca="1" si="331"/>
        <v>14035.835332175631</v>
      </c>
      <c r="KG11" s="29">
        <f t="shared" ca="1" si="332"/>
        <v>14190.437263952232</v>
      </c>
      <c r="KH11" s="29">
        <f t="shared" ca="1" si="333"/>
        <v>14728.595456244497</v>
      </c>
      <c r="KI11" s="29">
        <f t="shared" ca="1" si="334"/>
        <v>14243.493245312107</v>
      </c>
      <c r="KJ11" s="29">
        <f t="shared" ca="1" si="335"/>
        <v>14681.970572621378</v>
      </c>
      <c r="KK11" s="29">
        <f t="shared" ca="1" si="336"/>
        <v>13861.724713929514</v>
      </c>
      <c r="KL11" s="29">
        <f t="shared" ca="1" si="337"/>
        <v>14360.920738515402</v>
      </c>
      <c r="KM11" s="29">
        <f t="shared" ca="1" si="338"/>
        <v>15397.320662208951</v>
      </c>
      <c r="KN11" s="29">
        <f t="shared" ca="1" si="339"/>
        <v>13768.137767362885</v>
      </c>
      <c r="KO11" s="29">
        <f t="shared" ca="1" si="340"/>
        <v>14503.523188285197</v>
      </c>
      <c r="KP11" s="29">
        <f t="shared" ca="1" si="341"/>
        <v>14204.916824127013</v>
      </c>
      <c r="KQ11" s="29">
        <f t="shared" ca="1" si="342"/>
        <v>14379.39976254148</v>
      </c>
      <c r="KR11" s="29">
        <f t="shared" ca="1" si="343"/>
        <v>14098.679778272292</v>
      </c>
      <c r="KS11" s="29">
        <f t="shared" ca="1" si="344"/>
        <v>13426.989609590588</v>
      </c>
      <c r="KT11" s="29">
        <f t="shared" ca="1" si="345"/>
        <v>14336.680388958466</v>
      </c>
      <c r="KU11" s="29">
        <f t="shared" ca="1" si="346"/>
        <v>14395.400001992726</v>
      </c>
      <c r="KV11" s="29">
        <f t="shared" ca="1" si="347"/>
        <v>13752.954644153302</v>
      </c>
      <c r="KW11" s="29">
        <f t="shared" ca="1" si="348"/>
        <v>14835.789384663782</v>
      </c>
      <c r="KX11" s="29">
        <f t="shared" ca="1" si="349"/>
        <v>13192.853233822632</v>
      </c>
      <c r="KY11" s="29">
        <f t="shared" ca="1" si="350"/>
        <v>15145.222013437269</v>
      </c>
      <c r="KZ11" s="29">
        <f t="shared" ca="1" si="351"/>
        <v>14141.452280422078</v>
      </c>
      <c r="LA11" s="29">
        <f t="shared" ca="1" si="352"/>
        <v>15718.804789969101</v>
      </c>
      <c r="LB11" s="29">
        <f t="shared" ca="1" si="353"/>
        <v>14353.959688655717</v>
      </c>
      <c r="LC11" s="29">
        <f t="shared" ca="1" si="354"/>
        <v>14391.844648851438</v>
      </c>
      <c r="LD11" s="29">
        <f t="shared" ca="1" si="355"/>
        <v>13386.827414924006</v>
      </c>
      <c r="LE11" s="29">
        <f t="shared" ca="1" si="356"/>
        <v>13884.178750913285</v>
      </c>
      <c r="LF11" s="29">
        <f t="shared" ca="1" si="357"/>
        <v>14160.829593235831</v>
      </c>
      <c r="LG11" s="29">
        <f t="shared" ca="1" si="358"/>
        <v>14346.104352211009</v>
      </c>
      <c r="LH11" s="29">
        <f t="shared" ca="1" si="359"/>
        <v>13841.846867795259</v>
      </c>
      <c r="LI11" s="29">
        <f t="shared" ca="1" si="360"/>
        <v>13813.166950195066</v>
      </c>
      <c r="LJ11" s="29">
        <f t="shared" ca="1" si="361"/>
        <v>14708.201977846426</v>
      </c>
      <c r="LK11" s="29">
        <f t="shared" ca="1" si="362"/>
        <v>14449.47364919153</v>
      </c>
      <c r="LL11" s="29">
        <f t="shared" ca="1" si="363"/>
        <v>14183.468908898725</v>
      </c>
      <c r="LM11" s="29">
        <f t="shared" ca="1" si="364"/>
        <v>14671.131847825989</v>
      </c>
      <c r="LN11" s="29">
        <f t="shared" ca="1" si="365"/>
        <v>15059.972201222085</v>
      </c>
      <c r="LO11" s="29">
        <f t="shared" ca="1" si="366"/>
        <v>13747.107506501008</v>
      </c>
      <c r="LP11" s="29">
        <f t="shared" ca="1" si="367"/>
        <v>14377.660051273448</v>
      </c>
      <c r="LQ11" s="29">
        <f t="shared" ca="1" si="368"/>
        <v>15462.235672882682</v>
      </c>
      <c r="LR11" s="29">
        <f t="shared" ca="1" si="369"/>
        <v>14547.49134908481</v>
      </c>
      <c r="LS11" s="29">
        <f t="shared" ca="1" si="370"/>
        <v>13635.405278777685</v>
      </c>
      <c r="LT11" s="29">
        <f t="shared" ca="1" si="371"/>
        <v>13917.31889393221</v>
      </c>
      <c r="LU11" s="29">
        <f t="shared" ca="1" si="372"/>
        <v>14940.688647132043</v>
      </c>
      <c r="LV11" s="29">
        <f t="shared" ca="1" si="373"/>
        <v>13841.077436075255</v>
      </c>
      <c r="LW11" s="29">
        <f t="shared" ca="1" si="374"/>
        <v>14673.629935539515</v>
      </c>
      <c r="LX11" s="29">
        <f t="shared" ca="1" si="375"/>
        <v>14408.216172559458</v>
      </c>
      <c r="LY11" s="29">
        <f t="shared" ca="1" si="376"/>
        <v>14710.759559077458</v>
      </c>
      <c r="LZ11" s="29">
        <f t="shared" ca="1" si="377"/>
        <v>14655.252312843337</v>
      </c>
      <c r="MA11" s="29">
        <f t="shared" ca="1" si="378"/>
        <v>14137.393048313173</v>
      </c>
      <c r="MB11" s="29">
        <f t="shared" ca="1" si="379"/>
        <v>14197.170473708538</v>
      </c>
      <c r="MC11" s="29">
        <f t="shared" ca="1" si="380"/>
        <v>14868.052287156974</v>
      </c>
      <c r="MD11" s="29">
        <f t="shared" ca="1" si="381"/>
        <v>14793.19499134027</v>
      </c>
      <c r="ME11" s="29">
        <f t="shared" ca="1" si="382"/>
        <v>13093.986859683273</v>
      </c>
      <c r="MF11" s="29">
        <f t="shared" ca="1" si="383"/>
        <v>14492.379936714631</v>
      </c>
      <c r="MG11" s="29">
        <f t="shared" ca="1" si="384"/>
        <v>13845.695865159174</v>
      </c>
      <c r="MH11" s="29">
        <f t="shared" ca="1" si="385"/>
        <v>14577.38970964261</v>
      </c>
      <c r="MI11" s="29">
        <f t="shared" ca="1" si="386"/>
        <v>14593.72569372565</v>
      </c>
      <c r="MJ11" s="29">
        <f t="shared" ca="1" si="387"/>
        <v>15012.72541153183</v>
      </c>
      <c r="MK11" s="29">
        <f t="shared" ca="1" si="388"/>
        <v>14253.831610305537</v>
      </c>
      <c r="ML11" s="29">
        <f t="shared" ca="1" si="389"/>
        <v>15311.806481827105</v>
      </c>
      <c r="MM11" s="29">
        <f t="shared" ca="1" si="390"/>
        <v>14760.599501048346</v>
      </c>
      <c r="MN11" s="29">
        <f t="shared" ca="1" si="391"/>
        <v>14483.763279811765</v>
      </c>
      <c r="MO11" s="29">
        <f t="shared" ca="1" si="392"/>
        <v>14231.633124463757</v>
      </c>
      <c r="MP11" s="29">
        <f t="shared" ca="1" si="393"/>
        <v>14477.663492175037</v>
      </c>
      <c r="MQ11" s="29">
        <f t="shared" ca="1" si="394"/>
        <v>14566.756861846046</v>
      </c>
      <c r="MR11" s="29">
        <f t="shared" ca="1" si="395"/>
        <v>14108.809458288753</v>
      </c>
      <c r="MS11" s="29">
        <f t="shared" ca="1" si="396"/>
        <v>13578.763560884185</v>
      </c>
      <c r="MT11" s="29">
        <f t="shared" ca="1" si="397"/>
        <v>14642.968570695681</v>
      </c>
      <c r="MU11" s="29">
        <f t="shared" ca="1" si="398"/>
        <v>13770.633200375169</v>
      </c>
      <c r="MV11" s="29">
        <f t="shared" ca="1" si="399"/>
        <v>13696.333308804171</v>
      </c>
      <c r="MW11" s="29">
        <f t="shared" ca="1" si="400"/>
        <v>14228.714271901137</v>
      </c>
      <c r="MX11" s="29">
        <f t="shared" ca="1" si="401"/>
        <v>14644.36751641384</v>
      </c>
      <c r="MY11" s="29">
        <f t="shared" ca="1" si="402"/>
        <v>14719.493426669551</v>
      </c>
      <c r="MZ11" s="29">
        <f t="shared" ca="1" si="403"/>
        <v>14867.791311436575</v>
      </c>
      <c r="NA11" s="29">
        <f t="shared" ca="1" si="404"/>
        <v>14562.863130782538</v>
      </c>
      <c r="NB11" s="29">
        <f t="shared" ca="1" si="405"/>
        <v>14800.210820026548</v>
      </c>
      <c r="NC11" s="29">
        <f t="shared" ca="1" si="406"/>
        <v>14303.708618773111</v>
      </c>
      <c r="ND11" s="29">
        <f t="shared" ca="1" si="407"/>
        <v>14119.19328167946</v>
      </c>
      <c r="NE11" s="29">
        <f t="shared" ca="1" si="408"/>
        <v>15045.700044315725</v>
      </c>
      <c r="NF11" s="29">
        <f t="shared" ca="1" si="409"/>
        <v>14915.370419991137</v>
      </c>
      <c r="NG11" s="29">
        <f t="shared" ca="1" si="410"/>
        <v>13834.545440587595</v>
      </c>
      <c r="NH11" s="29">
        <f t="shared" ca="1" si="411"/>
        <v>14173.363430276289</v>
      </c>
      <c r="NI11" s="29">
        <f t="shared" ca="1" si="412"/>
        <v>14984.003626830854</v>
      </c>
      <c r="NJ11" s="29">
        <f t="shared" ca="1" si="413"/>
        <v>14420.562013596906</v>
      </c>
      <c r="NK11" s="29">
        <f t="shared" ca="1" si="414"/>
        <v>14588.760723335767</v>
      </c>
      <c r="NL11" s="29">
        <f t="shared" ca="1" si="415"/>
        <v>13780.272665162265</v>
      </c>
      <c r="NM11" s="29">
        <f t="shared" ca="1" si="416"/>
        <v>14804.973583144885</v>
      </c>
      <c r="NN11" s="29">
        <f t="shared" ca="1" si="417"/>
        <v>14327.316374331753</v>
      </c>
      <c r="NO11" s="29">
        <f t="shared" ca="1" si="418"/>
        <v>14388.911824123597</v>
      </c>
      <c r="NP11" s="29">
        <f t="shared" ca="1" si="419"/>
        <v>13583.658992276703</v>
      </c>
      <c r="NQ11" s="29">
        <f t="shared" ca="1" si="420"/>
        <v>14565.357074197625</v>
      </c>
      <c r="NR11" s="29">
        <f t="shared" ca="1" si="421"/>
        <v>14612.153326930598</v>
      </c>
      <c r="NS11" s="29">
        <f t="shared" ca="1" si="422"/>
        <v>14399.378888614452</v>
      </c>
      <c r="NT11" s="29">
        <f t="shared" ca="1" si="423"/>
        <v>14662.823124757089</v>
      </c>
      <c r="NU11" s="29">
        <f t="shared" ca="1" si="424"/>
        <v>14669.165814157845</v>
      </c>
      <c r="NV11" s="29">
        <f t="shared" ca="1" si="425"/>
        <v>13495.064419074271</v>
      </c>
      <c r="NW11" s="29">
        <f t="shared" ca="1" si="426"/>
        <v>14085.595567651591</v>
      </c>
      <c r="NX11" s="29">
        <f t="shared" ca="1" si="427"/>
        <v>14520.191957251294</v>
      </c>
      <c r="NY11" s="29">
        <f t="shared" ca="1" si="428"/>
        <v>14845.424643427179</v>
      </c>
      <c r="NZ11" s="29">
        <f t="shared" ca="1" si="429"/>
        <v>13896.685288976187</v>
      </c>
      <c r="OA11" s="29">
        <f t="shared" ca="1" si="430"/>
        <v>14329.385537102185</v>
      </c>
      <c r="OB11" s="29">
        <f t="shared" ca="1" si="431"/>
        <v>14635.596775968737</v>
      </c>
      <c r="OC11" s="29">
        <f t="shared" ca="1" si="432"/>
        <v>14147.524302553909</v>
      </c>
      <c r="OD11" s="29">
        <f t="shared" ca="1" si="433"/>
        <v>14547.13110618417</v>
      </c>
      <c r="OE11" s="29">
        <f t="shared" ca="1" si="434"/>
        <v>15504.045346432817</v>
      </c>
      <c r="OF11" s="29">
        <f t="shared" ca="1" si="435"/>
        <v>13914.053985585351</v>
      </c>
      <c r="OG11" s="29">
        <f t="shared" ca="1" si="436"/>
        <v>15020.973172748776</v>
      </c>
      <c r="OH11" s="29">
        <f t="shared" ca="1" si="437"/>
        <v>15026.515119717227</v>
      </c>
      <c r="OI11" s="29">
        <f t="shared" ca="1" si="438"/>
        <v>14383.879123189197</v>
      </c>
      <c r="OJ11" s="29">
        <f t="shared" ca="1" si="439"/>
        <v>14325.840783201416</v>
      </c>
      <c r="OK11" s="29">
        <f t="shared" ca="1" si="440"/>
        <v>13645.655258161671</v>
      </c>
      <c r="OL11" s="29">
        <f t="shared" ca="1" si="441"/>
        <v>14688.763898553612</v>
      </c>
      <c r="OM11" s="29">
        <f t="shared" ca="1" si="442"/>
        <v>14142.561641152352</v>
      </c>
      <c r="ON11" s="29">
        <f t="shared" ca="1" si="443"/>
        <v>14741.970953351429</v>
      </c>
      <c r="OO11" s="29">
        <f t="shared" ca="1" si="444"/>
        <v>13834.583866837667</v>
      </c>
      <c r="OP11" s="29">
        <f t="shared" ca="1" si="445"/>
        <v>15642.960995126587</v>
      </c>
      <c r="OQ11" s="29">
        <f t="shared" ca="1" si="446"/>
        <v>14047.864082283602</v>
      </c>
      <c r="OR11" s="29">
        <f t="shared" ca="1" si="447"/>
        <v>13423.549096491397</v>
      </c>
      <c r="OS11" s="29">
        <f t="shared" ca="1" si="448"/>
        <v>13611.197653772086</v>
      </c>
      <c r="OT11" s="29">
        <f t="shared" ca="1" si="449"/>
        <v>14511.994746031813</v>
      </c>
      <c r="OU11" s="29">
        <f t="shared" ca="1" si="450"/>
        <v>14731.608924754382</v>
      </c>
      <c r="OV11" s="29">
        <f t="shared" ca="1" si="451"/>
        <v>15118.362805278834</v>
      </c>
      <c r="OW11" s="29">
        <f t="shared" ca="1" si="452"/>
        <v>14815.1671428685</v>
      </c>
      <c r="OX11" s="29">
        <f t="shared" ca="1" si="453"/>
        <v>14722.767240330384</v>
      </c>
      <c r="OY11" s="29">
        <f t="shared" ca="1" si="454"/>
        <v>14355.942180267777</v>
      </c>
      <c r="OZ11" s="29">
        <f t="shared" ca="1" si="455"/>
        <v>13660.124389069781</v>
      </c>
      <c r="PA11" s="29">
        <f t="shared" ca="1" si="456"/>
        <v>14340.207252683995</v>
      </c>
      <c r="PB11" s="29">
        <f t="shared" ca="1" si="457"/>
        <v>13862.435128502133</v>
      </c>
      <c r="PC11" s="29">
        <f t="shared" ca="1" si="458"/>
        <v>14118.530141276722</v>
      </c>
      <c r="PD11" s="29">
        <f t="shared" ca="1" si="459"/>
        <v>14656.123012319471</v>
      </c>
      <c r="PE11" s="29">
        <f t="shared" ca="1" si="460"/>
        <v>14457.603158216913</v>
      </c>
      <c r="PF11" s="29">
        <f t="shared" ca="1" si="461"/>
        <v>14699.997870680554</v>
      </c>
      <c r="PG11" s="29">
        <f t="shared" ca="1" si="462"/>
        <v>14654.628663848493</v>
      </c>
      <c r="PH11" s="29">
        <f t="shared" ca="1" si="463"/>
        <v>14737.739153359997</v>
      </c>
      <c r="PI11" s="29">
        <f t="shared" ca="1" si="464"/>
        <v>12911.736791015379</v>
      </c>
      <c r="PJ11" s="29">
        <f t="shared" ca="1" si="465"/>
        <v>14559.71084796797</v>
      </c>
      <c r="PK11" s="29">
        <f t="shared" ca="1" si="466"/>
        <v>14154.28033232264</v>
      </c>
      <c r="PL11" s="29">
        <f t="shared" ca="1" si="467"/>
        <v>13716.053209900636</v>
      </c>
      <c r="PM11" s="29">
        <f t="shared" ca="1" si="468"/>
        <v>13737.764947475442</v>
      </c>
      <c r="PN11" s="29">
        <f t="shared" ca="1" si="469"/>
        <v>14333.763613506664</v>
      </c>
      <c r="PO11" s="29">
        <f t="shared" ca="1" si="470"/>
        <v>14467.737604168458</v>
      </c>
      <c r="PP11" s="29">
        <f t="shared" ca="1" si="471"/>
        <v>14288.628307525058</v>
      </c>
      <c r="PQ11" s="29">
        <f t="shared" ca="1" si="472"/>
        <v>14850.113428429548</v>
      </c>
      <c r="PR11" s="29">
        <f t="shared" ca="1" si="473"/>
        <v>14192.937165111918</v>
      </c>
      <c r="PS11" s="29">
        <f t="shared" ca="1" si="474"/>
        <v>14918.697600585736</v>
      </c>
      <c r="PT11" s="29">
        <f t="shared" ca="1" si="475"/>
        <v>14484.584196789998</v>
      </c>
      <c r="PU11" s="29">
        <f t="shared" ca="1" si="476"/>
        <v>14476.477101788869</v>
      </c>
      <c r="PV11" s="29">
        <f t="shared" ca="1" si="477"/>
        <v>14835.09502700592</v>
      </c>
      <c r="PW11" s="29">
        <f t="shared" ca="1" si="478"/>
        <v>14344.895318604178</v>
      </c>
      <c r="PX11" s="29">
        <f t="shared" ca="1" si="479"/>
        <v>14034.533261324365</v>
      </c>
      <c r="PY11" s="29">
        <f t="shared" ca="1" si="480"/>
        <v>14432.585208091639</v>
      </c>
      <c r="PZ11" s="29">
        <f t="shared" ca="1" si="481"/>
        <v>13156.187888674503</v>
      </c>
      <c r="QA11" s="29">
        <f t="shared" ca="1" si="482"/>
        <v>14925.14533955516</v>
      </c>
      <c r="QB11" s="29">
        <f t="shared" ca="1" si="483"/>
        <v>14150.079788270928</v>
      </c>
      <c r="QC11" s="29">
        <f t="shared" ca="1" si="484"/>
        <v>13919.657220301659</v>
      </c>
      <c r="QD11" s="29">
        <f t="shared" ca="1" si="485"/>
        <v>14105.983825662517</v>
      </c>
      <c r="QE11" s="29">
        <f t="shared" ca="1" si="486"/>
        <v>14723.301450093322</v>
      </c>
      <c r="QF11" s="29">
        <f t="shared" ca="1" si="487"/>
        <v>14932.865024822835</v>
      </c>
      <c r="QG11" s="29">
        <f t="shared" ca="1" si="488"/>
        <v>14944.873508782228</v>
      </c>
      <c r="QH11" s="29">
        <f t="shared" ca="1" si="489"/>
        <v>14815.75067550771</v>
      </c>
      <c r="QI11" s="29">
        <f t="shared" ca="1" si="490"/>
        <v>15121.329556440596</v>
      </c>
      <c r="QJ11" s="29">
        <f t="shared" ca="1" si="491"/>
        <v>13909.908890355506</v>
      </c>
      <c r="QK11" s="29">
        <f t="shared" ca="1" si="492"/>
        <v>14913.673680473912</v>
      </c>
      <c r="QL11" s="29">
        <f t="shared" ca="1" si="493"/>
        <v>14403.945471557232</v>
      </c>
      <c r="QM11" s="29">
        <f t="shared" ca="1" si="494"/>
        <v>13791.63698296196</v>
      </c>
      <c r="QN11" s="29">
        <f t="shared" ca="1" si="495"/>
        <v>14678.518442828428</v>
      </c>
      <c r="QO11" s="29">
        <f t="shared" ca="1" si="496"/>
        <v>14488.815580848091</v>
      </c>
      <c r="QP11" s="29">
        <f t="shared" ca="1" si="497"/>
        <v>14367.655390474845</v>
      </c>
      <c r="QQ11" s="29">
        <f t="shared" ca="1" si="498"/>
        <v>14855.5916819825</v>
      </c>
      <c r="QR11" s="29">
        <f t="shared" ca="1" si="499"/>
        <v>14892.606449763911</v>
      </c>
      <c r="QS11" s="29">
        <f t="shared" ca="1" si="500"/>
        <v>15026.946966786549</v>
      </c>
      <c r="QT11" s="29">
        <f t="shared" ca="1" si="501"/>
        <v>15260.976301567032</v>
      </c>
      <c r="QU11" s="29">
        <f t="shared" ca="1" si="502"/>
        <v>14245.95588302646</v>
      </c>
      <c r="QV11" s="29">
        <f t="shared" ca="1" si="503"/>
        <v>14682.119993952567</v>
      </c>
      <c r="QW11" s="29">
        <f t="shared" ca="1" si="504"/>
        <v>14296.217961956709</v>
      </c>
      <c r="QX11" s="29">
        <f t="shared" ca="1" si="505"/>
        <v>14720.886624285373</v>
      </c>
      <c r="QY11" s="29">
        <f t="shared" ca="1" si="506"/>
        <v>15175.693020748709</v>
      </c>
      <c r="QZ11" s="29">
        <f t="shared" ca="1" si="507"/>
        <v>14092.462755083872</v>
      </c>
      <c r="RA11" s="29">
        <f t="shared" ca="1" si="508"/>
        <v>14107.134883458066</v>
      </c>
      <c r="RB11" s="29">
        <f t="shared" ca="1" si="509"/>
        <v>13886.115463985285</v>
      </c>
      <c r="RC11" s="29">
        <f t="shared" ca="1" si="510"/>
        <v>14225.694205447409</v>
      </c>
      <c r="RD11" s="29">
        <f t="shared" ca="1" si="511"/>
        <v>14593.62520550907</v>
      </c>
      <c r="RE11" s="29">
        <f t="shared" ca="1" si="512"/>
        <v>14648.943024687856</v>
      </c>
      <c r="RF11" s="29">
        <f t="shared" ca="1" si="513"/>
        <v>14402.872191097817</v>
      </c>
      <c r="RG11" s="29">
        <f t="shared" ca="1" si="514"/>
        <v>14305.480327719146</v>
      </c>
      <c r="RH11" s="29">
        <f t="shared" ca="1" si="515"/>
        <v>13945.901154008772</v>
      </c>
      <c r="RI11" s="29">
        <f t="shared" ca="1" si="516"/>
        <v>14195.989601274421</v>
      </c>
      <c r="RJ11" s="29">
        <f t="shared" ca="1" si="517"/>
        <v>14919.352401709704</v>
      </c>
      <c r="RK11" s="29">
        <f t="shared" ca="1" si="518"/>
        <v>13905.089435646874</v>
      </c>
      <c r="RL11" s="29">
        <f t="shared" ca="1" si="519"/>
        <v>14248.806648420245</v>
      </c>
      <c r="RM11" s="29">
        <f t="shared" ca="1" si="520"/>
        <v>14403.120071644762</v>
      </c>
      <c r="RN11" s="29">
        <f t="shared" ca="1" si="521"/>
        <v>14025.007789428464</v>
      </c>
      <c r="RO11" s="29">
        <f t="shared" ca="1" si="522"/>
        <v>14251.2619939498</v>
      </c>
      <c r="RP11" s="29">
        <f t="shared" ca="1" si="523"/>
        <v>14749.041579339135</v>
      </c>
      <c r="RQ11" s="29">
        <f t="shared" ca="1" si="524"/>
        <v>14810.453027724832</v>
      </c>
      <c r="RR11" s="29">
        <f t="shared" ca="1" si="525"/>
        <v>14485.405126162732</v>
      </c>
      <c r="RS11" s="29">
        <f t="shared" ca="1" si="526"/>
        <v>14745.571299597481</v>
      </c>
      <c r="RT11" s="29">
        <f t="shared" ca="1" si="527"/>
        <v>14417.134363291529</v>
      </c>
      <c r="RU11" s="29">
        <f t="shared" ca="1" si="528"/>
        <v>13985.383040378778</v>
      </c>
      <c r="RV11" s="29">
        <f t="shared" ca="1" si="529"/>
        <v>14229.921681261476</v>
      </c>
      <c r="RW11" s="29">
        <f t="shared" ca="1" si="530"/>
        <v>14983.297695162062</v>
      </c>
      <c r="RX11" s="29">
        <f t="shared" ca="1" si="531"/>
        <v>14484.600349716657</v>
      </c>
      <c r="RY11" s="29">
        <f t="shared" ca="1" si="532"/>
        <v>14202.34597926503</v>
      </c>
      <c r="RZ11" s="29">
        <f t="shared" ca="1" si="533"/>
        <v>15344.885919589524</v>
      </c>
      <c r="SA11" s="29">
        <f t="shared" ca="1" si="534"/>
        <v>14236.854717339482</v>
      </c>
      <c r="SB11" s="29">
        <f t="shared" ca="1" si="535"/>
        <v>14078.391261123013</v>
      </c>
      <c r="SC11" s="29">
        <f t="shared" ca="1" si="536"/>
        <v>14596.8534142399</v>
      </c>
      <c r="SD11" s="29">
        <f t="shared" ca="1" si="537"/>
        <v>14406.111684411997</v>
      </c>
      <c r="SE11" s="29">
        <f t="shared" ca="1" si="538"/>
        <v>14027.867456550595</v>
      </c>
      <c r="SF11" s="29">
        <f t="shared" ca="1" si="539"/>
        <v>14023.439235138674</v>
      </c>
      <c r="SG11" s="29">
        <f t="shared" ca="1" si="540"/>
        <v>15485.020607516919</v>
      </c>
      <c r="SH11" s="29">
        <f t="shared" ca="1" si="541"/>
        <v>15043.194712369008</v>
      </c>
      <c r="SI11" s="29">
        <f t="shared" ca="1" si="542"/>
        <v>14433.458743874846</v>
      </c>
      <c r="SJ11" s="29">
        <f t="shared" ca="1" si="543"/>
        <v>14110.760105183119</v>
      </c>
      <c r="SK11" s="29">
        <f t="shared" ca="1" si="544"/>
        <v>14728.409134380554</v>
      </c>
      <c r="SL11" s="29">
        <f t="shared" ca="1" si="545"/>
        <v>14607.193175923963</v>
      </c>
      <c r="SM11" s="29">
        <f t="shared" ca="1" si="546"/>
        <v>14496.567542886365</v>
      </c>
      <c r="SN11" s="29">
        <f t="shared" ca="1" si="547"/>
        <v>14499.119915247715</v>
      </c>
      <c r="SO11" s="29">
        <f t="shared" ca="1" si="548"/>
        <v>14129.692860532061</v>
      </c>
      <c r="SP11" s="29">
        <f t="shared" ca="1" si="549"/>
        <v>15423.725632198424</v>
      </c>
      <c r="SQ11" s="29">
        <f t="shared" ca="1" si="550"/>
        <v>14625.064992591862</v>
      </c>
      <c r="SR11" s="29">
        <f t="shared" ca="1" si="551"/>
        <v>14159.149314173677</v>
      </c>
      <c r="SS11" s="29">
        <f t="shared" ca="1" si="552"/>
        <v>14644.310097251095</v>
      </c>
      <c r="ST11" s="29">
        <f t="shared" ca="1" si="553"/>
        <v>14000.68682409107</v>
      </c>
      <c r="SU11" s="29">
        <f t="shared" ca="1" si="554"/>
        <v>15092.885398868784</v>
      </c>
      <c r="SV11" s="29">
        <f t="shared" ca="1" si="555"/>
        <v>14377.221094838043</v>
      </c>
      <c r="SW11" s="29">
        <f t="shared" ca="1" si="556"/>
        <v>14118.738189983656</v>
      </c>
      <c r="SX11" s="29">
        <f t="shared" ca="1" si="557"/>
        <v>13726.177462447669</v>
      </c>
      <c r="SY11" s="29">
        <f t="shared" ca="1" si="558"/>
        <v>14032.437336309458</v>
      </c>
      <c r="SZ11" s="29">
        <f t="shared" ca="1" si="559"/>
        <v>14798.454777969066</v>
      </c>
      <c r="TA11" s="29">
        <f t="shared" ca="1" si="560"/>
        <v>14165.949840830252</v>
      </c>
      <c r="TB11" s="29">
        <f t="shared" ca="1" si="561"/>
        <v>13835.166923397224</v>
      </c>
      <c r="TC11" s="29">
        <f t="shared" ca="1" si="562"/>
        <v>14999.882314226852</v>
      </c>
      <c r="TD11" s="29">
        <f t="shared" ca="1" si="563"/>
        <v>13839.891105976965</v>
      </c>
      <c r="TE11" s="29">
        <f t="shared" ca="1" si="564"/>
        <v>14004.524309595972</v>
      </c>
      <c r="TF11" s="29">
        <f t="shared" ca="1" si="565"/>
        <v>13970.829878681598</v>
      </c>
      <c r="TG11" s="29">
        <f t="shared" ca="1" si="566"/>
        <v>14660.765108146186</v>
      </c>
      <c r="TH11" s="29">
        <f t="shared" ca="1" si="567"/>
        <v>14361.978359849143</v>
      </c>
      <c r="TI11" s="29">
        <f t="shared" ca="1" si="568"/>
        <v>13943.015259781914</v>
      </c>
      <c r="TJ11" s="29">
        <f t="shared" ca="1" si="569"/>
        <v>14740.779125075527</v>
      </c>
      <c r="TK11" s="29">
        <f t="shared" ca="1" si="570"/>
        <v>14135.345377764521</v>
      </c>
      <c r="TL11" s="29">
        <f t="shared" ca="1" si="571"/>
        <v>14998.247270086924</v>
      </c>
      <c r="TM11" s="29">
        <f t="shared" ca="1" si="572"/>
        <v>13740.955609747856</v>
      </c>
      <c r="TN11" s="29">
        <f t="shared" ca="1" si="573"/>
        <v>13851.63217235927</v>
      </c>
      <c r="TO11" s="29">
        <f t="shared" ca="1" si="574"/>
        <v>14264.884371967866</v>
      </c>
      <c r="TP11" s="29">
        <f t="shared" ca="1" si="575"/>
        <v>14875.808293522965</v>
      </c>
      <c r="TQ11" s="29">
        <f t="shared" ca="1" si="576"/>
        <v>14987.551053473691</v>
      </c>
      <c r="TR11" s="29">
        <f t="shared" ca="1" si="577"/>
        <v>14279.45953759019</v>
      </c>
      <c r="TS11" s="29">
        <f t="shared" ca="1" si="578"/>
        <v>14538.309079035735</v>
      </c>
      <c r="TT11" s="29">
        <f t="shared" ca="1" si="579"/>
        <v>14426.061225103122</v>
      </c>
      <c r="TU11" s="29">
        <f t="shared" ca="1" si="580"/>
        <v>14034.005897866418</v>
      </c>
      <c r="TV11" s="29">
        <f t="shared" ca="1" si="581"/>
        <v>14335.130077337415</v>
      </c>
      <c r="TW11" s="29">
        <f t="shared" ca="1" si="582"/>
        <v>14865.966363639618</v>
      </c>
      <c r="TX11" s="29">
        <f t="shared" ca="1" si="583"/>
        <v>14731.163512183712</v>
      </c>
      <c r="TY11" s="29">
        <f t="shared" ca="1" si="584"/>
        <v>14152.785380276346</v>
      </c>
      <c r="TZ11" s="29">
        <f t="shared" ca="1" si="585"/>
        <v>14999.327985887347</v>
      </c>
      <c r="UA11" s="29">
        <f t="shared" ca="1" si="586"/>
        <v>14240.275604377866</v>
      </c>
      <c r="UB11" s="29">
        <f t="shared" ca="1" si="587"/>
        <v>14779.177927391405</v>
      </c>
      <c r="UC11" s="29">
        <f t="shared" ca="1" si="588"/>
        <v>13702.035753506932</v>
      </c>
      <c r="UD11" s="29">
        <f t="shared" ca="1" si="589"/>
        <v>15270.936704342741</v>
      </c>
      <c r="UE11" s="29">
        <f t="shared" ca="1" si="590"/>
        <v>13943.902156126034</v>
      </c>
      <c r="UF11" s="29">
        <f t="shared" ca="1" si="591"/>
        <v>14183.49519680678</v>
      </c>
      <c r="UG11" s="29">
        <f t="shared" ca="1" si="592"/>
        <v>14656.033150584417</v>
      </c>
      <c r="UH11" s="29">
        <f t="shared" ca="1" si="593"/>
        <v>13601.605842151384</v>
      </c>
      <c r="UI11" s="29">
        <f t="shared" ca="1" si="594"/>
        <v>14857.99279923213</v>
      </c>
      <c r="UJ11" s="29">
        <f t="shared" ca="1" si="595"/>
        <v>14744.046902835364</v>
      </c>
      <c r="UK11" s="29">
        <f t="shared" ca="1" si="596"/>
        <v>14714.024452544665</v>
      </c>
      <c r="UL11" s="29">
        <f t="shared" ca="1" si="597"/>
        <v>15580.457181985166</v>
      </c>
      <c r="UM11" s="29">
        <f t="shared" ca="1" si="598"/>
        <v>13599.98893847609</v>
      </c>
      <c r="UN11" s="29">
        <f t="shared" ca="1" si="599"/>
        <v>14137.119954565007</v>
      </c>
      <c r="UO11" s="29">
        <f t="shared" ca="1" si="600"/>
        <v>14659.688127195806</v>
      </c>
      <c r="UP11" s="29">
        <f t="shared" ca="1" si="601"/>
        <v>13668.237631929365</v>
      </c>
      <c r="UQ11" s="29">
        <f t="shared" ca="1" si="602"/>
        <v>14712.922639189735</v>
      </c>
      <c r="UR11" s="29">
        <f t="shared" ca="1" si="603"/>
        <v>14325.502154943379</v>
      </c>
      <c r="US11" s="29">
        <f t="shared" ca="1" si="604"/>
        <v>14928.162063569333</v>
      </c>
      <c r="UT11" s="29">
        <f t="shared" ca="1" si="605"/>
        <v>13850.855767773885</v>
      </c>
      <c r="UU11" s="29">
        <f t="shared" ca="1" si="606"/>
        <v>13905.353414621712</v>
      </c>
      <c r="UV11" s="29">
        <f t="shared" ca="1" si="607"/>
        <v>14866.647145210598</v>
      </c>
      <c r="UW11" s="29">
        <f t="shared" ca="1" si="608"/>
        <v>14283.637534280961</v>
      </c>
      <c r="UX11" s="29">
        <f t="shared" ca="1" si="609"/>
        <v>14020.532859832576</v>
      </c>
      <c r="UY11" s="29">
        <f t="shared" ca="1" si="610"/>
        <v>14251.710474676282</v>
      </c>
      <c r="UZ11" s="29">
        <f t="shared" ca="1" si="611"/>
        <v>13825.827055121528</v>
      </c>
      <c r="VA11" s="29">
        <f t="shared" ca="1" si="612"/>
        <v>14100.771797590494</v>
      </c>
      <c r="VB11" s="29">
        <f t="shared" ca="1" si="613"/>
        <v>14310.400096779458</v>
      </c>
      <c r="VC11" s="29">
        <f t="shared" ca="1" si="614"/>
        <v>14406.845331701881</v>
      </c>
      <c r="VD11" s="29">
        <f t="shared" ca="1" si="615"/>
        <v>14348.331845663524</v>
      </c>
      <c r="VE11" s="29">
        <f t="shared" ca="1" si="616"/>
        <v>15271.568944024546</v>
      </c>
      <c r="VF11" s="29">
        <f t="shared" ca="1" si="617"/>
        <v>14517.302693153897</v>
      </c>
      <c r="VG11" s="29">
        <f t="shared" ca="1" si="618"/>
        <v>14487.488028775573</v>
      </c>
      <c r="VH11" s="29">
        <f t="shared" ca="1" si="619"/>
        <v>14093.099105234378</v>
      </c>
      <c r="VI11" s="29">
        <f t="shared" ca="1" si="620"/>
        <v>14131.042840964879</v>
      </c>
      <c r="VJ11" s="29">
        <f t="shared" ca="1" si="621"/>
        <v>13800.074383656462</v>
      </c>
      <c r="VK11" s="29">
        <f t="shared" ca="1" si="622"/>
        <v>14032.272476543843</v>
      </c>
      <c r="VL11" s="29">
        <f t="shared" ca="1" si="623"/>
        <v>13901.915580798754</v>
      </c>
      <c r="VM11" s="29">
        <f t="shared" ca="1" si="624"/>
        <v>14239.433631539579</v>
      </c>
      <c r="VN11" s="29">
        <f t="shared" ca="1" si="625"/>
        <v>13775.13820761058</v>
      </c>
      <c r="VO11" s="29">
        <f t="shared" ca="1" si="626"/>
        <v>14893.391564941574</v>
      </c>
      <c r="VP11" s="29">
        <f t="shared" ca="1" si="627"/>
        <v>14136.520166803066</v>
      </c>
      <c r="VQ11" s="29">
        <f t="shared" ca="1" si="628"/>
        <v>14533.587210301006</v>
      </c>
      <c r="VR11" s="29">
        <f t="shared" ca="1" si="629"/>
        <v>14066.164066274327</v>
      </c>
      <c r="VS11" s="29">
        <f t="shared" ca="1" si="630"/>
        <v>13799.68226547043</v>
      </c>
      <c r="VT11" s="29">
        <f t="shared" ca="1" si="631"/>
        <v>14688.468401725801</v>
      </c>
      <c r="VU11" s="29">
        <f t="shared" ca="1" si="632"/>
        <v>15406.994375037139</v>
      </c>
      <c r="VV11" s="29">
        <f t="shared" ca="1" si="633"/>
        <v>14441.091005616452</v>
      </c>
      <c r="VW11" s="29">
        <f t="shared" ca="1" si="634"/>
        <v>14089.710429270552</v>
      </c>
      <c r="VX11" s="29">
        <f t="shared" ca="1" si="635"/>
        <v>14332.721790888188</v>
      </c>
      <c r="VY11" s="29">
        <f t="shared" ca="1" si="636"/>
        <v>14535.967248796931</v>
      </c>
      <c r="VZ11" s="29">
        <f t="shared" ca="1" si="637"/>
        <v>14542.336973016567</v>
      </c>
      <c r="WA11" s="29">
        <f t="shared" ca="1" si="638"/>
        <v>14547.057202283027</v>
      </c>
      <c r="WB11" s="29">
        <f t="shared" ca="1" si="639"/>
        <v>14340.554906863188</v>
      </c>
      <c r="WC11" s="29">
        <f t="shared" ca="1" si="640"/>
        <v>14386.420792289242</v>
      </c>
      <c r="WD11" s="29">
        <f t="shared" ca="1" si="641"/>
        <v>15058.298198050858</v>
      </c>
      <c r="WE11" s="29">
        <f t="shared" ca="1" si="642"/>
        <v>14575.695367537364</v>
      </c>
      <c r="WF11" s="29">
        <f t="shared" ca="1" si="643"/>
        <v>14755.203510696432</v>
      </c>
      <c r="WG11" s="29">
        <f t="shared" ca="1" si="644"/>
        <v>14514.360232137677</v>
      </c>
      <c r="WH11" s="29">
        <f t="shared" ca="1" si="645"/>
        <v>13749.747134500842</v>
      </c>
      <c r="WI11" s="29">
        <f t="shared" ca="1" si="646"/>
        <v>14661.965166726248</v>
      </c>
      <c r="WJ11" s="29">
        <f t="shared" ca="1" si="647"/>
        <v>15033.001518979925</v>
      </c>
      <c r="WK11" s="29">
        <f t="shared" ca="1" si="648"/>
        <v>14250.003366744309</v>
      </c>
      <c r="WL11" s="29">
        <f t="shared" ca="1" si="649"/>
        <v>13419.455315977901</v>
      </c>
      <c r="WM11" s="29">
        <f t="shared" ca="1" si="650"/>
        <v>14269.348431685519</v>
      </c>
      <c r="WN11" s="29">
        <f t="shared" ca="1" si="651"/>
        <v>14362.321206034943</v>
      </c>
      <c r="WO11" s="29">
        <f t="shared" ca="1" si="652"/>
        <v>15355.788165405631</v>
      </c>
      <c r="WP11" s="29">
        <f t="shared" ca="1" si="653"/>
        <v>14139.355889600987</v>
      </c>
      <c r="WQ11" s="29">
        <f t="shared" ca="1" si="654"/>
        <v>14222.450656008987</v>
      </c>
      <c r="WR11" s="29">
        <f t="shared" ca="1" si="655"/>
        <v>14594.588260470391</v>
      </c>
      <c r="WS11" s="29">
        <f t="shared" ca="1" si="656"/>
        <v>14527.311411888308</v>
      </c>
      <c r="WT11" s="29">
        <f t="shared" ca="1" si="657"/>
        <v>14330.726385887319</v>
      </c>
      <c r="WU11" s="29">
        <f t="shared" ca="1" si="658"/>
        <v>14571.817645751087</v>
      </c>
      <c r="WV11" s="29">
        <f t="shared" ca="1" si="659"/>
        <v>14126.040209104965</v>
      </c>
      <c r="WW11" s="29">
        <f t="shared" ca="1" si="660"/>
        <v>13569.472801867834</v>
      </c>
      <c r="WX11" s="29">
        <f t="shared" ca="1" si="661"/>
        <v>15140.06396153799</v>
      </c>
      <c r="WY11" s="29">
        <f t="shared" ca="1" si="662"/>
        <v>14921.266348314257</v>
      </c>
      <c r="WZ11" s="29">
        <f t="shared" ca="1" si="663"/>
        <v>14280.924567908365</v>
      </c>
      <c r="XA11" s="29">
        <f t="shared" ca="1" si="664"/>
        <v>14459.531522417912</v>
      </c>
      <c r="XB11" s="29">
        <f t="shared" ca="1" si="665"/>
        <v>14661.894718860181</v>
      </c>
      <c r="XC11" s="29">
        <f t="shared" ca="1" si="666"/>
        <v>14079.631807126711</v>
      </c>
      <c r="XD11" s="29">
        <f t="shared" ca="1" si="667"/>
        <v>13935.557750424043</v>
      </c>
      <c r="XE11" s="29">
        <f t="shared" ca="1" si="668"/>
        <v>14250.250051671179</v>
      </c>
      <c r="XF11" s="29">
        <f t="shared" ca="1" si="669"/>
        <v>14099.541832835919</v>
      </c>
      <c r="XG11" s="29">
        <f t="shared" ca="1" si="670"/>
        <v>14236.691038777304</v>
      </c>
      <c r="XH11" s="29">
        <f t="shared" ca="1" si="671"/>
        <v>14417.05454024615</v>
      </c>
      <c r="XI11" s="29">
        <f t="shared" ca="1" si="672"/>
        <v>14782.02236832448</v>
      </c>
      <c r="XJ11" s="29">
        <f t="shared" ca="1" si="673"/>
        <v>15025.164720915505</v>
      </c>
      <c r="XK11" s="29">
        <f t="shared" ca="1" si="674"/>
        <v>13629.744516042138</v>
      </c>
      <c r="XL11" s="29">
        <f t="shared" ca="1" si="675"/>
        <v>14346.618488476452</v>
      </c>
      <c r="XM11" s="29">
        <f t="shared" ca="1" si="676"/>
        <v>13534.326620290078</v>
      </c>
      <c r="XN11" s="29">
        <f t="shared" ca="1" si="677"/>
        <v>14512.674416069034</v>
      </c>
      <c r="XO11" s="29">
        <f t="shared" ca="1" si="678"/>
        <v>14578.457223297033</v>
      </c>
      <c r="XP11" s="29">
        <f t="shared" ca="1" si="679"/>
        <v>15143.886262704933</v>
      </c>
      <c r="XQ11" s="29">
        <f t="shared" ca="1" si="680"/>
        <v>14413.473264145283</v>
      </c>
      <c r="XR11" s="29">
        <f t="shared" ca="1" si="681"/>
        <v>14276.732537198428</v>
      </c>
      <c r="XS11" s="29">
        <f t="shared" ca="1" si="682"/>
        <v>14099.575897614677</v>
      </c>
      <c r="XT11" s="29">
        <f t="shared" ca="1" si="683"/>
        <v>15012.547247050594</v>
      </c>
      <c r="XU11" s="29">
        <f t="shared" ca="1" si="684"/>
        <v>15043.913441780362</v>
      </c>
      <c r="XV11" s="29">
        <f t="shared" ca="1" si="685"/>
        <v>14682.448647758587</v>
      </c>
      <c r="XW11" s="29">
        <f t="shared" ca="1" si="686"/>
        <v>14863.528245869378</v>
      </c>
      <c r="XX11" s="29">
        <f t="shared" ca="1" si="687"/>
        <v>14212.576402443323</v>
      </c>
      <c r="XY11" s="29">
        <f t="shared" ca="1" si="688"/>
        <v>14683.703648070923</v>
      </c>
      <c r="XZ11" s="29">
        <f t="shared" ca="1" si="689"/>
        <v>14901.92747887774</v>
      </c>
      <c r="YA11" s="29">
        <f t="shared" ca="1" si="690"/>
        <v>14983.397866472738</v>
      </c>
      <c r="YB11" s="29">
        <f t="shared" ca="1" si="691"/>
        <v>14387.935939708324</v>
      </c>
      <c r="YC11" s="29">
        <f t="shared" ca="1" si="692"/>
        <v>14520.937762488446</v>
      </c>
      <c r="YD11" s="29">
        <f t="shared" ca="1" si="693"/>
        <v>13796.771810950526</v>
      </c>
      <c r="YE11" s="29">
        <f t="shared" ca="1" si="694"/>
        <v>14432.805348931297</v>
      </c>
      <c r="YF11" s="29">
        <f t="shared" ca="1" si="695"/>
        <v>14089.45190468988</v>
      </c>
      <c r="YG11" s="29">
        <f t="shared" ca="1" si="696"/>
        <v>14556.777038069054</v>
      </c>
      <c r="YH11" s="29">
        <f t="shared" ca="1" si="697"/>
        <v>14004.655629170495</v>
      </c>
      <c r="YI11" s="29">
        <f t="shared" ca="1" si="698"/>
        <v>13797.765530149112</v>
      </c>
      <c r="YJ11" s="29">
        <f t="shared" ca="1" si="699"/>
        <v>14059.728452969259</v>
      </c>
      <c r="YK11" s="29">
        <f t="shared" ca="1" si="700"/>
        <v>13733.310478534471</v>
      </c>
      <c r="YL11" s="29">
        <f t="shared" ca="1" si="701"/>
        <v>13828.846399822551</v>
      </c>
      <c r="YM11" s="29">
        <f t="shared" ca="1" si="702"/>
        <v>14392.571696587624</v>
      </c>
      <c r="YN11" s="29">
        <f t="shared" ca="1" si="703"/>
        <v>14876.464517276047</v>
      </c>
      <c r="YO11" s="29">
        <f t="shared" ca="1" si="704"/>
        <v>13373.753452080513</v>
      </c>
      <c r="YP11" s="29">
        <f t="shared" ca="1" si="705"/>
        <v>15000.71447807599</v>
      </c>
      <c r="YQ11" s="29">
        <f t="shared" ca="1" si="706"/>
        <v>13959.277221899374</v>
      </c>
      <c r="YR11" s="29">
        <f t="shared" ca="1" si="707"/>
        <v>13928.347355979622</v>
      </c>
      <c r="YS11" s="29">
        <f t="shared" ca="1" si="708"/>
        <v>14902.488719468405</v>
      </c>
      <c r="YT11" s="29">
        <f t="shared" ca="1" si="709"/>
        <v>14311.456445724185</v>
      </c>
      <c r="YU11" s="29">
        <f t="shared" ca="1" si="710"/>
        <v>14714.17273370668</v>
      </c>
      <c r="YV11" s="29">
        <f t="shared" ca="1" si="711"/>
        <v>14769.975742335942</v>
      </c>
      <c r="YW11" s="29">
        <f t="shared" ca="1" si="712"/>
        <v>14666.57681353012</v>
      </c>
      <c r="YX11" s="29">
        <f t="shared" ca="1" si="713"/>
        <v>14923.565569800145</v>
      </c>
      <c r="YY11" s="29">
        <f t="shared" ca="1" si="714"/>
        <v>13833.792534177246</v>
      </c>
      <c r="YZ11" s="29">
        <f t="shared" ca="1" si="715"/>
        <v>14667.256360024619</v>
      </c>
      <c r="ZA11" s="29">
        <f t="shared" ca="1" si="716"/>
        <v>14634.529480313742</v>
      </c>
      <c r="ZB11" s="29">
        <f t="shared" ca="1" si="717"/>
        <v>14501.688471042975</v>
      </c>
      <c r="ZC11" s="29">
        <f t="shared" ca="1" si="718"/>
        <v>14783.375685156854</v>
      </c>
      <c r="ZD11" s="29">
        <f t="shared" ca="1" si="719"/>
        <v>14096.762751397537</v>
      </c>
      <c r="ZE11" s="29">
        <f t="shared" ca="1" si="720"/>
        <v>13726.537493439346</v>
      </c>
      <c r="ZF11" s="29">
        <f t="shared" ca="1" si="721"/>
        <v>14434.344423762852</v>
      </c>
      <c r="ZG11" s="29">
        <f t="shared" ca="1" si="722"/>
        <v>13251.356609998598</v>
      </c>
      <c r="ZH11" s="29">
        <f t="shared" ca="1" si="723"/>
        <v>14717.14616217306</v>
      </c>
      <c r="ZI11" s="29">
        <f t="shared" ca="1" si="724"/>
        <v>13700.119910182149</v>
      </c>
      <c r="ZJ11" s="29">
        <f t="shared" ca="1" si="725"/>
        <v>13893.023477612867</v>
      </c>
      <c r="ZK11" s="29">
        <f t="shared" ca="1" si="726"/>
        <v>13745.787770354551</v>
      </c>
      <c r="ZL11" s="29">
        <f t="shared" ca="1" si="727"/>
        <v>13210.18467457406</v>
      </c>
      <c r="ZM11" s="29">
        <f t="shared" ca="1" si="728"/>
        <v>13655.849300351283</v>
      </c>
      <c r="ZN11" s="29">
        <f t="shared" ca="1" si="729"/>
        <v>13883.379545285861</v>
      </c>
      <c r="ZO11" s="29">
        <f t="shared" ca="1" si="730"/>
        <v>14353.449193882943</v>
      </c>
      <c r="ZP11" s="29">
        <f t="shared" ca="1" si="731"/>
        <v>14492.64379141588</v>
      </c>
      <c r="ZQ11" s="29">
        <f t="shared" ca="1" si="732"/>
        <v>14447.491395149924</v>
      </c>
      <c r="ZR11" s="29">
        <f t="shared" ca="1" si="733"/>
        <v>14705.691329618894</v>
      </c>
      <c r="ZS11" s="29">
        <f t="shared" ca="1" si="734"/>
        <v>14684.517096252808</v>
      </c>
      <c r="ZT11" s="29">
        <f t="shared" ca="1" si="735"/>
        <v>14022.261159986654</v>
      </c>
      <c r="ZU11" s="29">
        <f t="shared" ca="1" si="736"/>
        <v>13987.298727680256</v>
      </c>
      <c r="ZV11" s="29">
        <f t="shared" ca="1" si="737"/>
        <v>13858.406411046568</v>
      </c>
      <c r="ZW11" s="29">
        <f t="shared" ca="1" si="738"/>
        <v>14786.826904932166</v>
      </c>
      <c r="ZX11" s="29">
        <f t="shared" ca="1" si="739"/>
        <v>14932.326990790207</v>
      </c>
      <c r="ZY11" s="29">
        <f t="shared" ca="1" si="740"/>
        <v>14428.482657972871</v>
      </c>
      <c r="ZZ11" s="29">
        <f t="shared" ca="1" si="741"/>
        <v>14186.225562213627</v>
      </c>
      <c r="AAA11" s="29">
        <f t="shared" ca="1" si="742"/>
        <v>14945.594667607673</v>
      </c>
      <c r="AAB11" s="29">
        <f t="shared" ca="1" si="743"/>
        <v>14591.504561925309</v>
      </c>
      <c r="AAC11" s="29">
        <f t="shared" ca="1" si="744"/>
        <v>14884.899928163843</v>
      </c>
      <c r="AAD11" s="29">
        <f t="shared" ca="1" si="745"/>
        <v>14457.51036998091</v>
      </c>
      <c r="AAE11" s="29">
        <f t="shared" ca="1" si="746"/>
        <v>13922.34531750255</v>
      </c>
      <c r="AAF11" s="29">
        <f t="shared" ca="1" si="747"/>
        <v>15275.898090737783</v>
      </c>
      <c r="AAG11" s="29">
        <f t="shared" ca="1" si="748"/>
        <v>14443.873953128703</v>
      </c>
      <c r="AAH11" s="29">
        <f t="shared" ca="1" si="749"/>
        <v>14574.320624525339</v>
      </c>
      <c r="AAI11" s="29">
        <f t="shared" ca="1" si="750"/>
        <v>14360.552186861556</v>
      </c>
      <c r="AAJ11" s="29">
        <f t="shared" ca="1" si="751"/>
        <v>14620.506390180206</v>
      </c>
      <c r="AAK11" s="29">
        <f t="shared" ca="1" si="752"/>
        <v>14555.703070196516</v>
      </c>
      <c r="AAL11" s="29">
        <f t="shared" ca="1" si="753"/>
        <v>14264.589516773573</v>
      </c>
      <c r="AAM11" s="29">
        <f t="shared" ca="1" si="754"/>
        <v>14441.143184175944</v>
      </c>
      <c r="AAN11" s="29">
        <f t="shared" ca="1" si="755"/>
        <v>15545.232192163065</v>
      </c>
      <c r="AAO11" s="29">
        <f t="shared" ca="1" si="756"/>
        <v>14178.736735391147</v>
      </c>
      <c r="AAP11" s="29">
        <f t="shared" ca="1" si="757"/>
        <v>15435.100960178963</v>
      </c>
      <c r="AAQ11" s="29">
        <f t="shared" ca="1" si="758"/>
        <v>14587.453002708246</v>
      </c>
      <c r="AAR11" s="29">
        <f t="shared" ca="1" si="759"/>
        <v>15308.402821423824</v>
      </c>
      <c r="AAS11" s="29">
        <f t="shared" ca="1" si="760"/>
        <v>14144.182779132256</v>
      </c>
      <c r="AAT11" s="29">
        <f t="shared" ca="1" si="761"/>
        <v>14797.814197558873</v>
      </c>
      <c r="AAU11" s="29">
        <f t="shared" ca="1" si="762"/>
        <v>14838.388333721032</v>
      </c>
      <c r="AAV11" s="29">
        <f t="shared" ca="1" si="763"/>
        <v>13627.346355004518</v>
      </c>
      <c r="AAW11" s="29">
        <f t="shared" ca="1" si="764"/>
        <v>13744.430531286853</v>
      </c>
      <c r="AAX11" s="29">
        <f t="shared" ca="1" si="765"/>
        <v>14467.264318102145</v>
      </c>
      <c r="AAY11" s="29">
        <f t="shared" ca="1" si="766"/>
        <v>14215.816940606946</v>
      </c>
      <c r="AAZ11" s="29">
        <f t="shared" ca="1" si="767"/>
        <v>14867.718713499533</v>
      </c>
      <c r="ABA11" s="29">
        <f t="shared" ca="1" si="768"/>
        <v>14694.933443057675</v>
      </c>
      <c r="ABB11" s="29">
        <f t="shared" ca="1" si="769"/>
        <v>14747.279236689425</v>
      </c>
      <c r="ABC11" s="29">
        <f t="shared" ca="1" si="770"/>
        <v>14737.378435099328</v>
      </c>
      <c r="ABD11" s="29">
        <f t="shared" ca="1" si="771"/>
        <v>13891.768214336656</v>
      </c>
      <c r="ABE11" s="29">
        <f t="shared" ca="1" si="772"/>
        <v>13144.512992627111</v>
      </c>
      <c r="ABF11" s="29">
        <f t="shared" ca="1" si="773"/>
        <v>14353.037068422271</v>
      </c>
      <c r="ABG11" s="29">
        <f t="shared" ca="1" si="774"/>
        <v>14167.215264611636</v>
      </c>
      <c r="ABH11" s="29">
        <f t="shared" ca="1" si="775"/>
        <v>14991.95968154633</v>
      </c>
      <c r="ABI11" s="29">
        <f t="shared" ca="1" si="776"/>
        <v>14652.156631351134</v>
      </c>
      <c r="ABJ11" s="29">
        <f t="shared" ca="1" si="777"/>
        <v>14367.211333772862</v>
      </c>
      <c r="ABK11" s="29">
        <f t="shared" ca="1" si="778"/>
        <v>15013.897416822563</v>
      </c>
      <c r="ABL11" s="29">
        <f t="shared" ca="1" si="779"/>
        <v>14261.606064101688</v>
      </c>
      <c r="ABM11" s="29">
        <f t="shared" ca="1" si="780"/>
        <v>14813.212227074022</v>
      </c>
      <c r="ABN11" s="29">
        <f t="shared" ca="1" si="781"/>
        <v>14481.165026789913</v>
      </c>
      <c r="ABO11" s="29">
        <f t="shared" ca="1" si="782"/>
        <v>14870.133559081882</v>
      </c>
      <c r="ABP11" s="29">
        <f t="shared" ca="1" si="783"/>
        <v>14135.600322641625</v>
      </c>
      <c r="ABQ11" s="29">
        <f t="shared" ca="1" si="784"/>
        <v>13967.028085614636</v>
      </c>
      <c r="ABR11" s="29">
        <f t="shared" ca="1" si="785"/>
        <v>13648.824851167037</v>
      </c>
      <c r="ABS11" s="29">
        <f t="shared" ca="1" si="786"/>
        <v>14196.703705152726</v>
      </c>
      <c r="ABT11" s="29">
        <f t="shared" ca="1" si="787"/>
        <v>14564.13545513853</v>
      </c>
      <c r="ABU11" s="29">
        <f t="shared" ca="1" si="788"/>
        <v>14480.963270798806</v>
      </c>
      <c r="ABV11" s="29">
        <f t="shared" ca="1" si="789"/>
        <v>14987.69930634467</v>
      </c>
      <c r="ABW11" s="29">
        <f t="shared" ca="1" si="790"/>
        <v>15150.841042677685</v>
      </c>
      <c r="ABX11" s="29">
        <f t="shared" ca="1" si="791"/>
        <v>14726.85565203881</v>
      </c>
      <c r="ABY11" s="29">
        <f t="shared" ca="1" si="792"/>
        <v>14875.184371128782</v>
      </c>
      <c r="ABZ11" s="29">
        <f t="shared" ca="1" si="793"/>
        <v>14945.844272484221</v>
      </c>
      <c r="ACA11" s="29">
        <f t="shared" ca="1" si="794"/>
        <v>15609.698986063298</v>
      </c>
      <c r="ACB11" s="29">
        <f t="shared" ca="1" si="795"/>
        <v>15179.339063069263</v>
      </c>
      <c r="ACC11" s="29">
        <f t="shared" ca="1" si="796"/>
        <v>14236.669498799951</v>
      </c>
      <c r="ACD11" s="29">
        <f t="shared" ca="1" si="797"/>
        <v>14205.578000673964</v>
      </c>
      <c r="ACE11" s="29">
        <f t="shared" ca="1" si="798"/>
        <v>14372.458528963303</v>
      </c>
      <c r="ACF11" s="29">
        <f t="shared" ca="1" si="799"/>
        <v>14430.571507829265</v>
      </c>
      <c r="ACG11" s="29">
        <f t="shared" ca="1" si="800"/>
        <v>13866.835584469989</v>
      </c>
      <c r="ACH11" s="29">
        <f t="shared" ca="1" si="801"/>
        <v>14686.561925795409</v>
      </c>
      <c r="ACI11" s="29">
        <f t="shared" ca="1" si="802"/>
        <v>14874.829007476157</v>
      </c>
      <c r="ACJ11" s="29">
        <f t="shared" ca="1" si="803"/>
        <v>14739.026195439144</v>
      </c>
      <c r="ACK11" s="29">
        <f t="shared" ca="1" si="804"/>
        <v>14064.724557476404</v>
      </c>
      <c r="ACL11" s="29">
        <f t="shared" ca="1" si="805"/>
        <v>13317.24606848373</v>
      </c>
      <c r="ACM11" s="29">
        <f t="shared" ca="1" si="806"/>
        <v>14449.594791920588</v>
      </c>
      <c r="ACN11" s="29">
        <f t="shared" ca="1" si="807"/>
        <v>15052.032474542499</v>
      </c>
      <c r="ACO11" s="29">
        <f t="shared" ca="1" si="808"/>
        <v>15369.175593502147</v>
      </c>
      <c r="ACP11" s="29">
        <f t="shared" ca="1" si="809"/>
        <v>14348.024332714236</v>
      </c>
      <c r="ACQ11" s="29">
        <f t="shared" ca="1" si="810"/>
        <v>15102.666561419306</v>
      </c>
      <c r="ACR11" s="29">
        <f t="shared" ca="1" si="811"/>
        <v>14499.286821158237</v>
      </c>
      <c r="ACS11" s="29">
        <f t="shared" ca="1" si="812"/>
        <v>13976.161928720387</v>
      </c>
      <c r="ACT11" s="29">
        <f t="shared" ca="1" si="813"/>
        <v>14293.399891993313</v>
      </c>
      <c r="ACU11" s="29">
        <f t="shared" ca="1" si="814"/>
        <v>13932.11945626208</v>
      </c>
      <c r="ACV11" s="29">
        <f t="shared" ca="1" si="815"/>
        <v>14408.534463407728</v>
      </c>
      <c r="ACW11" s="29">
        <f t="shared" ca="1" si="816"/>
        <v>14666.124264198193</v>
      </c>
      <c r="ACX11" s="29">
        <f t="shared" ca="1" si="817"/>
        <v>14447.617185441535</v>
      </c>
      <c r="ACY11" s="29">
        <f t="shared" ca="1" si="818"/>
        <v>14640.042365785241</v>
      </c>
      <c r="ACZ11" s="29">
        <f t="shared" ca="1" si="819"/>
        <v>14362.220703917181</v>
      </c>
      <c r="ADA11" s="29">
        <f t="shared" ca="1" si="820"/>
        <v>14207.017538032518</v>
      </c>
      <c r="ADB11" s="29">
        <f t="shared" ca="1" si="821"/>
        <v>13536.402865319071</v>
      </c>
      <c r="ADC11" s="29">
        <f t="shared" ca="1" si="822"/>
        <v>14784.500978715605</v>
      </c>
      <c r="ADD11" s="29">
        <f t="shared" ca="1" si="823"/>
        <v>15138.432258978131</v>
      </c>
      <c r="ADE11" s="29">
        <f t="shared" ca="1" si="824"/>
        <v>14801.841933210331</v>
      </c>
      <c r="ADF11" s="29">
        <f t="shared" ca="1" si="825"/>
        <v>13289.652068595587</v>
      </c>
      <c r="ADG11" s="29">
        <f t="shared" ca="1" si="826"/>
        <v>14559.37738949921</v>
      </c>
      <c r="ADH11" s="29">
        <f t="shared" ca="1" si="827"/>
        <v>14746.075364683822</v>
      </c>
      <c r="ADI11" s="29">
        <f t="shared" ca="1" si="828"/>
        <v>14088.658625148899</v>
      </c>
      <c r="ADJ11" s="29">
        <f t="shared" ca="1" si="829"/>
        <v>14786.15151785994</v>
      </c>
      <c r="ADK11" s="29">
        <f t="shared" ca="1" si="830"/>
        <v>14580.329602256943</v>
      </c>
      <c r="ADL11" s="29">
        <f t="shared" ca="1" si="831"/>
        <v>14458.184016779878</v>
      </c>
      <c r="ADM11" s="29">
        <f t="shared" ca="1" si="832"/>
        <v>14243.108499519831</v>
      </c>
      <c r="ADN11" s="29">
        <f t="shared" ca="1" si="833"/>
        <v>14475.176593500273</v>
      </c>
      <c r="ADO11" s="29">
        <f t="shared" ca="1" si="834"/>
        <v>14814.073335251271</v>
      </c>
      <c r="ADP11" s="29">
        <f t="shared" ca="1" si="835"/>
        <v>14497.710237738933</v>
      </c>
      <c r="ADQ11" s="29">
        <f t="shared" ca="1" si="836"/>
        <v>15312.854375938534</v>
      </c>
      <c r="ADR11" s="29">
        <f t="shared" ca="1" si="837"/>
        <v>14138.612354351841</v>
      </c>
      <c r="ADS11" s="29">
        <f t="shared" ca="1" si="838"/>
        <v>14444.911921079891</v>
      </c>
      <c r="ADT11" s="29">
        <f t="shared" ca="1" si="839"/>
        <v>14331.276977927053</v>
      </c>
      <c r="ADU11" s="29">
        <f t="shared" ca="1" si="840"/>
        <v>14283.886295859727</v>
      </c>
      <c r="ADV11" s="29">
        <f t="shared" ca="1" si="841"/>
        <v>14682.099697024016</v>
      </c>
      <c r="ADW11" s="29">
        <f t="shared" ca="1" si="842"/>
        <v>14998.885294697058</v>
      </c>
      <c r="ADX11" s="29">
        <f t="shared" ca="1" si="843"/>
        <v>14028.453887812972</v>
      </c>
      <c r="ADY11" s="29">
        <f t="shared" ca="1" si="844"/>
        <v>15558.675635876261</v>
      </c>
      <c r="ADZ11" s="29">
        <f t="shared" ca="1" si="845"/>
        <v>14070.939215028051</v>
      </c>
      <c r="AEA11" s="29">
        <f t="shared" ca="1" si="846"/>
        <v>14774.424286509824</v>
      </c>
      <c r="AEB11" s="29">
        <f t="shared" ca="1" si="847"/>
        <v>13242.649447678054</v>
      </c>
      <c r="AEC11" s="29">
        <f t="shared" ca="1" si="848"/>
        <v>14677.9470751686</v>
      </c>
      <c r="AED11" s="29">
        <f t="shared" ca="1" si="849"/>
        <v>14581.388238125282</v>
      </c>
      <c r="AEE11" s="29">
        <f t="shared" ca="1" si="850"/>
        <v>14564.054884583387</v>
      </c>
      <c r="AEF11" s="29">
        <f t="shared" ca="1" si="851"/>
        <v>14241.08049683496</v>
      </c>
      <c r="AEG11" s="29">
        <f t="shared" ca="1" si="852"/>
        <v>15051.360456922252</v>
      </c>
      <c r="AEH11" s="29">
        <f t="shared" ca="1" si="853"/>
        <v>14060.021211996605</v>
      </c>
      <c r="AEI11" s="29">
        <f t="shared" ca="1" si="854"/>
        <v>14755.502046281792</v>
      </c>
      <c r="AEJ11" s="29">
        <f t="shared" ca="1" si="855"/>
        <v>14626.622761583516</v>
      </c>
      <c r="AEK11" s="29">
        <f t="shared" ca="1" si="856"/>
        <v>14562.49293086891</v>
      </c>
      <c r="AEL11" s="29">
        <f t="shared" ca="1" si="857"/>
        <v>14080.800346481019</v>
      </c>
      <c r="AEM11" s="29">
        <f t="shared" ca="1" si="858"/>
        <v>14373.154062217591</v>
      </c>
      <c r="AEN11" s="29">
        <f t="shared" ca="1" si="859"/>
        <v>14648.789321691762</v>
      </c>
      <c r="AEO11" s="29">
        <f t="shared" ca="1" si="860"/>
        <v>14359.062873934856</v>
      </c>
      <c r="AEP11" s="29">
        <f t="shared" ca="1" si="861"/>
        <v>14438.345973538362</v>
      </c>
      <c r="AEQ11" s="29">
        <f t="shared" ca="1" si="862"/>
        <v>14924.469230300476</v>
      </c>
      <c r="AER11" s="29">
        <f t="shared" ca="1" si="863"/>
        <v>14535.721282524184</v>
      </c>
      <c r="AES11" s="29">
        <f t="shared" ca="1" si="864"/>
        <v>14137.935387836758</v>
      </c>
      <c r="AET11" s="29">
        <f t="shared" ca="1" si="865"/>
        <v>14666.990113136826</v>
      </c>
      <c r="AEU11" s="29">
        <f t="shared" ca="1" si="866"/>
        <v>13329.462673061624</v>
      </c>
      <c r="AEV11" s="29">
        <f t="shared" ca="1" si="867"/>
        <v>15127.901160777166</v>
      </c>
      <c r="AEW11" s="29">
        <f t="shared" ca="1" si="868"/>
        <v>13749.086631880382</v>
      </c>
      <c r="AEX11" s="29">
        <f t="shared" ca="1" si="869"/>
        <v>13948.076068744371</v>
      </c>
      <c r="AEY11" s="29">
        <f t="shared" ca="1" si="870"/>
        <v>14155.846709016681</v>
      </c>
      <c r="AEZ11" s="29">
        <f t="shared" ca="1" si="871"/>
        <v>13940.443144453862</v>
      </c>
      <c r="AFA11" s="29">
        <f t="shared" ca="1" si="872"/>
        <v>14901.090050696694</v>
      </c>
      <c r="AFB11" s="29">
        <f t="shared" ca="1" si="873"/>
        <v>14187.021567640259</v>
      </c>
      <c r="AFC11" s="29">
        <f t="shared" ca="1" si="874"/>
        <v>14543.50988515976</v>
      </c>
      <c r="AFD11" s="29">
        <f t="shared" ca="1" si="875"/>
        <v>14576.842036038834</v>
      </c>
      <c r="AFE11" s="29">
        <f t="shared" ca="1" si="876"/>
        <v>15159.327438885299</v>
      </c>
      <c r="AFF11" s="29">
        <f t="shared" ca="1" si="877"/>
        <v>14120.571197529289</v>
      </c>
      <c r="AFG11" s="29">
        <f t="shared" ca="1" si="878"/>
        <v>14550.208796345671</v>
      </c>
      <c r="AFH11" s="29">
        <f t="shared" ca="1" si="879"/>
        <v>14820.356947483506</v>
      </c>
      <c r="AFI11" s="29">
        <f t="shared" ca="1" si="880"/>
        <v>14707.012211605928</v>
      </c>
      <c r="AFJ11" s="29">
        <f t="shared" ca="1" si="881"/>
        <v>14221.839348169497</v>
      </c>
      <c r="AFK11" s="29">
        <f t="shared" ca="1" si="882"/>
        <v>14406.881179167129</v>
      </c>
      <c r="AFL11" s="29">
        <f t="shared" ca="1" si="883"/>
        <v>14667.65486348394</v>
      </c>
      <c r="AFM11" s="29">
        <f t="shared" ca="1" si="884"/>
        <v>13941.295738340534</v>
      </c>
      <c r="AFN11" s="29">
        <f t="shared" ca="1" si="885"/>
        <v>14454.495419052704</v>
      </c>
      <c r="AFO11" s="29">
        <f t="shared" ca="1" si="886"/>
        <v>14975.988115647477</v>
      </c>
      <c r="AFP11" s="29">
        <f t="shared" ca="1" si="887"/>
        <v>14697.633571448105</v>
      </c>
      <c r="AFQ11" s="29">
        <f t="shared" ca="1" si="888"/>
        <v>14438.777663163899</v>
      </c>
      <c r="AFR11" s="29">
        <f t="shared" ca="1" si="889"/>
        <v>15398.799325918948</v>
      </c>
      <c r="AFS11" s="29">
        <f t="shared" ca="1" si="890"/>
        <v>14543.452779389985</v>
      </c>
      <c r="AFT11" s="29">
        <f t="shared" ca="1" si="891"/>
        <v>14108.954885465409</v>
      </c>
      <c r="AFU11" s="29">
        <f t="shared" ca="1" si="892"/>
        <v>14126.368583454361</v>
      </c>
      <c r="AFV11" s="29">
        <f t="shared" ca="1" si="893"/>
        <v>14293.841117205087</v>
      </c>
      <c r="AFW11" s="29">
        <f t="shared" ca="1" si="894"/>
        <v>14375.623640882712</v>
      </c>
      <c r="AFX11" s="29">
        <f t="shared" ca="1" si="895"/>
        <v>15165.850328337425</v>
      </c>
      <c r="AFY11" s="29">
        <f t="shared" ca="1" si="896"/>
        <v>14837.793856480061</v>
      </c>
      <c r="AFZ11" s="29">
        <f t="shared" ca="1" si="897"/>
        <v>14499.221374620625</v>
      </c>
      <c r="AGA11" s="29">
        <f t="shared" ca="1" si="898"/>
        <v>14590.554223538513</v>
      </c>
      <c r="AGB11" s="29">
        <f t="shared" ca="1" si="899"/>
        <v>14603.705367565119</v>
      </c>
      <c r="AGC11" s="29">
        <f t="shared" ca="1" si="900"/>
        <v>14241.259253793702</v>
      </c>
      <c r="AGD11" s="29">
        <f t="shared" ca="1" si="901"/>
        <v>14500.188411245033</v>
      </c>
      <c r="AGE11" s="29">
        <f t="shared" ca="1" si="902"/>
        <v>14012.020266703026</v>
      </c>
      <c r="AGF11" s="29">
        <f t="shared" ca="1" si="903"/>
        <v>14207.712846076558</v>
      </c>
      <c r="AGG11" s="29">
        <f t="shared" ca="1" si="904"/>
        <v>13840.323476462219</v>
      </c>
      <c r="AGH11" s="29">
        <f t="shared" ca="1" si="905"/>
        <v>14898.323272847538</v>
      </c>
      <c r="AGI11" s="29">
        <f t="shared" ca="1" si="906"/>
        <v>14275.55578911858</v>
      </c>
      <c r="AGJ11" s="29">
        <f t="shared" ca="1" si="907"/>
        <v>15174.742896754778</v>
      </c>
      <c r="AGK11" s="29">
        <f t="shared" ca="1" si="908"/>
        <v>14656.506044656062</v>
      </c>
      <c r="AGL11" s="29">
        <f t="shared" ca="1" si="909"/>
        <v>14299.258023134085</v>
      </c>
      <c r="AGM11" s="29">
        <f t="shared" ca="1" si="910"/>
        <v>14007.283203438486</v>
      </c>
      <c r="AGN11" s="29">
        <f t="shared" ca="1" si="911"/>
        <v>14061.704093952991</v>
      </c>
      <c r="AGO11" s="29">
        <f t="shared" ca="1" si="912"/>
        <v>14557.870356898258</v>
      </c>
      <c r="AGP11" s="29">
        <f t="shared" ca="1" si="913"/>
        <v>14001.817576330426</v>
      </c>
      <c r="AGQ11" s="29">
        <f t="shared" ca="1" si="914"/>
        <v>14741.090770064173</v>
      </c>
      <c r="AGR11" s="29">
        <f t="shared" ca="1" si="915"/>
        <v>13936.00732871724</v>
      </c>
      <c r="AGS11" s="29">
        <f t="shared" ca="1" si="916"/>
        <v>14491.398847109767</v>
      </c>
      <c r="AGT11" s="29">
        <f t="shared" ca="1" si="917"/>
        <v>13597.172908306417</v>
      </c>
      <c r="AGU11" s="29">
        <f t="shared" ca="1" si="918"/>
        <v>14946.998006664446</v>
      </c>
      <c r="AGV11" s="29">
        <f t="shared" ca="1" si="919"/>
        <v>14866.315333911934</v>
      </c>
      <c r="AGW11" s="29">
        <f t="shared" ca="1" si="920"/>
        <v>14912.872556631628</v>
      </c>
      <c r="AGX11" s="29">
        <f t="shared" ca="1" si="921"/>
        <v>14885.771206870713</v>
      </c>
      <c r="AGY11" s="29">
        <f t="shared" ca="1" si="922"/>
        <v>14488.686053543999</v>
      </c>
      <c r="AGZ11" s="29">
        <f t="shared" ca="1" si="923"/>
        <v>14784.937833452352</v>
      </c>
      <c r="AHA11" s="29">
        <f t="shared" ca="1" si="924"/>
        <v>13912.698539133136</v>
      </c>
      <c r="AHB11" s="29">
        <f t="shared" ca="1" si="925"/>
        <v>13659.393339789449</v>
      </c>
      <c r="AHC11" s="29">
        <f t="shared" ca="1" si="926"/>
        <v>14836.758562874642</v>
      </c>
      <c r="AHD11" s="29">
        <f t="shared" ca="1" si="927"/>
        <v>14440.747389659851</v>
      </c>
      <c r="AHE11" s="29">
        <f t="shared" ca="1" si="928"/>
        <v>15231.447776026023</v>
      </c>
      <c r="AHF11" s="29">
        <f t="shared" ca="1" si="929"/>
        <v>14502.076138027878</v>
      </c>
      <c r="AHG11" s="29">
        <f t="shared" ca="1" si="930"/>
        <v>14971.245213391618</v>
      </c>
      <c r="AHH11" s="29">
        <f t="shared" ca="1" si="931"/>
        <v>15318.334115605367</v>
      </c>
      <c r="AHI11" s="29">
        <f t="shared" ca="1" si="932"/>
        <v>14334.948450632159</v>
      </c>
      <c r="AHJ11" s="29">
        <f t="shared" ca="1" si="933"/>
        <v>14083.313941838451</v>
      </c>
      <c r="AHK11" s="29">
        <f t="shared" ca="1" si="934"/>
        <v>15706.679355376185</v>
      </c>
      <c r="AHL11" s="29">
        <f t="shared" ca="1" si="935"/>
        <v>15071.294186031828</v>
      </c>
      <c r="AHM11" s="29">
        <f t="shared" ca="1" si="936"/>
        <v>15214.174624552816</v>
      </c>
      <c r="AHN11" s="29">
        <f t="shared" ca="1" si="937"/>
        <v>14307.71892175981</v>
      </c>
      <c r="AHO11" s="29">
        <f t="shared" ca="1" si="938"/>
        <v>14694.895057376609</v>
      </c>
      <c r="AHP11" s="29">
        <f t="shared" ca="1" si="939"/>
        <v>14716.351277100208</v>
      </c>
      <c r="AHQ11" s="29">
        <f t="shared" ca="1" si="940"/>
        <v>15052.452099797822</v>
      </c>
      <c r="AHR11" s="29">
        <f t="shared" ca="1" si="941"/>
        <v>14270.425387331336</v>
      </c>
      <c r="AHS11" s="29">
        <f t="shared" ca="1" si="942"/>
        <v>14759.156246522231</v>
      </c>
      <c r="AHT11" s="29">
        <f t="shared" ca="1" si="943"/>
        <v>14408.562432722882</v>
      </c>
      <c r="AHU11" s="29">
        <f t="shared" ca="1" si="944"/>
        <v>14786.123802323347</v>
      </c>
      <c r="AHV11" s="29">
        <f t="shared" ca="1" si="945"/>
        <v>14983.456198951852</v>
      </c>
      <c r="AHW11" s="29">
        <f t="shared" ca="1" si="946"/>
        <v>14830.104389955142</v>
      </c>
      <c r="AHX11" s="29">
        <f t="shared" ca="1" si="947"/>
        <v>14966.739892821419</v>
      </c>
      <c r="AHY11" s="29">
        <f t="shared" ca="1" si="948"/>
        <v>13978.024228568296</v>
      </c>
      <c r="AHZ11" s="29">
        <f t="shared" ca="1" si="949"/>
        <v>13402.429631298719</v>
      </c>
      <c r="AIA11" s="29">
        <f t="shared" ca="1" si="950"/>
        <v>14830.327402005523</v>
      </c>
      <c r="AIB11" s="29">
        <f t="shared" ca="1" si="951"/>
        <v>14297.560600847049</v>
      </c>
      <c r="AIC11" s="29">
        <f t="shared" ca="1" si="952"/>
        <v>14552.076672105301</v>
      </c>
      <c r="AID11" s="29">
        <f t="shared" ca="1" si="953"/>
        <v>14757.072967193537</v>
      </c>
      <c r="AIE11" s="29">
        <f t="shared" ca="1" si="954"/>
        <v>13714.34907155451</v>
      </c>
      <c r="AIF11" s="29">
        <f t="shared" ca="1" si="955"/>
        <v>14295.176304091565</v>
      </c>
      <c r="AIG11" s="29">
        <f t="shared" ca="1" si="956"/>
        <v>15208.980743950558</v>
      </c>
      <c r="AIH11" s="29">
        <f t="shared" ca="1" si="957"/>
        <v>14360.090261302741</v>
      </c>
      <c r="AII11" s="29">
        <f t="shared" ca="1" si="958"/>
        <v>13576.902185410941</v>
      </c>
      <c r="AIJ11" s="29">
        <f t="shared" ca="1" si="959"/>
        <v>13704.529260676436</v>
      </c>
      <c r="AIK11" s="29">
        <f t="shared" ca="1" si="960"/>
        <v>14624.92005783097</v>
      </c>
      <c r="AIL11" s="29">
        <f t="shared" ca="1" si="961"/>
        <v>14367.82529751111</v>
      </c>
      <c r="AIM11" s="29">
        <f t="shared" ca="1" si="962"/>
        <v>14488.304039951861</v>
      </c>
      <c r="AIN11" s="29">
        <f t="shared" ca="1" si="963"/>
        <v>14880.408493028501</v>
      </c>
      <c r="AIO11" s="29">
        <f t="shared" ca="1" si="964"/>
        <v>13823.467152665813</v>
      </c>
      <c r="AIP11" s="29">
        <f t="shared" ca="1" si="965"/>
        <v>13873.145113477451</v>
      </c>
      <c r="AIQ11" s="29">
        <f t="shared" ca="1" si="966"/>
        <v>13092.803622223866</v>
      </c>
      <c r="AIR11" s="29">
        <f t="shared" ca="1" si="967"/>
        <v>13789.289069554499</v>
      </c>
      <c r="AIS11" s="29">
        <f t="shared" ca="1" si="968"/>
        <v>14335.465460875383</v>
      </c>
      <c r="AIT11" s="29">
        <f t="shared" ca="1" si="969"/>
        <v>14028.523031693107</v>
      </c>
      <c r="AIU11" s="29">
        <f t="shared" ca="1" si="970"/>
        <v>13882.569069943554</v>
      </c>
      <c r="AIV11" s="29">
        <f t="shared" ca="1" si="971"/>
        <v>14685.776246857984</v>
      </c>
      <c r="AIW11" s="29">
        <f t="shared" ca="1" si="972"/>
        <v>13623.429440829246</v>
      </c>
      <c r="AIX11" s="29">
        <f t="shared" ca="1" si="973"/>
        <v>14065.228322376295</v>
      </c>
      <c r="AIY11" s="29">
        <f t="shared" ca="1" si="974"/>
        <v>14188.043375276275</v>
      </c>
      <c r="AIZ11" s="29">
        <f t="shared" ca="1" si="975"/>
        <v>14784.499151285501</v>
      </c>
      <c r="AJA11" s="29">
        <f t="shared" ca="1" si="976"/>
        <v>14771.449680844735</v>
      </c>
      <c r="AJB11" s="29">
        <f t="shared" ca="1" si="977"/>
        <v>14551.464690205699</v>
      </c>
      <c r="AJC11" s="29">
        <f t="shared" ca="1" si="978"/>
        <v>14280.286699180913</v>
      </c>
      <c r="AJD11" s="29">
        <f t="shared" ca="1" si="979"/>
        <v>13943.386208685119</v>
      </c>
      <c r="AJE11" s="29">
        <f t="shared" ca="1" si="980"/>
        <v>15086.946155064365</v>
      </c>
      <c r="AJF11" s="29">
        <f t="shared" ca="1" si="981"/>
        <v>14454.899735061448</v>
      </c>
      <c r="AJG11" s="29">
        <f t="shared" ca="1" si="982"/>
        <v>14830.119583907774</v>
      </c>
      <c r="AJH11" s="29">
        <f t="shared" ca="1" si="983"/>
        <v>14338.62395561749</v>
      </c>
      <c r="AJI11" s="29">
        <f t="shared" ca="1" si="984"/>
        <v>14955.636764607252</v>
      </c>
      <c r="AJJ11" s="29">
        <f t="shared" ca="1" si="985"/>
        <v>15084.996049834572</v>
      </c>
      <c r="AJK11" s="29">
        <f t="shared" ca="1" si="986"/>
        <v>14221.773133279281</v>
      </c>
      <c r="AJL11" s="29">
        <f t="shared" ca="1" si="987"/>
        <v>14777.874717587572</v>
      </c>
      <c r="AJM11" s="29">
        <f t="shared" ca="1" si="988"/>
        <v>14165.371008373557</v>
      </c>
      <c r="AJN11" s="29">
        <f t="shared" ca="1" si="989"/>
        <v>14098.112095221662</v>
      </c>
      <c r="AJO11" s="29">
        <f t="shared" ca="1" si="990"/>
        <v>14336.40701226608</v>
      </c>
      <c r="AJP11" s="29">
        <f t="shared" ca="1" si="991"/>
        <v>15574.027575219499</v>
      </c>
      <c r="AJQ11" s="29">
        <f t="shared" ca="1" si="992"/>
        <v>14145.315192106944</v>
      </c>
      <c r="AJR11" s="29">
        <f t="shared" ca="1" si="993"/>
        <v>14844.332772945083</v>
      </c>
      <c r="AJS11" s="29">
        <f t="shared" ca="1" si="994"/>
        <v>14479.6405903875</v>
      </c>
      <c r="AJT11" s="29">
        <f t="shared" ca="1" si="995"/>
        <v>14590.784786118704</v>
      </c>
      <c r="AJU11" s="29">
        <f t="shared" ca="1" si="996"/>
        <v>14258.358595885149</v>
      </c>
      <c r="AJV11" s="29">
        <f t="shared" ca="1" si="997"/>
        <v>14171.091753372584</v>
      </c>
      <c r="AJW11" s="29">
        <f t="shared" ca="1" si="998"/>
        <v>14353.048787684504</v>
      </c>
      <c r="AJX11" s="29">
        <f t="shared" ca="1" si="999"/>
        <v>14409.86005897685</v>
      </c>
      <c r="AJY11" s="29">
        <f t="shared" ca="1" si="1000"/>
        <v>14411.14937457238</v>
      </c>
      <c r="AJZ11" s="29">
        <f t="shared" ca="1" si="1001"/>
        <v>14665.004533005822</v>
      </c>
      <c r="AKA11" s="29">
        <f t="shared" ca="1" si="1002"/>
        <v>14998.289739366899</v>
      </c>
      <c r="AKB11" s="29">
        <f t="shared" ca="1" si="1003"/>
        <v>14657.091266419662</v>
      </c>
      <c r="AKC11" s="29">
        <f t="shared" ca="1" si="1004"/>
        <v>14624.353882969277</v>
      </c>
      <c r="AKD11" s="29">
        <f t="shared" ca="1" si="1005"/>
        <v>14632.920796208238</v>
      </c>
      <c r="AKE11" s="29">
        <f t="shared" ca="1" si="1006"/>
        <v>13641.292514919545</v>
      </c>
      <c r="AKF11" s="29">
        <f t="shared" ca="1" si="1007"/>
        <v>15026.921463480427</v>
      </c>
      <c r="AKG11" s="29">
        <f t="shared" ca="1" si="1008"/>
        <v>14384.968318749256</v>
      </c>
      <c r="AKH11" s="29">
        <f t="shared" ca="1" si="1009"/>
        <v>14295.025289013312</v>
      </c>
      <c r="AKI11" s="29">
        <f t="shared" ca="1" si="1010"/>
        <v>14560.65939153929</v>
      </c>
      <c r="AKJ11" s="29">
        <f t="shared" ca="1" si="1011"/>
        <v>14377.638855189627</v>
      </c>
      <c r="AKK11" s="29">
        <f t="shared" ca="1" si="1012"/>
        <v>14803.905358549087</v>
      </c>
      <c r="AKL11" s="29">
        <f t="shared" ca="1" si="1013"/>
        <v>14186.732856706441</v>
      </c>
      <c r="AKM11" s="29">
        <f t="shared" ca="1" si="1014"/>
        <v>14121.416461848003</v>
      </c>
      <c r="AKN11" s="29">
        <f t="shared" ca="1" si="1015"/>
        <v>14496.291481645092</v>
      </c>
      <c r="AKO11" s="29">
        <f t="shared" ca="1" si="1016"/>
        <v>13812.714018935862</v>
      </c>
      <c r="AKP11" s="29">
        <f t="shared" ca="1" si="1017"/>
        <v>14910.409086766107</v>
      </c>
      <c r="AKQ11" s="29">
        <f t="shared" ca="1" si="1018"/>
        <v>13648.147149772507</v>
      </c>
      <c r="AKR11" s="29">
        <f t="shared" ca="1" si="1019"/>
        <v>13980.539173467174</v>
      </c>
      <c r="AKS11" s="29">
        <f t="shared" ca="1" si="1020"/>
        <v>15012.856995101065</v>
      </c>
      <c r="AKT11" s="29">
        <f t="shared" ca="1" si="1021"/>
        <v>14719.097268805119</v>
      </c>
      <c r="AKU11" s="29">
        <f t="shared" ca="1" si="1022"/>
        <v>14087.362912022483</v>
      </c>
      <c r="AKV11" s="29">
        <f t="shared" ca="1" si="1023"/>
        <v>13255.276943234971</v>
      </c>
      <c r="AKW11" s="29">
        <f t="shared" ca="1" si="1024"/>
        <v>14184.868603110781</v>
      </c>
      <c r="AKX11" s="29">
        <f t="shared" ca="1" si="1025"/>
        <v>13915.122417826486</v>
      </c>
      <c r="AKY11" s="29">
        <f t="shared" ca="1" si="1026"/>
        <v>14654.656343102044</v>
      </c>
      <c r="AKZ11" s="29">
        <f t="shared" ca="1" si="1027"/>
        <v>14033.835634635814</v>
      </c>
      <c r="ALA11" s="29">
        <f t="shared" ca="1" si="1028"/>
        <v>14805.201381238612</v>
      </c>
      <c r="ALB11" s="29">
        <f t="shared" ca="1" si="1029"/>
        <v>15199.531533817986</v>
      </c>
      <c r="ALC11" s="29">
        <f t="shared" ca="1" si="1030"/>
        <v>14618.19666157449</v>
      </c>
      <c r="ALD11" s="29">
        <f t="shared" ca="1" si="1031"/>
        <v>14726.502211452898</v>
      </c>
      <c r="ALE11" s="29">
        <f t="shared" ca="1" si="1032"/>
        <v>13991.960513225084</v>
      </c>
      <c r="ALF11" s="29">
        <f t="shared" ca="1" si="1033"/>
        <v>13702.062432670698</v>
      </c>
      <c r="ALG11" s="29">
        <f t="shared" ca="1" si="1034"/>
        <v>14753.246192876264</v>
      </c>
      <c r="ALH11" s="29">
        <f t="shared" ca="1" si="1035"/>
        <v>14293.15075000005</v>
      </c>
      <c r="ALI11" s="29">
        <f t="shared" ca="1" si="1036"/>
        <v>14610.281300413728</v>
      </c>
      <c r="ALJ11" s="29">
        <f t="shared" ca="1" si="1037"/>
        <v>15050.851955793076</v>
      </c>
      <c r="ALK11" s="29">
        <f t="shared" ca="1" si="1038"/>
        <v>14337.563843425967</v>
      </c>
      <c r="ALL11" s="29">
        <f t="shared" ca="1" si="1039"/>
        <v>14046.144908205561</v>
      </c>
      <c r="ALM11" s="29">
        <f t="shared" ca="1" si="1040"/>
        <v>13390.162558388573</v>
      </c>
      <c r="ALN11" s="29">
        <f t="shared" ca="1" si="1041"/>
        <v>14176.76692321979</v>
      </c>
      <c r="ALO11" s="29">
        <f t="shared" ca="1" si="1042"/>
        <v>13524.476128327889</v>
      </c>
      <c r="ALP11" s="29">
        <f t="shared" ca="1" si="1043"/>
        <v>14146.550216980542</v>
      </c>
      <c r="ALQ11" s="29">
        <f t="shared" ca="1" si="1044"/>
        <v>15052.973219023057</v>
      </c>
      <c r="ALR11" s="29">
        <f t="shared" ca="1" si="1045"/>
        <v>14404.27568346031</v>
      </c>
      <c r="ALS11" s="29">
        <f t="shared" ca="1" si="1046"/>
        <v>14077.519703831154</v>
      </c>
      <c r="ALT11" s="29">
        <f t="shared" ca="1" si="1047"/>
        <v>14268.804834614924</v>
      </c>
      <c r="ALU11" s="29">
        <f t="shared" ca="1" si="1048"/>
        <v>15065.559604946302</v>
      </c>
      <c r="ALV11" s="29">
        <f t="shared" ca="1" si="1049"/>
        <v>13865.77243158895</v>
      </c>
    </row>
    <row r="12" spans="1:1258" x14ac:dyDescent="0.25">
      <c r="A12" s="1">
        <v>40491</v>
      </c>
      <c r="B12" s="2">
        <v>6301.5498049999997</v>
      </c>
      <c r="C12" s="16">
        <f t="shared" si="32"/>
        <v>4.5089815751579252E-3</v>
      </c>
      <c r="J12" s="29">
        <f t="shared" si="49"/>
        <v>9</v>
      </c>
      <c r="K12" s="29">
        <f t="shared" ca="1" si="50"/>
        <v>14594.500268677511</v>
      </c>
      <c r="L12" s="29">
        <f t="shared" ca="1" si="51"/>
        <v>13795.561451327772</v>
      </c>
      <c r="M12" s="29">
        <f t="shared" ca="1" si="52"/>
        <v>14938.668166429421</v>
      </c>
      <c r="N12" s="29">
        <f t="shared" ca="1" si="53"/>
        <v>13252.794791750563</v>
      </c>
      <c r="O12" s="29">
        <f t="shared" ca="1" si="54"/>
        <v>14572.575958185387</v>
      </c>
      <c r="P12" s="29">
        <f t="shared" ca="1" si="55"/>
        <v>14823.367162210323</v>
      </c>
      <c r="Q12" s="29">
        <f t="shared" ca="1" si="56"/>
        <v>13467.850093524081</v>
      </c>
      <c r="R12" s="29">
        <f t="shared" ca="1" si="57"/>
        <v>14386.459698168013</v>
      </c>
      <c r="S12" s="29">
        <f t="shared" ca="1" si="58"/>
        <v>14294.725409511258</v>
      </c>
      <c r="T12" s="29">
        <f t="shared" ca="1" si="59"/>
        <v>15011.880867932094</v>
      </c>
      <c r="U12" s="29">
        <f t="shared" ca="1" si="60"/>
        <v>14911.789196805195</v>
      </c>
      <c r="V12" s="29">
        <f t="shared" ca="1" si="61"/>
        <v>14673.864021382307</v>
      </c>
      <c r="W12" s="29">
        <f t="shared" ca="1" si="62"/>
        <v>14427.99728860484</v>
      </c>
      <c r="X12" s="29">
        <f t="shared" ca="1" si="63"/>
        <v>14860.02556268923</v>
      </c>
      <c r="Y12" s="29">
        <f t="shared" ca="1" si="64"/>
        <v>14290.33367753176</v>
      </c>
      <c r="Z12" s="29">
        <f t="shared" ca="1" si="65"/>
        <v>13895.62694466521</v>
      </c>
      <c r="AA12" s="29">
        <f t="shared" ca="1" si="66"/>
        <v>14859.468107582028</v>
      </c>
      <c r="AB12" s="29">
        <f t="shared" ca="1" si="67"/>
        <v>15146.224860469882</v>
      </c>
      <c r="AC12" s="29">
        <f t="shared" ca="1" si="68"/>
        <v>15443.665864630691</v>
      </c>
      <c r="AD12" s="29">
        <f t="shared" ca="1" si="69"/>
        <v>14336.231737532735</v>
      </c>
      <c r="AE12" s="29">
        <f t="shared" ca="1" si="70"/>
        <v>15424.665637734293</v>
      </c>
      <c r="AF12" s="29">
        <f t="shared" ca="1" si="71"/>
        <v>14097.842650063183</v>
      </c>
      <c r="AG12" s="29">
        <f t="shared" ca="1" si="72"/>
        <v>13331.275763571552</v>
      </c>
      <c r="AH12" s="29">
        <f t="shared" ca="1" si="73"/>
        <v>14706.002038683584</v>
      </c>
      <c r="AI12" s="29">
        <f t="shared" ca="1" si="74"/>
        <v>14308.483758123624</v>
      </c>
      <c r="AJ12" s="29">
        <f t="shared" ca="1" si="75"/>
        <v>14304.131475794564</v>
      </c>
      <c r="AK12" s="29">
        <f t="shared" ca="1" si="76"/>
        <v>13769.123596083857</v>
      </c>
      <c r="AL12" s="29">
        <f t="shared" ca="1" si="77"/>
        <v>14298.748251680503</v>
      </c>
      <c r="AM12" s="29">
        <f t="shared" ca="1" si="78"/>
        <v>14928.495476256739</v>
      </c>
      <c r="AN12" s="29">
        <f t="shared" ca="1" si="79"/>
        <v>14632.95917251414</v>
      </c>
      <c r="AO12" s="29">
        <f t="shared" ca="1" si="80"/>
        <v>14456.491902559423</v>
      </c>
      <c r="AP12" s="29">
        <f t="shared" ca="1" si="81"/>
        <v>14398.056266953889</v>
      </c>
      <c r="AQ12" s="29">
        <f t="shared" ca="1" si="82"/>
        <v>14996.730733735882</v>
      </c>
      <c r="AR12" s="29">
        <f t="shared" ca="1" si="83"/>
        <v>14595.044055501447</v>
      </c>
      <c r="AS12" s="29">
        <f t="shared" ca="1" si="84"/>
        <v>13506.542119783482</v>
      </c>
      <c r="AT12" s="29">
        <f t="shared" ca="1" si="85"/>
        <v>14444.291802456693</v>
      </c>
      <c r="AU12" s="29">
        <f t="shared" ca="1" si="86"/>
        <v>14355.552566854229</v>
      </c>
      <c r="AV12" s="29">
        <f t="shared" ca="1" si="87"/>
        <v>14760.120932131884</v>
      </c>
      <c r="AW12" s="29">
        <f t="shared" ca="1" si="88"/>
        <v>15170.809847340608</v>
      </c>
      <c r="AX12" s="29">
        <f t="shared" ca="1" si="89"/>
        <v>13801.227660362174</v>
      </c>
      <c r="AY12" s="29">
        <f t="shared" ca="1" si="90"/>
        <v>14090.62630481905</v>
      </c>
      <c r="AZ12" s="29">
        <f t="shared" ca="1" si="91"/>
        <v>14349.323258625782</v>
      </c>
      <c r="BA12" s="29">
        <f t="shared" ca="1" si="92"/>
        <v>14625.902322330996</v>
      </c>
      <c r="BB12" s="29">
        <f t="shared" ca="1" si="93"/>
        <v>14153.501870917218</v>
      </c>
      <c r="BC12" s="29">
        <f t="shared" ca="1" si="94"/>
        <v>13663.191624684607</v>
      </c>
      <c r="BD12" s="29">
        <f t="shared" ca="1" si="95"/>
        <v>14099.632409922107</v>
      </c>
      <c r="BE12" s="29">
        <f t="shared" ca="1" si="96"/>
        <v>14701.367850726112</v>
      </c>
      <c r="BF12" s="29">
        <f t="shared" ca="1" si="97"/>
        <v>15434.437185808252</v>
      </c>
      <c r="BG12" s="29">
        <f t="shared" ca="1" si="98"/>
        <v>13829.820272457786</v>
      </c>
      <c r="BH12" s="29">
        <f t="shared" ca="1" si="99"/>
        <v>14843.298961483295</v>
      </c>
      <c r="BI12" s="29">
        <f t="shared" ca="1" si="100"/>
        <v>14791.485723464017</v>
      </c>
      <c r="BJ12" s="29">
        <f t="shared" ca="1" si="101"/>
        <v>14363.926794612753</v>
      </c>
      <c r="BK12" s="29">
        <f t="shared" ca="1" si="102"/>
        <v>13778.719184056634</v>
      </c>
      <c r="BL12" s="29">
        <f t="shared" ca="1" si="103"/>
        <v>14389.517583120971</v>
      </c>
      <c r="BM12" s="29">
        <f t="shared" ca="1" si="104"/>
        <v>14094.751567791796</v>
      </c>
      <c r="BN12" s="29">
        <f t="shared" ca="1" si="105"/>
        <v>14548.993589889191</v>
      </c>
      <c r="BO12" s="29">
        <f t="shared" ca="1" si="106"/>
        <v>14380.332708336524</v>
      </c>
      <c r="BP12" s="29">
        <f t="shared" ca="1" si="107"/>
        <v>14927.597426349406</v>
      </c>
      <c r="BQ12" s="29">
        <f t="shared" ca="1" si="108"/>
        <v>14493.805567085728</v>
      </c>
      <c r="BR12" s="29">
        <f t="shared" ca="1" si="109"/>
        <v>13970.429262690888</v>
      </c>
      <c r="BS12" s="29">
        <f t="shared" ca="1" si="110"/>
        <v>14985.154013904752</v>
      </c>
      <c r="BT12" s="29">
        <f t="shared" ca="1" si="111"/>
        <v>14463.180810341604</v>
      </c>
      <c r="BU12" s="29">
        <f t="shared" ca="1" si="112"/>
        <v>14230.037398729437</v>
      </c>
      <c r="BV12" s="29">
        <f t="shared" ca="1" si="113"/>
        <v>15025.953557297385</v>
      </c>
      <c r="BW12" s="29">
        <f t="shared" ca="1" si="114"/>
        <v>14745.845324375874</v>
      </c>
      <c r="BX12" s="29">
        <f t="shared" ca="1" si="115"/>
        <v>14771.721298393075</v>
      </c>
      <c r="BY12" s="29">
        <f t="shared" ca="1" si="116"/>
        <v>14076.40343417933</v>
      </c>
      <c r="BZ12" s="29">
        <f t="shared" ca="1" si="117"/>
        <v>14176.043332111944</v>
      </c>
      <c r="CA12" s="29">
        <f t="shared" ca="1" si="118"/>
        <v>14954.755607064068</v>
      </c>
      <c r="CB12" s="29">
        <f t="shared" ca="1" si="119"/>
        <v>15560.819340660722</v>
      </c>
      <c r="CC12" s="29">
        <f t="shared" ca="1" si="120"/>
        <v>13657.474761925863</v>
      </c>
      <c r="CD12" s="29">
        <f t="shared" ca="1" si="121"/>
        <v>14504.727329203937</v>
      </c>
      <c r="CE12" s="29">
        <f t="shared" ca="1" si="122"/>
        <v>15344.413257168246</v>
      </c>
      <c r="CF12" s="29">
        <f t="shared" ca="1" si="123"/>
        <v>14900.549531334487</v>
      </c>
      <c r="CG12" s="29">
        <f t="shared" ca="1" si="124"/>
        <v>14774.130713866332</v>
      </c>
      <c r="CH12" s="29">
        <f t="shared" ca="1" si="125"/>
        <v>15242.859873257808</v>
      </c>
      <c r="CI12" s="29">
        <f t="shared" ca="1" si="126"/>
        <v>14695.890491100798</v>
      </c>
      <c r="CJ12" s="29">
        <f t="shared" ca="1" si="127"/>
        <v>14133.332836184207</v>
      </c>
      <c r="CK12" s="29">
        <f t="shared" ca="1" si="128"/>
        <v>14156.486743377731</v>
      </c>
      <c r="CL12" s="29">
        <f t="shared" ca="1" si="129"/>
        <v>14707.84620818674</v>
      </c>
      <c r="CM12" s="29">
        <f t="shared" ca="1" si="130"/>
        <v>14200.779249903466</v>
      </c>
      <c r="CN12" s="29">
        <f t="shared" ca="1" si="131"/>
        <v>14082.372882213564</v>
      </c>
      <c r="CO12" s="29">
        <f t="shared" ca="1" si="132"/>
        <v>15063.267501877624</v>
      </c>
      <c r="CP12" s="29">
        <f t="shared" ca="1" si="133"/>
        <v>14547.556613661807</v>
      </c>
      <c r="CQ12" s="29">
        <f t="shared" ca="1" si="134"/>
        <v>14105.234874961057</v>
      </c>
      <c r="CR12" s="29">
        <f t="shared" ca="1" si="135"/>
        <v>14201.34767060093</v>
      </c>
      <c r="CS12" s="29">
        <f t="shared" ca="1" si="136"/>
        <v>13603.843783690387</v>
      </c>
      <c r="CT12" s="29">
        <f t="shared" ca="1" si="137"/>
        <v>14457.529452002263</v>
      </c>
      <c r="CU12" s="29">
        <f t="shared" ca="1" si="138"/>
        <v>13914.604921123047</v>
      </c>
      <c r="CV12" s="29">
        <f t="shared" ca="1" si="139"/>
        <v>13968.346000913894</v>
      </c>
      <c r="CW12" s="29">
        <f t="shared" ca="1" si="140"/>
        <v>14351.463850733167</v>
      </c>
      <c r="CX12" s="29">
        <f t="shared" ca="1" si="141"/>
        <v>14344.723884401801</v>
      </c>
      <c r="CY12" s="29">
        <f t="shared" ca="1" si="142"/>
        <v>14234.315504533604</v>
      </c>
      <c r="CZ12" s="29">
        <f t="shared" ca="1" si="143"/>
        <v>13637.695571436721</v>
      </c>
      <c r="DA12" s="29">
        <f t="shared" ca="1" si="144"/>
        <v>14302.96867347734</v>
      </c>
      <c r="DB12" s="29">
        <f t="shared" ca="1" si="145"/>
        <v>15553.169174366016</v>
      </c>
      <c r="DC12" s="29">
        <f t="shared" ca="1" si="146"/>
        <v>14607.190338360901</v>
      </c>
      <c r="DD12" s="29">
        <f t="shared" ca="1" si="147"/>
        <v>13826.517674230603</v>
      </c>
      <c r="DE12" s="29">
        <f t="shared" ca="1" si="148"/>
        <v>14737.198981281315</v>
      </c>
      <c r="DF12" s="29">
        <f t="shared" ca="1" si="149"/>
        <v>14214.367912933705</v>
      </c>
      <c r="DG12" s="29">
        <f t="shared" ca="1" si="150"/>
        <v>14191.400728670777</v>
      </c>
      <c r="DH12" s="29">
        <f t="shared" ca="1" si="151"/>
        <v>13829.016106941601</v>
      </c>
      <c r="DI12" s="29">
        <f t="shared" ca="1" si="152"/>
        <v>14297.122389711238</v>
      </c>
      <c r="DJ12" s="29">
        <f t="shared" ca="1" si="153"/>
        <v>14485.462056692912</v>
      </c>
      <c r="DK12" s="29">
        <f t="shared" ca="1" si="154"/>
        <v>14006.087778317706</v>
      </c>
      <c r="DL12" s="29">
        <f t="shared" ca="1" si="155"/>
        <v>14910.88519977014</v>
      </c>
      <c r="DM12" s="29">
        <f t="shared" ca="1" si="156"/>
        <v>14165.206243043922</v>
      </c>
      <c r="DN12" s="29">
        <f t="shared" ca="1" si="157"/>
        <v>15104.683133657969</v>
      </c>
      <c r="DO12" s="29">
        <f t="shared" ca="1" si="158"/>
        <v>14059.778790941315</v>
      </c>
      <c r="DP12" s="29">
        <f t="shared" ca="1" si="159"/>
        <v>14680.623248661708</v>
      </c>
      <c r="DQ12" s="29">
        <f t="shared" ca="1" si="160"/>
        <v>14749.988118440757</v>
      </c>
      <c r="DR12" s="29">
        <f t="shared" ca="1" si="161"/>
        <v>13408.298125875061</v>
      </c>
      <c r="DS12" s="29">
        <f t="shared" ca="1" si="162"/>
        <v>14880.900481066683</v>
      </c>
      <c r="DT12" s="29">
        <f t="shared" ca="1" si="163"/>
        <v>14221.127122615744</v>
      </c>
      <c r="DU12" s="29">
        <f t="shared" ca="1" si="164"/>
        <v>14159.878683857771</v>
      </c>
      <c r="DV12" s="29">
        <f t="shared" ca="1" si="165"/>
        <v>14160.878336240941</v>
      </c>
      <c r="DW12" s="29">
        <f t="shared" ca="1" si="166"/>
        <v>14464.4680245617</v>
      </c>
      <c r="DX12" s="29">
        <f t="shared" ca="1" si="167"/>
        <v>13990.035150698868</v>
      </c>
      <c r="DY12" s="29">
        <f t="shared" ca="1" si="168"/>
        <v>14406.359347130547</v>
      </c>
      <c r="DZ12" s="29">
        <f t="shared" ca="1" si="169"/>
        <v>14616.655983462688</v>
      </c>
      <c r="EA12" s="29">
        <f t="shared" ca="1" si="170"/>
        <v>14004.599539062017</v>
      </c>
      <c r="EB12" s="29">
        <f t="shared" ca="1" si="171"/>
        <v>13595.852306525967</v>
      </c>
      <c r="EC12" s="29">
        <f t="shared" ca="1" si="172"/>
        <v>14735.257807161364</v>
      </c>
      <c r="ED12" s="29">
        <f t="shared" ca="1" si="173"/>
        <v>15015.058536528702</v>
      </c>
      <c r="EE12" s="29">
        <f t="shared" ca="1" si="174"/>
        <v>14757.391800167377</v>
      </c>
      <c r="EF12" s="29">
        <f t="shared" ca="1" si="175"/>
        <v>14428.649848363457</v>
      </c>
      <c r="EG12" s="29">
        <f t="shared" ca="1" si="176"/>
        <v>14833.706104274568</v>
      </c>
      <c r="EH12" s="29">
        <f t="shared" ca="1" si="177"/>
        <v>13795.09516266115</v>
      </c>
      <c r="EI12" s="29">
        <f t="shared" ca="1" si="178"/>
        <v>14123.919846760324</v>
      </c>
      <c r="EJ12" s="29">
        <f t="shared" ca="1" si="179"/>
        <v>14460.78237328065</v>
      </c>
      <c r="EK12" s="29">
        <f t="shared" ca="1" si="180"/>
        <v>14430.701302054722</v>
      </c>
      <c r="EL12" s="29">
        <f t="shared" ca="1" si="181"/>
        <v>14816.177932614473</v>
      </c>
      <c r="EM12" s="29">
        <f t="shared" ca="1" si="182"/>
        <v>13769.175299941986</v>
      </c>
      <c r="EN12" s="29">
        <f t="shared" ca="1" si="183"/>
        <v>14464.293545781637</v>
      </c>
      <c r="EO12" s="29">
        <f t="shared" ca="1" si="184"/>
        <v>13969.048647463702</v>
      </c>
      <c r="EP12" s="29">
        <f t="shared" ca="1" si="185"/>
        <v>14510.850027183098</v>
      </c>
      <c r="EQ12" s="29">
        <f t="shared" ca="1" si="186"/>
        <v>14374.91330382498</v>
      </c>
      <c r="ER12" s="29">
        <f t="shared" ca="1" si="187"/>
        <v>14312.667266780214</v>
      </c>
      <c r="ES12" s="29">
        <f t="shared" ca="1" si="188"/>
        <v>14414.731081684969</v>
      </c>
      <c r="ET12" s="29">
        <f t="shared" ca="1" si="189"/>
        <v>14617.350622308648</v>
      </c>
      <c r="EU12" s="29">
        <f t="shared" ca="1" si="190"/>
        <v>14872.392113353468</v>
      </c>
      <c r="EV12" s="29">
        <f t="shared" ca="1" si="191"/>
        <v>14614.590264101935</v>
      </c>
      <c r="EW12" s="29">
        <f t="shared" ca="1" si="192"/>
        <v>14252.777067213043</v>
      </c>
      <c r="EX12" s="29">
        <f t="shared" ca="1" si="193"/>
        <v>14963.977016384728</v>
      </c>
      <c r="EY12" s="29">
        <f t="shared" ca="1" si="194"/>
        <v>14147.172556871044</v>
      </c>
      <c r="EZ12" s="29">
        <f t="shared" ca="1" si="195"/>
        <v>14314.94526459247</v>
      </c>
      <c r="FA12" s="29">
        <f t="shared" ca="1" si="196"/>
        <v>14689.493012105959</v>
      </c>
      <c r="FB12" s="29">
        <f t="shared" ca="1" si="197"/>
        <v>15633.341854119255</v>
      </c>
      <c r="FC12" s="29">
        <f t="shared" ca="1" si="198"/>
        <v>14664.351174362886</v>
      </c>
      <c r="FD12" s="29">
        <f t="shared" ca="1" si="199"/>
        <v>14744.053604644176</v>
      </c>
      <c r="FE12" s="29">
        <f t="shared" ca="1" si="200"/>
        <v>14858.66922858973</v>
      </c>
      <c r="FF12" s="29">
        <f t="shared" ca="1" si="201"/>
        <v>14322.000846240922</v>
      </c>
      <c r="FG12" s="29">
        <f t="shared" ca="1" si="202"/>
        <v>13574.765007902823</v>
      </c>
      <c r="FH12" s="29">
        <f t="shared" ca="1" si="203"/>
        <v>14055.957532770672</v>
      </c>
      <c r="FI12" s="29">
        <f t="shared" ca="1" si="204"/>
        <v>14179.547727662382</v>
      </c>
      <c r="FJ12" s="29">
        <f t="shared" ca="1" si="205"/>
        <v>13914.468725248009</v>
      </c>
      <c r="FK12" s="29">
        <f t="shared" ca="1" si="206"/>
        <v>14804.632433682911</v>
      </c>
      <c r="FL12" s="29">
        <f t="shared" ca="1" si="207"/>
        <v>14084.10084917924</v>
      </c>
      <c r="FM12" s="29">
        <f t="shared" ca="1" si="208"/>
        <v>14912.267951633565</v>
      </c>
      <c r="FN12" s="29">
        <f t="shared" ca="1" si="209"/>
        <v>13835.611345962649</v>
      </c>
      <c r="FO12" s="29">
        <f t="shared" ca="1" si="210"/>
        <v>14134.665106930668</v>
      </c>
      <c r="FP12" s="29">
        <f t="shared" ca="1" si="211"/>
        <v>13813.78763852154</v>
      </c>
      <c r="FQ12" s="29">
        <f t="shared" ca="1" si="212"/>
        <v>14311.452846823002</v>
      </c>
      <c r="FR12" s="29">
        <f t="shared" ca="1" si="213"/>
        <v>14036.418444678364</v>
      </c>
      <c r="FS12" s="29">
        <f t="shared" ca="1" si="214"/>
        <v>14901.178689706281</v>
      </c>
      <c r="FT12" s="29">
        <f t="shared" ca="1" si="215"/>
        <v>14424.71572624619</v>
      </c>
      <c r="FU12" s="29">
        <f t="shared" ca="1" si="216"/>
        <v>14572.003046320469</v>
      </c>
      <c r="FV12" s="29">
        <f t="shared" ca="1" si="217"/>
        <v>14648.392322639977</v>
      </c>
      <c r="FW12" s="29">
        <f t="shared" ca="1" si="218"/>
        <v>14466.894235155727</v>
      </c>
      <c r="FX12" s="29">
        <f t="shared" ca="1" si="219"/>
        <v>15111.180641104087</v>
      </c>
      <c r="FY12" s="29">
        <f t="shared" ca="1" si="220"/>
        <v>14253.722232478307</v>
      </c>
      <c r="FZ12" s="29">
        <f t="shared" ca="1" si="221"/>
        <v>13766.67531596801</v>
      </c>
      <c r="GA12" s="29">
        <f t="shared" ca="1" si="222"/>
        <v>13958.127133279442</v>
      </c>
      <c r="GB12" s="29">
        <f t="shared" ca="1" si="223"/>
        <v>15351.099097924436</v>
      </c>
      <c r="GC12" s="29">
        <f t="shared" ca="1" si="224"/>
        <v>15051.51241538033</v>
      </c>
      <c r="GD12" s="29">
        <f t="shared" ca="1" si="225"/>
        <v>14837.450743985733</v>
      </c>
      <c r="GE12" s="29">
        <f t="shared" ca="1" si="226"/>
        <v>14250.425905137854</v>
      </c>
      <c r="GF12" s="29">
        <f t="shared" ca="1" si="227"/>
        <v>14390.028258168903</v>
      </c>
      <c r="GG12" s="29">
        <f t="shared" ca="1" si="228"/>
        <v>14309.520106636863</v>
      </c>
      <c r="GH12" s="29">
        <f t="shared" ca="1" si="229"/>
        <v>14524.406997695784</v>
      </c>
      <c r="GI12" s="29">
        <f t="shared" ca="1" si="230"/>
        <v>14117.736119351053</v>
      </c>
      <c r="GJ12" s="29">
        <f t="shared" ca="1" si="231"/>
        <v>13862.163234190175</v>
      </c>
      <c r="GK12" s="29">
        <f t="shared" ca="1" si="232"/>
        <v>13698.748997974797</v>
      </c>
      <c r="GL12" s="29">
        <f t="shared" ca="1" si="233"/>
        <v>14137.921243229785</v>
      </c>
      <c r="GM12" s="29">
        <f t="shared" ca="1" si="234"/>
        <v>14055.828713074245</v>
      </c>
      <c r="GN12" s="29">
        <f t="shared" ca="1" si="235"/>
        <v>13708.87577807778</v>
      </c>
      <c r="GO12" s="29">
        <f t="shared" ca="1" si="236"/>
        <v>13680.711744696269</v>
      </c>
      <c r="GP12" s="29">
        <f t="shared" ca="1" si="237"/>
        <v>15118.109085768519</v>
      </c>
      <c r="GQ12" s="29">
        <f t="shared" ca="1" si="238"/>
        <v>14400.873957989455</v>
      </c>
      <c r="GR12" s="29">
        <f t="shared" ca="1" si="239"/>
        <v>14156.900634477321</v>
      </c>
      <c r="GS12" s="29">
        <f t="shared" ca="1" si="240"/>
        <v>14501.75304295595</v>
      </c>
      <c r="GT12" s="29">
        <f t="shared" ca="1" si="241"/>
        <v>13832.311453424509</v>
      </c>
      <c r="GU12" s="29">
        <f t="shared" ca="1" si="242"/>
        <v>13675.054649997855</v>
      </c>
      <c r="GV12" s="29">
        <f t="shared" ca="1" si="243"/>
        <v>14642.289525640657</v>
      </c>
      <c r="GW12" s="29">
        <f t="shared" ca="1" si="244"/>
        <v>14285.053602808799</v>
      </c>
      <c r="GX12" s="29">
        <f t="shared" ca="1" si="245"/>
        <v>13818.726185009798</v>
      </c>
      <c r="GY12" s="29">
        <f t="shared" ca="1" si="246"/>
        <v>14297.043233049393</v>
      </c>
      <c r="GZ12" s="29">
        <f t="shared" ca="1" si="247"/>
        <v>14668.000091421112</v>
      </c>
      <c r="HA12" s="29">
        <f t="shared" ca="1" si="248"/>
        <v>15558.257742126525</v>
      </c>
      <c r="HB12" s="29">
        <f t="shared" ca="1" si="249"/>
        <v>14113.784874491594</v>
      </c>
      <c r="HC12" s="29">
        <f t="shared" ca="1" si="250"/>
        <v>14858.920199295242</v>
      </c>
      <c r="HD12" s="29">
        <f t="shared" ca="1" si="251"/>
        <v>14139.89154922972</v>
      </c>
      <c r="HE12" s="29">
        <f t="shared" ca="1" si="252"/>
        <v>14906.525915135609</v>
      </c>
      <c r="HF12" s="29">
        <f t="shared" ca="1" si="253"/>
        <v>14194.230422099117</v>
      </c>
      <c r="HG12" s="29">
        <f t="shared" ca="1" si="254"/>
        <v>13849.110478228738</v>
      </c>
      <c r="HH12" s="29">
        <f t="shared" ca="1" si="255"/>
        <v>13034.466802725266</v>
      </c>
      <c r="HI12" s="29">
        <f t="shared" ca="1" si="256"/>
        <v>14340.88182429042</v>
      </c>
      <c r="HJ12" s="29">
        <f t="shared" ca="1" si="257"/>
        <v>14393.494870974109</v>
      </c>
      <c r="HK12" s="29">
        <f t="shared" ca="1" si="258"/>
        <v>15012.307637944348</v>
      </c>
      <c r="HL12" s="29">
        <f t="shared" ca="1" si="259"/>
        <v>14779.491366244485</v>
      </c>
      <c r="HM12" s="29">
        <f t="shared" ca="1" si="260"/>
        <v>14058.536368284134</v>
      </c>
      <c r="HN12" s="29">
        <f t="shared" ca="1" si="261"/>
        <v>13957.869405304078</v>
      </c>
      <c r="HO12" s="29">
        <f t="shared" ca="1" si="262"/>
        <v>15090.979358438772</v>
      </c>
      <c r="HP12" s="29">
        <f t="shared" ca="1" si="263"/>
        <v>13874.328234101526</v>
      </c>
      <c r="HQ12" s="29">
        <f t="shared" ca="1" si="264"/>
        <v>14312.064033076695</v>
      </c>
      <c r="HR12" s="29">
        <f t="shared" ca="1" si="265"/>
        <v>14985.134697705485</v>
      </c>
      <c r="HS12" s="29">
        <f t="shared" ca="1" si="266"/>
        <v>14788.751488700111</v>
      </c>
      <c r="HT12" s="29">
        <f t="shared" ca="1" si="267"/>
        <v>14571.141366578611</v>
      </c>
      <c r="HU12" s="29">
        <f t="shared" ca="1" si="268"/>
        <v>14879.301180016473</v>
      </c>
      <c r="HV12" s="29">
        <f t="shared" ca="1" si="269"/>
        <v>14670.192169104132</v>
      </c>
      <c r="HW12" s="29">
        <f t="shared" ca="1" si="270"/>
        <v>14746.724806352237</v>
      </c>
      <c r="HX12" s="29">
        <f t="shared" ca="1" si="271"/>
        <v>14692.495308570198</v>
      </c>
      <c r="HY12" s="29">
        <f t="shared" ca="1" si="272"/>
        <v>14369.56240158443</v>
      </c>
      <c r="HZ12" s="29">
        <f t="shared" ca="1" si="273"/>
        <v>13956.831790395541</v>
      </c>
      <c r="IA12" s="29">
        <f t="shared" ca="1" si="274"/>
        <v>14891.553162303488</v>
      </c>
      <c r="IB12" s="29">
        <f t="shared" ca="1" si="275"/>
        <v>14976.928719805333</v>
      </c>
      <c r="IC12" s="29">
        <f t="shared" ca="1" si="276"/>
        <v>13730.67955625393</v>
      </c>
      <c r="ID12" s="29">
        <f t="shared" ca="1" si="277"/>
        <v>14822.215695053679</v>
      </c>
      <c r="IE12" s="29">
        <f t="shared" ca="1" si="278"/>
        <v>13116.181529849146</v>
      </c>
      <c r="IF12" s="29">
        <f t="shared" ca="1" si="279"/>
        <v>14763.775737698197</v>
      </c>
      <c r="IG12" s="29">
        <f t="shared" ca="1" si="280"/>
        <v>13945.861239178537</v>
      </c>
      <c r="IH12" s="29">
        <f t="shared" ca="1" si="281"/>
        <v>14179.662947362604</v>
      </c>
      <c r="II12" s="29">
        <f t="shared" ca="1" si="282"/>
        <v>14836.007765269449</v>
      </c>
      <c r="IJ12" s="29">
        <f t="shared" ca="1" si="283"/>
        <v>14804.036207716726</v>
      </c>
      <c r="IK12" s="29">
        <f t="shared" ca="1" si="284"/>
        <v>13894.737269182846</v>
      </c>
      <c r="IL12" s="29">
        <f t="shared" ca="1" si="285"/>
        <v>15000.79345031322</v>
      </c>
      <c r="IM12" s="29">
        <f t="shared" ca="1" si="286"/>
        <v>14219.785043212294</v>
      </c>
      <c r="IN12" s="29">
        <f t="shared" ca="1" si="287"/>
        <v>15228.362052673099</v>
      </c>
      <c r="IO12" s="29">
        <f t="shared" ca="1" si="288"/>
        <v>14728.488477101489</v>
      </c>
      <c r="IP12" s="29">
        <f t="shared" ca="1" si="289"/>
        <v>14685.085545722548</v>
      </c>
      <c r="IQ12" s="29">
        <f t="shared" ca="1" si="290"/>
        <v>14012.43851089998</v>
      </c>
      <c r="IR12" s="29">
        <f t="shared" ca="1" si="291"/>
        <v>14461.543240904553</v>
      </c>
      <c r="IS12" s="29">
        <f t="shared" ca="1" si="292"/>
        <v>13314.112662017422</v>
      </c>
      <c r="IT12" s="29">
        <f t="shared" ca="1" si="293"/>
        <v>15665.299292123187</v>
      </c>
      <c r="IU12" s="29">
        <f t="shared" ca="1" si="294"/>
        <v>15790.028974443792</v>
      </c>
      <c r="IV12" s="29">
        <f t="shared" ca="1" si="295"/>
        <v>14306.961473546316</v>
      </c>
      <c r="IW12" s="29">
        <f t="shared" ca="1" si="296"/>
        <v>14519.96213274211</v>
      </c>
      <c r="IX12" s="29">
        <f t="shared" ca="1" si="297"/>
        <v>15011.213233599443</v>
      </c>
      <c r="IY12" s="29">
        <f t="shared" ca="1" si="298"/>
        <v>13375.483350465433</v>
      </c>
      <c r="IZ12" s="29">
        <f t="shared" ca="1" si="299"/>
        <v>13608.291530010987</v>
      </c>
      <c r="JA12" s="29">
        <f t="shared" ca="1" si="300"/>
        <v>13650.321041665264</v>
      </c>
      <c r="JB12" s="29">
        <f t="shared" ca="1" si="301"/>
        <v>14556.201389335245</v>
      </c>
      <c r="JC12" s="29">
        <f t="shared" ca="1" si="302"/>
        <v>14041.152348217804</v>
      </c>
      <c r="JD12" s="29">
        <f t="shared" ca="1" si="303"/>
        <v>13544.935750289649</v>
      </c>
      <c r="JE12" s="29">
        <f t="shared" ca="1" si="304"/>
        <v>13302.876106539719</v>
      </c>
      <c r="JF12" s="29">
        <f t="shared" ca="1" si="305"/>
        <v>14701.254971173732</v>
      </c>
      <c r="JG12" s="29">
        <f t="shared" ca="1" si="306"/>
        <v>14185.121848958765</v>
      </c>
      <c r="JH12" s="29">
        <f t="shared" ca="1" si="307"/>
        <v>14555.948763890377</v>
      </c>
      <c r="JI12" s="29">
        <f t="shared" ca="1" si="308"/>
        <v>14387.20882649397</v>
      </c>
      <c r="JJ12" s="29">
        <f t="shared" ca="1" si="309"/>
        <v>14306.448293187528</v>
      </c>
      <c r="JK12" s="29">
        <f t="shared" ca="1" si="310"/>
        <v>14005.15435290461</v>
      </c>
      <c r="JL12" s="29">
        <f t="shared" ca="1" si="311"/>
        <v>14443.637872752915</v>
      </c>
      <c r="JM12" s="29">
        <f t="shared" ca="1" si="312"/>
        <v>13361.84078258419</v>
      </c>
      <c r="JN12" s="29">
        <f t="shared" ca="1" si="313"/>
        <v>14610.832376520077</v>
      </c>
      <c r="JO12" s="29">
        <f t="shared" ca="1" si="314"/>
        <v>14605.173833925935</v>
      </c>
      <c r="JP12" s="29">
        <f t="shared" ca="1" si="315"/>
        <v>14793.688643608837</v>
      </c>
      <c r="JQ12" s="29">
        <f t="shared" ca="1" si="316"/>
        <v>14464.446164790084</v>
      </c>
      <c r="JR12" s="29">
        <f t="shared" ca="1" si="317"/>
        <v>14872.210988519921</v>
      </c>
      <c r="JS12" s="29">
        <f t="shared" ca="1" si="318"/>
        <v>15165.548787493683</v>
      </c>
      <c r="JT12" s="29">
        <f t="shared" ca="1" si="319"/>
        <v>14633.195084402849</v>
      </c>
      <c r="JU12" s="29">
        <f t="shared" ca="1" si="320"/>
        <v>14443.65282532405</v>
      </c>
      <c r="JV12" s="29">
        <f t="shared" ca="1" si="321"/>
        <v>14627.597659594498</v>
      </c>
      <c r="JW12" s="29">
        <f t="shared" ca="1" si="322"/>
        <v>14714.076834097103</v>
      </c>
      <c r="JX12" s="29">
        <f t="shared" ca="1" si="323"/>
        <v>14711.071803040591</v>
      </c>
      <c r="JY12" s="29">
        <f t="shared" ca="1" si="324"/>
        <v>14318.197539646979</v>
      </c>
      <c r="JZ12" s="29">
        <f t="shared" ca="1" si="325"/>
        <v>14569.372464685346</v>
      </c>
      <c r="KA12" s="29">
        <f t="shared" ca="1" si="326"/>
        <v>14281.401627254356</v>
      </c>
      <c r="KB12" s="29">
        <f t="shared" ca="1" si="327"/>
        <v>13542.27456525239</v>
      </c>
      <c r="KC12" s="29">
        <f t="shared" ca="1" si="328"/>
        <v>14407.86096342475</v>
      </c>
      <c r="KD12" s="29">
        <f t="shared" ca="1" si="329"/>
        <v>14176.743971523127</v>
      </c>
      <c r="KE12" s="29">
        <f t="shared" ca="1" si="330"/>
        <v>15774.392975825243</v>
      </c>
      <c r="KF12" s="29">
        <f t="shared" ca="1" si="331"/>
        <v>14292.532086243087</v>
      </c>
      <c r="KG12" s="29">
        <f t="shared" ca="1" si="332"/>
        <v>14271.964644433785</v>
      </c>
      <c r="KH12" s="29">
        <f t="shared" ca="1" si="333"/>
        <v>14940.571956446816</v>
      </c>
      <c r="KI12" s="29">
        <f t="shared" ca="1" si="334"/>
        <v>14056.832595876169</v>
      </c>
      <c r="KJ12" s="29">
        <f t="shared" ca="1" si="335"/>
        <v>14857.69179648926</v>
      </c>
      <c r="KK12" s="29">
        <f t="shared" ca="1" si="336"/>
        <v>13895.8195610121</v>
      </c>
      <c r="KL12" s="29">
        <f t="shared" ca="1" si="337"/>
        <v>14265.394304093466</v>
      </c>
      <c r="KM12" s="29">
        <f t="shared" ca="1" si="338"/>
        <v>15270.019738673795</v>
      </c>
      <c r="KN12" s="29">
        <f t="shared" ca="1" si="339"/>
        <v>13674.142618532742</v>
      </c>
      <c r="KO12" s="29">
        <f t="shared" ca="1" si="340"/>
        <v>14674.152948092513</v>
      </c>
      <c r="KP12" s="29">
        <f t="shared" ca="1" si="341"/>
        <v>14182.201935530999</v>
      </c>
      <c r="KQ12" s="29">
        <f t="shared" ca="1" si="342"/>
        <v>14159.8319789047</v>
      </c>
      <c r="KR12" s="29">
        <f t="shared" ca="1" si="343"/>
        <v>14065.500778993204</v>
      </c>
      <c r="KS12" s="29">
        <f t="shared" ca="1" si="344"/>
        <v>13324.406823679854</v>
      </c>
      <c r="KT12" s="29">
        <f t="shared" ca="1" si="345"/>
        <v>14383.855757402061</v>
      </c>
      <c r="KU12" s="29">
        <f t="shared" ca="1" si="346"/>
        <v>14257.066519545615</v>
      </c>
      <c r="KV12" s="29">
        <f t="shared" ca="1" si="347"/>
        <v>13878.807251478054</v>
      </c>
      <c r="KW12" s="29">
        <f t="shared" ca="1" si="348"/>
        <v>14782.614826517651</v>
      </c>
      <c r="KX12" s="29">
        <f t="shared" ca="1" si="349"/>
        <v>12994.33879613803</v>
      </c>
      <c r="KY12" s="29">
        <f t="shared" ca="1" si="350"/>
        <v>14977.608436565641</v>
      </c>
      <c r="KZ12" s="29">
        <f t="shared" ca="1" si="351"/>
        <v>14293.266112940912</v>
      </c>
      <c r="LA12" s="29">
        <f t="shared" ca="1" si="352"/>
        <v>15727.980779153993</v>
      </c>
      <c r="LB12" s="29">
        <f t="shared" ca="1" si="353"/>
        <v>14254.060250364175</v>
      </c>
      <c r="LC12" s="29">
        <f t="shared" ca="1" si="354"/>
        <v>14245.888988774588</v>
      </c>
      <c r="LD12" s="29">
        <f t="shared" ca="1" si="355"/>
        <v>13474.938602349985</v>
      </c>
      <c r="LE12" s="29">
        <f t="shared" ca="1" si="356"/>
        <v>13895.59514657159</v>
      </c>
      <c r="LF12" s="29">
        <f t="shared" ca="1" si="357"/>
        <v>14133.174952414571</v>
      </c>
      <c r="LG12" s="29">
        <f t="shared" ca="1" si="358"/>
        <v>14309.283398816144</v>
      </c>
      <c r="LH12" s="29">
        <f t="shared" ca="1" si="359"/>
        <v>13605.885089226274</v>
      </c>
      <c r="LI12" s="29">
        <f t="shared" ca="1" si="360"/>
        <v>13726.581055754537</v>
      </c>
      <c r="LJ12" s="29">
        <f t="shared" ca="1" si="361"/>
        <v>14490.834731413366</v>
      </c>
      <c r="LK12" s="29">
        <f t="shared" ca="1" si="362"/>
        <v>14169.297462271436</v>
      </c>
      <c r="LL12" s="29">
        <f t="shared" ca="1" si="363"/>
        <v>14250.270938614065</v>
      </c>
      <c r="LM12" s="29">
        <f t="shared" ca="1" si="364"/>
        <v>14753.456172904913</v>
      </c>
      <c r="LN12" s="29">
        <f t="shared" ca="1" si="365"/>
        <v>15346.309879081206</v>
      </c>
      <c r="LO12" s="29">
        <f t="shared" ca="1" si="366"/>
        <v>13868.913851091103</v>
      </c>
      <c r="LP12" s="29">
        <f t="shared" ca="1" si="367"/>
        <v>14421.650620362358</v>
      </c>
      <c r="LQ12" s="29">
        <f t="shared" ca="1" si="368"/>
        <v>15688.104431701489</v>
      </c>
      <c r="LR12" s="29">
        <f t="shared" ca="1" si="369"/>
        <v>14436.109537990036</v>
      </c>
      <c r="LS12" s="29">
        <f t="shared" ca="1" si="370"/>
        <v>13938.799036711231</v>
      </c>
      <c r="LT12" s="29">
        <f t="shared" ca="1" si="371"/>
        <v>14213.980127187171</v>
      </c>
      <c r="LU12" s="29">
        <f t="shared" ca="1" si="372"/>
        <v>14821.439438066061</v>
      </c>
      <c r="LV12" s="29">
        <f t="shared" ca="1" si="373"/>
        <v>13970.712896416386</v>
      </c>
      <c r="LW12" s="29">
        <f t="shared" ca="1" si="374"/>
        <v>14887.052883551989</v>
      </c>
      <c r="LX12" s="29">
        <f t="shared" ca="1" si="375"/>
        <v>14359.412982550421</v>
      </c>
      <c r="LY12" s="29">
        <f t="shared" ca="1" si="376"/>
        <v>14544.764068275508</v>
      </c>
      <c r="LZ12" s="29">
        <f t="shared" ca="1" si="377"/>
        <v>14869.220196210896</v>
      </c>
      <c r="MA12" s="29">
        <f t="shared" ca="1" si="378"/>
        <v>14036.572019135032</v>
      </c>
      <c r="MB12" s="29">
        <f t="shared" ca="1" si="379"/>
        <v>14363.351111939412</v>
      </c>
      <c r="MC12" s="29">
        <f t="shared" ca="1" si="380"/>
        <v>14819.348168308936</v>
      </c>
      <c r="MD12" s="29">
        <f t="shared" ca="1" si="381"/>
        <v>15100.820192472464</v>
      </c>
      <c r="ME12" s="29">
        <f t="shared" ca="1" si="382"/>
        <v>13019.34453782687</v>
      </c>
      <c r="MF12" s="29">
        <f t="shared" ca="1" si="383"/>
        <v>14194.192608173313</v>
      </c>
      <c r="MG12" s="29">
        <f t="shared" ca="1" si="384"/>
        <v>14068.251820401729</v>
      </c>
      <c r="MH12" s="29">
        <f t="shared" ca="1" si="385"/>
        <v>14461.718774704841</v>
      </c>
      <c r="MI12" s="29">
        <f t="shared" ca="1" si="386"/>
        <v>14435.797222763937</v>
      </c>
      <c r="MJ12" s="29">
        <f t="shared" ca="1" si="387"/>
        <v>14758.551136133332</v>
      </c>
      <c r="MK12" s="29">
        <f t="shared" ca="1" si="388"/>
        <v>14144.990429258336</v>
      </c>
      <c r="ML12" s="29">
        <f t="shared" ca="1" si="389"/>
        <v>15397.386654087104</v>
      </c>
      <c r="MM12" s="29">
        <f t="shared" ca="1" si="390"/>
        <v>14879.777502199562</v>
      </c>
      <c r="MN12" s="29">
        <f t="shared" ca="1" si="391"/>
        <v>14607.858182241653</v>
      </c>
      <c r="MO12" s="29">
        <f t="shared" ca="1" si="392"/>
        <v>14036.84683352203</v>
      </c>
      <c r="MP12" s="29">
        <f t="shared" ca="1" si="393"/>
        <v>14258.957221819117</v>
      </c>
      <c r="MQ12" s="29">
        <f t="shared" ca="1" si="394"/>
        <v>14700.268966764796</v>
      </c>
      <c r="MR12" s="29">
        <f t="shared" ca="1" si="395"/>
        <v>14286.3544369957</v>
      </c>
      <c r="MS12" s="29">
        <f t="shared" ca="1" si="396"/>
        <v>13583.173297673256</v>
      </c>
      <c r="MT12" s="29">
        <f t="shared" ca="1" si="397"/>
        <v>14581.923883614953</v>
      </c>
      <c r="MU12" s="29">
        <f t="shared" ca="1" si="398"/>
        <v>13845.259682123442</v>
      </c>
      <c r="MV12" s="29">
        <f t="shared" ca="1" si="399"/>
        <v>13619.848706493725</v>
      </c>
      <c r="MW12" s="29">
        <f t="shared" ca="1" si="400"/>
        <v>14044.253422719892</v>
      </c>
      <c r="MX12" s="29">
        <f t="shared" ca="1" si="401"/>
        <v>14761.534557009816</v>
      </c>
      <c r="MY12" s="29">
        <f t="shared" ca="1" si="402"/>
        <v>14691.522187358836</v>
      </c>
      <c r="MZ12" s="29">
        <f t="shared" ca="1" si="403"/>
        <v>14948.208925893554</v>
      </c>
      <c r="NA12" s="29">
        <f t="shared" ca="1" si="404"/>
        <v>14406.792824023572</v>
      </c>
      <c r="NB12" s="29">
        <f t="shared" ca="1" si="405"/>
        <v>14780.861729817034</v>
      </c>
      <c r="NC12" s="29">
        <f t="shared" ca="1" si="406"/>
        <v>14197.762239980089</v>
      </c>
      <c r="ND12" s="29">
        <f t="shared" ca="1" si="407"/>
        <v>13956.796687689393</v>
      </c>
      <c r="NE12" s="29">
        <f t="shared" ca="1" si="408"/>
        <v>15124.187937564988</v>
      </c>
      <c r="NF12" s="29">
        <f t="shared" ca="1" si="409"/>
        <v>14785.434213513268</v>
      </c>
      <c r="NG12" s="29">
        <f t="shared" ca="1" si="410"/>
        <v>13986.524658023831</v>
      </c>
      <c r="NH12" s="29">
        <f t="shared" ca="1" si="411"/>
        <v>14167.077763579218</v>
      </c>
      <c r="NI12" s="29">
        <f t="shared" ca="1" si="412"/>
        <v>15125.410169244473</v>
      </c>
      <c r="NJ12" s="29">
        <f t="shared" ca="1" si="413"/>
        <v>14337.431153860613</v>
      </c>
      <c r="NK12" s="29">
        <f t="shared" ca="1" si="414"/>
        <v>14645.309686904891</v>
      </c>
      <c r="NL12" s="29">
        <f t="shared" ca="1" si="415"/>
        <v>13728.968993599879</v>
      </c>
      <c r="NM12" s="29">
        <f t="shared" ca="1" si="416"/>
        <v>14889.943672532641</v>
      </c>
      <c r="NN12" s="29">
        <f t="shared" ca="1" si="417"/>
        <v>14356.716772680651</v>
      </c>
      <c r="NO12" s="29">
        <f t="shared" ca="1" si="418"/>
        <v>14407.594629917703</v>
      </c>
      <c r="NP12" s="29">
        <f t="shared" ca="1" si="419"/>
        <v>13526.006243354588</v>
      </c>
      <c r="NQ12" s="29">
        <f t="shared" ca="1" si="420"/>
        <v>14800.626508869474</v>
      </c>
      <c r="NR12" s="29">
        <f t="shared" ca="1" si="421"/>
        <v>14726.044899570987</v>
      </c>
      <c r="NS12" s="29">
        <f t="shared" ca="1" si="422"/>
        <v>14351.219380788181</v>
      </c>
      <c r="NT12" s="29">
        <f t="shared" ca="1" si="423"/>
        <v>14554.551951885634</v>
      </c>
      <c r="NU12" s="29">
        <f t="shared" ca="1" si="424"/>
        <v>14561.118631758294</v>
      </c>
      <c r="NV12" s="29">
        <f t="shared" ca="1" si="425"/>
        <v>13613.398484798761</v>
      </c>
      <c r="NW12" s="29">
        <f t="shared" ca="1" si="426"/>
        <v>14125.263257530143</v>
      </c>
      <c r="NX12" s="29">
        <f t="shared" ca="1" si="427"/>
        <v>14637.821112957494</v>
      </c>
      <c r="NY12" s="29">
        <f t="shared" ca="1" si="428"/>
        <v>14866.207248789524</v>
      </c>
      <c r="NZ12" s="29">
        <f t="shared" ca="1" si="429"/>
        <v>13917.176742490603</v>
      </c>
      <c r="OA12" s="29">
        <f t="shared" ca="1" si="430"/>
        <v>14496.785467214884</v>
      </c>
      <c r="OB12" s="29">
        <f t="shared" ca="1" si="431"/>
        <v>14957.31620934833</v>
      </c>
      <c r="OC12" s="29">
        <f t="shared" ca="1" si="432"/>
        <v>14105.780425606097</v>
      </c>
      <c r="OD12" s="29">
        <f t="shared" ca="1" si="433"/>
        <v>14763.129679414824</v>
      </c>
      <c r="OE12" s="29">
        <f t="shared" ca="1" si="434"/>
        <v>15418.793093479855</v>
      </c>
      <c r="OF12" s="29">
        <f t="shared" ca="1" si="435"/>
        <v>13972.677876794316</v>
      </c>
      <c r="OG12" s="29">
        <f t="shared" ca="1" si="436"/>
        <v>14920.938438297526</v>
      </c>
      <c r="OH12" s="29">
        <f t="shared" ca="1" si="437"/>
        <v>14807.924188914298</v>
      </c>
      <c r="OI12" s="29">
        <f t="shared" ca="1" si="438"/>
        <v>14075.845551380422</v>
      </c>
      <c r="OJ12" s="29">
        <f t="shared" ca="1" si="439"/>
        <v>14309.703396752086</v>
      </c>
      <c r="OK12" s="29">
        <f t="shared" ca="1" si="440"/>
        <v>13535.745700536456</v>
      </c>
      <c r="OL12" s="29">
        <f t="shared" ca="1" si="441"/>
        <v>14547.871437339425</v>
      </c>
      <c r="OM12" s="29">
        <f t="shared" ca="1" si="442"/>
        <v>14026.894172159853</v>
      </c>
      <c r="ON12" s="29">
        <f t="shared" ca="1" si="443"/>
        <v>14815.423479502249</v>
      </c>
      <c r="OO12" s="29">
        <f t="shared" ca="1" si="444"/>
        <v>13931.384099010023</v>
      </c>
      <c r="OP12" s="29">
        <f t="shared" ca="1" si="445"/>
        <v>15408.629593621568</v>
      </c>
      <c r="OQ12" s="29">
        <f t="shared" ca="1" si="446"/>
        <v>14102.142569229421</v>
      </c>
      <c r="OR12" s="29">
        <f t="shared" ca="1" si="447"/>
        <v>13287.279602554183</v>
      </c>
      <c r="OS12" s="29">
        <f t="shared" ca="1" si="448"/>
        <v>13395.914658519694</v>
      </c>
      <c r="OT12" s="29">
        <f t="shared" ca="1" si="449"/>
        <v>14852.649948203858</v>
      </c>
      <c r="OU12" s="29">
        <f t="shared" ca="1" si="450"/>
        <v>14641.336746626157</v>
      </c>
      <c r="OV12" s="29">
        <f t="shared" ca="1" si="451"/>
        <v>15279.150172331172</v>
      </c>
      <c r="OW12" s="29">
        <f t="shared" ca="1" si="452"/>
        <v>15059.85806269471</v>
      </c>
      <c r="OX12" s="29">
        <f t="shared" ca="1" si="453"/>
        <v>14556.967959746094</v>
      </c>
      <c r="OY12" s="29">
        <f t="shared" ca="1" si="454"/>
        <v>14470.681988076358</v>
      </c>
      <c r="OZ12" s="29">
        <f t="shared" ca="1" si="455"/>
        <v>13612.171767414764</v>
      </c>
      <c r="PA12" s="29">
        <f t="shared" ca="1" si="456"/>
        <v>14381.810474013659</v>
      </c>
      <c r="PB12" s="29">
        <f t="shared" ca="1" si="457"/>
        <v>13747.557464687316</v>
      </c>
      <c r="PC12" s="29">
        <f t="shared" ca="1" si="458"/>
        <v>14309.528648187104</v>
      </c>
      <c r="PD12" s="29">
        <f t="shared" ca="1" si="459"/>
        <v>14929.741437699642</v>
      </c>
      <c r="PE12" s="29">
        <f t="shared" ca="1" si="460"/>
        <v>14356.195910863546</v>
      </c>
      <c r="PF12" s="29">
        <f t="shared" ca="1" si="461"/>
        <v>14695.900299303779</v>
      </c>
      <c r="PG12" s="29">
        <f t="shared" ca="1" si="462"/>
        <v>14938.897442530706</v>
      </c>
      <c r="PH12" s="29">
        <f t="shared" ca="1" si="463"/>
        <v>14439.95568744809</v>
      </c>
      <c r="PI12" s="29">
        <f t="shared" ca="1" si="464"/>
        <v>13040.760220254759</v>
      </c>
      <c r="PJ12" s="29">
        <f t="shared" ca="1" si="465"/>
        <v>14762.068412926876</v>
      </c>
      <c r="PK12" s="29">
        <f t="shared" ca="1" si="466"/>
        <v>14004.102798523085</v>
      </c>
      <c r="PL12" s="29">
        <f t="shared" ca="1" si="467"/>
        <v>13650.141778136494</v>
      </c>
      <c r="PM12" s="29">
        <f t="shared" ca="1" si="468"/>
        <v>13809.171344496248</v>
      </c>
      <c r="PN12" s="29">
        <f t="shared" ca="1" si="469"/>
        <v>14189.435825274601</v>
      </c>
      <c r="PO12" s="29">
        <f t="shared" ca="1" si="470"/>
        <v>14447.435690137618</v>
      </c>
      <c r="PP12" s="29">
        <f t="shared" ca="1" si="471"/>
        <v>14226.317157190622</v>
      </c>
      <c r="PQ12" s="29">
        <f t="shared" ca="1" si="472"/>
        <v>14663.713128526733</v>
      </c>
      <c r="PR12" s="29">
        <f t="shared" ca="1" si="473"/>
        <v>14071.538863974658</v>
      </c>
      <c r="PS12" s="29">
        <f t="shared" ca="1" si="474"/>
        <v>14842.132993798945</v>
      </c>
      <c r="PT12" s="29">
        <f t="shared" ca="1" si="475"/>
        <v>14410.63116567153</v>
      </c>
      <c r="PU12" s="29">
        <f t="shared" ca="1" si="476"/>
        <v>14528.097938950061</v>
      </c>
      <c r="PV12" s="29">
        <f t="shared" ca="1" si="477"/>
        <v>15000.037061214061</v>
      </c>
      <c r="PW12" s="29">
        <f t="shared" ca="1" si="478"/>
        <v>14284.664402962657</v>
      </c>
      <c r="PX12" s="29">
        <f t="shared" ca="1" si="479"/>
        <v>14201.830258913022</v>
      </c>
      <c r="PY12" s="29">
        <f t="shared" ca="1" si="480"/>
        <v>14298.17044607879</v>
      </c>
      <c r="PZ12" s="29">
        <f t="shared" ca="1" si="481"/>
        <v>12942.831983374241</v>
      </c>
      <c r="QA12" s="29">
        <f t="shared" ca="1" si="482"/>
        <v>15025.521288519902</v>
      </c>
      <c r="QB12" s="29">
        <f t="shared" ca="1" si="483"/>
        <v>14258.116126240169</v>
      </c>
      <c r="QC12" s="29">
        <f t="shared" ca="1" si="484"/>
        <v>13867.06034171522</v>
      </c>
      <c r="QD12" s="29">
        <f t="shared" ca="1" si="485"/>
        <v>14118.665706846881</v>
      </c>
      <c r="QE12" s="29">
        <f t="shared" ca="1" si="486"/>
        <v>14822.335145099569</v>
      </c>
      <c r="QF12" s="29">
        <f t="shared" ca="1" si="487"/>
        <v>14832.342227032388</v>
      </c>
      <c r="QG12" s="29">
        <f t="shared" ca="1" si="488"/>
        <v>15072.692092345158</v>
      </c>
      <c r="QH12" s="29">
        <f t="shared" ca="1" si="489"/>
        <v>15026.949018198477</v>
      </c>
      <c r="QI12" s="29">
        <f t="shared" ca="1" si="490"/>
        <v>14977.065274484916</v>
      </c>
      <c r="QJ12" s="29">
        <f t="shared" ca="1" si="491"/>
        <v>14185.63638711991</v>
      </c>
      <c r="QK12" s="29">
        <f t="shared" ca="1" si="492"/>
        <v>14724.313525009917</v>
      </c>
      <c r="QL12" s="29">
        <f t="shared" ca="1" si="493"/>
        <v>14268.330562061159</v>
      </c>
      <c r="QM12" s="29">
        <f t="shared" ca="1" si="494"/>
        <v>13823.833781118554</v>
      </c>
      <c r="QN12" s="29">
        <f t="shared" ca="1" si="495"/>
        <v>14865.58460520508</v>
      </c>
      <c r="QO12" s="29">
        <f t="shared" ca="1" si="496"/>
        <v>14405.173973736766</v>
      </c>
      <c r="QP12" s="29">
        <f t="shared" ca="1" si="497"/>
        <v>14609.736509497607</v>
      </c>
      <c r="QQ12" s="29">
        <f t="shared" ca="1" si="498"/>
        <v>15110.634975329638</v>
      </c>
      <c r="QR12" s="29">
        <f t="shared" ca="1" si="499"/>
        <v>14735.931913545834</v>
      </c>
      <c r="QS12" s="29">
        <f t="shared" ca="1" si="500"/>
        <v>14991.066616522814</v>
      </c>
      <c r="QT12" s="29">
        <f t="shared" ca="1" si="501"/>
        <v>15348.180310629328</v>
      </c>
      <c r="QU12" s="29">
        <f t="shared" ca="1" si="502"/>
        <v>14346.195789029558</v>
      </c>
      <c r="QV12" s="29">
        <f t="shared" ca="1" si="503"/>
        <v>14526.010629280152</v>
      </c>
      <c r="QW12" s="29">
        <f t="shared" ca="1" si="504"/>
        <v>14331.687845021304</v>
      </c>
      <c r="QX12" s="29">
        <f t="shared" ca="1" si="505"/>
        <v>14802.861983995654</v>
      </c>
      <c r="QY12" s="29">
        <f t="shared" ca="1" si="506"/>
        <v>15080.902526347507</v>
      </c>
      <c r="QZ12" s="29">
        <f t="shared" ca="1" si="507"/>
        <v>14327.852804873219</v>
      </c>
      <c r="RA12" s="29">
        <f t="shared" ca="1" si="508"/>
        <v>13918.059181310373</v>
      </c>
      <c r="RB12" s="29">
        <f t="shared" ca="1" si="509"/>
        <v>13792.23962060369</v>
      </c>
      <c r="RC12" s="29">
        <f t="shared" ca="1" si="510"/>
        <v>14137.274669257575</v>
      </c>
      <c r="RD12" s="29">
        <f t="shared" ca="1" si="511"/>
        <v>14403.295412573514</v>
      </c>
      <c r="RE12" s="29">
        <f t="shared" ca="1" si="512"/>
        <v>14664.720253703432</v>
      </c>
      <c r="RF12" s="29">
        <f t="shared" ca="1" si="513"/>
        <v>14576.783186127846</v>
      </c>
      <c r="RG12" s="29">
        <f t="shared" ca="1" si="514"/>
        <v>14325.225951693012</v>
      </c>
      <c r="RH12" s="29">
        <f t="shared" ca="1" si="515"/>
        <v>13412.552759362236</v>
      </c>
      <c r="RI12" s="29">
        <f t="shared" ca="1" si="516"/>
        <v>14383.340205411874</v>
      </c>
      <c r="RJ12" s="29">
        <f t="shared" ca="1" si="517"/>
        <v>14892.970195937754</v>
      </c>
      <c r="RK12" s="29">
        <f t="shared" ca="1" si="518"/>
        <v>13967.66870819643</v>
      </c>
      <c r="RL12" s="29">
        <f t="shared" ca="1" si="519"/>
        <v>14107.860975385947</v>
      </c>
      <c r="RM12" s="29">
        <f t="shared" ca="1" si="520"/>
        <v>14194.378514242449</v>
      </c>
      <c r="RN12" s="29">
        <f t="shared" ca="1" si="521"/>
        <v>14123.151432773335</v>
      </c>
      <c r="RO12" s="29">
        <f t="shared" ca="1" si="522"/>
        <v>14234.577406637081</v>
      </c>
      <c r="RP12" s="29">
        <f t="shared" ca="1" si="523"/>
        <v>14560.646235742717</v>
      </c>
      <c r="RQ12" s="29">
        <f t="shared" ca="1" si="524"/>
        <v>14557.696213563439</v>
      </c>
      <c r="RR12" s="29">
        <f t="shared" ca="1" si="525"/>
        <v>14735.998696320759</v>
      </c>
      <c r="RS12" s="29">
        <f t="shared" ca="1" si="526"/>
        <v>14799.612949879645</v>
      </c>
      <c r="RT12" s="29">
        <f t="shared" ca="1" si="527"/>
        <v>14481.11563716009</v>
      </c>
      <c r="RU12" s="29">
        <f t="shared" ca="1" si="528"/>
        <v>13807.234241757678</v>
      </c>
      <c r="RV12" s="29">
        <f t="shared" ca="1" si="529"/>
        <v>14099.364929237261</v>
      </c>
      <c r="RW12" s="29">
        <f t="shared" ca="1" si="530"/>
        <v>15265.421601676124</v>
      </c>
      <c r="RX12" s="29">
        <f t="shared" ca="1" si="531"/>
        <v>14519.480580852227</v>
      </c>
      <c r="RY12" s="29">
        <f t="shared" ca="1" si="532"/>
        <v>14318.852397245413</v>
      </c>
      <c r="RZ12" s="29">
        <f t="shared" ca="1" si="533"/>
        <v>15421.035387589378</v>
      </c>
      <c r="SA12" s="29">
        <f t="shared" ca="1" si="534"/>
        <v>14542.96736627501</v>
      </c>
      <c r="SB12" s="29">
        <f t="shared" ca="1" si="535"/>
        <v>14163.06540354953</v>
      </c>
      <c r="SC12" s="29">
        <f t="shared" ca="1" si="536"/>
        <v>14686.324274708522</v>
      </c>
      <c r="SD12" s="29">
        <f t="shared" ca="1" si="537"/>
        <v>14251.841190460316</v>
      </c>
      <c r="SE12" s="29">
        <f t="shared" ca="1" si="538"/>
        <v>13923.15824997512</v>
      </c>
      <c r="SF12" s="29">
        <f t="shared" ca="1" si="539"/>
        <v>13797.989305242636</v>
      </c>
      <c r="SG12" s="29">
        <f t="shared" ca="1" si="540"/>
        <v>15201.771129588335</v>
      </c>
      <c r="SH12" s="29">
        <f t="shared" ca="1" si="541"/>
        <v>15175.445792753271</v>
      </c>
      <c r="SI12" s="29">
        <f t="shared" ca="1" si="542"/>
        <v>13931.337860276786</v>
      </c>
      <c r="SJ12" s="29">
        <f t="shared" ca="1" si="543"/>
        <v>13941.929468206165</v>
      </c>
      <c r="SK12" s="29">
        <f t="shared" ca="1" si="544"/>
        <v>14722.407226255807</v>
      </c>
      <c r="SL12" s="29">
        <f t="shared" ca="1" si="545"/>
        <v>14566.900480998562</v>
      </c>
      <c r="SM12" s="29">
        <f t="shared" ca="1" si="546"/>
        <v>14672.636311896147</v>
      </c>
      <c r="SN12" s="29">
        <f t="shared" ca="1" si="547"/>
        <v>14540.848624416982</v>
      </c>
      <c r="SO12" s="29">
        <f t="shared" ca="1" si="548"/>
        <v>13810.557843526369</v>
      </c>
      <c r="SP12" s="29">
        <f t="shared" ca="1" si="549"/>
        <v>14994.901310508096</v>
      </c>
      <c r="SQ12" s="29">
        <f t="shared" ca="1" si="550"/>
        <v>14236.001944284006</v>
      </c>
      <c r="SR12" s="29">
        <f t="shared" ca="1" si="551"/>
        <v>14224.470689840162</v>
      </c>
      <c r="SS12" s="29">
        <f t="shared" ca="1" si="552"/>
        <v>14849.213570994085</v>
      </c>
      <c r="ST12" s="29">
        <f t="shared" ca="1" si="553"/>
        <v>13958.045605060837</v>
      </c>
      <c r="SU12" s="29">
        <f t="shared" ca="1" si="554"/>
        <v>15195.829033762269</v>
      </c>
      <c r="SV12" s="29">
        <f t="shared" ca="1" si="555"/>
        <v>14390.464319068864</v>
      </c>
      <c r="SW12" s="29">
        <f t="shared" ca="1" si="556"/>
        <v>14100.997205167976</v>
      </c>
      <c r="SX12" s="29">
        <f t="shared" ca="1" si="557"/>
        <v>13738.677496266151</v>
      </c>
      <c r="SY12" s="29">
        <f t="shared" ca="1" si="558"/>
        <v>14073.866433910438</v>
      </c>
      <c r="SZ12" s="29">
        <f t="shared" ca="1" si="559"/>
        <v>15013.512508845961</v>
      </c>
      <c r="TA12" s="29">
        <f t="shared" ca="1" si="560"/>
        <v>14158.289485192436</v>
      </c>
      <c r="TB12" s="29">
        <f t="shared" ca="1" si="561"/>
        <v>14033.913513034713</v>
      </c>
      <c r="TC12" s="29">
        <f t="shared" ca="1" si="562"/>
        <v>14870.113935926203</v>
      </c>
      <c r="TD12" s="29">
        <f t="shared" ca="1" si="563"/>
        <v>13827.528879533749</v>
      </c>
      <c r="TE12" s="29">
        <f t="shared" ca="1" si="564"/>
        <v>14188.773820947283</v>
      </c>
      <c r="TF12" s="29">
        <f t="shared" ca="1" si="565"/>
        <v>13833.470753631645</v>
      </c>
      <c r="TG12" s="29">
        <f t="shared" ca="1" si="566"/>
        <v>14630.399718623305</v>
      </c>
      <c r="TH12" s="29">
        <f t="shared" ca="1" si="567"/>
        <v>14366.587534257767</v>
      </c>
      <c r="TI12" s="29">
        <f t="shared" ca="1" si="568"/>
        <v>14014.696163901963</v>
      </c>
      <c r="TJ12" s="29">
        <f t="shared" ca="1" si="569"/>
        <v>14798.96415025794</v>
      </c>
      <c r="TK12" s="29">
        <f t="shared" ca="1" si="570"/>
        <v>14007.119174783456</v>
      </c>
      <c r="TL12" s="29">
        <f t="shared" ca="1" si="571"/>
        <v>15056.494170725211</v>
      </c>
      <c r="TM12" s="29">
        <f t="shared" ca="1" si="572"/>
        <v>14003.05029539524</v>
      </c>
      <c r="TN12" s="29">
        <f t="shared" ca="1" si="573"/>
        <v>14009.295027736949</v>
      </c>
      <c r="TO12" s="29">
        <f t="shared" ca="1" si="574"/>
        <v>14487.673654925798</v>
      </c>
      <c r="TP12" s="29">
        <f t="shared" ca="1" si="575"/>
        <v>15188.612819172353</v>
      </c>
      <c r="TQ12" s="29">
        <f t="shared" ca="1" si="576"/>
        <v>14816.419091563972</v>
      </c>
      <c r="TR12" s="29">
        <f t="shared" ca="1" si="577"/>
        <v>14068.325606129894</v>
      </c>
      <c r="TS12" s="29">
        <f t="shared" ca="1" si="578"/>
        <v>14623.767053240626</v>
      </c>
      <c r="TT12" s="29">
        <f t="shared" ca="1" si="579"/>
        <v>14353.796694512079</v>
      </c>
      <c r="TU12" s="29">
        <f t="shared" ca="1" si="580"/>
        <v>13998.609747446459</v>
      </c>
      <c r="TV12" s="29">
        <f t="shared" ca="1" si="581"/>
        <v>14098.659223972778</v>
      </c>
      <c r="TW12" s="29">
        <f t="shared" ca="1" si="582"/>
        <v>15081.482178351114</v>
      </c>
      <c r="TX12" s="29">
        <f t="shared" ca="1" si="583"/>
        <v>15049.927917322104</v>
      </c>
      <c r="TY12" s="29">
        <f t="shared" ca="1" si="584"/>
        <v>13908.147326801505</v>
      </c>
      <c r="TZ12" s="29">
        <f t="shared" ca="1" si="585"/>
        <v>14937.005668560067</v>
      </c>
      <c r="UA12" s="29">
        <f t="shared" ca="1" si="586"/>
        <v>14331.632726895457</v>
      </c>
      <c r="UB12" s="29">
        <f t="shared" ca="1" si="587"/>
        <v>14830.072026714486</v>
      </c>
      <c r="UC12" s="29">
        <f t="shared" ca="1" si="588"/>
        <v>13531.000849021893</v>
      </c>
      <c r="UD12" s="29">
        <f t="shared" ca="1" si="589"/>
        <v>15135.215630800689</v>
      </c>
      <c r="UE12" s="29">
        <f t="shared" ca="1" si="590"/>
        <v>13627.683036171191</v>
      </c>
      <c r="UF12" s="29">
        <f t="shared" ca="1" si="591"/>
        <v>14137.041671358911</v>
      </c>
      <c r="UG12" s="29">
        <f t="shared" ca="1" si="592"/>
        <v>14549.160474061086</v>
      </c>
      <c r="UH12" s="29">
        <f t="shared" ca="1" si="593"/>
        <v>13457.25221492383</v>
      </c>
      <c r="UI12" s="29">
        <f t="shared" ca="1" si="594"/>
        <v>14824.204402544634</v>
      </c>
      <c r="UJ12" s="29">
        <f t="shared" ca="1" si="595"/>
        <v>14887.439023444709</v>
      </c>
      <c r="UK12" s="29">
        <f t="shared" ca="1" si="596"/>
        <v>14847.119553402084</v>
      </c>
      <c r="UL12" s="29">
        <f t="shared" ca="1" si="597"/>
        <v>15604.365993182846</v>
      </c>
      <c r="UM12" s="29">
        <f t="shared" ca="1" si="598"/>
        <v>13818.866457378605</v>
      </c>
      <c r="UN12" s="29">
        <f t="shared" ca="1" si="599"/>
        <v>13901.286113750517</v>
      </c>
      <c r="UO12" s="29">
        <f t="shared" ca="1" si="600"/>
        <v>14604.794540195373</v>
      </c>
      <c r="UP12" s="29">
        <f t="shared" ca="1" si="601"/>
        <v>13642.751224625201</v>
      </c>
      <c r="UQ12" s="29">
        <f t="shared" ca="1" si="602"/>
        <v>14811.309894941347</v>
      </c>
      <c r="UR12" s="29">
        <f t="shared" ca="1" si="603"/>
        <v>14316.228063170025</v>
      </c>
      <c r="US12" s="29">
        <f t="shared" ca="1" si="604"/>
        <v>14768.048822904044</v>
      </c>
      <c r="UT12" s="29">
        <f t="shared" ca="1" si="605"/>
        <v>13861.554826222795</v>
      </c>
      <c r="UU12" s="29">
        <f t="shared" ca="1" si="606"/>
        <v>14072.304514807556</v>
      </c>
      <c r="UV12" s="29">
        <f t="shared" ca="1" si="607"/>
        <v>14771.77944493621</v>
      </c>
      <c r="UW12" s="29">
        <f t="shared" ca="1" si="608"/>
        <v>14319.728510960776</v>
      </c>
      <c r="UX12" s="29">
        <f t="shared" ca="1" si="609"/>
        <v>14034.172801829758</v>
      </c>
      <c r="UY12" s="29">
        <f t="shared" ca="1" si="610"/>
        <v>14364.068306123911</v>
      </c>
      <c r="UZ12" s="29">
        <f t="shared" ca="1" si="611"/>
        <v>13992.50939835238</v>
      </c>
      <c r="VA12" s="29">
        <f t="shared" ca="1" si="612"/>
        <v>14209.32259759579</v>
      </c>
      <c r="VB12" s="29">
        <f t="shared" ca="1" si="613"/>
        <v>14391.210783386588</v>
      </c>
      <c r="VC12" s="29">
        <f t="shared" ca="1" si="614"/>
        <v>14600.74735692266</v>
      </c>
      <c r="VD12" s="29">
        <f t="shared" ca="1" si="615"/>
        <v>14150.179026119093</v>
      </c>
      <c r="VE12" s="29">
        <f t="shared" ca="1" si="616"/>
        <v>15230.863762186224</v>
      </c>
      <c r="VF12" s="29">
        <f t="shared" ca="1" si="617"/>
        <v>14423.915395468637</v>
      </c>
      <c r="VG12" s="29">
        <f t="shared" ca="1" si="618"/>
        <v>14633.666439476052</v>
      </c>
      <c r="VH12" s="29">
        <f t="shared" ca="1" si="619"/>
        <v>14359.824399972025</v>
      </c>
      <c r="VI12" s="29">
        <f t="shared" ca="1" si="620"/>
        <v>14181.282405795353</v>
      </c>
      <c r="VJ12" s="29">
        <f t="shared" ca="1" si="621"/>
        <v>13527.259886864373</v>
      </c>
      <c r="VK12" s="29">
        <f t="shared" ca="1" si="622"/>
        <v>14044.927893960901</v>
      </c>
      <c r="VL12" s="29">
        <f t="shared" ca="1" si="623"/>
        <v>13988.27685769882</v>
      </c>
      <c r="VM12" s="29">
        <f t="shared" ca="1" si="624"/>
        <v>14329.350301525374</v>
      </c>
      <c r="VN12" s="29">
        <f t="shared" ca="1" si="625"/>
        <v>13719.020987705526</v>
      </c>
      <c r="VO12" s="29">
        <f t="shared" ca="1" si="626"/>
        <v>15179.297592308792</v>
      </c>
      <c r="VP12" s="29">
        <f t="shared" ca="1" si="627"/>
        <v>14139.253877339625</v>
      </c>
      <c r="VQ12" s="29">
        <f t="shared" ca="1" si="628"/>
        <v>14733.222860186786</v>
      </c>
      <c r="VR12" s="29">
        <f t="shared" ca="1" si="629"/>
        <v>13930.342088459662</v>
      </c>
      <c r="VS12" s="29">
        <f t="shared" ca="1" si="630"/>
        <v>13727.182768967361</v>
      </c>
      <c r="VT12" s="29">
        <f t="shared" ca="1" si="631"/>
        <v>14808.151397613163</v>
      </c>
      <c r="VU12" s="29">
        <f t="shared" ca="1" si="632"/>
        <v>15125.814105879337</v>
      </c>
      <c r="VV12" s="29">
        <f t="shared" ca="1" si="633"/>
        <v>14304.050664280905</v>
      </c>
      <c r="VW12" s="29">
        <f t="shared" ca="1" si="634"/>
        <v>13722.704077528575</v>
      </c>
      <c r="VX12" s="29">
        <f t="shared" ca="1" si="635"/>
        <v>14308.957414127721</v>
      </c>
      <c r="VY12" s="29">
        <f t="shared" ca="1" si="636"/>
        <v>14451.534606815439</v>
      </c>
      <c r="VZ12" s="29">
        <f t="shared" ca="1" si="637"/>
        <v>14412.40342902227</v>
      </c>
      <c r="WA12" s="29">
        <f t="shared" ca="1" si="638"/>
        <v>14587.514712062122</v>
      </c>
      <c r="WB12" s="29">
        <f t="shared" ca="1" si="639"/>
        <v>14524.08413904904</v>
      </c>
      <c r="WC12" s="29">
        <f t="shared" ca="1" si="640"/>
        <v>14394.58727540723</v>
      </c>
      <c r="WD12" s="29">
        <f t="shared" ca="1" si="641"/>
        <v>14877.621402695191</v>
      </c>
      <c r="WE12" s="29">
        <f t="shared" ca="1" si="642"/>
        <v>14617.488816772928</v>
      </c>
      <c r="WF12" s="29">
        <f t="shared" ca="1" si="643"/>
        <v>14949.084418916213</v>
      </c>
      <c r="WG12" s="29">
        <f t="shared" ca="1" si="644"/>
        <v>14439.7804277176</v>
      </c>
      <c r="WH12" s="29">
        <f t="shared" ca="1" si="645"/>
        <v>13927.879712546217</v>
      </c>
      <c r="WI12" s="29">
        <f t="shared" ca="1" si="646"/>
        <v>14762.978294464599</v>
      </c>
      <c r="WJ12" s="29">
        <f t="shared" ca="1" si="647"/>
        <v>15330.83803661718</v>
      </c>
      <c r="WK12" s="29">
        <f t="shared" ca="1" si="648"/>
        <v>14565.664828123599</v>
      </c>
      <c r="WL12" s="29">
        <f t="shared" ca="1" si="649"/>
        <v>13471.442759001415</v>
      </c>
      <c r="WM12" s="29">
        <f t="shared" ca="1" si="650"/>
        <v>14367.352166082637</v>
      </c>
      <c r="WN12" s="29">
        <f t="shared" ca="1" si="651"/>
        <v>14243.850874417154</v>
      </c>
      <c r="WO12" s="29">
        <f t="shared" ca="1" si="652"/>
        <v>15435.867506947943</v>
      </c>
      <c r="WP12" s="29">
        <f t="shared" ca="1" si="653"/>
        <v>14199.545274810331</v>
      </c>
      <c r="WQ12" s="29">
        <f t="shared" ca="1" si="654"/>
        <v>14291.039450162345</v>
      </c>
      <c r="WR12" s="29">
        <f t="shared" ca="1" si="655"/>
        <v>14111.287938654927</v>
      </c>
      <c r="WS12" s="29">
        <f t="shared" ca="1" si="656"/>
        <v>14692.916180643188</v>
      </c>
      <c r="WT12" s="29">
        <f t="shared" ca="1" si="657"/>
        <v>14426.788746520075</v>
      </c>
      <c r="WU12" s="29">
        <f t="shared" ca="1" si="658"/>
        <v>14285.319039018819</v>
      </c>
      <c r="WV12" s="29">
        <f t="shared" ca="1" si="659"/>
        <v>14067.483589443111</v>
      </c>
      <c r="WW12" s="29">
        <f t="shared" ca="1" si="660"/>
        <v>13708.416187009792</v>
      </c>
      <c r="WX12" s="29">
        <f t="shared" ca="1" si="661"/>
        <v>15262.078834073718</v>
      </c>
      <c r="WY12" s="29">
        <f t="shared" ca="1" si="662"/>
        <v>14837.172481038155</v>
      </c>
      <c r="WZ12" s="29">
        <f t="shared" ca="1" si="663"/>
        <v>14470.927717766006</v>
      </c>
      <c r="XA12" s="29">
        <f t="shared" ca="1" si="664"/>
        <v>14541.085966108632</v>
      </c>
      <c r="XB12" s="29">
        <f t="shared" ca="1" si="665"/>
        <v>14310.253307644272</v>
      </c>
      <c r="XC12" s="29">
        <f t="shared" ca="1" si="666"/>
        <v>14120.972685182174</v>
      </c>
      <c r="XD12" s="29">
        <f t="shared" ca="1" si="667"/>
        <v>13788.319626690611</v>
      </c>
      <c r="XE12" s="29">
        <f t="shared" ca="1" si="668"/>
        <v>14333.290508520982</v>
      </c>
      <c r="XF12" s="29">
        <f t="shared" ca="1" si="669"/>
        <v>14098.675588729195</v>
      </c>
      <c r="XG12" s="29">
        <f t="shared" ca="1" si="670"/>
        <v>14277.215738002136</v>
      </c>
      <c r="XH12" s="29">
        <f t="shared" ca="1" si="671"/>
        <v>14358.10750184005</v>
      </c>
      <c r="XI12" s="29">
        <f t="shared" ca="1" si="672"/>
        <v>15016.843187390401</v>
      </c>
      <c r="XJ12" s="29">
        <f t="shared" ca="1" si="673"/>
        <v>15219.425345605274</v>
      </c>
      <c r="XK12" s="29">
        <f t="shared" ca="1" si="674"/>
        <v>13863.797881390548</v>
      </c>
      <c r="XL12" s="29">
        <f t="shared" ca="1" si="675"/>
        <v>14378.408544241514</v>
      </c>
      <c r="XM12" s="29">
        <f t="shared" ca="1" si="676"/>
        <v>13657.720558619138</v>
      </c>
      <c r="XN12" s="29">
        <f t="shared" ca="1" si="677"/>
        <v>14374.162747528497</v>
      </c>
      <c r="XO12" s="29">
        <f t="shared" ca="1" si="678"/>
        <v>14716.230044544856</v>
      </c>
      <c r="XP12" s="29">
        <f t="shared" ca="1" si="679"/>
        <v>15133.72416402801</v>
      </c>
      <c r="XQ12" s="29">
        <f t="shared" ca="1" si="680"/>
        <v>14287.783110185343</v>
      </c>
      <c r="XR12" s="29">
        <f t="shared" ca="1" si="681"/>
        <v>14447.423352806976</v>
      </c>
      <c r="XS12" s="29">
        <f t="shared" ca="1" si="682"/>
        <v>14060.508464767239</v>
      </c>
      <c r="XT12" s="29">
        <f t="shared" ca="1" si="683"/>
        <v>15170.91400691604</v>
      </c>
      <c r="XU12" s="29">
        <f t="shared" ca="1" si="684"/>
        <v>15037.816086289198</v>
      </c>
      <c r="XV12" s="29">
        <f t="shared" ca="1" si="685"/>
        <v>14650.887357225458</v>
      </c>
      <c r="XW12" s="29">
        <f t="shared" ca="1" si="686"/>
        <v>14921.501637990339</v>
      </c>
      <c r="XX12" s="29">
        <f t="shared" ca="1" si="687"/>
        <v>14330.808196393373</v>
      </c>
      <c r="XY12" s="29">
        <f t="shared" ca="1" si="688"/>
        <v>14705.254679487036</v>
      </c>
      <c r="XZ12" s="29">
        <f t="shared" ca="1" si="689"/>
        <v>14862.039716878526</v>
      </c>
      <c r="YA12" s="29">
        <f t="shared" ca="1" si="690"/>
        <v>14934.690494372651</v>
      </c>
      <c r="YB12" s="29">
        <f t="shared" ca="1" si="691"/>
        <v>14598.652991527722</v>
      </c>
      <c r="YC12" s="29">
        <f t="shared" ca="1" si="692"/>
        <v>14743.846515083211</v>
      </c>
      <c r="YD12" s="29">
        <f t="shared" ca="1" si="693"/>
        <v>13978.892251863577</v>
      </c>
      <c r="YE12" s="29">
        <f t="shared" ca="1" si="694"/>
        <v>14689.235106362838</v>
      </c>
      <c r="YF12" s="29">
        <f t="shared" ca="1" si="695"/>
        <v>14113.9399779627</v>
      </c>
      <c r="YG12" s="29">
        <f t="shared" ca="1" si="696"/>
        <v>14493.825649120772</v>
      </c>
      <c r="YH12" s="29">
        <f t="shared" ca="1" si="697"/>
        <v>13879.636745147676</v>
      </c>
      <c r="YI12" s="29">
        <f t="shared" ca="1" si="698"/>
        <v>13834.778167252345</v>
      </c>
      <c r="YJ12" s="29">
        <f t="shared" ca="1" si="699"/>
        <v>14458.735586172634</v>
      </c>
      <c r="YK12" s="29">
        <f t="shared" ca="1" si="700"/>
        <v>13845.966990374345</v>
      </c>
      <c r="YL12" s="29">
        <f t="shared" ca="1" si="701"/>
        <v>13863.106234043107</v>
      </c>
      <c r="YM12" s="29">
        <f t="shared" ca="1" si="702"/>
        <v>14255.350912285561</v>
      </c>
      <c r="YN12" s="29">
        <f t="shared" ca="1" si="703"/>
        <v>14714.050175366096</v>
      </c>
      <c r="YO12" s="29">
        <f t="shared" ca="1" si="704"/>
        <v>13194.530346416877</v>
      </c>
      <c r="YP12" s="29">
        <f t="shared" ca="1" si="705"/>
        <v>15199.154480355086</v>
      </c>
      <c r="YQ12" s="29">
        <f t="shared" ca="1" si="706"/>
        <v>14075.356120642122</v>
      </c>
      <c r="YR12" s="29">
        <f t="shared" ca="1" si="707"/>
        <v>14314.527475106244</v>
      </c>
      <c r="YS12" s="29">
        <f t="shared" ca="1" si="708"/>
        <v>14984.819007181119</v>
      </c>
      <c r="YT12" s="29">
        <f t="shared" ca="1" si="709"/>
        <v>14546.442515694995</v>
      </c>
      <c r="YU12" s="29">
        <f t="shared" ca="1" si="710"/>
        <v>14517.265009508421</v>
      </c>
      <c r="YV12" s="29">
        <f t="shared" ca="1" si="711"/>
        <v>14664.01810676614</v>
      </c>
      <c r="YW12" s="29">
        <f t="shared" ca="1" si="712"/>
        <v>14614.69516602644</v>
      </c>
      <c r="YX12" s="29">
        <f t="shared" ca="1" si="713"/>
        <v>14746.00056796659</v>
      </c>
      <c r="YY12" s="29">
        <f t="shared" ca="1" si="714"/>
        <v>13522.440471744332</v>
      </c>
      <c r="YZ12" s="29">
        <f t="shared" ca="1" si="715"/>
        <v>14713.225710140161</v>
      </c>
      <c r="ZA12" s="29">
        <f t="shared" ca="1" si="716"/>
        <v>14469.627195787467</v>
      </c>
      <c r="ZB12" s="29">
        <f t="shared" ca="1" si="717"/>
        <v>14558.082886621676</v>
      </c>
      <c r="ZC12" s="29">
        <f t="shared" ca="1" si="718"/>
        <v>14746.340850216027</v>
      </c>
      <c r="ZD12" s="29">
        <f t="shared" ca="1" si="719"/>
        <v>14024.818322158391</v>
      </c>
      <c r="ZE12" s="29">
        <f t="shared" ca="1" si="720"/>
        <v>13781.932339180194</v>
      </c>
      <c r="ZF12" s="29">
        <f t="shared" ca="1" si="721"/>
        <v>14170.637598675057</v>
      </c>
      <c r="ZG12" s="29">
        <f t="shared" ca="1" si="722"/>
        <v>13411.684160024079</v>
      </c>
      <c r="ZH12" s="29">
        <f t="shared" ca="1" si="723"/>
        <v>14356.894060949926</v>
      </c>
      <c r="ZI12" s="29">
        <f t="shared" ca="1" si="724"/>
        <v>13697.284335438077</v>
      </c>
      <c r="ZJ12" s="29">
        <f t="shared" ca="1" si="725"/>
        <v>14038.338789265214</v>
      </c>
      <c r="ZK12" s="29">
        <f t="shared" ca="1" si="726"/>
        <v>13976.462002889271</v>
      </c>
      <c r="ZL12" s="29">
        <f t="shared" ca="1" si="727"/>
        <v>13378.077766896116</v>
      </c>
      <c r="ZM12" s="29">
        <f t="shared" ca="1" si="728"/>
        <v>13568.694652238904</v>
      </c>
      <c r="ZN12" s="29">
        <f t="shared" ca="1" si="729"/>
        <v>13765.821512115828</v>
      </c>
      <c r="ZO12" s="29">
        <f t="shared" ca="1" si="730"/>
        <v>14505.476455334639</v>
      </c>
      <c r="ZP12" s="29">
        <f t="shared" ca="1" si="731"/>
        <v>14510.796022833443</v>
      </c>
      <c r="ZQ12" s="29">
        <f t="shared" ca="1" si="732"/>
        <v>14549.098134013691</v>
      </c>
      <c r="ZR12" s="29">
        <f t="shared" ca="1" si="733"/>
        <v>14652.538670620101</v>
      </c>
      <c r="ZS12" s="29">
        <f t="shared" ca="1" si="734"/>
        <v>14574.729562330122</v>
      </c>
      <c r="ZT12" s="29">
        <f t="shared" ca="1" si="735"/>
        <v>14307.584418055061</v>
      </c>
      <c r="ZU12" s="29">
        <f t="shared" ca="1" si="736"/>
        <v>14032.275745359868</v>
      </c>
      <c r="ZV12" s="29">
        <f t="shared" ca="1" si="737"/>
        <v>13996.804957446733</v>
      </c>
      <c r="ZW12" s="29">
        <f t="shared" ca="1" si="738"/>
        <v>14686.891755656532</v>
      </c>
      <c r="ZX12" s="29">
        <f t="shared" ca="1" si="739"/>
        <v>14929.632255901097</v>
      </c>
      <c r="ZY12" s="29">
        <f t="shared" ca="1" si="740"/>
        <v>14278.406633481851</v>
      </c>
      <c r="ZZ12" s="29">
        <f t="shared" ca="1" si="741"/>
        <v>14217.561584466383</v>
      </c>
      <c r="AAA12" s="29">
        <f t="shared" ca="1" si="742"/>
        <v>15369.616383977467</v>
      </c>
      <c r="AAB12" s="29">
        <f t="shared" ca="1" si="743"/>
        <v>15001.252002515816</v>
      </c>
      <c r="AAC12" s="29">
        <f t="shared" ca="1" si="744"/>
        <v>14841.998456975458</v>
      </c>
      <c r="AAD12" s="29">
        <f t="shared" ca="1" si="745"/>
        <v>14205.934324444926</v>
      </c>
      <c r="AAE12" s="29">
        <f t="shared" ca="1" si="746"/>
        <v>13649.582301485501</v>
      </c>
      <c r="AAF12" s="29">
        <f t="shared" ca="1" si="747"/>
        <v>15352.214205289016</v>
      </c>
      <c r="AAG12" s="29">
        <f t="shared" ca="1" si="748"/>
        <v>14554.649506665592</v>
      </c>
      <c r="AAH12" s="29">
        <f t="shared" ca="1" si="749"/>
        <v>14943.102007404652</v>
      </c>
      <c r="AAI12" s="29">
        <f t="shared" ca="1" si="750"/>
        <v>14442.349060483333</v>
      </c>
      <c r="AAJ12" s="29">
        <f t="shared" ca="1" si="751"/>
        <v>14518.400742628233</v>
      </c>
      <c r="AAK12" s="29">
        <f t="shared" ca="1" si="752"/>
        <v>14424.728002716873</v>
      </c>
      <c r="AAL12" s="29">
        <f t="shared" ca="1" si="753"/>
        <v>14288.701807884927</v>
      </c>
      <c r="AAM12" s="29">
        <f t="shared" ca="1" si="754"/>
        <v>14293.183984746147</v>
      </c>
      <c r="AAN12" s="29">
        <f t="shared" ca="1" si="755"/>
        <v>15726.985198165752</v>
      </c>
      <c r="AAO12" s="29">
        <f t="shared" ca="1" si="756"/>
        <v>14551.585258567069</v>
      </c>
      <c r="AAP12" s="29">
        <f t="shared" ca="1" si="757"/>
        <v>15568.407468803051</v>
      </c>
      <c r="AAQ12" s="29">
        <f t="shared" ca="1" si="758"/>
        <v>14777.348976209794</v>
      </c>
      <c r="AAR12" s="29">
        <f t="shared" ca="1" si="759"/>
        <v>15484.349060651744</v>
      </c>
      <c r="AAS12" s="29">
        <f t="shared" ca="1" si="760"/>
        <v>13991.117924365837</v>
      </c>
      <c r="AAT12" s="29">
        <f t="shared" ca="1" si="761"/>
        <v>15036.653248800018</v>
      </c>
      <c r="AAU12" s="29">
        <f t="shared" ca="1" si="762"/>
        <v>14847.604043771502</v>
      </c>
      <c r="AAV12" s="29">
        <f t="shared" ca="1" si="763"/>
        <v>13679.050259466001</v>
      </c>
      <c r="AAW12" s="29">
        <f t="shared" ca="1" si="764"/>
        <v>13891.881160336774</v>
      </c>
      <c r="AAX12" s="29">
        <f t="shared" ca="1" si="765"/>
        <v>14477.496670297489</v>
      </c>
      <c r="AAY12" s="29">
        <f t="shared" ca="1" si="766"/>
        <v>14002.840869668094</v>
      </c>
      <c r="AAZ12" s="29">
        <f t="shared" ca="1" si="767"/>
        <v>14855.706416257301</v>
      </c>
      <c r="ABA12" s="29">
        <f t="shared" ca="1" si="768"/>
        <v>14537.585906953156</v>
      </c>
      <c r="ABB12" s="29">
        <f t="shared" ca="1" si="769"/>
        <v>14749.719027381176</v>
      </c>
      <c r="ABC12" s="29">
        <f t="shared" ca="1" si="770"/>
        <v>14629.141768912123</v>
      </c>
      <c r="ABD12" s="29">
        <f t="shared" ca="1" si="771"/>
        <v>13934.453051384708</v>
      </c>
      <c r="ABE12" s="29">
        <f t="shared" ca="1" si="772"/>
        <v>13172.989297086438</v>
      </c>
      <c r="ABF12" s="29">
        <f t="shared" ca="1" si="773"/>
        <v>14097.534230466119</v>
      </c>
      <c r="ABG12" s="29">
        <f t="shared" ca="1" si="774"/>
        <v>14018.509010604886</v>
      </c>
      <c r="ABH12" s="29">
        <f t="shared" ca="1" si="775"/>
        <v>14840.337645129384</v>
      </c>
      <c r="ABI12" s="29">
        <f t="shared" ca="1" si="776"/>
        <v>14633.360534800424</v>
      </c>
      <c r="ABJ12" s="29">
        <f t="shared" ca="1" si="777"/>
        <v>14102.019244838471</v>
      </c>
      <c r="ABK12" s="29">
        <f t="shared" ca="1" si="778"/>
        <v>15339.91084328903</v>
      </c>
      <c r="ABL12" s="29">
        <f t="shared" ca="1" si="779"/>
        <v>14060.711833608197</v>
      </c>
      <c r="ABM12" s="29">
        <f t="shared" ca="1" si="780"/>
        <v>14784.467614278179</v>
      </c>
      <c r="ABN12" s="29">
        <f t="shared" ca="1" si="781"/>
        <v>14413.694167346162</v>
      </c>
      <c r="ABO12" s="29">
        <f t="shared" ca="1" si="782"/>
        <v>14946.514136506932</v>
      </c>
      <c r="ABP12" s="29">
        <f t="shared" ca="1" si="783"/>
        <v>14254.927658435476</v>
      </c>
      <c r="ABQ12" s="29">
        <f t="shared" ca="1" si="784"/>
        <v>13840.14739219663</v>
      </c>
      <c r="ABR12" s="29">
        <f t="shared" ca="1" si="785"/>
        <v>13596.971702762134</v>
      </c>
      <c r="ABS12" s="29">
        <f t="shared" ca="1" si="786"/>
        <v>14265.972537224809</v>
      </c>
      <c r="ABT12" s="29">
        <f t="shared" ca="1" si="787"/>
        <v>14623.283751648083</v>
      </c>
      <c r="ABU12" s="29">
        <f t="shared" ca="1" si="788"/>
        <v>14497.318717042868</v>
      </c>
      <c r="ABV12" s="29">
        <f t="shared" ca="1" si="789"/>
        <v>15055.331706629935</v>
      </c>
      <c r="ABW12" s="29">
        <f t="shared" ca="1" si="790"/>
        <v>15116.90973942036</v>
      </c>
      <c r="ABX12" s="29">
        <f t="shared" ca="1" si="791"/>
        <v>14731.932522649635</v>
      </c>
      <c r="ABY12" s="29">
        <f t="shared" ca="1" si="792"/>
        <v>15000.524350718042</v>
      </c>
      <c r="ABZ12" s="29">
        <f t="shared" ca="1" si="793"/>
        <v>14782.491484293292</v>
      </c>
      <c r="ACA12" s="29">
        <f t="shared" ca="1" si="794"/>
        <v>15728.993216848748</v>
      </c>
      <c r="ACB12" s="29">
        <f t="shared" ca="1" si="795"/>
        <v>15281.035503504458</v>
      </c>
      <c r="ACC12" s="29">
        <f t="shared" ca="1" si="796"/>
        <v>14331.534646898534</v>
      </c>
      <c r="ACD12" s="29">
        <f t="shared" ca="1" si="797"/>
        <v>14333.579424908261</v>
      </c>
      <c r="ACE12" s="29">
        <f t="shared" ca="1" si="798"/>
        <v>14525.449386775519</v>
      </c>
      <c r="ACF12" s="29">
        <f t="shared" ca="1" si="799"/>
        <v>14412.474822478587</v>
      </c>
      <c r="ACG12" s="29">
        <f t="shared" ca="1" si="800"/>
        <v>13851.046049330134</v>
      </c>
      <c r="ACH12" s="29">
        <f t="shared" ca="1" si="801"/>
        <v>15006.269530452491</v>
      </c>
      <c r="ACI12" s="29">
        <f t="shared" ca="1" si="802"/>
        <v>14804.15702207932</v>
      </c>
      <c r="ACJ12" s="29">
        <f t="shared" ca="1" si="803"/>
        <v>14854.20268257628</v>
      </c>
      <c r="ACK12" s="29">
        <f t="shared" ca="1" si="804"/>
        <v>14237.872014813804</v>
      </c>
      <c r="ACL12" s="29">
        <f t="shared" ca="1" si="805"/>
        <v>13357.743615905507</v>
      </c>
      <c r="ACM12" s="29">
        <f t="shared" ca="1" si="806"/>
        <v>14736.97204589072</v>
      </c>
      <c r="ACN12" s="29">
        <f t="shared" ca="1" si="807"/>
        <v>15147.105738214756</v>
      </c>
      <c r="ACO12" s="29">
        <f t="shared" ca="1" si="808"/>
        <v>15651.943235176494</v>
      </c>
      <c r="ACP12" s="29">
        <f t="shared" ca="1" si="809"/>
        <v>14318.362699172831</v>
      </c>
      <c r="ACQ12" s="29">
        <f t="shared" ca="1" si="810"/>
        <v>14996.452926919506</v>
      </c>
      <c r="ACR12" s="29">
        <f t="shared" ca="1" si="811"/>
        <v>14582.950719207682</v>
      </c>
      <c r="ACS12" s="29">
        <f t="shared" ca="1" si="812"/>
        <v>14200.332834523047</v>
      </c>
      <c r="ACT12" s="29">
        <f t="shared" ca="1" si="813"/>
        <v>14290.808789091896</v>
      </c>
      <c r="ACU12" s="29">
        <f t="shared" ca="1" si="814"/>
        <v>13965.0301589189</v>
      </c>
      <c r="ACV12" s="29">
        <f t="shared" ca="1" si="815"/>
        <v>14676.092934140419</v>
      </c>
      <c r="ACW12" s="29">
        <f t="shared" ca="1" si="816"/>
        <v>14743.893931206871</v>
      </c>
      <c r="ACX12" s="29">
        <f t="shared" ca="1" si="817"/>
        <v>14294.498356673497</v>
      </c>
      <c r="ACY12" s="29">
        <f t="shared" ca="1" si="818"/>
        <v>14220.364099503638</v>
      </c>
      <c r="ACZ12" s="29">
        <f t="shared" ca="1" si="819"/>
        <v>14470.080466993999</v>
      </c>
      <c r="ADA12" s="29">
        <f t="shared" ca="1" si="820"/>
        <v>14493.364886786409</v>
      </c>
      <c r="ADB12" s="29">
        <f t="shared" ca="1" si="821"/>
        <v>13482.003493805598</v>
      </c>
      <c r="ADC12" s="29">
        <f t="shared" ca="1" si="822"/>
        <v>14584.606184519585</v>
      </c>
      <c r="ADD12" s="29">
        <f t="shared" ca="1" si="823"/>
        <v>15305.068012748234</v>
      </c>
      <c r="ADE12" s="29">
        <f t="shared" ca="1" si="824"/>
        <v>14887.05546799878</v>
      </c>
      <c r="ADF12" s="29">
        <f t="shared" ca="1" si="825"/>
        <v>13091.977146020365</v>
      </c>
      <c r="ADG12" s="29">
        <f t="shared" ca="1" si="826"/>
        <v>14562.341847497177</v>
      </c>
      <c r="ADH12" s="29">
        <f t="shared" ca="1" si="827"/>
        <v>14509.471933467094</v>
      </c>
      <c r="ADI12" s="29">
        <f t="shared" ca="1" si="828"/>
        <v>14199.658576124182</v>
      </c>
      <c r="ADJ12" s="29">
        <f t="shared" ca="1" si="829"/>
        <v>14818.003392031553</v>
      </c>
      <c r="ADK12" s="29">
        <f t="shared" ca="1" si="830"/>
        <v>14538.364590804227</v>
      </c>
      <c r="ADL12" s="29">
        <f t="shared" ca="1" si="831"/>
        <v>14437.673666279326</v>
      </c>
      <c r="ADM12" s="29">
        <f t="shared" ca="1" si="832"/>
        <v>14212.229232324242</v>
      </c>
      <c r="ADN12" s="29">
        <f t="shared" ca="1" si="833"/>
        <v>14175.236191255788</v>
      </c>
      <c r="ADO12" s="29">
        <f t="shared" ca="1" si="834"/>
        <v>15038.673953863386</v>
      </c>
      <c r="ADP12" s="29">
        <f t="shared" ca="1" si="835"/>
        <v>14418.823316234946</v>
      </c>
      <c r="ADQ12" s="29">
        <f t="shared" ca="1" si="836"/>
        <v>15366.65095706483</v>
      </c>
      <c r="ADR12" s="29">
        <f t="shared" ca="1" si="837"/>
        <v>14307.683887968145</v>
      </c>
      <c r="ADS12" s="29">
        <f t="shared" ca="1" si="838"/>
        <v>14355.933033696705</v>
      </c>
      <c r="ADT12" s="29">
        <f t="shared" ca="1" si="839"/>
        <v>14127.556394343614</v>
      </c>
      <c r="ADU12" s="29">
        <f t="shared" ca="1" si="840"/>
        <v>14297.739195714405</v>
      </c>
      <c r="ADV12" s="29">
        <f t="shared" ca="1" si="841"/>
        <v>14888.988927272416</v>
      </c>
      <c r="ADW12" s="29">
        <f t="shared" ca="1" si="842"/>
        <v>15119.478771416796</v>
      </c>
      <c r="ADX12" s="29">
        <f t="shared" ca="1" si="843"/>
        <v>13938.565208737084</v>
      </c>
      <c r="ADY12" s="29">
        <f t="shared" ca="1" si="844"/>
        <v>15684.388648451775</v>
      </c>
      <c r="ADZ12" s="29">
        <f t="shared" ca="1" si="845"/>
        <v>14235.128556795768</v>
      </c>
      <c r="AEA12" s="29">
        <f t="shared" ca="1" si="846"/>
        <v>14836.088672797863</v>
      </c>
      <c r="AEB12" s="29">
        <f t="shared" ca="1" si="847"/>
        <v>13425.420035202638</v>
      </c>
      <c r="AEC12" s="29">
        <f t="shared" ca="1" si="848"/>
        <v>15039.604976982842</v>
      </c>
      <c r="AED12" s="29">
        <f t="shared" ca="1" si="849"/>
        <v>14796.204104592025</v>
      </c>
      <c r="AEE12" s="29">
        <f t="shared" ca="1" si="850"/>
        <v>14859.90716363315</v>
      </c>
      <c r="AEF12" s="29">
        <f t="shared" ca="1" si="851"/>
        <v>14013.617215364131</v>
      </c>
      <c r="AEG12" s="29">
        <f t="shared" ca="1" si="852"/>
        <v>15182.445033377464</v>
      </c>
      <c r="AEH12" s="29">
        <f t="shared" ca="1" si="853"/>
        <v>14181.458677162031</v>
      </c>
      <c r="AEI12" s="29">
        <f t="shared" ca="1" si="854"/>
        <v>14830.272364531924</v>
      </c>
      <c r="AEJ12" s="29">
        <f t="shared" ca="1" si="855"/>
        <v>14579.464501259599</v>
      </c>
      <c r="AEK12" s="29">
        <f t="shared" ca="1" si="856"/>
        <v>14412.126759169187</v>
      </c>
      <c r="AEL12" s="29">
        <f t="shared" ca="1" si="857"/>
        <v>14039.368111508951</v>
      </c>
      <c r="AEM12" s="29">
        <f t="shared" ca="1" si="858"/>
        <v>14219.172153621115</v>
      </c>
      <c r="AEN12" s="29">
        <f t="shared" ca="1" si="859"/>
        <v>14795.511547081978</v>
      </c>
      <c r="AEO12" s="29">
        <f t="shared" ca="1" si="860"/>
        <v>14170.330839676848</v>
      </c>
      <c r="AEP12" s="29">
        <f t="shared" ca="1" si="861"/>
        <v>14667.558443309061</v>
      </c>
      <c r="AEQ12" s="29">
        <f t="shared" ca="1" si="862"/>
        <v>14743.269759969906</v>
      </c>
      <c r="AER12" s="29">
        <f t="shared" ca="1" si="863"/>
        <v>14690.868198812737</v>
      </c>
      <c r="AES12" s="29">
        <f t="shared" ca="1" si="864"/>
        <v>13726.701118539251</v>
      </c>
      <c r="AET12" s="29">
        <f t="shared" ca="1" si="865"/>
        <v>14523.891123758864</v>
      </c>
      <c r="AEU12" s="29">
        <f t="shared" ca="1" si="866"/>
        <v>13229.952320277769</v>
      </c>
      <c r="AEV12" s="29">
        <f t="shared" ca="1" si="867"/>
        <v>14925.958122114011</v>
      </c>
      <c r="AEW12" s="29">
        <f t="shared" ca="1" si="868"/>
        <v>13716.231278766527</v>
      </c>
      <c r="AEX12" s="29">
        <f t="shared" ca="1" si="869"/>
        <v>13729.597441348385</v>
      </c>
      <c r="AEY12" s="29">
        <f t="shared" ca="1" si="870"/>
        <v>13997.456978025359</v>
      </c>
      <c r="AEZ12" s="29">
        <f t="shared" ca="1" si="871"/>
        <v>14014.189913051712</v>
      </c>
      <c r="AFA12" s="29">
        <f t="shared" ca="1" si="872"/>
        <v>15081.04875636101</v>
      </c>
      <c r="AFB12" s="29">
        <f t="shared" ca="1" si="873"/>
        <v>14267.329968039663</v>
      </c>
      <c r="AFC12" s="29">
        <f t="shared" ca="1" si="874"/>
        <v>14671.167545300214</v>
      </c>
      <c r="AFD12" s="29">
        <f t="shared" ca="1" si="875"/>
        <v>14556.974357087871</v>
      </c>
      <c r="AFE12" s="29">
        <f t="shared" ca="1" si="876"/>
        <v>15429.8904661373</v>
      </c>
      <c r="AFF12" s="29">
        <f t="shared" ca="1" si="877"/>
        <v>13977.634077457586</v>
      </c>
      <c r="AFG12" s="29">
        <f t="shared" ca="1" si="878"/>
        <v>14507.740315395375</v>
      </c>
      <c r="AFH12" s="29">
        <f t="shared" ca="1" si="879"/>
        <v>14968.175973578014</v>
      </c>
      <c r="AFI12" s="29">
        <f t="shared" ca="1" si="880"/>
        <v>14707.559620457308</v>
      </c>
      <c r="AFJ12" s="29">
        <f t="shared" ca="1" si="881"/>
        <v>14028.209682174702</v>
      </c>
      <c r="AFK12" s="29">
        <f t="shared" ca="1" si="882"/>
        <v>14268.644888858551</v>
      </c>
      <c r="AFL12" s="29">
        <f t="shared" ca="1" si="883"/>
        <v>14513.972301457345</v>
      </c>
      <c r="AFM12" s="29">
        <f t="shared" ca="1" si="884"/>
        <v>13921.342671234464</v>
      </c>
      <c r="AFN12" s="29">
        <f t="shared" ca="1" si="885"/>
        <v>14664.087501209371</v>
      </c>
      <c r="AFO12" s="29">
        <f t="shared" ca="1" si="886"/>
        <v>15003.65240474896</v>
      </c>
      <c r="AFP12" s="29">
        <f t="shared" ca="1" si="887"/>
        <v>14916.025951382026</v>
      </c>
      <c r="AFQ12" s="29">
        <f t="shared" ca="1" si="888"/>
        <v>14327.408054530266</v>
      </c>
      <c r="AFR12" s="29">
        <f t="shared" ca="1" si="889"/>
        <v>15208.001204741233</v>
      </c>
      <c r="AFS12" s="29">
        <f t="shared" ca="1" si="890"/>
        <v>14618.579693867689</v>
      </c>
      <c r="AFT12" s="29">
        <f t="shared" ca="1" si="891"/>
        <v>14337.617710673167</v>
      </c>
      <c r="AFU12" s="29">
        <f t="shared" ca="1" si="892"/>
        <v>14096.780799518308</v>
      </c>
      <c r="AFV12" s="29">
        <f t="shared" ca="1" si="893"/>
        <v>14397.219110808926</v>
      </c>
      <c r="AFW12" s="29">
        <f t="shared" ca="1" si="894"/>
        <v>14423.711688439736</v>
      </c>
      <c r="AFX12" s="29">
        <f t="shared" ca="1" si="895"/>
        <v>14938.523092097057</v>
      </c>
      <c r="AFY12" s="29">
        <f t="shared" ca="1" si="896"/>
        <v>14746.614347872468</v>
      </c>
      <c r="AFZ12" s="29">
        <f t="shared" ca="1" si="897"/>
        <v>14556.409277716053</v>
      </c>
      <c r="AGA12" s="29">
        <f t="shared" ca="1" si="898"/>
        <v>14629.864388061902</v>
      </c>
      <c r="AGB12" s="29">
        <f t="shared" ca="1" si="899"/>
        <v>14474.268027328082</v>
      </c>
      <c r="AGC12" s="29">
        <f t="shared" ca="1" si="900"/>
        <v>14040.686251072524</v>
      </c>
      <c r="AGD12" s="29">
        <f t="shared" ca="1" si="901"/>
        <v>14718.284854569634</v>
      </c>
      <c r="AGE12" s="29">
        <f t="shared" ca="1" si="902"/>
        <v>13992.916491121696</v>
      </c>
      <c r="AGF12" s="29">
        <f t="shared" ca="1" si="903"/>
        <v>14235.978873048593</v>
      </c>
      <c r="AGG12" s="29">
        <f t="shared" ca="1" si="904"/>
        <v>13796.658972917587</v>
      </c>
      <c r="AGH12" s="29">
        <f t="shared" ca="1" si="905"/>
        <v>14924.691440829307</v>
      </c>
      <c r="AGI12" s="29">
        <f t="shared" ca="1" si="906"/>
        <v>14133.431395739724</v>
      </c>
      <c r="AGJ12" s="29">
        <f t="shared" ca="1" si="907"/>
        <v>14943.198146498842</v>
      </c>
      <c r="AGK12" s="29">
        <f t="shared" ca="1" si="908"/>
        <v>14677.542822186444</v>
      </c>
      <c r="AGL12" s="29">
        <f t="shared" ca="1" si="909"/>
        <v>14321.778450722541</v>
      </c>
      <c r="AGM12" s="29">
        <f t="shared" ca="1" si="910"/>
        <v>13967.602228647282</v>
      </c>
      <c r="AGN12" s="29">
        <f t="shared" ca="1" si="911"/>
        <v>14062.172070910325</v>
      </c>
      <c r="AGO12" s="29">
        <f t="shared" ca="1" si="912"/>
        <v>14604.39808166667</v>
      </c>
      <c r="AGP12" s="29">
        <f t="shared" ca="1" si="913"/>
        <v>13822.623418902289</v>
      </c>
      <c r="AGQ12" s="29">
        <f t="shared" ca="1" si="914"/>
        <v>14609.21665066541</v>
      </c>
      <c r="AGR12" s="29">
        <f t="shared" ca="1" si="915"/>
        <v>13830.026707793093</v>
      </c>
      <c r="AGS12" s="29">
        <f t="shared" ca="1" si="916"/>
        <v>14602.699007879877</v>
      </c>
      <c r="AGT12" s="29">
        <f t="shared" ca="1" si="917"/>
        <v>13865.504907585309</v>
      </c>
      <c r="AGU12" s="29">
        <f t="shared" ca="1" si="918"/>
        <v>14897.354854656127</v>
      </c>
      <c r="AGV12" s="29">
        <f t="shared" ca="1" si="919"/>
        <v>14906.961400484641</v>
      </c>
      <c r="AGW12" s="29">
        <f t="shared" ca="1" si="920"/>
        <v>15111.773005914385</v>
      </c>
      <c r="AGX12" s="29">
        <f t="shared" ca="1" si="921"/>
        <v>14971.960610687631</v>
      </c>
      <c r="AGY12" s="29">
        <f t="shared" ca="1" si="922"/>
        <v>14353.956001379112</v>
      </c>
      <c r="AGZ12" s="29">
        <f t="shared" ca="1" si="923"/>
        <v>14703.150629043039</v>
      </c>
      <c r="AHA12" s="29">
        <f t="shared" ca="1" si="924"/>
        <v>13931.133994551468</v>
      </c>
      <c r="AHB12" s="29">
        <f t="shared" ca="1" si="925"/>
        <v>13502.579954851079</v>
      </c>
      <c r="AHC12" s="29">
        <f t="shared" ca="1" si="926"/>
        <v>14957.872289509436</v>
      </c>
      <c r="AHD12" s="29">
        <f t="shared" ca="1" si="927"/>
        <v>14575.171320802843</v>
      </c>
      <c r="AHE12" s="29">
        <f t="shared" ca="1" si="928"/>
        <v>15100.783647853154</v>
      </c>
      <c r="AHF12" s="29">
        <f t="shared" ca="1" si="929"/>
        <v>14544.39039815216</v>
      </c>
      <c r="AHG12" s="29">
        <f t="shared" ca="1" si="930"/>
        <v>14988.708609333416</v>
      </c>
      <c r="AHH12" s="29">
        <f t="shared" ca="1" si="931"/>
        <v>15657.59571192783</v>
      </c>
      <c r="AHI12" s="29">
        <f t="shared" ca="1" si="932"/>
        <v>14260.27356432224</v>
      </c>
      <c r="AHJ12" s="29">
        <f t="shared" ca="1" si="933"/>
        <v>13888.374122639625</v>
      </c>
      <c r="AHK12" s="29">
        <f t="shared" ca="1" si="934"/>
        <v>15645.642935273509</v>
      </c>
      <c r="AHL12" s="29">
        <f t="shared" ca="1" si="935"/>
        <v>14723.53727364632</v>
      </c>
      <c r="AHM12" s="29">
        <f t="shared" ca="1" si="936"/>
        <v>15258.49578683698</v>
      </c>
      <c r="AHN12" s="29">
        <f t="shared" ca="1" si="937"/>
        <v>14441.91724144404</v>
      </c>
      <c r="AHO12" s="29">
        <f t="shared" ca="1" si="938"/>
        <v>14808.563553547881</v>
      </c>
      <c r="AHP12" s="29">
        <f t="shared" ca="1" si="939"/>
        <v>14629.564444775229</v>
      </c>
      <c r="AHQ12" s="29">
        <f t="shared" ca="1" si="940"/>
        <v>15090.710123351546</v>
      </c>
      <c r="AHR12" s="29">
        <f t="shared" ca="1" si="941"/>
        <v>14553.03934396914</v>
      </c>
      <c r="AHS12" s="29">
        <f t="shared" ca="1" si="942"/>
        <v>14582.557059624061</v>
      </c>
      <c r="AHT12" s="29">
        <f t="shared" ca="1" si="943"/>
        <v>14489.212107333891</v>
      </c>
      <c r="AHU12" s="29">
        <f t="shared" ca="1" si="944"/>
        <v>14461.739065434844</v>
      </c>
      <c r="AHV12" s="29">
        <f t="shared" ca="1" si="945"/>
        <v>14768.447838997306</v>
      </c>
      <c r="AHW12" s="29">
        <f t="shared" ca="1" si="946"/>
        <v>14628.893603701215</v>
      </c>
      <c r="AHX12" s="29">
        <f t="shared" ca="1" si="947"/>
        <v>14969.89994563883</v>
      </c>
      <c r="AHY12" s="29">
        <f t="shared" ca="1" si="948"/>
        <v>13836.532334986379</v>
      </c>
      <c r="AHZ12" s="29">
        <f t="shared" ca="1" si="949"/>
        <v>13562.126212332743</v>
      </c>
      <c r="AIA12" s="29">
        <f t="shared" ca="1" si="950"/>
        <v>14888.593351580475</v>
      </c>
      <c r="AIB12" s="29">
        <f t="shared" ca="1" si="951"/>
        <v>14212.013784363671</v>
      </c>
      <c r="AIC12" s="29">
        <f t="shared" ca="1" si="952"/>
        <v>14728.221555461756</v>
      </c>
      <c r="AID12" s="29">
        <f t="shared" ca="1" si="953"/>
        <v>14702.65528598251</v>
      </c>
      <c r="AIE12" s="29">
        <f t="shared" ca="1" si="954"/>
        <v>13827.368249276455</v>
      </c>
      <c r="AIF12" s="29">
        <f t="shared" ca="1" si="955"/>
        <v>14348.083800372839</v>
      </c>
      <c r="AIG12" s="29">
        <f t="shared" ca="1" si="956"/>
        <v>15119.991673982646</v>
      </c>
      <c r="AIH12" s="29">
        <f t="shared" ca="1" si="957"/>
        <v>14449.675656080755</v>
      </c>
      <c r="AII12" s="29">
        <f t="shared" ca="1" si="958"/>
        <v>13639.789228676927</v>
      </c>
      <c r="AIJ12" s="29">
        <f t="shared" ca="1" si="959"/>
        <v>13903.338538090125</v>
      </c>
      <c r="AIK12" s="29">
        <f t="shared" ca="1" si="960"/>
        <v>14783.17497010322</v>
      </c>
      <c r="AIL12" s="29">
        <f t="shared" ca="1" si="961"/>
        <v>14331.325472407572</v>
      </c>
      <c r="AIM12" s="29">
        <f t="shared" ca="1" si="962"/>
        <v>14507.364098638196</v>
      </c>
      <c r="AIN12" s="29">
        <f t="shared" ca="1" si="963"/>
        <v>15055.500932431758</v>
      </c>
      <c r="AIO12" s="29">
        <f t="shared" ca="1" si="964"/>
        <v>13669.275493059169</v>
      </c>
      <c r="AIP12" s="29">
        <f t="shared" ca="1" si="965"/>
        <v>14009.27059048205</v>
      </c>
      <c r="AIQ12" s="29">
        <f t="shared" ca="1" si="966"/>
        <v>13110.883210092819</v>
      </c>
      <c r="AIR12" s="29">
        <f t="shared" ca="1" si="967"/>
        <v>13995.795179603312</v>
      </c>
      <c r="AIS12" s="29">
        <f t="shared" ca="1" si="968"/>
        <v>14468.393983142003</v>
      </c>
      <c r="AIT12" s="29">
        <f t="shared" ca="1" si="969"/>
        <v>14344.3090034139</v>
      </c>
      <c r="AIU12" s="29">
        <f t="shared" ca="1" si="970"/>
        <v>13861.257901781575</v>
      </c>
      <c r="AIV12" s="29">
        <f t="shared" ca="1" si="971"/>
        <v>14665.155463765852</v>
      </c>
      <c r="AIW12" s="29">
        <f t="shared" ca="1" si="972"/>
        <v>13732.319690955963</v>
      </c>
      <c r="AIX12" s="29">
        <f t="shared" ca="1" si="973"/>
        <v>14279.584810527444</v>
      </c>
      <c r="AIY12" s="29">
        <f t="shared" ca="1" si="974"/>
        <v>14330.384678931914</v>
      </c>
      <c r="AIZ12" s="29">
        <f t="shared" ca="1" si="975"/>
        <v>14711.507305954843</v>
      </c>
      <c r="AJA12" s="29">
        <f t="shared" ca="1" si="976"/>
        <v>14725.33517229009</v>
      </c>
      <c r="AJB12" s="29">
        <f t="shared" ca="1" si="977"/>
        <v>14611.009940215372</v>
      </c>
      <c r="AJC12" s="29">
        <f t="shared" ca="1" si="978"/>
        <v>14119.113007076639</v>
      </c>
      <c r="AJD12" s="29">
        <f t="shared" ca="1" si="979"/>
        <v>14048.470864776966</v>
      </c>
      <c r="AJE12" s="29">
        <f t="shared" ca="1" si="980"/>
        <v>15044.333237606503</v>
      </c>
      <c r="AJF12" s="29">
        <f t="shared" ca="1" si="981"/>
        <v>14550.389703348095</v>
      </c>
      <c r="AJG12" s="29">
        <f t="shared" ca="1" si="982"/>
        <v>14658.423244696844</v>
      </c>
      <c r="AJH12" s="29">
        <f t="shared" ca="1" si="983"/>
        <v>14202.077934625446</v>
      </c>
      <c r="AJI12" s="29">
        <f t="shared" ca="1" si="984"/>
        <v>15069.163333140328</v>
      </c>
      <c r="AJJ12" s="29">
        <f t="shared" ca="1" si="985"/>
        <v>15112.844704071993</v>
      </c>
      <c r="AJK12" s="29">
        <f t="shared" ca="1" si="986"/>
        <v>14083.669151209409</v>
      </c>
      <c r="AJL12" s="29">
        <f t="shared" ca="1" si="987"/>
        <v>14689.472385007135</v>
      </c>
      <c r="AJM12" s="29">
        <f t="shared" ca="1" si="988"/>
        <v>14150.457399990641</v>
      </c>
      <c r="AJN12" s="29">
        <f t="shared" ca="1" si="989"/>
        <v>14388.166157448086</v>
      </c>
      <c r="AJO12" s="29">
        <f t="shared" ca="1" si="990"/>
        <v>14577.920379606236</v>
      </c>
      <c r="AJP12" s="29">
        <f t="shared" ca="1" si="991"/>
        <v>15469.105326059489</v>
      </c>
      <c r="AJQ12" s="29">
        <f t="shared" ca="1" si="992"/>
        <v>13951.435145319088</v>
      </c>
      <c r="AJR12" s="29">
        <f t="shared" ca="1" si="993"/>
        <v>14859.903407406753</v>
      </c>
      <c r="AJS12" s="29">
        <f t="shared" ca="1" si="994"/>
        <v>14686.31223247148</v>
      </c>
      <c r="AJT12" s="29">
        <f t="shared" ca="1" si="995"/>
        <v>14845.637442806526</v>
      </c>
      <c r="AJU12" s="29">
        <f t="shared" ca="1" si="996"/>
        <v>14232.634558414673</v>
      </c>
      <c r="AJV12" s="29">
        <f t="shared" ca="1" si="997"/>
        <v>14245.522266888926</v>
      </c>
      <c r="AJW12" s="29">
        <f t="shared" ca="1" si="998"/>
        <v>14364.227360760327</v>
      </c>
      <c r="AJX12" s="29">
        <f t="shared" ca="1" si="999"/>
        <v>14653.434622557097</v>
      </c>
      <c r="AJY12" s="29">
        <f t="shared" ca="1" si="1000"/>
        <v>14457.49418752481</v>
      </c>
      <c r="AJZ12" s="29">
        <f t="shared" ca="1" si="1001"/>
        <v>14433.430177061038</v>
      </c>
      <c r="AKA12" s="29">
        <f t="shared" ca="1" si="1002"/>
        <v>14809.586319696144</v>
      </c>
      <c r="AKB12" s="29">
        <f t="shared" ca="1" si="1003"/>
        <v>14635.607149626425</v>
      </c>
      <c r="AKC12" s="29">
        <f t="shared" ca="1" si="1004"/>
        <v>14444.907957953859</v>
      </c>
      <c r="AKD12" s="29">
        <f t="shared" ca="1" si="1005"/>
        <v>14784.324481750444</v>
      </c>
      <c r="AKE12" s="29">
        <f t="shared" ca="1" si="1006"/>
        <v>13536.141573291852</v>
      </c>
      <c r="AKF12" s="29">
        <f t="shared" ca="1" si="1007"/>
        <v>15196.910582500172</v>
      </c>
      <c r="AKG12" s="29">
        <f t="shared" ca="1" si="1008"/>
        <v>14495.22799537645</v>
      </c>
      <c r="AKH12" s="29">
        <f t="shared" ca="1" si="1009"/>
        <v>14325.983003231207</v>
      </c>
      <c r="AKI12" s="29">
        <f t="shared" ca="1" si="1010"/>
        <v>14553.651037854206</v>
      </c>
      <c r="AKJ12" s="29">
        <f t="shared" ca="1" si="1011"/>
        <v>14168.135947253941</v>
      </c>
      <c r="AKK12" s="29">
        <f t="shared" ca="1" si="1012"/>
        <v>14929.023299846876</v>
      </c>
      <c r="AKL12" s="29">
        <f t="shared" ca="1" si="1013"/>
        <v>14514.43333908256</v>
      </c>
      <c r="AKM12" s="29">
        <f t="shared" ca="1" si="1014"/>
        <v>14324.471274080906</v>
      </c>
      <c r="AKN12" s="29">
        <f t="shared" ca="1" si="1015"/>
        <v>14565.850798164007</v>
      </c>
      <c r="AKO12" s="29">
        <f t="shared" ca="1" si="1016"/>
        <v>13826.11548195276</v>
      </c>
      <c r="AKP12" s="29">
        <f t="shared" ca="1" si="1017"/>
        <v>15504.163934283346</v>
      </c>
      <c r="AKQ12" s="29">
        <f t="shared" ca="1" si="1018"/>
        <v>13731.232801626036</v>
      </c>
      <c r="AKR12" s="29">
        <f t="shared" ca="1" si="1019"/>
        <v>14118.614957093139</v>
      </c>
      <c r="AKS12" s="29">
        <f t="shared" ca="1" si="1020"/>
        <v>15009.218589858179</v>
      </c>
      <c r="AKT12" s="29">
        <f t="shared" ca="1" si="1021"/>
        <v>14973.269568314445</v>
      </c>
      <c r="AKU12" s="29">
        <f t="shared" ca="1" si="1022"/>
        <v>14336.477085192439</v>
      </c>
      <c r="AKV12" s="29">
        <f t="shared" ca="1" si="1023"/>
        <v>13302.371817279165</v>
      </c>
      <c r="AKW12" s="29">
        <f t="shared" ca="1" si="1024"/>
        <v>14373.80416674675</v>
      </c>
      <c r="AKX12" s="29">
        <f t="shared" ca="1" si="1025"/>
        <v>14250.358354822449</v>
      </c>
      <c r="AKY12" s="29">
        <f t="shared" ca="1" si="1026"/>
        <v>14678.651657429569</v>
      </c>
      <c r="AKZ12" s="29">
        <f t="shared" ca="1" si="1027"/>
        <v>13984.97977738239</v>
      </c>
      <c r="ALA12" s="29">
        <f t="shared" ca="1" si="1028"/>
        <v>14875.098074957534</v>
      </c>
      <c r="ALB12" s="29">
        <f t="shared" ca="1" si="1029"/>
        <v>15296.934914434085</v>
      </c>
      <c r="ALC12" s="29">
        <f t="shared" ca="1" si="1030"/>
        <v>14664.673614908355</v>
      </c>
      <c r="ALD12" s="29">
        <f t="shared" ca="1" si="1031"/>
        <v>14917.745608280484</v>
      </c>
      <c r="ALE12" s="29">
        <f t="shared" ca="1" si="1032"/>
        <v>14063.16315427671</v>
      </c>
      <c r="ALF12" s="29">
        <f t="shared" ca="1" si="1033"/>
        <v>13709.056663909039</v>
      </c>
      <c r="ALG12" s="29">
        <f t="shared" ca="1" si="1034"/>
        <v>14728.744956880144</v>
      </c>
      <c r="ALH12" s="29">
        <f t="shared" ca="1" si="1035"/>
        <v>14153.553337207524</v>
      </c>
      <c r="ALI12" s="29">
        <f t="shared" ca="1" si="1036"/>
        <v>14797.049373214986</v>
      </c>
      <c r="ALJ12" s="29">
        <f t="shared" ca="1" si="1037"/>
        <v>15337.272437379859</v>
      </c>
      <c r="ALK12" s="29">
        <f t="shared" ca="1" si="1038"/>
        <v>14216.65962713203</v>
      </c>
      <c r="ALL12" s="29">
        <f t="shared" ca="1" si="1039"/>
        <v>14276.024438220882</v>
      </c>
      <c r="ALM12" s="29">
        <f t="shared" ca="1" si="1040"/>
        <v>13219.307258600571</v>
      </c>
      <c r="ALN12" s="29">
        <f t="shared" ca="1" si="1041"/>
        <v>13984.183678696738</v>
      </c>
      <c r="ALO12" s="29">
        <f t="shared" ca="1" si="1042"/>
        <v>13602.304016489408</v>
      </c>
      <c r="ALP12" s="29">
        <f t="shared" ca="1" si="1043"/>
        <v>14161.20637004514</v>
      </c>
      <c r="ALQ12" s="29">
        <f t="shared" ca="1" si="1044"/>
        <v>15156.043427187433</v>
      </c>
      <c r="ALR12" s="29">
        <f t="shared" ca="1" si="1045"/>
        <v>14405.122510888528</v>
      </c>
      <c r="ALS12" s="29">
        <f t="shared" ca="1" si="1046"/>
        <v>13937.873671281779</v>
      </c>
      <c r="ALT12" s="29">
        <f t="shared" ca="1" si="1047"/>
        <v>14163.843020068916</v>
      </c>
      <c r="ALU12" s="29">
        <f t="shared" ca="1" si="1048"/>
        <v>15152.261192186192</v>
      </c>
      <c r="ALV12" s="29">
        <f t="shared" ca="1" si="1049"/>
        <v>13734.093951782088</v>
      </c>
    </row>
    <row r="13" spans="1:1258" ht="18" x14ac:dyDescent="0.35">
      <c r="A13" s="1">
        <v>40492</v>
      </c>
      <c r="B13" s="2">
        <v>6275.7001950000003</v>
      </c>
      <c r="C13" s="16">
        <f t="shared" si="32"/>
        <v>-4.1105402846259879E-3</v>
      </c>
      <c r="E13" s="28" t="s">
        <v>57</v>
      </c>
      <c r="F13" t="s">
        <v>58</v>
      </c>
      <c r="G13" t="s">
        <v>56</v>
      </c>
      <c r="H13" s="27" t="s">
        <v>59</v>
      </c>
      <c r="J13" s="29">
        <f t="shared" si="49"/>
        <v>10</v>
      </c>
      <c r="K13" s="29">
        <f t="shared" ca="1" si="50"/>
        <v>14511.821812664983</v>
      </c>
      <c r="L13" s="29">
        <f t="shared" ca="1" si="51"/>
        <v>13701.896173223346</v>
      </c>
      <c r="M13" s="29">
        <f t="shared" ca="1" si="52"/>
        <v>14968.763339544104</v>
      </c>
      <c r="N13" s="29">
        <f t="shared" ca="1" si="53"/>
        <v>13221.625675354982</v>
      </c>
      <c r="O13" s="29">
        <f t="shared" ca="1" si="54"/>
        <v>14688.618931279785</v>
      </c>
      <c r="P13" s="29">
        <f t="shared" ca="1" si="55"/>
        <v>14654.447293945414</v>
      </c>
      <c r="Q13" s="29">
        <f t="shared" ca="1" si="56"/>
        <v>13392.458867612764</v>
      </c>
      <c r="R13" s="29">
        <f t="shared" ca="1" si="57"/>
        <v>14146.657942469008</v>
      </c>
      <c r="S13" s="29">
        <f t="shared" ca="1" si="58"/>
        <v>14167.984445758924</v>
      </c>
      <c r="T13" s="29">
        <f t="shared" ca="1" si="59"/>
        <v>15215.210024776834</v>
      </c>
      <c r="U13" s="29">
        <f t="shared" ca="1" si="60"/>
        <v>14860.349164281995</v>
      </c>
      <c r="V13" s="29">
        <f t="shared" ca="1" si="61"/>
        <v>14528.303969256564</v>
      </c>
      <c r="W13" s="29">
        <f t="shared" ca="1" si="62"/>
        <v>14451.132097777914</v>
      </c>
      <c r="X13" s="29">
        <f t="shared" ca="1" si="63"/>
        <v>14883.781871478292</v>
      </c>
      <c r="Y13" s="29">
        <f t="shared" ca="1" si="64"/>
        <v>14427.276453287459</v>
      </c>
      <c r="Z13" s="29">
        <f t="shared" ca="1" si="65"/>
        <v>13962.881484297044</v>
      </c>
      <c r="AA13" s="29">
        <f t="shared" ca="1" si="66"/>
        <v>14823.718245765769</v>
      </c>
      <c r="AB13" s="29">
        <f t="shared" ca="1" si="67"/>
        <v>15131.866822355503</v>
      </c>
      <c r="AC13" s="29">
        <f t="shared" ca="1" si="68"/>
        <v>15473.94738237073</v>
      </c>
      <c r="AD13" s="29">
        <f t="shared" ca="1" si="69"/>
        <v>14399.762276423364</v>
      </c>
      <c r="AE13" s="29">
        <f t="shared" ca="1" si="70"/>
        <v>15592.330998263082</v>
      </c>
      <c r="AF13" s="29">
        <f t="shared" ca="1" si="71"/>
        <v>14165.694014767603</v>
      </c>
      <c r="AG13" s="29">
        <f t="shared" ca="1" si="72"/>
        <v>13420.408441922778</v>
      </c>
      <c r="AH13" s="29">
        <f t="shared" ca="1" si="73"/>
        <v>14742.928388184648</v>
      </c>
      <c r="AI13" s="29">
        <f t="shared" ca="1" si="74"/>
        <v>14245.237172025789</v>
      </c>
      <c r="AJ13" s="29">
        <f t="shared" ca="1" si="75"/>
        <v>14215.075021667211</v>
      </c>
      <c r="AK13" s="29">
        <f t="shared" ca="1" si="76"/>
        <v>13884.878172430679</v>
      </c>
      <c r="AL13" s="29">
        <f t="shared" ca="1" si="77"/>
        <v>14363.667077630384</v>
      </c>
      <c r="AM13" s="29">
        <f t="shared" ca="1" si="78"/>
        <v>14688.919493296242</v>
      </c>
      <c r="AN13" s="29">
        <f t="shared" ca="1" si="79"/>
        <v>14691.468632689301</v>
      </c>
      <c r="AO13" s="29">
        <f t="shared" ca="1" si="80"/>
        <v>14393.39849750129</v>
      </c>
      <c r="AP13" s="29">
        <f t="shared" ca="1" si="81"/>
        <v>14298.674451265078</v>
      </c>
      <c r="AQ13" s="29">
        <f t="shared" ca="1" si="82"/>
        <v>15077.917812978196</v>
      </c>
      <c r="AR13" s="29">
        <f t="shared" ca="1" si="83"/>
        <v>14532.45552480046</v>
      </c>
      <c r="AS13" s="29">
        <f t="shared" ca="1" si="84"/>
        <v>13498.473566394339</v>
      </c>
      <c r="AT13" s="29">
        <f t="shared" ca="1" si="85"/>
        <v>14551.245417745418</v>
      </c>
      <c r="AU13" s="29">
        <f t="shared" ca="1" si="86"/>
        <v>14370.422013570702</v>
      </c>
      <c r="AV13" s="29">
        <f t="shared" ca="1" si="87"/>
        <v>14831.370221844103</v>
      </c>
      <c r="AW13" s="29">
        <f t="shared" ca="1" si="88"/>
        <v>15071.411587133771</v>
      </c>
      <c r="AX13" s="29">
        <f t="shared" ca="1" si="89"/>
        <v>13705.693359338109</v>
      </c>
      <c r="AY13" s="29">
        <f t="shared" ca="1" si="90"/>
        <v>14091.126784698727</v>
      </c>
      <c r="AZ13" s="29">
        <f t="shared" ca="1" si="91"/>
        <v>14138.899110614057</v>
      </c>
      <c r="BA13" s="29">
        <f t="shared" ca="1" si="92"/>
        <v>14726.723125092718</v>
      </c>
      <c r="BB13" s="29">
        <f t="shared" ca="1" si="93"/>
        <v>13948.073850360859</v>
      </c>
      <c r="BC13" s="29">
        <f t="shared" ca="1" si="94"/>
        <v>13652.521832237493</v>
      </c>
      <c r="BD13" s="29">
        <f t="shared" ca="1" si="95"/>
        <v>14105.198302504379</v>
      </c>
      <c r="BE13" s="29">
        <f t="shared" ca="1" si="96"/>
        <v>14553.615107574151</v>
      </c>
      <c r="BF13" s="29">
        <f t="shared" ca="1" si="97"/>
        <v>15493.74733286447</v>
      </c>
      <c r="BG13" s="29">
        <f t="shared" ca="1" si="98"/>
        <v>13622.245402508137</v>
      </c>
      <c r="BH13" s="29">
        <f t="shared" ca="1" si="99"/>
        <v>14772.212302410624</v>
      </c>
      <c r="BI13" s="29">
        <f t="shared" ca="1" si="100"/>
        <v>15172.064658742534</v>
      </c>
      <c r="BJ13" s="29">
        <f t="shared" ca="1" si="101"/>
        <v>14365.561315589399</v>
      </c>
      <c r="BK13" s="29">
        <f t="shared" ca="1" si="102"/>
        <v>13718.019724451373</v>
      </c>
      <c r="BL13" s="29">
        <f t="shared" ca="1" si="103"/>
        <v>14329.741409743039</v>
      </c>
      <c r="BM13" s="29">
        <f t="shared" ca="1" si="104"/>
        <v>13877.82808068309</v>
      </c>
      <c r="BN13" s="29">
        <f t="shared" ca="1" si="105"/>
        <v>14800.513494673698</v>
      </c>
      <c r="BO13" s="29">
        <f t="shared" ca="1" si="106"/>
        <v>14447.26151208408</v>
      </c>
      <c r="BP13" s="29">
        <f t="shared" ca="1" si="107"/>
        <v>15249.667452574826</v>
      </c>
      <c r="BQ13" s="29">
        <f t="shared" ca="1" si="108"/>
        <v>14530.130174294291</v>
      </c>
      <c r="BR13" s="29">
        <f t="shared" ca="1" si="109"/>
        <v>13772.582397246297</v>
      </c>
      <c r="BS13" s="29">
        <f t="shared" ca="1" si="110"/>
        <v>14845.119608011428</v>
      </c>
      <c r="BT13" s="29">
        <f t="shared" ca="1" si="111"/>
        <v>14345.38859645724</v>
      </c>
      <c r="BU13" s="29">
        <f t="shared" ca="1" si="112"/>
        <v>14290.670299613115</v>
      </c>
      <c r="BV13" s="29">
        <f t="shared" ca="1" si="113"/>
        <v>14985.774232620359</v>
      </c>
      <c r="BW13" s="29">
        <f t="shared" ca="1" si="114"/>
        <v>14840.206096757989</v>
      </c>
      <c r="BX13" s="29">
        <f t="shared" ca="1" si="115"/>
        <v>14828.65860822491</v>
      </c>
      <c r="BY13" s="29">
        <f t="shared" ca="1" si="116"/>
        <v>14455.897371429268</v>
      </c>
      <c r="BZ13" s="29">
        <f t="shared" ca="1" si="117"/>
        <v>13954.157278039153</v>
      </c>
      <c r="CA13" s="29">
        <f t="shared" ca="1" si="118"/>
        <v>15082.944987431654</v>
      </c>
      <c r="CB13" s="29">
        <f t="shared" ca="1" si="119"/>
        <v>15768.93700702587</v>
      </c>
      <c r="CC13" s="29">
        <f t="shared" ca="1" si="120"/>
        <v>13618.750699665899</v>
      </c>
      <c r="CD13" s="29">
        <f t="shared" ca="1" si="121"/>
        <v>14341.073986783384</v>
      </c>
      <c r="CE13" s="29">
        <f t="shared" ca="1" si="122"/>
        <v>15433.350640374081</v>
      </c>
      <c r="CF13" s="29">
        <f t="shared" ca="1" si="123"/>
        <v>15000.426338322175</v>
      </c>
      <c r="CG13" s="29">
        <f t="shared" ca="1" si="124"/>
        <v>14717.155469999301</v>
      </c>
      <c r="CH13" s="29">
        <f t="shared" ca="1" si="125"/>
        <v>15463.677895179273</v>
      </c>
      <c r="CI13" s="29">
        <f t="shared" ca="1" si="126"/>
        <v>14749.28631491976</v>
      </c>
      <c r="CJ13" s="29">
        <f t="shared" ca="1" si="127"/>
        <v>14429.177565093614</v>
      </c>
      <c r="CK13" s="29">
        <f t="shared" ca="1" si="128"/>
        <v>14300.110169589576</v>
      </c>
      <c r="CL13" s="29">
        <f t="shared" ca="1" si="129"/>
        <v>14804.151908039141</v>
      </c>
      <c r="CM13" s="29">
        <f t="shared" ca="1" si="130"/>
        <v>14317.483432156869</v>
      </c>
      <c r="CN13" s="29">
        <f t="shared" ca="1" si="131"/>
        <v>14078.105122170624</v>
      </c>
      <c r="CO13" s="29">
        <f t="shared" ca="1" si="132"/>
        <v>14944.822147096158</v>
      </c>
      <c r="CP13" s="29">
        <f t="shared" ca="1" si="133"/>
        <v>14412.774239039607</v>
      </c>
      <c r="CQ13" s="29">
        <f t="shared" ca="1" si="134"/>
        <v>14187.208979124698</v>
      </c>
      <c r="CR13" s="29">
        <f t="shared" ca="1" si="135"/>
        <v>13885.506657374441</v>
      </c>
      <c r="CS13" s="29">
        <f t="shared" ca="1" si="136"/>
        <v>13516.013386700244</v>
      </c>
      <c r="CT13" s="29">
        <f t="shared" ca="1" si="137"/>
        <v>14302.603723211254</v>
      </c>
      <c r="CU13" s="29">
        <f t="shared" ca="1" si="138"/>
        <v>13871.727412923226</v>
      </c>
      <c r="CV13" s="29">
        <f t="shared" ca="1" si="139"/>
        <v>13990.284037339097</v>
      </c>
      <c r="CW13" s="29">
        <f t="shared" ca="1" si="140"/>
        <v>14292.091070780785</v>
      </c>
      <c r="CX13" s="29">
        <f t="shared" ca="1" si="141"/>
        <v>14304.863020040753</v>
      </c>
      <c r="CY13" s="29">
        <f t="shared" ca="1" si="142"/>
        <v>14608.041142415992</v>
      </c>
      <c r="CZ13" s="29">
        <f t="shared" ca="1" si="143"/>
        <v>13475.622412364841</v>
      </c>
      <c r="DA13" s="29">
        <f t="shared" ca="1" si="144"/>
        <v>14374.774449901604</v>
      </c>
      <c r="DB13" s="29">
        <f t="shared" ca="1" si="145"/>
        <v>15481.399350334066</v>
      </c>
      <c r="DC13" s="29">
        <f t="shared" ca="1" si="146"/>
        <v>15018.335683277599</v>
      </c>
      <c r="DD13" s="29">
        <f t="shared" ca="1" si="147"/>
        <v>13805.096332045065</v>
      </c>
      <c r="DE13" s="29">
        <f t="shared" ca="1" si="148"/>
        <v>14651.957382571152</v>
      </c>
      <c r="DF13" s="29">
        <f t="shared" ca="1" si="149"/>
        <v>14101.043634903674</v>
      </c>
      <c r="DG13" s="29">
        <f t="shared" ca="1" si="150"/>
        <v>14497.583464954583</v>
      </c>
      <c r="DH13" s="29">
        <f t="shared" ca="1" si="151"/>
        <v>14111.702457615009</v>
      </c>
      <c r="DI13" s="29">
        <f t="shared" ca="1" si="152"/>
        <v>14365.1915292345</v>
      </c>
      <c r="DJ13" s="29">
        <f t="shared" ca="1" si="153"/>
        <v>14638.487095811801</v>
      </c>
      <c r="DK13" s="29">
        <f t="shared" ca="1" si="154"/>
        <v>13828.927386128251</v>
      </c>
      <c r="DL13" s="29">
        <f t="shared" ca="1" si="155"/>
        <v>14930.125040372579</v>
      </c>
      <c r="DM13" s="29">
        <f t="shared" ca="1" si="156"/>
        <v>14376.148520244185</v>
      </c>
      <c r="DN13" s="29">
        <f t="shared" ca="1" si="157"/>
        <v>14904.375395402149</v>
      </c>
      <c r="DO13" s="29">
        <f t="shared" ca="1" si="158"/>
        <v>13946.19123853659</v>
      </c>
      <c r="DP13" s="29">
        <f t="shared" ca="1" si="159"/>
        <v>14479.01367922881</v>
      </c>
      <c r="DQ13" s="29">
        <f t="shared" ca="1" si="160"/>
        <v>14879.440824038196</v>
      </c>
      <c r="DR13" s="29">
        <f t="shared" ca="1" si="161"/>
        <v>13271.221673990476</v>
      </c>
      <c r="DS13" s="29">
        <f t="shared" ca="1" si="162"/>
        <v>14911.662970208597</v>
      </c>
      <c r="DT13" s="29">
        <f t="shared" ca="1" si="163"/>
        <v>14243.138567487631</v>
      </c>
      <c r="DU13" s="29">
        <f t="shared" ca="1" si="164"/>
        <v>14002.021949710172</v>
      </c>
      <c r="DV13" s="29">
        <f t="shared" ca="1" si="165"/>
        <v>14394.158298949826</v>
      </c>
      <c r="DW13" s="29">
        <f t="shared" ca="1" si="166"/>
        <v>14512.533653621014</v>
      </c>
      <c r="DX13" s="29">
        <f t="shared" ca="1" si="167"/>
        <v>14207.314552055348</v>
      </c>
      <c r="DY13" s="29">
        <f t="shared" ca="1" si="168"/>
        <v>14224.453029295793</v>
      </c>
      <c r="DZ13" s="29">
        <f t="shared" ca="1" si="169"/>
        <v>14628.340979749977</v>
      </c>
      <c r="EA13" s="29">
        <f t="shared" ca="1" si="170"/>
        <v>13814.926763474394</v>
      </c>
      <c r="EB13" s="29">
        <f t="shared" ca="1" si="171"/>
        <v>13617.484171348853</v>
      </c>
      <c r="EC13" s="29">
        <f t="shared" ca="1" si="172"/>
        <v>14677.345653741657</v>
      </c>
      <c r="ED13" s="29">
        <f t="shared" ca="1" si="173"/>
        <v>15070.744992437179</v>
      </c>
      <c r="EE13" s="29">
        <f t="shared" ca="1" si="174"/>
        <v>14454.047987115324</v>
      </c>
      <c r="EF13" s="29">
        <f t="shared" ca="1" si="175"/>
        <v>14647.514425485095</v>
      </c>
      <c r="EG13" s="29">
        <f t="shared" ca="1" si="176"/>
        <v>14974.332730064063</v>
      </c>
      <c r="EH13" s="29">
        <f t="shared" ca="1" si="177"/>
        <v>13968.63102438169</v>
      </c>
      <c r="EI13" s="29">
        <f t="shared" ca="1" si="178"/>
        <v>14305.276972995272</v>
      </c>
      <c r="EJ13" s="29">
        <f t="shared" ca="1" si="179"/>
        <v>14598.97698664668</v>
      </c>
      <c r="EK13" s="29">
        <f t="shared" ca="1" si="180"/>
        <v>14427.897499277015</v>
      </c>
      <c r="EL13" s="29">
        <f t="shared" ca="1" si="181"/>
        <v>14723.418225465675</v>
      </c>
      <c r="EM13" s="29">
        <f t="shared" ca="1" si="182"/>
        <v>13702.478002265161</v>
      </c>
      <c r="EN13" s="29">
        <f t="shared" ca="1" si="183"/>
        <v>14379.996431298039</v>
      </c>
      <c r="EO13" s="29">
        <f t="shared" ca="1" si="184"/>
        <v>13988.563450057703</v>
      </c>
      <c r="EP13" s="29">
        <f t="shared" ca="1" si="185"/>
        <v>14474.454085765286</v>
      </c>
      <c r="EQ13" s="29">
        <f t="shared" ca="1" si="186"/>
        <v>14324.985286762118</v>
      </c>
      <c r="ER13" s="29">
        <f t="shared" ca="1" si="187"/>
        <v>14263.639740131875</v>
      </c>
      <c r="ES13" s="29">
        <f t="shared" ca="1" si="188"/>
        <v>14424.323720383452</v>
      </c>
      <c r="ET13" s="29">
        <f t="shared" ca="1" si="189"/>
        <v>14655.767868741979</v>
      </c>
      <c r="EU13" s="29">
        <f t="shared" ca="1" si="190"/>
        <v>14680.38711774767</v>
      </c>
      <c r="EV13" s="29">
        <f t="shared" ca="1" si="191"/>
        <v>14662.043859936502</v>
      </c>
      <c r="EW13" s="29">
        <f t="shared" ca="1" si="192"/>
        <v>14180.15464230517</v>
      </c>
      <c r="EX13" s="29">
        <f t="shared" ca="1" si="193"/>
        <v>15012.233826196403</v>
      </c>
      <c r="EY13" s="29">
        <f t="shared" ca="1" si="194"/>
        <v>14167.934271573436</v>
      </c>
      <c r="EZ13" s="29">
        <f t="shared" ca="1" si="195"/>
        <v>14534.683560816518</v>
      </c>
      <c r="FA13" s="29">
        <f t="shared" ca="1" si="196"/>
        <v>14743.837807985237</v>
      </c>
      <c r="FB13" s="29">
        <f t="shared" ca="1" si="197"/>
        <v>15747.592330798101</v>
      </c>
      <c r="FC13" s="29">
        <f t="shared" ca="1" si="198"/>
        <v>15002.045592603112</v>
      </c>
      <c r="FD13" s="29">
        <f t="shared" ca="1" si="199"/>
        <v>14619.347155321562</v>
      </c>
      <c r="FE13" s="29">
        <f t="shared" ca="1" si="200"/>
        <v>15059.979056677243</v>
      </c>
      <c r="FF13" s="29">
        <f t="shared" ca="1" si="201"/>
        <v>14394.446523030649</v>
      </c>
      <c r="FG13" s="29">
        <f t="shared" ca="1" si="202"/>
        <v>13698.957481076832</v>
      </c>
      <c r="FH13" s="29">
        <f t="shared" ca="1" si="203"/>
        <v>14162.476314000303</v>
      </c>
      <c r="FI13" s="29">
        <f t="shared" ca="1" si="204"/>
        <v>14409.28348205423</v>
      </c>
      <c r="FJ13" s="29">
        <f t="shared" ca="1" si="205"/>
        <v>13982.765291988593</v>
      </c>
      <c r="FK13" s="29">
        <f t="shared" ca="1" si="206"/>
        <v>14581.110747177412</v>
      </c>
      <c r="FL13" s="29">
        <f t="shared" ca="1" si="207"/>
        <v>14107.594478807241</v>
      </c>
      <c r="FM13" s="29">
        <f t="shared" ca="1" si="208"/>
        <v>14679.838016459456</v>
      </c>
      <c r="FN13" s="29">
        <f t="shared" ca="1" si="209"/>
        <v>13453.678176951456</v>
      </c>
      <c r="FO13" s="29">
        <f t="shared" ca="1" si="210"/>
        <v>13745.810568926325</v>
      </c>
      <c r="FP13" s="29">
        <f t="shared" ca="1" si="211"/>
        <v>13446.025274680502</v>
      </c>
      <c r="FQ13" s="29">
        <f t="shared" ca="1" si="212"/>
        <v>14327.900518515225</v>
      </c>
      <c r="FR13" s="29">
        <f t="shared" ca="1" si="213"/>
        <v>14055.270006748577</v>
      </c>
      <c r="FS13" s="29">
        <f t="shared" ca="1" si="214"/>
        <v>14892.162873553669</v>
      </c>
      <c r="FT13" s="29">
        <f t="shared" ca="1" si="215"/>
        <v>14198.492029561137</v>
      </c>
      <c r="FU13" s="29">
        <f t="shared" ca="1" si="216"/>
        <v>14358.475054171942</v>
      </c>
      <c r="FV13" s="29">
        <f t="shared" ca="1" si="217"/>
        <v>14574.685641801283</v>
      </c>
      <c r="FW13" s="29">
        <f t="shared" ca="1" si="218"/>
        <v>14566.587428028595</v>
      </c>
      <c r="FX13" s="29">
        <f t="shared" ca="1" si="219"/>
        <v>15147.991254917262</v>
      </c>
      <c r="FY13" s="29">
        <f t="shared" ca="1" si="220"/>
        <v>14375.148717556498</v>
      </c>
      <c r="FZ13" s="29">
        <f t="shared" ca="1" si="221"/>
        <v>13702.145285203695</v>
      </c>
      <c r="GA13" s="29">
        <f t="shared" ca="1" si="222"/>
        <v>14000.982712179361</v>
      </c>
      <c r="GB13" s="29">
        <f t="shared" ca="1" si="223"/>
        <v>15529.751125707189</v>
      </c>
      <c r="GC13" s="29">
        <f t="shared" ca="1" si="224"/>
        <v>14979.614290323974</v>
      </c>
      <c r="GD13" s="29">
        <f t="shared" ca="1" si="225"/>
        <v>14579.888887116653</v>
      </c>
      <c r="GE13" s="29">
        <f t="shared" ca="1" si="226"/>
        <v>14358.517443569015</v>
      </c>
      <c r="GF13" s="29">
        <f t="shared" ca="1" si="227"/>
        <v>14575.721731763213</v>
      </c>
      <c r="GG13" s="29">
        <f t="shared" ca="1" si="228"/>
        <v>14281.978842412056</v>
      </c>
      <c r="GH13" s="29">
        <f t="shared" ca="1" si="229"/>
        <v>14226.011477328422</v>
      </c>
      <c r="GI13" s="29">
        <f t="shared" ca="1" si="230"/>
        <v>14040.360537538278</v>
      </c>
      <c r="GJ13" s="29">
        <f t="shared" ca="1" si="231"/>
        <v>13937.309880971919</v>
      </c>
      <c r="GK13" s="29">
        <f t="shared" ca="1" si="232"/>
        <v>13934.370226886751</v>
      </c>
      <c r="GL13" s="29">
        <f t="shared" ca="1" si="233"/>
        <v>14202.420380567832</v>
      </c>
      <c r="GM13" s="29">
        <f t="shared" ca="1" si="234"/>
        <v>13950.023264131489</v>
      </c>
      <c r="GN13" s="29">
        <f t="shared" ca="1" si="235"/>
        <v>13608.442114277348</v>
      </c>
      <c r="GO13" s="29">
        <f t="shared" ca="1" si="236"/>
        <v>13885.459361899106</v>
      </c>
      <c r="GP13" s="29">
        <f t="shared" ca="1" si="237"/>
        <v>15123.035025163839</v>
      </c>
      <c r="GQ13" s="29">
        <f t="shared" ca="1" si="238"/>
        <v>14441.814672969331</v>
      </c>
      <c r="GR13" s="29">
        <f t="shared" ca="1" si="239"/>
        <v>14275.352517637046</v>
      </c>
      <c r="GS13" s="29">
        <f t="shared" ca="1" si="240"/>
        <v>14453.508009440897</v>
      </c>
      <c r="GT13" s="29">
        <f t="shared" ca="1" si="241"/>
        <v>13700.153738347431</v>
      </c>
      <c r="GU13" s="29">
        <f t="shared" ca="1" si="242"/>
        <v>13545.62189333276</v>
      </c>
      <c r="GV13" s="29">
        <f t="shared" ca="1" si="243"/>
        <v>14529.271251081056</v>
      </c>
      <c r="GW13" s="29">
        <f t="shared" ca="1" si="244"/>
        <v>14291.342572492911</v>
      </c>
      <c r="GX13" s="29">
        <f t="shared" ca="1" si="245"/>
        <v>13795.858210107577</v>
      </c>
      <c r="GY13" s="29">
        <f t="shared" ca="1" si="246"/>
        <v>14505.812025145739</v>
      </c>
      <c r="GZ13" s="29">
        <f t="shared" ca="1" si="247"/>
        <v>14810.5913784819</v>
      </c>
      <c r="HA13" s="29">
        <f t="shared" ca="1" si="248"/>
        <v>15312.534827151509</v>
      </c>
      <c r="HB13" s="29">
        <f t="shared" ca="1" si="249"/>
        <v>14172.24995847637</v>
      </c>
      <c r="HC13" s="29">
        <f t="shared" ca="1" si="250"/>
        <v>14813.327149426244</v>
      </c>
      <c r="HD13" s="29">
        <f t="shared" ca="1" si="251"/>
        <v>14046.003296933592</v>
      </c>
      <c r="HE13" s="29">
        <f t="shared" ca="1" si="252"/>
        <v>14865.535859117268</v>
      </c>
      <c r="HF13" s="29">
        <f t="shared" ca="1" si="253"/>
        <v>14065.772501232566</v>
      </c>
      <c r="HG13" s="29">
        <f t="shared" ca="1" si="254"/>
        <v>13793.361855732863</v>
      </c>
      <c r="HH13" s="29">
        <f t="shared" ca="1" si="255"/>
        <v>13130.473554579572</v>
      </c>
      <c r="HI13" s="29">
        <f t="shared" ca="1" si="256"/>
        <v>14195.169205881464</v>
      </c>
      <c r="HJ13" s="29">
        <f t="shared" ca="1" si="257"/>
        <v>14186.935898995644</v>
      </c>
      <c r="HK13" s="29">
        <f t="shared" ca="1" si="258"/>
        <v>14974.170414324919</v>
      </c>
      <c r="HL13" s="29">
        <f t="shared" ca="1" si="259"/>
        <v>15018.738360540603</v>
      </c>
      <c r="HM13" s="29">
        <f t="shared" ca="1" si="260"/>
        <v>14185.938602822935</v>
      </c>
      <c r="HN13" s="29">
        <f t="shared" ca="1" si="261"/>
        <v>13932.93766495877</v>
      </c>
      <c r="HO13" s="29">
        <f t="shared" ca="1" si="262"/>
        <v>14956.835446556548</v>
      </c>
      <c r="HP13" s="29">
        <f t="shared" ca="1" si="263"/>
        <v>13787.330724644415</v>
      </c>
      <c r="HQ13" s="29">
        <f t="shared" ca="1" si="264"/>
        <v>14243.349520309297</v>
      </c>
      <c r="HR13" s="29">
        <f t="shared" ca="1" si="265"/>
        <v>14962.716815973574</v>
      </c>
      <c r="HS13" s="29">
        <f t="shared" ca="1" si="266"/>
        <v>14837.519323665307</v>
      </c>
      <c r="HT13" s="29">
        <f t="shared" ca="1" si="267"/>
        <v>14684.689877693148</v>
      </c>
      <c r="HU13" s="29">
        <f t="shared" ca="1" si="268"/>
        <v>14821.802738762317</v>
      </c>
      <c r="HV13" s="29">
        <f t="shared" ca="1" si="269"/>
        <v>14643.762727743631</v>
      </c>
      <c r="HW13" s="29">
        <f t="shared" ca="1" si="270"/>
        <v>14836.462133429775</v>
      </c>
      <c r="HX13" s="29">
        <f t="shared" ca="1" si="271"/>
        <v>14784.703874600094</v>
      </c>
      <c r="HY13" s="29">
        <f t="shared" ca="1" si="272"/>
        <v>14406.89643707369</v>
      </c>
      <c r="HZ13" s="29">
        <f t="shared" ca="1" si="273"/>
        <v>13957.268241906126</v>
      </c>
      <c r="IA13" s="29">
        <f t="shared" ca="1" si="274"/>
        <v>14892.840671990954</v>
      </c>
      <c r="IB13" s="29">
        <f t="shared" ca="1" si="275"/>
        <v>14836.14498323143</v>
      </c>
      <c r="IC13" s="29">
        <f t="shared" ca="1" si="276"/>
        <v>13671.982645121674</v>
      </c>
      <c r="ID13" s="29">
        <f t="shared" ca="1" si="277"/>
        <v>14874.007873008317</v>
      </c>
      <c r="IE13" s="29">
        <f t="shared" ca="1" si="278"/>
        <v>12989.573547315644</v>
      </c>
      <c r="IF13" s="29">
        <f t="shared" ca="1" si="279"/>
        <v>14558.328813480237</v>
      </c>
      <c r="IG13" s="29">
        <f t="shared" ca="1" si="280"/>
        <v>13864.187208526391</v>
      </c>
      <c r="IH13" s="29">
        <f t="shared" ca="1" si="281"/>
        <v>14303.509944503556</v>
      </c>
      <c r="II13" s="29">
        <f t="shared" ca="1" si="282"/>
        <v>14789.545692570458</v>
      </c>
      <c r="IJ13" s="29">
        <f t="shared" ca="1" si="283"/>
        <v>14616.175385601833</v>
      </c>
      <c r="IK13" s="29">
        <f t="shared" ca="1" si="284"/>
        <v>14097.280974274519</v>
      </c>
      <c r="IL13" s="29">
        <f t="shared" ca="1" si="285"/>
        <v>14878.649445316405</v>
      </c>
      <c r="IM13" s="29">
        <f t="shared" ca="1" si="286"/>
        <v>14228.977888046087</v>
      </c>
      <c r="IN13" s="29">
        <f t="shared" ca="1" si="287"/>
        <v>15567.693571938988</v>
      </c>
      <c r="IO13" s="29">
        <f t="shared" ca="1" si="288"/>
        <v>14867.240724839243</v>
      </c>
      <c r="IP13" s="29">
        <f t="shared" ca="1" si="289"/>
        <v>14894.184120711621</v>
      </c>
      <c r="IQ13" s="29">
        <f t="shared" ca="1" si="290"/>
        <v>13926.102770518859</v>
      </c>
      <c r="IR13" s="29">
        <f t="shared" ca="1" si="291"/>
        <v>14452.017479415577</v>
      </c>
      <c r="IS13" s="29">
        <f t="shared" ca="1" si="292"/>
        <v>13225.848316643733</v>
      </c>
      <c r="IT13" s="29">
        <f t="shared" ca="1" si="293"/>
        <v>15998.583411996868</v>
      </c>
      <c r="IU13" s="29">
        <f t="shared" ca="1" si="294"/>
        <v>15903.011782471283</v>
      </c>
      <c r="IV13" s="29">
        <f t="shared" ca="1" si="295"/>
        <v>14366.63223918806</v>
      </c>
      <c r="IW13" s="29">
        <f t="shared" ca="1" si="296"/>
        <v>14543.62158767596</v>
      </c>
      <c r="IX13" s="29">
        <f t="shared" ca="1" si="297"/>
        <v>15398.894966577745</v>
      </c>
      <c r="IY13" s="29">
        <f t="shared" ca="1" si="298"/>
        <v>13281.368977291047</v>
      </c>
      <c r="IZ13" s="29">
        <f t="shared" ca="1" si="299"/>
        <v>13528.716266481695</v>
      </c>
      <c r="JA13" s="29">
        <f t="shared" ca="1" si="300"/>
        <v>13578.707570162855</v>
      </c>
      <c r="JB13" s="29">
        <f t="shared" ca="1" si="301"/>
        <v>14532.077291866324</v>
      </c>
      <c r="JC13" s="29">
        <f t="shared" ca="1" si="302"/>
        <v>14207.481537695034</v>
      </c>
      <c r="JD13" s="29">
        <f t="shared" ca="1" si="303"/>
        <v>13756.448756442247</v>
      </c>
      <c r="JE13" s="29">
        <f t="shared" ca="1" si="304"/>
        <v>13297.118660097245</v>
      </c>
      <c r="JF13" s="29">
        <f t="shared" ca="1" si="305"/>
        <v>14520.342842028076</v>
      </c>
      <c r="JG13" s="29">
        <f t="shared" ca="1" si="306"/>
        <v>13879.726160254135</v>
      </c>
      <c r="JH13" s="29">
        <f t="shared" ca="1" si="307"/>
        <v>14628.894198417829</v>
      </c>
      <c r="JI13" s="29">
        <f t="shared" ca="1" si="308"/>
        <v>14285.853118367131</v>
      </c>
      <c r="JJ13" s="29">
        <f t="shared" ca="1" si="309"/>
        <v>14528.594796996011</v>
      </c>
      <c r="JK13" s="29">
        <f t="shared" ca="1" si="310"/>
        <v>13869.316911116759</v>
      </c>
      <c r="JL13" s="29">
        <f t="shared" ca="1" si="311"/>
        <v>14199.001244885336</v>
      </c>
      <c r="JM13" s="29">
        <f t="shared" ca="1" si="312"/>
        <v>13433.771181106893</v>
      </c>
      <c r="JN13" s="29">
        <f t="shared" ca="1" si="313"/>
        <v>14597.177195894224</v>
      </c>
      <c r="JO13" s="29">
        <f t="shared" ca="1" si="314"/>
        <v>14519.058084775967</v>
      </c>
      <c r="JP13" s="29">
        <f t="shared" ca="1" si="315"/>
        <v>15041.786598397946</v>
      </c>
      <c r="JQ13" s="29">
        <f t="shared" ca="1" si="316"/>
        <v>14632.847949657409</v>
      </c>
      <c r="JR13" s="29">
        <f t="shared" ca="1" si="317"/>
        <v>14947.911631974792</v>
      </c>
      <c r="JS13" s="29">
        <f t="shared" ca="1" si="318"/>
        <v>15158.9114425718</v>
      </c>
      <c r="JT13" s="29">
        <f t="shared" ca="1" si="319"/>
        <v>14628.77185531991</v>
      </c>
      <c r="JU13" s="29">
        <f t="shared" ca="1" si="320"/>
        <v>14401.851439784252</v>
      </c>
      <c r="JV13" s="29">
        <f t="shared" ca="1" si="321"/>
        <v>14582.773597098792</v>
      </c>
      <c r="JW13" s="29">
        <f t="shared" ca="1" si="322"/>
        <v>14842.337010598976</v>
      </c>
      <c r="JX13" s="29">
        <f t="shared" ca="1" si="323"/>
        <v>14719.726214119857</v>
      </c>
      <c r="JY13" s="29">
        <f t="shared" ca="1" si="324"/>
        <v>14657.062093205886</v>
      </c>
      <c r="JZ13" s="29">
        <f t="shared" ca="1" si="325"/>
        <v>14712.712576723477</v>
      </c>
      <c r="KA13" s="29">
        <f t="shared" ca="1" si="326"/>
        <v>14276.191769757321</v>
      </c>
      <c r="KB13" s="29">
        <f t="shared" ca="1" si="327"/>
        <v>13620.460756202076</v>
      </c>
      <c r="KC13" s="29">
        <f t="shared" ca="1" si="328"/>
        <v>14341.532055029385</v>
      </c>
      <c r="KD13" s="29">
        <f t="shared" ca="1" si="329"/>
        <v>14049.982722970806</v>
      </c>
      <c r="KE13" s="29">
        <f t="shared" ca="1" si="330"/>
        <v>15645.208769828334</v>
      </c>
      <c r="KF13" s="29">
        <f t="shared" ca="1" si="331"/>
        <v>14456.039342377124</v>
      </c>
      <c r="KG13" s="29">
        <f t="shared" ca="1" si="332"/>
        <v>14282.31465742714</v>
      </c>
      <c r="KH13" s="29">
        <f t="shared" ca="1" si="333"/>
        <v>14835.03270013293</v>
      </c>
      <c r="KI13" s="29">
        <f t="shared" ca="1" si="334"/>
        <v>13818.414536689517</v>
      </c>
      <c r="KJ13" s="29">
        <f t="shared" ca="1" si="335"/>
        <v>14855.050905706479</v>
      </c>
      <c r="KK13" s="29">
        <f t="shared" ca="1" si="336"/>
        <v>14153.451176280214</v>
      </c>
      <c r="KL13" s="29">
        <f t="shared" ca="1" si="337"/>
        <v>14028.577243025582</v>
      </c>
      <c r="KM13" s="29">
        <f t="shared" ca="1" si="338"/>
        <v>15381.539582147518</v>
      </c>
      <c r="KN13" s="29">
        <f t="shared" ca="1" si="339"/>
        <v>13938.123454083378</v>
      </c>
      <c r="KO13" s="29">
        <f t="shared" ca="1" si="340"/>
        <v>14559.526823720231</v>
      </c>
      <c r="KP13" s="29">
        <f t="shared" ca="1" si="341"/>
        <v>14008.430291039389</v>
      </c>
      <c r="KQ13" s="29">
        <f t="shared" ca="1" si="342"/>
        <v>14153.311918666723</v>
      </c>
      <c r="KR13" s="29">
        <f t="shared" ca="1" si="343"/>
        <v>13957.825419618552</v>
      </c>
      <c r="KS13" s="29">
        <f t="shared" ca="1" si="344"/>
        <v>13624.656532788322</v>
      </c>
      <c r="KT13" s="29">
        <f t="shared" ca="1" si="345"/>
        <v>14668.16094062141</v>
      </c>
      <c r="KU13" s="29">
        <f t="shared" ca="1" si="346"/>
        <v>14087.495342069406</v>
      </c>
      <c r="KV13" s="29">
        <f t="shared" ca="1" si="347"/>
        <v>13908.715155373202</v>
      </c>
      <c r="KW13" s="29">
        <f t="shared" ca="1" si="348"/>
        <v>14903.357631644414</v>
      </c>
      <c r="KX13" s="29">
        <f t="shared" ca="1" si="349"/>
        <v>12980.921518023672</v>
      </c>
      <c r="KY13" s="29">
        <f t="shared" ca="1" si="350"/>
        <v>14825.971362946426</v>
      </c>
      <c r="KZ13" s="29">
        <f t="shared" ca="1" si="351"/>
        <v>14242.490217271043</v>
      </c>
      <c r="LA13" s="29">
        <f t="shared" ca="1" si="352"/>
        <v>15541.582550778146</v>
      </c>
      <c r="LB13" s="29">
        <f t="shared" ca="1" si="353"/>
        <v>14194.639063591585</v>
      </c>
      <c r="LC13" s="29">
        <f t="shared" ca="1" si="354"/>
        <v>14232.546436307224</v>
      </c>
      <c r="LD13" s="29">
        <f t="shared" ca="1" si="355"/>
        <v>13427.652444994928</v>
      </c>
      <c r="LE13" s="29">
        <f t="shared" ca="1" si="356"/>
        <v>14100.403466927592</v>
      </c>
      <c r="LF13" s="29">
        <f t="shared" ca="1" si="357"/>
        <v>14304.140177257472</v>
      </c>
      <c r="LG13" s="29">
        <f t="shared" ca="1" si="358"/>
        <v>14455.302900437358</v>
      </c>
      <c r="LH13" s="29">
        <f t="shared" ca="1" si="359"/>
        <v>13693.525636803639</v>
      </c>
      <c r="LI13" s="29">
        <f t="shared" ca="1" si="360"/>
        <v>14053.442760362308</v>
      </c>
      <c r="LJ13" s="29">
        <f t="shared" ca="1" si="361"/>
        <v>14454.816956007198</v>
      </c>
      <c r="LK13" s="29">
        <f t="shared" ca="1" si="362"/>
        <v>14376.506323315263</v>
      </c>
      <c r="LL13" s="29">
        <f t="shared" ca="1" si="363"/>
        <v>14176.486724344259</v>
      </c>
      <c r="LM13" s="29">
        <f t="shared" ca="1" si="364"/>
        <v>14637.909628725925</v>
      </c>
      <c r="LN13" s="29">
        <f t="shared" ca="1" si="365"/>
        <v>15138.369310421331</v>
      </c>
      <c r="LO13" s="29">
        <f t="shared" ca="1" si="366"/>
        <v>13893.204727083619</v>
      </c>
      <c r="LP13" s="29">
        <f t="shared" ca="1" si="367"/>
        <v>14355.547660015416</v>
      </c>
      <c r="LQ13" s="29">
        <f t="shared" ca="1" si="368"/>
        <v>15690.013339879299</v>
      </c>
      <c r="LR13" s="29">
        <f t="shared" ca="1" si="369"/>
        <v>14371.235843000934</v>
      </c>
      <c r="LS13" s="29">
        <f t="shared" ca="1" si="370"/>
        <v>14202.75346459868</v>
      </c>
      <c r="LT13" s="29">
        <f t="shared" ca="1" si="371"/>
        <v>13995.195153954561</v>
      </c>
      <c r="LU13" s="29">
        <f t="shared" ca="1" si="372"/>
        <v>14839.608266972786</v>
      </c>
      <c r="LV13" s="29">
        <f t="shared" ca="1" si="373"/>
        <v>14193.344920212239</v>
      </c>
      <c r="LW13" s="29">
        <f t="shared" ca="1" si="374"/>
        <v>14632.547891836941</v>
      </c>
      <c r="LX13" s="29">
        <f t="shared" ca="1" si="375"/>
        <v>14224.887657575402</v>
      </c>
      <c r="LY13" s="29">
        <f t="shared" ca="1" si="376"/>
        <v>14547.156444404302</v>
      </c>
      <c r="LZ13" s="29">
        <f t="shared" ca="1" si="377"/>
        <v>15007.798268492612</v>
      </c>
      <c r="MA13" s="29">
        <f t="shared" ca="1" si="378"/>
        <v>14159.089571448054</v>
      </c>
      <c r="MB13" s="29">
        <f t="shared" ca="1" si="379"/>
        <v>13901.709548967159</v>
      </c>
      <c r="MC13" s="29">
        <f t="shared" ca="1" si="380"/>
        <v>14656.696890129113</v>
      </c>
      <c r="MD13" s="29">
        <f t="shared" ca="1" si="381"/>
        <v>15100.522495329316</v>
      </c>
      <c r="ME13" s="29">
        <f t="shared" ca="1" si="382"/>
        <v>13101.594218489257</v>
      </c>
      <c r="MF13" s="29">
        <f t="shared" ca="1" si="383"/>
        <v>14336.99258110878</v>
      </c>
      <c r="MG13" s="29">
        <f t="shared" ca="1" si="384"/>
        <v>14028.055845961911</v>
      </c>
      <c r="MH13" s="29">
        <f t="shared" ca="1" si="385"/>
        <v>14466.424198970191</v>
      </c>
      <c r="MI13" s="29">
        <f t="shared" ca="1" si="386"/>
        <v>14667.644396420597</v>
      </c>
      <c r="MJ13" s="29">
        <f t="shared" ca="1" si="387"/>
        <v>14893.032492888853</v>
      </c>
      <c r="MK13" s="29">
        <f t="shared" ca="1" si="388"/>
        <v>14155.38117129318</v>
      </c>
      <c r="ML13" s="29">
        <f t="shared" ca="1" si="389"/>
        <v>15786.703693202357</v>
      </c>
      <c r="MM13" s="29">
        <f t="shared" ca="1" si="390"/>
        <v>15047.689011475883</v>
      </c>
      <c r="MN13" s="29">
        <f t="shared" ca="1" si="391"/>
        <v>14540.733886568441</v>
      </c>
      <c r="MO13" s="29">
        <f t="shared" ca="1" si="392"/>
        <v>13833.001197394668</v>
      </c>
      <c r="MP13" s="29">
        <f t="shared" ca="1" si="393"/>
        <v>14047.846188548752</v>
      </c>
      <c r="MQ13" s="29">
        <f t="shared" ca="1" si="394"/>
        <v>14609.192096718543</v>
      </c>
      <c r="MR13" s="29">
        <f t="shared" ca="1" si="395"/>
        <v>14105.484828057248</v>
      </c>
      <c r="MS13" s="29">
        <f t="shared" ca="1" si="396"/>
        <v>13520.115517627815</v>
      </c>
      <c r="MT13" s="29">
        <f t="shared" ca="1" si="397"/>
        <v>14657.275796332893</v>
      </c>
      <c r="MU13" s="29">
        <f t="shared" ca="1" si="398"/>
        <v>14042.099489404092</v>
      </c>
      <c r="MV13" s="29">
        <f t="shared" ca="1" si="399"/>
        <v>13817.103863789382</v>
      </c>
      <c r="MW13" s="29">
        <f t="shared" ca="1" si="400"/>
        <v>14088.26277987444</v>
      </c>
      <c r="MX13" s="29">
        <f t="shared" ca="1" si="401"/>
        <v>14605.955098505094</v>
      </c>
      <c r="MY13" s="29">
        <f t="shared" ca="1" si="402"/>
        <v>14617.109292893947</v>
      </c>
      <c r="MZ13" s="29">
        <f t="shared" ca="1" si="403"/>
        <v>15223.878077656102</v>
      </c>
      <c r="NA13" s="29">
        <f t="shared" ca="1" si="404"/>
        <v>14445.706407823433</v>
      </c>
      <c r="NB13" s="29">
        <f t="shared" ca="1" si="405"/>
        <v>14815.520571745255</v>
      </c>
      <c r="NC13" s="29">
        <f t="shared" ca="1" si="406"/>
        <v>14050.305597541599</v>
      </c>
      <c r="ND13" s="29">
        <f t="shared" ca="1" si="407"/>
        <v>13932.288564557199</v>
      </c>
      <c r="NE13" s="29">
        <f t="shared" ca="1" si="408"/>
        <v>14923.494384028591</v>
      </c>
      <c r="NF13" s="29">
        <f t="shared" ca="1" si="409"/>
        <v>14865.739842386454</v>
      </c>
      <c r="NG13" s="29">
        <f t="shared" ca="1" si="410"/>
        <v>13795.006464261754</v>
      </c>
      <c r="NH13" s="29">
        <f t="shared" ca="1" si="411"/>
        <v>14152.430547770997</v>
      </c>
      <c r="NI13" s="29">
        <f t="shared" ca="1" si="412"/>
        <v>14730.787124365759</v>
      </c>
      <c r="NJ13" s="29">
        <f t="shared" ca="1" si="413"/>
        <v>14667.667415126858</v>
      </c>
      <c r="NK13" s="29">
        <f t="shared" ca="1" si="414"/>
        <v>14938.738876055208</v>
      </c>
      <c r="NL13" s="29">
        <f t="shared" ca="1" si="415"/>
        <v>13897.322471002155</v>
      </c>
      <c r="NM13" s="29">
        <f t="shared" ca="1" si="416"/>
        <v>14997.6390143344</v>
      </c>
      <c r="NN13" s="29">
        <f t="shared" ca="1" si="417"/>
        <v>14525.953466966801</v>
      </c>
      <c r="NO13" s="29">
        <f t="shared" ca="1" si="418"/>
        <v>14372.318984933567</v>
      </c>
      <c r="NP13" s="29">
        <f t="shared" ca="1" si="419"/>
        <v>13659.036460896255</v>
      </c>
      <c r="NQ13" s="29">
        <f t="shared" ca="1" si="420"/>
        <v>15196.661640219338</v>
      </c>
      <c r="NR13" s="29">
        <f t="shared" ca="1" si="421"/>
        <v>14641.365258816442</v>
      </c>
      <c r="NS13" s="29">
        <f t="shared" ca="1" si="422"/>
        <v>14439.001099835257</v>
      </c>
      <c r="NT13" s="29">
        <f t="shared" ca="1" si="423"/>
        <v>14516.20059446264</v>
      </c>
      <c r="NU13" s="29">
        <f t="shared" ca="1" si="424"/>
        <v>14348.506609731769</v>
      </c>
      <c r="NV13" s="29">
        <f t="shared" ca="1" si="425"/>
        <v>13881.903224186577</v>
      </c>
      <c r="NW13" s="29">
        <f t="shared" ca="1" si="426"/>
        <v>13896.653913503618</v>
      </c>
      <c r="NX13" s="29">
        <f t="shared" ca="1" si="427"/>
        <v>14731.643447636374</v>
      </c>
      <c r="NY13" s="29">
        <f t="shared" ca="1" si="428"/>
        <v>14860.706602953234</v>
      </c>
      <c r="NZ13" s="29">
        <f t="shared" ca="1" si="429"/>
        <v>13928.782565148162</v>
      </c>
      <c r="OA13" s="29">
        <f t="shared" ca="1" si="430"/>
        <v>14539.139261996825</v>
      </c>
      <c r="OB13" s="29">
        <f t="shared" ca="1" si="431"/>
        <v>15201.837908548321</v>
      </c>
      <c r="OC13" s="29">
        <f t="shared" ca="1" si="432"/>
        <v>14293.413583428252</v>
      </c>
      <c r="OD13" s="29">
        <f t="shared" ca="1" si="433"/>
        <v>14755.218115015226</v>
      </c>
      <c r="OE13" s="29">
        <f t="shared" ca="1" si="434"/>
        <v>15449.716142183799</v>
      </c>
      <c r="OF13" s="29">
        <f t="shared" ca="1" si="435"/>
        <v>14181.089135197888</v>
      </c>
      <c r="OG13" s="29">
        <f t="shared" ca="1" si="436"/>
        <v>15053.788484722152</v>
      </c>
      <c r="OH13" s="29">
        <f t="shared" ca="1" si="437"/>
        <v>15003.804298153103</v>
      </c>
      <c r="OI13" s="29">
        <f t="shared" ca="1" si="438"/>
        <v>14452.483026656993</v>
      </c>
      <c r="OJ13" s="29">
        <f t="shared" ca="1" si="439"/>
        <v>14213.19792419365</v>
      </c>
      <c r="OK13" s="29">
        <f t="shared" ca="1" si="440"/>
        <v>13742.119925107976</v>
      </c>
      <c r="OL13" s="29">
        <f t="shared" ca="1" si="441"/>
        <v>14556.084297234693</v>
      </c>
      <c r="OM13" s="29">
        <f t="shared" ca="1" si="442"/>
        <v>13873.980171464409</v>
      </c>
      <c r="ON13" s="29">
        <f t="shared" ca="1" si="443"/>
        <v>14781.227938100219</v>
      </c>
      <c r="OO13" s="29">
        <f t="shared" ca="1" si="444"/>
        <v>14063.689941813935</v>
      </c>
      <c r="OP13" s="29">
        <f t="shared" ca="1" si="445"/>
        <v>15170.154446156525</v>
      </c>
      <c r="OQ13" s="29">
        <f t="shared" ca="1" si="446"/>
        <v>14130.881614812532</v>
      </c>
      <c r="OR13" s="29">
        <f t="shared" ca="1" si="447"/>
        <v>13305.784298868884</v>
      </c>
      <c r="OS13" s="29">
        <f t="shared" ca="1" si="448"/>
        <v>13644.529130774868</v>
      </c>
      <c r="OT13" s="29">
        <f t="shared" ca="1" si="449"/>
        <v>14772.221744070299</v>
      </c>
      <c r="OU13" s="29">
        <f t="shared" ca="1" si="450"/>
        <v>14187.799602810435</v>
      </c>
      <c r="OV13" s="29">
        <f t="shared" ca="1" si="451"/>
        <v>15126.220805123396</v>
      </c>
      <c r="OW13" s="29">
        <f t="shared" ca="1" si="452"/>
        <v>14942.17839830133</v>
      </c>
      <c r="OX13" s="29">
        <f t="shared" ca="1" si="453"/>
        <v>14805.411079226282</v>
      </c>
      <c r="OY13" s="29">
        <f t="shared" ca="1" si="454"/>
        <v>14622.517402567117</v>
      </c>
      <c r="OZ13" s="29">
        <f t="shared" ca="1" si="455"/>
        <v>13562.576580213185</v>
      </c>
      <c r="PA13" s="29">
        <f t="shared" ca="1" si="456"/>
        <v>14365.821793864825</v>
      </c>
      <c r="PB13" s="29">
        <f t="shared" ca="1" si="457"/>
        <v>13692.370448132446</v>
      </c>
      <c r="PC13" s="29">
        <f t="shared" ca="1" si="458"/>
        <v>14510.732307439132</v>
      </c>
      <c r="PD13" s="29">
        <f t="shared" ca="1" si="459"/>
        <v>15239.385322129629</v>
      </c>
      <c r="PE13" s="29">
        <f t="shared" ca="1" si="460"/>
        <v>14257.764468217885</v>
      </c>
      <c r="PF13" s="29">
        <f t="shared" ca="1" si="461"/>
        <v>14647.569802382735</v>
      </c>
      <c r="PG13" s="29">
        <f t="shared" ca="1" si="462"/>
        <v>14879.553089583915</v>
      </c>
      <c r="PH13" s="29">
        <f t="shared" ca="1" si="463"/>
        <v>14428.959435956438</v>
      </c>
      <c r="PI13" s="29">
        <f t="shared" ca="1" si="464"/>
        <v>13231.90101074029</v>
      </c>
      <c r="PJ13" s="29">
        <f t="shared" ca="1" si="465"/>
        <v>14743.029701308767</v>
      </c>
      <c r="PK13" s="29">
        <f t="shared" ca="1" si="466"/>
        <v>13985.313516333403</v>
      </c>
      <c r="PL13" s="29">
        <f t="shared" ca="1" si="467"/>
        <v>13672.124875075639</v>
      </c>
      <c r="PM13" s="29">
        <f t="shared" ca="1" si="468"/>
        <v>13746.065448390666</v>
      </c>
      <c r="PN13" s="29">
        <f t="shared" ca="1" si="469"/>
        <v>14215.655391033702</v>
      </c>
      <c r="PO13" s="29">
        <f t="shared" ca="1" si="470"/>
        <v>14574.794415099439</v>
      </c>
      <c r="PP13" s="29">
        <f t="shared" ca="1" si="471"/>
        <v>14184.882461950114</v>
      </c>
      <c r="PQ13" s="29">
        <f t="shared" ca="1" si="472"/>
        <v>14571.432595396198</v>
      </c>
      <c r="PR13" s="29">
        <f t="shared" ca="1" si="473"/>
        <v>14061.075306245137</v>
      </c>
      <c r="PS13" s="29">
        <f t="shared" ca="1" si="474"/>
        <v>15106.696818231805</v>
      </c>
      <c r="PT13" s="29">
        <f t="shared" ca="1" si="475"/>
        <v>14375.200383406276</v>
      </c>
      <c r="PU13" s="29">
        <f t="shared" ca="1" si="476"/>
        <v>14423.586700677055</v>
      </c>
      <c r="PV13" s="29">
        <f t="shared" ca="1" si="477"/>
        <v>14973.189925063238</v>
      </c>
      <c r="PW13" s="29">
        <f t="shared" ca="1" si="478"/>
        <v>14382.994945739749</v>
      </c>
      <c r="PX13" s="29">
        <f t="shared" ca="1" si="479"/>
        <v>14399.097557402309</v>
      </c>
      <c r="PY13" s="29">
        <f t="shared" ca="1" si="480"/>
        <v>14280.837781739618</v>
      </c>
      <c r="PZ13" s="29">
        <f t="shared" ca="1" si="481"/>
        <v>12698.55796664867</v>
      </c>
      <c r="QA13" s="29">
        <f t="shared" ca="1" si="482"/>
        <v>15242.101789006343</v>
      </c>
      <c r="QB13" s="29">
        <f t="shared" ca="1" si="483"/>
        <v>14243.024155680987</v>
      </c>
      <c r="QC13" s="29">
        <f t="shared" ca="1" si="484"/>
        <v>13921.320939622525</v>
      </c>
      <c r="QD13" s="29">
        <f t="shared" ca="1" si="485"/>
        <v>14010.750891388574</v>
      </c>
      <c r="QE13" s="29">
        <f t="shared" ca="1" si="486"/>
        <v>14581.409762405754</v>
      </c>
      <c r="QF13" s="29">
        <f t="shared" ca="1" si="487"/>
        <v>14712.583120008276</v>
      </c>
      <c r="QG13" s="29">
        <f t="shared" ca="1" si="488"/>
        <v>15056.73734015519</v>
      </c>
      <c r="QH13" s="29">
        <f t="shared" ca="1" si="489"/>
        <v>15493.813068656547</v>
      </c>
      <c r="QI13" s="29">
        <f t="shared" ca="1" si="490"/>
        <v>15106.23984857723</v>
      </c>
      <c r="QJ13" s="29">
        <f t="shared" ca="1" si="491"/>
        <v>14023.93574859102</v>
      </c>
      <c r="QK13" s="29">
        <f t="shared" ca="1" si="492"/>
        <v>14731.956749716705</v>
      </c>
      <c r="QL13" s="29">
        <f t="shared" ca="1" si="493"/>
        <v>14109.723681047073</v>
      </c>
      <c r="QM13" s="29">
        <f t="shared" ca="1" si="494"/>
        <v>13785.030879096288</v>
      </c>
      <c r="QN13" s="29">
        <f t="shared" ca="1" si="495"/>
        <v>14981.252849247974</v>
      </c>
      <c r="QO13" s="29">
        <f t="shared" ca="1" si="496"/>
        <v>14097.029517731276</v>
      </c>
      <c r="QP13" s="29">
        <f t="shared" ca="1" si="497"/>
        <v>14669.261198310007</v>
      </c>
      <c r="QQ13" s="29">
        <f t="shared" ca="1" si="498"/>
        <v>15063.873265192226</v>
      </c>
      <c r="QR13" s="29">
        <f t="shared" ca="1" si="499"/>
        <v>14673.552373772935</v>
      </c>
      <c r="QS13" s="29">
        <f t="shared" ca="1" si="500"/>
        <v>14762.674703587307</v>
      </c>
      <c r="QT13" s="29">
        <f t="shared" ca="1" si="501"/>
        <v>15257.648393697373</v>
      </c>
      <c r="QU13" s="29">
        <f t="shared" ca="1" si="502"/>
        <v>14209.651825535837</v>
      </c>
      <c r="QV13" s="29">
        <f t="shared" ca="1" si="503"/>
        <v>14547.201065973462</v>
      </c>
      <c r="QW13" s="29">
        <f t="shared" ca="1" si="504"/>
        <v>14389.157850832316</v>
      </c>
      <c r="QX13" s="29">
        <f t="shared" ca="1" si="505"/>
        <v>14518.713673458789</v>
      </c>
      <c r="QY13" s="29">
        <f t="shared" ca="1" si="506"/>
        <v>15053.365246478033</v>
      </c>
      <c r="QZ13" s="29">
        <f t="shared" ca="1" si="507"/>
        <v>14221.216861888202</v>
      </c>
      <c r="RA13" s="29">
        <f t="shared" ca="1" si="508"/>
        <v>14000.914294010625</v>
      </c>
      <c r="RB13" s="29">
        <f t="shared" ca="1" si="509"/>
        <v>13571.257091219546</v>
      </c>
      <c r="RC13" s="29">
        <f t="shared" ca="1" si="510"/>
        <v>14329.044141993596</v>
      </c>
      <c r="RD13" s="29">
        <f t="shared" ca="1" si="511"/>
        <v>14396.111421168638</v>
      </c>
      <c r="RE13" s="29">
        <f t="shared" ca="1" si="512"/>
        <v>14882.305524431251</v>
      </c>
      <c r="RF13" s="29">
        <f t="shared" ca="1" si="513"/>
        <v>14649.924195674428</v>
      </c>
      <c r="RG13" s="29">
        <f t="shared" ca="1" si="514"/>
        <v>14430.775930086736</v>
      </c>
      <c r="RH13" s="29">
        <f t="shared" ca="1" si="515"/>
        <v>13644.816629913901</v>
      </c>
      <c r="RI13" s="29">
        <f t="shared" ca="1" si="516"/>
        <v>14380.842410538298</v>
      </c>
      <c r="RJ13" s="29">
        <f t="shared" ca="1" si="517"/>
        <v>14640.367424649698</v>
      </c>
      <c r="RK13" s="29">
        <f t="shared" ca="1" si="518"/>
        <v>13967.112225269331</v>
      </c>
      <c r="RL13" s="29">
        <f t="shared" ca="1" si="519"/>
        <v>13795.845945473053</v>
      </c>
      <c r="RM13" s="29">
        <f t="shared" ca="1" si="520"/>
        <v>14424.12226729467</v>
      </c>
      <c r="RN13" s="29">
        <f t="shared" ca="1" si="521"/>
        <v>14021.667302946493</v>
      </c>
      <c r="RO13" s="29">
        <f t="shared" ca="1" si="522"/>
        <v>14100.516419610505</v>
      </c>
      <c r="RP13" s="29">
        <f t="shared" ca="1" si="523"/>
        <v>14811.824909271167</v>
      </c>
      <c r="RQ13" s="29">
        <f t="shared" ca="1" si="524"/>
        <v>14449.54804514086</v>
      </c>
      <c r="RR13" s="29">
        <f t="shared" ca="1" si="525"/>
        <v>14688.522579806215</v>
      </c>
      <c r="RS13" s="29">
        <f t="shared" ca="1" si="526"/>
        <v>14913.495691951004</v>
      </c>
      <c r="RT13" s="29">
        <f t="shared" ca="1" si="527"/>
        <v>14426.668648988951</v>
      </c>
      <c r="RU13" s="29">
        <f t="shared" ca="1" si="528"/>
        <v>13942.745912123008</v>
      </c>
      <c r="RV13" s="29">
        <f t="shared" ca="1" si="529"/>
        <v>14216.085314901602</v>
      </c>
      <c r="RW13" s="29">
        <f t="shared" ca="1" si="530"/>
        <v>15100.141118807998</v>
      </c>
      <c r="RX13" s="29">
        <f t="shared" ca="1" si="531"/>
        <v>14364.918558531708</v>
      </c>
      <c r="RY13" s="29">
        <f t="shared" ca="1" si="532"/>
        <v>14311.069845950922</v>
      </c>
      <c r="RZ13" s="29">
        <f t="shared" ca="1" si="533"/>
        <v>15708.093723021715</v>
      </c>
      <c r="SA13" s="29">
        <f t="shared" ca="1" si="534"/>
        <v>14496.366827501173</v>
      </c>
      <c r="SB13" s="29">
        <f t="shared" ca="1" si="535"/>
        <v>14084.515770001419</v>
      </c>
      <c r="SC13" s="29">
        <f t="shared" ca="1" si="536"/>
        <v>14721.376762545735</v>
      </c>
      <c r="SD13" s="29">
        <f t="shared" ca="1" si="537"/>
        <v>14386.538117823571</v>
      </c>
      <c r="SE13" s="29">
        <f t="shared" ca="1" si="538"/>
        <v>13863.631905833872</v>
      </c>
      <c r="SF13" s="29">
        <f t="shared" ca="1" si="539"/>
        <v>14037.667413830764</v>
      </c>
      <c r="SG13" s="29">
        <f t="shared" ca="1" si="540"/>
        <v>14959.744393235851</v>
      </c>
      <c r="SH13" s="29">
        <f t="shared" ca="1" si="541"/>
        <v>14869.586101694076</v>
      </c>
      <c r="SI13" s="29">
        <f t="shared" ca="1" si="542"/>
        <v>13955.356523153529</v>
      </c>
      <c r="SJ13" s="29">
        <f t="shared" ca="1" si="543"/>
        <v>13777.210836924647</v>
      </c>
      <c r="SK13" s="29">
        <f t="shared" ca="1" si="544"/>
        <v>14802.207688480874</v>
      </c>
      <c r="SL13" s="29">
        <f t="shared" ca="1" si="545"/>
        <v>14469.67399427977</v>
      </c>
      <c r="SM13" s="29">
        <f t="shared" ca="1" si="546"/>
        <v>14610.427223441753</v>
      </c>
      <c r="SN13" s="29">
        <f t="shared" ca="1" si="547"/>
        <v>14523.435528331753</v>
      </c>
      <c r="SO13" s="29">
        <f t="shared" ca="1" si="548"/>
        <v>13927.744091366627</v>
      </c>
      <c r="SP13" s="29">
        <f t="shared" ca="1" si="549"/>
        <v>15051.233957294233</v>
      </c>
      <c r="SQ13" s="29">
        <f t="shared" ca="1" si="550"/>
        <v>14389.937743347735</v>
      </c>
      <c r="SR13" s="29">
        <f t="shared" ca="1" si="551"/>
        <v>14153.601236652048</v>
      </c>
      <c r="SS13" s="29">
        <f t="shared" ca="1" si="552"/>
        <v>14520.299271275602</v>
      </c>
      <c r="ST13" s="29">
        <f t="shared" ca="1" si="553"/>
        <v>14319.999829128048</v>
      </c>
      <c r="SU13" s="29">
        <f t="shared" ca="1" si="554"/>
        <v>15292.123900078102</v>
      </c>
      <c r="SV13" s="29">
        <f t="shared" ca="1" si="555"/>
        <v>14358.841447645305</v>
      </c>
      <c r="SW13" s="29">
        <f t="shared" ca="1" si="556"/>
        <v>14165.792583032258</v>
      </c>
      <c r="SX13" s="29">
        <f t="shared" ca="1" si="557"/>
        <v>13866.258400815746</v>
      </c>
      <c r="SY13" s="29">
        <f t="shared" ca="1" si="558"/>
        <v>14275.381373600221</v>
      </c>
      <c r="SZ13" s="29">
        <f t="shared" ca="1" si="559"/>
        <v>15314.974556180325</v>
      </c>
      <c r="TA13" s="29">
        <f t="shared" ca="1" si="560"/>
        <v>14086.797168747578</v>
      </c>
      <c r="TB13" s="29">
        <f t="shared" ca="1" si="561"/>
        <v>14244.582196894447</v>
      </c>
      <c r="TC13" s="29">
        <f t="shared" ca="1" si="562"/>
        <v>14882.673843863169</v>
      </c>
      <c r="TD13" s="29">
        <f t="shared" ca="1" si="563"/>
        <v>14187.769031698217</v>
      </c>
      <c r="TE13" s="29">
        <f t="shared" ca="1" si="564"/>
        <v>14198.646731465466</v>
      </c>
      <c r="TF13" s="29">
        <f t="shared" ca="1" si="565"/>
        <v>13925.680707266507</v>
      </c>
      <c r="TG13" s="29">
        <f t="shared" ca="1" si="566"/>
        <v>15139.780810838278</v>
      </c>
      <c r="TH13" s="29">
        <f t="shared" ca="1" si="567"/>
        <v>14290.635385515994</v>
      </c>
      <c r="TI13" s="29">
        <f t="shared" ca="1" si="568"/>
        <v>13836.480069134057</v>
      </c>
      <c r="TJ13" s="29">
        <f t="shared" ca="1" si="569"/>
        <v>15053.786820307141</v>
      </c>
      <c r="TK13" s="29">
        <f t="shared" ca="1" si="570"/>
        <v>13953.26486325937</v>
      </c>
      <c r="TL13" s="29">
        <f t="shared" ca="1" si="571"/>
        <v>15154.749180251169</v>
      </c>
      <c r="TM13" s="29">
        <f t="shared" ca="1" si="572"/>
        <v>14089.119098663177</v>
      </c>
      <c r="TN13" s="29">
        <f t="shared" ca="1" si="573"/>
        <v>13836.333928045429</v>
      </c>
      <c r="TO13" s="29">
        <f t="shared" ca="1" si="574"/>
        <v>14331.793993750898</v>
      </c>
      <c r="TP13" s="29">
        <f t="shared" ca="1" si="575"/>
        <v>15435.440217946774</v>
      </c>
      <c r="TQ13" s="29">
        <f t="shared" ca="1" si="576"/>
        <v>15033.654021637971</v>
      </c>
      <c r="TR13" s="29">
        <f t="shared" ca="1" si="577"/>
        <v>14191.388127501286</v>
      </c>
      <c r="TS13" s="29">
        <f t="shared" ca="1" si="578"/>
        <v>14718.454182476798</v>
      </c>
      <c r="TT13" s="29">
        <f t="shared" ca="1" si="579"/>
        <v>14128.180406091538</v>
      </c>
      <c r="TU13" s="29">
        <f t="shared" ca="1" si="580"/>
        <v>14064.853867360756</v>
      </c>
      <c r="TV13" s="29">
        <f t="shared" ca="1" si="581"/>
        <v>14163.128287355396</v>
      </c>
      <c r="TW13" s="29">
        <f t="shared" ca="1" si="582"/>
        <v>15130.822219809335</v>
      </c>
      <c r="TX13" s="29">
        <f t="shared" ca="1" si="583"/>
        <v>15146.080884920426</v>
      </c>
      <c r="TY13" s="29">
        <f t="shared" ca="1" si="584"/>
        <v>14081.505242767735</v>
      </c>
      <c r="TZ13" s="29">
        <f t="shared" ca="1" si="585"/>
        <v>14621.275349114849</v>
      </c>
      <c r="UA13" s="29">
        <f t="shared" ca="1" si="586"/>
        <v>14194.088711400349</v>
      </c>
      <c r="UB13" s="29">
        <f t="shared" ca="1" si="587"/>
        <v>14843.163175319167</v>
      </c>
      <c r="UC13" s="29">
        <f t="shared" ca="1" si="588"/>
        <v>13457.601827839011</v>
      </c>
      <c r="UD13" s="29">
        <f t="shared" ca="1" si="589"/>
        <v>15289.909924869578</v>
      </c>
      <c r="UE13" s="29">
        <f t="shared" ca="1" si="590"/>
        <v>13662.312674239041</v>
      </c>
      <c r="UF13" s="29">
        <f t="shared" ca="1" si="591"/>
        <v>14163.128804772585</v>
      </c>
      <c r="UG13" s="29">
        <f t="shared" ca="1" si="592"/>
        <v>14446.108070539403</v>
      </c>
      <c r="UH13" s="29">
        <f t="shared" ca="1" si="593"/>
        <v>13295.595721060086</v>
      </c>
      <c r="UI13" s="29">
        <f t="shared" ca="1" si="594"/>
        <v>14605.373326716091</v>
      </c>
      <c r="UJ13" s="29">
        <f t="shared" ca="1" si="595"/>
        <v>15085.904243881647</v>
      </c>
      <c r="UK13" s="29">
        <f t="shared" ca="1" si="596"/>
        <v>14272.077354555271</v>
      </c>
      <c r="UL13" s="29">
        <f t="shared" ca="1" si="597"/>
        <v>15666.800446196014</v>
      </c>
      <c r="UM13" s="29">
        <f t="shared" ca="1" si="598"/>
        <v>13847.842977485991</v>
      </c>
      <c r="UN13" s="29">
        <f t="shared" ca="1" si="599"/>
        <v>13800.233928676251</v>
      </c>
      <c r="UO13" s="29">
        <f t="shared" ca="1" si="600"/>
        <v>14993.843799693019</v>
      </c>
      <c r="UP13" s="29">
        <f t="shared" ca="1" si="601"/>
        <v>13942.927749165437</v>
      </c>
      <c r="UQ13" s="29">
        <f t="shared" ca="1" si="602"/>
        <v>14651.158173415042</v>
      </c>
      <c r="UR13" s="29">
        <f t="shared" ca="1" si="603"/>
        <v>14308.383214868651</v>
      </c>
      <c r="US13" s="29">
        <f t="shared" ca="1" si="604"/>
        <v>14828.139257771079</v>
      </c>
      <c r="UT13" s="29">
        <f t="shared" ca="1" si="605"/>
        <v>14111.889354927071</v>
      </c>
      <c r="UU13" s="29">
        <f t="shared" ca="1" si="606"/>
        <v>14018.93037659682</v>
      </c>
      <c r="UV13" s="29">
        <f t="shared" ca="1" si="607"/>
        <v>14904.948580956028</v>
      </c>
      <c r="UW13" s="29">
        <f t="shared" ca="1" si="608"/>
        <v>14384.76930281051</v>
      </c>
      <c r="UX13" s="29">
        <f t="shared" ca="1" si="609"/>
        <v>13906.19172020009</v>
      </c>
      <c r="UY13" s="29">
        <f t="shared" ca="1" si="610"/>
        <v>14117.559542658852</v>
      </c>
      <c r="UZ13" s="29">
        <f t="shared" ca="1" si="611"/>
        <v>14004.778158399997</v>
      </c>
      <c r="VA13" s="29">
        <f t="shared" ca="1" si="612"/>
        <v>14093.82584197</v>
      </c>
      <c r="VB13" s="29">
        <f t="shared" ca="1" si="613"/>
        <v>14361.514821755834</v>
      </c>
      <c r="VC13" s="29">
        <f t="shared" ca="1" si="614"/>
        <v>14657.966425134051</v>
      </c>
      <c r="VD13" s="29">
        <f t="shared" ca="1" si="615"/>
        <v>14144.950232851183</v>
      </c>
      <c r="VE13" s="29">
        <f t="shared" ca="1" si="616"/>
        <v>15441.775013635541</v>
      </c>
      <c r="VF13" s="29">
        <f t="shared" ca="1" si="617"/>
        <v>14475.18258964899</v>
      </c>
      <c r="VG13" s="29">
        <f t="shared" ca="1" si="618"/>
        <v>14770.587339244268</v>
      </c>
      <c r="VH13" s="29">
        <f t="shared" ca="1" si="619"/>
        <v>14408.225418860306</v>
      </c>
      <c r="VI13" s="29">
        <f t="shared" ca="1" si="620"/>
        <v>14390.561408087618</v>
      </c>
      <c r="VJ13" s="29">
        <f t="shared" ca="1" si="621"/>
        <v>13807.099900853551</v>
      </c>
      <c r="VK13" s="29">
        <f t="shared" ca="1" si="622"/>
        <v>13850.801564587951</v>
      </c>
      <c r="VL13" s="29">
        <f t="shared" ca="1" si="623"/>
        <v>13969.037181375021</v>
      </c>
      <c r="VM13" s="29">
        <f t="shared" ca="1" si="624"/>
        <v>14356.794454805764</v>
      </c>
      <c r="VN13" s="29">
        <f t="shared" ca="1" si="625"/>
        <v>13822.906874810526</v>
      </c>
      <c r="VO13" s="29">
        <f t="shared" ca="1" si="626"/>
        <v>15368.454880200657</v>
      </c>
      <c r="VP13" s="29">
        <f t="shared" ca="1" si="627"/>
        <v>14054.138572813195</v>
      </c>
      <c r="VQ13" s="29">
        <f t="shared" ca="1" si="628"/>
        <v>14749.012967970939</v>
      </c>
      <c r="VR13" s="29">
        <f t="shared" ca="1" si="629"/>
        <v>13816.661573526078</v>
      </c>
      <c r="VS13" s="29">
        <f t="shared" ca="1" si="630"/>
        <v>13677.86168111806</v>
      </c>
      <c r="VT13" s="29">
        <f t="shared" ca="1" si="631"/>
        <v>14635.079193346037</v>
      </c>
      <c r="VU13" s="29">
        <f t="shared" ca="1" si="632"/>
        <v>15011.276512933386</v>
      </c>
      <c r="VV13" s="29">
        <f t="shared" ca="1" si="633"/>
        <v>14473.319583857548</v>
      </c>
      <c r="VW13" s="29">
        <f t="shared" ca="1" si="634"/>
        <v>13569.150743803137</v>
      </c>
      <c r="VX13" s="29">
        <f t="shared" ca="1" si="635"/>
        <v>14240.774143609275</v>
      </c>
      <c r="VY13" s="29">
        <f t="shared" ca="1" si="636"/>
        <v>14377.079274820124</v>
      </c>
      <c r="VZ13" s="29">
        <f t="shared" ca="1" si="637"/>
        <v>14522.088616599789</v>
      </c>
      <c r="WA13" s="29">
        <f t="shared" ca="1" si="638"/>
        <v>14365.594606436927</v>
      </c>
      <c r="WB13" s="29">
        <f t="shared" ca="1" si="639"/>
        <v>14283.456775039513</v>
      </c>
      <c r="WC13" s="29">
        <f t="shared" ca="1" si="640"/>
        <v>14336.152622822872</v>
      </c>
      <c r="WD13" s="29">
        <f t="shared" ca="1" si="641"/>
        <v>15006.903120318402</v>
      </c>
      <c r="WE13" s="29">
        <f t="shared" ca="1" si="642"/>
        <v>14623.426797137574</v>
      </c>
      <c r="WF13" s="29">
        <f t="shared" ca="1" si="643"/>
        <v>15022.494692230728</v>
      </c>
      <c r="WG13" s="29">
        <f t="shared" ca="1" si="644"/>
        <v>14295.984056360576</v>
      </c>
      <c r="WH13" s="29">
        <f t="shared" ca="1" si="645"/>
        <v>13761.624098778912</v>
      </c>
      <c r="WI13" s="29">
        <f t="shared" ca="1" si="646"/>
        <v>15200.554435861412</v>
      </c>
      <c r="WJ13" s="29">
        <f t="shared" ca="1" si="647"/>
        <v>15853.694319013199</v>
      </c>
      <c r="WK13" s="29">
        <f t="shared" ca="1" si="648"/>
        <v>14564.645974877234</v>
      </c>
      <c r="WL13" s="29">
        <f t="shared" ca="1" si="649"/>
        <v>13360.491122886919</v>
      </c>
      <c r="WM13" s="29">
        <f t="shared" ca="1" si="650"/>
        <v>14004.796240104806</v>
      </c>
      <c r="WN13" s="29">
        <f t="shared" ca="1" si="651"/>
        <v>14188.537009422014</v>
      </c>
      <c r="WO13" s="29">
        <f t="shared" ca="1" si="652"/>
        <v>15434.035002070565</v>
      </c>
      <c r="WP13" s="29">
        <f t="shared" ca="1" si="653"/>
        <v>13933.96778797262</v>
      </c>
      <c r="WQ13" s="29">
        <f t="shared" ca="1" si="654"/>
        <v>14283.246758173997</v>
      </c>
      <c r="WR13" s="29">
        <f t="shared" ca="1" si="655"/>
        <v>14167.869030505459</v>
      </c>
      <c r="WS13" s="29">
        <f t="shared" ca="1" si="656"/>
        <v>14710.716365337687</v>
      </c>
      <c r="WT13" s="29">
        <f t="shared" ca="1" si="657"/>
        <v>14655.219538574065</v>
      </c>
      <c r="WU13" s="29">
        <f t="shared" ca="1" si="658"/>
        <v>14507.316658533742</v>
      </c>
      <c r="WV13" s="29">
        <f t="shared" ca="1" si="659"/>
        <v>14225.350684349156</v>
      </c>
      <c r="WW13" s="29">
        <f t="shared" ca="1" si="660"/>
        <v>13734.616998807556</v>
      </c>
      <c r="WX13" s="29">
        <f t="shared" ca="1" si="661"/>
        <v>15315.95564837782</v>
      </c>
      <c r="WY13" s="29">
        <f t="shared" ca="1" si="662"/>
        <v>14784.558789968632</v>
      </c>
      <c r="WZ13" s="29">
        <f t="shared" ca="1" si="663"/>
        <v>14702.073402284679</v>
      </c>
      <c r="XA13" s="29">
        <f t="shared" ca="1" si="664"/>
        <v>14675.498345994185</v>
      </c>
      <c r="XB13" s="29">
        <f t="shared" ca="1" si="665"/>
        <v>14546.985147015219</v>
      </c>
      <c r="XC13" s="29">
        <f t="shared" ca="1" si="666"/>
        <v>14224.51244947851</v>
      </c>
      <c r="XD13" s="29">
        <f t="shared" ca="1" si="667"/>
        <v>13937.741482346923</v>
      </c>
      <c r="XE13" s="29">
        <f t="shared" ca="1" si="668"/>
        <v>14183.066206264721</v>
      </c>
      <c r="XF13" s="29">
        <f t="shared" ca="1" si="669"/>
        <v>14238.271375926926</v>
      </c>
      <c r="XG13" s="29">
        <f t="shared" ca="1" si="670"/>
        <v>14444.257329865477</v>
      </c>
      <c r="XH13" s="29">
        <f t="shared" ca="1" si="671"/>
        <v>14287.700318497951</v>
      </c>
      <c r="XI13" s="29">
        <f t="shared" ca="1" si="672"/>
        <v>15024.405007677213</v>
      </c>
      <c r="XJ13" s="29">
        <f t="shared" ca="1" si="673"/>
        <v>15228.090950014996</v>
      </c>
      <c r="XK13" s="29">
        <f t="shared" ca="1" si="674"/>
        <v>13761.947700480494</v>
      </c>
      <c r="XL13" s="29">
        <f t="shared" ca="1" si="675"/>
        <v>14230.863667229467</v>
      </c>
      <c r="XM13" s="29">
        <f t="shared" ca="1" si="676"/>
        <v>13753.293882596961</v>
      </c>
      <c r="XN13" s="29">
        <f t="shared" ca="1" si="677"/>
        <v>14461.352897000737</v>
      </c>
      <c r="XO13" s="29">
        <f t="shared" ca="1" si="678"/>
        <v>14914.242432742984</v>
      </c>
      <c r="XP13" s="29">
        <f t="shared" ca="1" si="679"/>
        <v>15156.098235686793</v>
      </c>
      <c r="XQ13" s="29">
        <f t="shared" ca="1" si="680"/>
        <v>14197.001590793778</v>
      </c>
      <c r="XR13" s="29">
        <f t="shared" ca="1" si="681"/>
        <v>14399.479450798508</v>
      </c>
      <c r="XS13" s="29">
        <f t="shared" ca="1" si="682"/>
        <v>13792.021925000077</v>
      </c>
      <c r="XT13" s="29">
        <f t="shared" ca="1" si="683"/>
        <v>15244.13780223681</v>
      </c>
      <c r="XU13" s="29">
        <f t="shared" ca="1" si="684"/>
        <v>15070.637953004532</v>
      </c>
      <c r="XV13" s="29">
        <f t="shared" ca="1" si="685"/>
        <v>14593.703481849534</v>
      </c>
      <c r="XW13" s="29">
        <f t="shared" ca="1" si="686"/>
        <v>14816.467282607789</v>
      </c>
      <c r="XX13" s="29">
        <f t="shared" ca="1" si="687"/>
        <v>14369.036271389677</v>
      </c>
      <c r="XY13" s="29">
        <f t="shared" ca="1" si="688"/>
        <v>14272.209685163289</v>
      </c>
      <c r="XZ13" s="29">
        <f t="shared" ca="1" si="689"/>
        <v>14607.879234095033</v>
      </c>
      <c r="YA13" s="29">
        <f t="shared" ca="1" si="690"/>
        <v>14801.526419171982</v>
      </c>
      <c r="YB13" s="29">
        <f t="shared" ca="1" si="691"/>
        <v>14566.265293389453</v>
      </c>
      <c r="YC13" s="29">
        <f t="shared" ca="1" si="692"/>
        <v>14900.249053463462</v>
      </c>
      <c r="YD13" s="29">
        <f t="shared" ca="1" si="693"/>
        <v>13725.80545772565</v>
      </c>
      <c r="YE13" s="29">
        <f t="shared" ca="1" si="694"/>
        <v>14717.329798059613</v>
      </c>
      <c r="YF13" s="29">
        <f t="shared" ca="1" si="695"/>
        <v>14283.67526153688</v>
      </c>
      <c r="YG13" s="29">
        <f t="shared" ca="1" si="696"/>
        <v>14643.748388843107</v>
      </c>
      <c r="YH13" s="29">
        <f t="shared" ca="1" si="697"/>
        <v>13803.008333756197</v>
      </c>
      <c r="YI13" s="29">
        <f t="shared" ca="1" si="698"/>
        <v>13642.400611919273</v>
      </c>
      <c r="YJ13" s="29">
        <f t="shared" ca="1" si="699"/>
        <v>14641.193303504635</v>
      </c>
      <c r="YK13" s="29">
        <f t="shared" ca="1" si="700"/>
        <v>13813.27375477255</v>
      </c>
      <c r="YL13" s="29">
        <f t="shared" ca="1" si="701"/>
        <v>13814.270252224411</v>
      </c>
      <c r="YM13" s="29">
        <f t="shared" ca="1" si="702"/>
        <v>14178.315382077575</v>
      </c>
      <c r="YN13" s="29">
        <f t="shared" ca="1" si="703"/>
        <v>14838.541021888961</v>
      </c>
      <c r="YO13" s="29">
        <f t="shared" ca="1" si="704"/>
        <v>13333.232988308873</v>
      </c>
      <c r="YP13" s="29">
        <f t="shared" ca="1" si="705"/>
        <v>15056.935505676012</v>
      </c>
      <c r="YQ13" s="29">
        <f t="shared" ca="1" si="706"/>
        <v>13685.420675961093</v>
      </c>
      <c r="YR13" s="29">
        <f t="shared" ca="1" si="707"/>
        <v>14307.137523533009</v>
      </c>
      <c r="YS13" s="29">
        <f t="shared" ca="1" si="708"/>
        <v>15135.294680832949</v>
      </c>
      <c r="YT13" s="29">
        <f t="shared" ca="1" si="709"/>
        <v>14610.131309503744</v>
      </c>
      <c r="YU13" s="29">
        <f t="shared" ca="1" si="710"/>
        <v>14472.561253158059</v>
      </c>
      <c r="YV13" s="29">
        <f t="shared" ca="1" si="711"/>
        <v>14455.720017581783</v>
      </c>
      <c r="YW13" s="29">
        <f t="shared" ca="1" si="712"/>
        <v>14655.391797021148</v>
      </c>
      <c r="YX13" s="29">
        <f t="shared" ca="1" si="713"/>
        <v>14904.515461457782</v>
      </c>
      <c r="YY13" s="29">
        <f t="shared" ca="1" si="714"/>
        <v>13681.632367539265</v>
      </c>
      <c r="YZ13" s="29">
        <f t="shared" ca="1" si="715"/>
        <v>14633.322843349564</v>
      </c>
      <c r="ZA13" s="29">
        <f t="shared" ca="1" si="716"/>
        <v>14345.227234408147</v>
      </c>
      <c r="ZB13" s="29">
        <f t="shared" ca="1" si="717"/>
        <v>14605.732480747769</v>
      </c>
      <c r="ZC13" s="29">
        <f t="shared" ca="1" si="718"/>
        <v>14669.841027096629</v>
      </c>
      <c r="ZD13" s="29">
        <f t="shared" ca="1" si="719"/>
        <v>14159.935650003625</v>
      </c>
      <c r="ZE13" s="29">
        <f t="shared" ca="1" si="720"/>
        <v>13592.141719117843</v>
      </c>
      <c r="ZF13" s="29">
        <f t="shared" ca="1" si="721"/>
        <v>14065.713778432411</v>
      </c>
      <c r="ZG13" s="29">
        <f t="shared" ca="1" si="722"/>
        <v>13212.954558126054</v>
      </c>
      <c r="ZH13" s="29">
        <f t="shared" ca="1" si="723"/>
        <v>14421.857749227374</v>
      </c>
      <c r="ZI13" s="29">
        <f t="shared" ca="1" si="724"/>
        <v>13449.654645851679</v>
      </c>
      <c r="ZJ13" s="29">
        <f t="shared" ca="1" si="725"/>
        <v>14304.305562388892</v>
      </c>
      <c r="ZK13" s="29">
        <f t="shared" ca="1" si="726"/>
        <v>13857.96756151105</v>
      </c>
      <c r="ZL13" s="29">
        <f t="shared" ca="1" si="727"/>
        <v>13462.991822662982</v>
      </c>
      <c r="ZM13" s="29">
        <f t="shared" ca="1" si="728"/>
        <v>13365.830410411687</v>
      </c>
      <c r="ZN13" s="29">
        <f t="shared" ca="1" si="729"/>
        <v>13985.240134004847</v>
      </c>
      <c r="ZO13" s="29">
        <f t="shared" ca="1" si="730"/>
        <v>14361.552692811116</v>
      </c>
      <c r="ZP13" s="29">
        <f t="shared" ca="1" si="731"/>
        <v>14520.397146356523</v>
      </c>
      <c r="ZQ13" s="29">
        <f t="shared" ca="1" si="732"/>
        <v>14394.97506501036</v>
      </c>
      <c r="ZR13" s="29">
        <f t="shared" ca="1" si="733"/>
        <v>14715.131160669747</v>
      </c>
      <c r="ZS13" s="29">
        <f t="shared" ca="1" si="734"/>
        <v>14519.045322819789</v>
      </c>
      <c r="ZT13" s="29">
        <f t="shared" ca="1" si="735"/>
        <v>14373.025911335653</v>
      </c>
      <c r="ZU13" s="29">
        <f t="shared" ca="1" si="736"/>
        <v>14191.032859586607</v>
      </c>
      <c r="ZV13" s="29">
        <f t="shared" ca="1" si="737"/>
        <v>14129.235093922151</v>
      </c>
      <c r="ZW13" s="29">
        <f t="shared" ca="1" si="738"/>
        <v>14678.723351435539</v>
      </c>
      <c r="ZX13" s="29">
        <f t="shared" ca="1" si="739"/>
        <v>14570.732864108835</v>
      </c>
      <c r="ZY13" s="29">
        <f t="shared" ca="1" si="740"/>
        <v>14283.691736708963</v>
      </c>
      <c r="ZZ13" s="29">
        <f t="shared" ca="1" si="741"/>
        <v>14075.109202585887</v>
      </c>
      <c r="AAA13" s="29">
        <f t="shared" ca="1" si="742"/>
        <v>15379.225954427355</v>
      </c>
      <c r="AAB13" s="29">
        <f t="shared" ca="1" si="743"/>
        <v>15272.63986514816</v>
      </c>
      <c r="AAC13" s="29">
        <f t="shared" ca="1" si="744"/>
        <v>14561.047085668906</v>
      </c>
      <c r="AAD13" s="29">
        <f t="shared" ca="1" si="745"/>
        <v>14105.705590740175</v>
      </c>
      <c r="AAE13" s="29">
        <f t="shared" ca="1" si="746"/>
        <v>13891.575758377223</v>
      </c>
      <c r="AAF13" s="29">
        <f t="shared" ca="1" si="747"/>
        <v>15508.381917990089</v>
      </c>
      <c r="AAG13" s="29">
        <f t="shared" ca="1" si="748"/>
        <v>14677.676610854949</v>
      </c>
      <c r="AAH13" s="29">
        <f t="shared" ca="1" si="749"/>
        <v>14774.991903907296</v>
      </c>
      <c r="AAI13" s="29">
        <f t="shared" ca="1" si="750"/>
        <v>14294.579469896302</v>
      </c>
      <c r="AAJ13" s="29">
        <f t="shared" ca="1" si="751"/>
        <v>14520.62788753056</v>
      </c>
      <c r="AAK13" s="29">
        <f t="shared" ca="1" si="752"/>
        <v>14614.830625318322</v>
      </c>
      <c r="AAL13" s="29">
        <f t="shared" ca="1" si="753"/>
        <v>14274.639221600924</v>
      </c>
      <c r="AAM13" s="29">
        <f t="shared" ca="1" si="754"/>
        <v>14350.780737391664</v>
      </c>
      <c r="AAN13" s="29">
        <f t="shared" ca="1" si="755"/>
        <v>15579.151062153725</v>
      </c>
      <c r="AAO13" s="29">
        <f t="shared" ca="1" si="756"/>
        <v>14329.14140325245</v>
      </c>
      <c r="AAP13" s="29">
        <f t="shared" ca="1" si="757"/>
        <v>15497.621296941625</v>
      </c>
      <c r="AAQ13" s="29">
        <f t="shared" ca="1" si="758"/>
        <v>15062.991860676249</v>
      </c>
      <c r="AAR13" s="29">
        <f t="shared" ca="1" si="759"/>
        <v>15527.075481739466</v>
      </c>
      <c r="AAS13" s="29">
        <f t="shared" ca="1" si="760"/>
        <v>14123.231261419429</v>
      </c>
      <c r="AAT13" s="29">
        <f t="shared" ca="1" si="761"/>
        <v>14893.675731232466</v>
      </c>
      <c r="AAU13" s="29">
        <f t="shared" ca="1" si="762"/>
        <v>14949.174624587997</v>
      </c>
      <c r="AAV13" s="29">
        <f t="shared" ca="1" si="763"/>
        <v>13629.723759725455</v>
      </c>
      <c r="AAW13" s="29">
        <f t="shared" ca="1" si="764"/>
        <v>14105.711457426849</v>
      </c>
      <c r="AAX13" s="29">
        <f t="shared" ca="1" si="765"/>
        <v>14860.092643690579</v>
      </c>
      <c r="AAY13" s="29">
        <f t="shared" ca="1" si="766"/>
        <v>14238.260802768349</v>
      </c>
      <c r="AAZ13" s="29">
        <f t="shared" ca="1" si="767"/>
        <v>14987.728859904744</v>
      </c>
      <c r="ABA13" s="29">
        <f t="shared" ca="1" si="768"/>
        <v>14431.109332665445</v>
      </c>
      <c r="ABB13" s="29">
        <f t="shared" ca="1" si="769"/>
        <v>14685.581667388293</v>
      </c>
      <c r="ABC13" s="29">
        <f t="shared" ca="1" si="770"/>
        <v>14617.894314273475</v>
      </c>
      <c r="ABD13" s="29">
        <f t="shared" ca="1" si="771"/>
        <v>14178.181013289746</v>
      </c>
      <c r="ABE13" s="29">
        <f t="shared" ca="1" si="772"/>
        <v>13059.063831292051</v>
      </c>
      <c r="ABF13" s="29">
        <f t="shared" ca="1" si="773"/>
        <v>14043.073036316049</v>
      </c>
      <c r="ABG13" s="29">
        <f t="shared" ca="1" si="774"/>
        <v>14023.167448992273</v>
      </c>
      <c r="ABH13" s="29">
        <f t="shared" ca="1" si="775"/>
        <v>14915.793797266995</v>
      </c>
      <c r="ABI13" s="29">
        <f t="shared" ca="1" si="776"/>
        <v>14501.76832274737</v>
      </c>
      <c r="ABJ13" s="29">
        <f t="shared" ca="1" si="777"/>
        <v>14141.998695302009</v>
      </c>
      <c r="ABK13" s="29">
        <f t="shared" ca="1" si="778"/>
        <v>15412.749050119333</v>
      </c>
      <c r="ABL13" s="29">
        <f t="shared" ca="1" si="779"/>
        <v>14331.118437767862</v>
      </c>
      <c r="ABM13" s="29">
        <f t="shared" ca="1" si="780"/>
        <v>14620.887250399308</v>
      </c>
      <c r="ABN13" s="29">
        <f t="shared" ca="1" si="781"/>
        <v>14202.363530431796</v>
      </c>
      <c r="ABO13" s="29">
        <f t="shared" ca="1" si="782"/>
        <v>15111.308165287264</v>
      </c>
      <c r="ABP13" s="29">
        <f t="shared" ca="1" si="783"/>
        <v>14160.68661057952</v>
      </c>
      <c r="ABQ13" s="29">
        <f t="shared" ca="1" si="784"/>
        <v>13601.669382524738</v>
      </c>
      <c r="ABR13" s="29">
        <f t="shared" ca="1" si="785"/>
        <v>13465.652274620556</v>
      </c>
      <c r="ABS13" s="29">
        <f t="shared" ca="1" si="786"/>
        <v>14176.42134462908</v>
      </c>
      <c r="ABT13" s="29">
        <f t="shared" ca="1" si="787"/>
        <v>14758.078329958114</v>
      </c>
      <c r="ABU13" s="29">
        <f t="shared" ca="1" si="788"/>
        <v>14415.523851611719</v>
      </c>
      <c r="ABV13" s="29">
        <f t="shared" ca="1" si="789"/>
        <v>14907.979928355908</v>
      </c>
      <c r="ABW13" s="29">
        <f t="shared" ca="1" si="790"/>
        <v>15045.221064799844</v>
      </c>
      <c r="ABX13" s="29">
        <f t="shared" ca="1" si="791"/>
        <v>14607.571577994599</v>
      </c>
      <c r="ABY13" s="29">
        <f t="shared" ca="1" si="792"/>
        <v>14843.458925692761</v>
      </c>
      <c r="ABZ13" s="29">
        <f t="shared" ca="1" si="793"/>
        <v>14627.599532445185</v>
      </c>
      <c r="ACA13" s="29">
        <f t="shared" ca="1" si="794"/>
        <v>15708.352503137137</v>
      </c>
      <c r="ACB13" s="29">
        <f t="shared" ca="1" si="795"/>
        <v>15143.702180099079</v>
      </c>
      <c r="ACC13" s="29">
        <f t="shared" ca="1" si="796"/>
        <v>14230.390933997354</v>
      </c>
      <c r="ACD13" s="29">
        <f t="shared" ca="1" si="797"/>
        <v>14458.94210466914</v>
      </c>
      <c r="ACE13" s="29">
        <f t="shared" ca="1" si="798"/>
        <v>14710.689084581905</v>
      </c>
      <c r="ACF13" s="29">
        <f t="shared" ca="1" si="799"/>
        <v>14597.320824343355</v>
      </c>
      <c r="ACG13" s="29">
        <f t="shared" ca="1" si="800"/>
        <v>13702.707013558116</v>
      </c>
      <c r="ACH13" s="29">
        <f t="shared" ca="1" si="801"/>
        <v>14884.790052991026</v>
      </c>
      <c r="ACI13" s="29">
        <f t="shared" ca="1" si="802"/>
        <v>14555.295328483842</v>
      </c>
      <c r="ACJ13" s="29">
        <f t="shared" ca="1" si="803"/>
        <v>14845.979677509675</v>
      </c>
      <c r="ACK13" s="29">
        <f t="shared" ca="1" si="804"/>
        <v>14032.610320342472</v>
      </c>
      <c r="ACL13" s="29">
        <f t="shared" ca="1" si="805"/>
        <v>13275.370548157891</v>
      </c>
      <c r="ACM13" s="29">
        <f t="shared" ca="1" si="806"/>
        <v>14716.579291619642</v>
      </c>
      <c r="ACN13" s="29">
        <f t="shared" ca="1" si="807"/>
        <v>14934.183457777161</v>
      </c>
      <c r="ACO13" s="29">
        <f t="shared" ca="1" si="808"/>
        <v>15508.931573442755</v>
      </c>
      <c r="ACP13" s="29">
        <f t="shared" ca="1" si="809"/>
        <v>14144.49518866767</v>
      </c>
      <c r="ACQ13" s="29">
        <f t="shared" ca="1" si="810"/>
        <v>14957.970978574216</v>
      </c>
      <c r="ACR13" s="29">
        <f t="shared" ca="1" si="811"/>
        <v>14751.636001979818</v>
      </c>
      <c r="ACS13" s="29">
        <f t="shared" ca="1" si="812"/>
        <v>14270.89800089609</v>
      </c>
      <c r="ACT13" s="29">
        <f t="shared" ca="1" si="813"/>
        <v>14283.806956102691</v>
      </c>
      <c r="ACU13" s="29">
        <f t="shared" ca="1" si="814"/>
        <v>14227.397982591412</v>
      </c>
      <c r="ACV13" s="29">
        <f t="shared" ca="1" si="815"/>
        <v>14510.340644171101</v>
      </c>
      <c r="ACW13" s="29">
        <f t="shared" ca="1" si="816"/>
        <v>14723.789897701992</v>
      </c>
      <c r="ACX13" s="29">
        <f t="shared" ca="1" si="817"/>
        <v>14175.352654861883</v>
      </c>
      <c r="ACY13" s="29">
        <f t="shared" ca="1" si="818"/>
        <v>14081.738004554794</v>
      </c>
      <c r="ACZ13" s="29">
        <f t="shared" ca="1" si="819"/>
        <v>14484.987315592598</v>
      </c>
      <c r="ADA13" s="29">
        <f t="shared" ca="1" si="820"/>
        <v>14599.43778936508</v>
      </c>
      <c r="ADB13" s="29">
        <f t="shared" ca="1" si="821"/>
        <v>13595.556277157855</v>
      </c>
      <c r="ADC13" s="29">
        <f t="shared" ca="1" si="822"/>
        <v>14449.954916825118</v>
      </c>
      <c r="ADD13" s="29">
        <f t="shared" ca="1" si="823"/>
        <v>15220.103799228675</v>
      </c>
      <c r="ADE13" s="29">
        <f t="shared" ca="1" si="824"/>
        <v>14660.149472658433</v>
      </c>
      <c r="ADF13" s="29">
        <f t="shared" ca="1" si="825"/>
        <v>13425.072059879958</v>
      </c>
      <c r="ADG13" s="29">
        <f t="shared" ca="1" si="826"/>
        <v>14572.407114040127</v>
      </c>
      <c r="ADH13" s="29">
        <f t="shared" ca="1" si="827"/>
        <v>14598.297951706147</v>
      </c>
      <c r="ADI13" s="29">
        <f t="shared" ca="1" si="828"/>
        <v>14249.89566350824</v>
      </c>
      <c r="ADJ13" s="29">
        <f t="shared" ca="1" si="829"/>
        <v>14855.007095338202</v>
      </c>
      <c r="ADK13" s="29">
        <f t="shared" ca="1" si="830"/>
        <v>14431.305181526219</v>
      </c>
      <c r="ADL13" s="29">
        <f t="shared" ca="1" si="831"/>
        <v>14178.714244035702</v>
      </c>
      <c r="ADM13" s="29">
        <f t="shared" ca="1" si="832"/>
        <v>14140.567997765242</v>
      </c>
      <c r="ADN13" s="29">
        <f t="shared" ca="1" si="833"/>
        <v>13941.017244875726</v>
      </c>
      <c r="ADO13" s="29">
        <f t="shared" ca="1" si="834"/>
        <v>15076.308507616235</v>
      </c>
      <c r="ADP13" s="29">
        <f t="shared" ca="1" si="835"/>
        <v>14325.90186062186</v>
      </c>
      <c r="ADQ13" s="29">
        <f t="shared" ca="1" si="836"/>
        <v>15687.67043713386</v>
      </c>
      <c r="ADR13" s="29">
        <f t="shared" ca="1" si="837"/>
        <v>14320.798871928569</v>
      </c>
      <c r="ADS13" s="29">
        <f t="shared" ca="1" si="838"/>
        <v>14410.384908975513</v>
      </c>
      <c r="ADT13" s="29">
        <f t="shared" ca="1" si="839"/>
        <v>14205.07548126337</v>
      </c>
      <c r="ADU13" s="29">
        <f t="shared" ca="1" si="840"/>
        <v>14269.946119554746</v>
      </c>
      <c r="ADV13" s="29">
        <f t="shared" ca="1" si="841"/>
        <v>15125.028077340359</v>
      </c>
      <c r="ADW13" s="29">
        <f t="shared" ca="1" si="842"/>
        <v>15302.77275117751</v>
      </c>
      <c r="ADX13" s="29">
        <f t="shared" ca="1" si="843"/>
        <v>13832.345954623655</v>
      </c>
      <c r="ADY13" s="29">
        <f t="shared" ca="1" si="844"/>
        <v>15728.793847859723</v>
      </c>
      <c r="ADZ13" s="29">
        <f t="shared" ca="1" si="845"/>
        <v>14429.891015020792</v>
      </c>
      <c r="AEA13" s="29">
        <f t="shared" ca="1" si="846"/>
        <v>14970.46217733412</v>
      </c>
      <c r="AEB13" s="29">
        <f t="shared" ca="1" si="847"/>
        <v>13304.720542183806</v>
      </c>
      <c r="AEC13" s="29">
        <f t="shared" ca="1" si="848"/>
        <v>15331.005172331441</v>
      </c>
      <c r="AED13" s="29">
        <f t="shared" ca="1" si="849"/>
        <v>14953.701243305079</v>
      </c>
      <c r="AEE13" s="29">
        <f t="shared" ca="1" si="850"/>
        <v>15146.859393155437</v>
      </c>
      <c r="AEF13" s="29">
        <f t="shared" ca="1" si="851"/>
        <v>14190.214976925401</v>
      </c>
      <c r="AEG13" s="29">
        <f t="shared" ca="1" si="852"/>
        <v>15387.795550188461</v>
      </c>
      <c r="AEH13" s="29">
        <f t="shared" ca="1" si="853"/>
        <v>13945.715535551879</v>
      </c>
      <c r="AEI13" s="29">
        <f t="shared" ca="1" si="854"/>
        <v>14911.954871693684</v>
      </c>
      <c r="AEJ13" s="29">
        <f t="shared" ca="1" si="855"/>
        <v>14350.591077760764</v>
      </c>
      <c r="AEK13" s="29">
        <f t="shared" ca="1" si="856"/>
        <v>14649.15551988988</v>
      </c>
      <c r="AEL13" s="29">
        <f t="shared" ca="1" si="857"/>
        <v>13985.709977637418</v>
      </c>
      <c r="AEM13" s="29">
        <f t="shared" ca="1" si="858"/>
        <v>14292.586754997297</v>
      </c>
      <c r="AEN13" s="29">
        <f t="shared" ca="1" si="859"/>
        <v>14748.888506960893</v>
      </c>
      <c r="AEO13" s="29">
        <f t="shared" ca="1" si="860"/>
        <v>14282.024339069934</v>
      </c>
      <c r="AEP13" s="29">
        <f t="shared" ca="1" si="861"/>
        <v>14802.96627542854</v>
      </c>
      <c r="AEQ13" s="29">
        <f t="shared" ca="1" si="862"/>
        <v>14777.475506825256</v>
      </c>
      <c r="AER13" s="29">
        <f t="shared" ca="1" si="863"/>
        <v>15035.9916288768</v>
      </c>
      <c r="AES13" s="29">
        <f t="shared" ca="1" si="864"/>
        <v>13732.431166280434</v>
      </c>
      <c r="AET13" s="29">
        <f t="shared" ca="1" si="865"/>
        <v>14577.833407845852</v>
      </c>
      <c r="AEU13" s="29">
        <f t="shared" ca="1" si="866"/>
        <v>13322.659515308662</v>
      </c>
      <c r="AEV13" s="29">
        <f t="shared" ca="1" si="867"/>
        <v>15161.777502375566</v>
      </c>
      <c r="AEW13" s="29">
        <f t="shared" ca="1" si="868"/>
        <v>13633.330467289292</v>
      </c>
      <c r="AEX13" s="29">
        <f t="shared" ca="1" si="869"/>
        <v>13804.474638606436</v>
      </c>
      <c r="AEY13" s="29">
        <f t="shared" ca="1" si="870"/>
        <v>14088.254474519561</v>
      </c>
      <c r="AEZ13" s="29">
        <f t="shared" ca="1" si="871"/>
        <v>13797.16524403191</v>
      </c>
      <c r="AFA13" s="29">
        <f t="shared" ca="1" si="872"/>
        <v>15121.640716332007</v>
      </c>
      <c r="AFB13" s="29">
        <f t="shared" ca="1" si="873"/>
        <v>14356.516043322052</v>
      </c>
      <c r="AFC13" s="29">
        <f t="shared" ca="1" si="874"/>
        <v>14442.057604060976</v>
      </c>
      <c r="AFD13" s="29">
        <f t="shared" ca="1" si="875"/>
        <v>14498.730624214231</v>
      </c>
      <c r="AFE13" s="29">
        <f t="shared" ca="1" si="876"/>
        <v>15076.142086580243</v>
      </c>
      <c r="AFF13" s="29">
        <f t="shared" ca="1" si="877"/>
        <v>13963.295427125484</v>
      </c>
      <c r="AFG13" s="29">
        <f t="shared" ca="1" si="878"/>
        <v>14718.396150992936</v>
      </c>
      <c r="AFH13" s="29">
        <f t="shared" ca="1" si="879"/>
        <v>15191.609726738008</v>
      </c>
      <c r="AFI13" s="29">
        <f t="shared" ca="1" si="880"/>
        <v>14693.997126279211</v>
      </c>
      <c r="AFJ13" s="29">
        <f t="shared" ca="1" si="881"/>
        <v>14057.678595685184</v>
      </c>
      <c r="AFK13" s="29">
        <f t="shared" ca="1" si="882"/>
        <v>14061.257220740092</v>
      </c>
      <c r="AFL13" s="29">
        <f t="shared" ca="1" si="883"/>
        <v>14562.854699359887</v>
      </c>
      <c r="AFM13" s="29">
        <f t="shared" ca="1" si="884"/>
        <v>13946.057784361941</v>
      </c>
      <c r="AFN13" s="29">
        <f t="shared" ca="1" si="885"/>
        <v>14856.034980222339</v>
      </c>
      <c r="AFO13" s="29">
        <f t="shared" ca="1" si="886"/>
        <v>15044.054728704552</v>
      </c>
      <c r="AFP13" s="29">
        <f t="shared" ca="1" si="887"/>
        <v>14990.649269187341</v>
      </c>
      <c r="AFQ13" s="29">
        <f t="shared" ca="1" si="888"/>
        <v>14122.373405543196</v>
      </c>
      <c r="AFR13" s="29">
        <f t="shared" ca="1" si="889"/>
        <v>15073.72609970847</v>
      </c>
      <c r="AFS13" s="29">
        <f t="shared" ca="1" si="890"/>
        <v>14427.635094294359</v>
      </c>
      <c r="AFT13" s="29">
        <f t="shared" ca="1" si="891"/>
        <v>14275.642028922022</v>
      </c>
      <c r="AFU13" s="29">
        <f t="shared" ca="1" si="892"/>
        <v>14250.188872499702</v>
      </c>
      <c r="AFV13" s="29">
        <f t="shared" ca="1" si="893"/>
        <v>14359.317928775105</v>
      </c>
      <c r="AFW13" s="29">
        <f t="shared" ca="1" si="894"/>
        <v>14484.976875386925</v>
      </c>
      <c r="AFX13" s="29">
        <f t="shared" ca="1" si="895"/>
        <v>15214.963965495435</v>
      </c>
      <c r="AFY13" s="29">
        <f t="shared" ca="1" si="896"/>
        <v>15036.962612487208</v>
      </c>
      <c r="AFZ13" s="29">
        <f t="shared" ca="1" si="897"/>
        <v>14482.266630921984</v>
      </c>
      <c r="AGA13" s="29">
        <f t="shared" ca="1" si="898"/>
        <v>14520.245810764032</v>
      </c>
      <c r="AGB13" s="29">
        <f t="shared" ca="1" si="899"/>
        <v>14346.443331892007</v>
      </c>
      <c r="AGC13" s="29">
        <f t="shared" ca="1" si="900"/>
        <v>14116.692813480013</v>
      </c>
      <c r="AGD13" s="29">
        <f t="shared" ca="1" si="901"/>
        <v>14966.891088346467</v>
      </c>
      <c r="AGE13" s="29">
        <f t="shared" ca="1" si="902"/>
        <v>13901.676226808397</v>
      </c>
      <c r="AGF13" s="29">
        <f t="shared" ca="1" si="903"/>
        <v>14531.526057571606</v>
      </c>
      <c r="AGG13" s="29">
        <f t="shared" ca="1" si="904"/>
        <v>13689.648984656256</v>
      </c>
      <c r="AGH13" s="29">
        <f t="shared" ca="1" si="905"/>
        <v>14928.68464042644</v>
      </c>
      <c r="AGI13" s="29">
        <f t="shared" ca="1" si="906"/>
        <v>14005.562894018485</v>
      </c>
      <c r="AGJ13" s="29">
        <f t="shared" ca="1" si="907"/>
        <v>14697.01836363923</v>
      </c>
      <c r="AGK13" s="29">
        <f t="shared" ca="1" si="908"/>
        <v>14424.281463901234</v>
      </c>
      <c r="AGL13" s="29">
        <f t="shared" ca="1" si="909"/>
        <v>14251.195795133934</v>
      </c>
      <c r="AGM13" s="29">
        <f t="shared" ca="1" si="910"/>
        <v>13895.328781035143</v>
      </c>
      <c r="AGN13" s="29">
        <f t="shared" ca="1" si="911"/>
        <v>14001.521612305056</v>
      </c>
      <c r="AGO13" s="29">
        <f t="shared" ca="1" si="912"/>
        <v>14852.881237566944</v>
      </c>
      <c r="AGP13" s="29">
        <f t="shared" ca="1" si="913"/>
        <v>14059.458088503319</v>
      </c>
      <c r="AGQ13" s="29">
        <f t="shared" ca="1" si="914"/>
        <v>14478.290197614526</v>
      </c>
      <c r="AGR13" s="29">
        <f t="shared" ca="1" si="915"/>
        <v>13793.995783758239</v>
      </c>
      <c r="AGS13" s="29">
        <f t="shared" ca="1" si="916"/>
        <v>14644.373273819878</v>
      </c>
      <c r="AGT13" s="29">
        <f t="shared" ca="1" si="917"/>
        <v>13908.328833184212</v>
      </c>
      <c r="AGU13" s="29">
        <f t="shared" ca="1" si="918"/>
        <v>14661.63048035553</v>
      </c>
      <c r="AGV13" s="29">
        <f t="shared" ca="1" si="919"/>
        <v>14969.639686031549</v>
      </c>
      <c r="AGW13" s="29">
        <f t="shared" ca="1" si="920"/>
        <v>15099.424628650118</v>
      </c>
      <c r="AGX13" s="29">
        <f t="shared" ca="1" si="921"/>
        <v>15161.979614796172</v>
      </c>
      <c r="AGY13" s="29">
        <f t="shared" ca="1" si="922"/>
        <v>14367.389251503713</v>
      </c>
      <c r="AGZ13" s="29">
        <f t="shared" ca="1" si="923"/>
        <v>14757.174629843412</v>
      </c>
      <c r="AHA13" s="29">
        <f t="shared" ca="1" si="924"/>
        <v>14050.139567921682</v>
      </c>
      <c r="AHB13" s="29">
        <f t="shared" ca="1" si="925"/>
        <v>13759.050715988049</v>
      </c>
      <c r="AHC13" s="29">
        <f t="shared" ca="1" si="926"/>
        <v>14760.968439287606</v>
      </c>
      <c r="AHD13" s="29">
        <f t="shared" ca="1" si="927"/>
        <v>14718.294726991538</v>
      </c>
      <c r="AHE13" s="29">
        <f t="shared" ca="1" si="928"/>
        <v>15248.713303374067</v>
      </c>
      <c r="AHF13" s="29">
        <f t="shared" ca="1" si="929"/>
        <v>14884.232332524662</v>
      </c>
      <c r="AHG13" s="29">
        <f t="shared" ca="1" si="930"/>
        <v>15105.461618073889</v>
      </c>
      <c r="AHH13" s="29">
        <f t="shared" ca="1" si="931"/>
        <v>15829.285899181312</v>
      </c>
      <c r="AHI13" s="29">
        <f t="shared" ca="1" si="932"/>
        <v>14158.260095814874</v>
      </c>
      <c r="AHJ13" s="29">
        <f t="shared" ca="1" si="933"/>
        <v>13831.968177251292</v>
      </c>
      <c r="AHK13" s="29">
        <f t="shared" ca="1" si="934"/>
        <v>15623.393907087386</v>
      </c>
      <c r="AHL13" s="29">
        <f t="shared" ca="1" si="935"/>
        <v>14770.935567819013</v>
      </c>
      <c r="AHM13" s="29">
        <f t="shared" ca="1" si="936"/>
        <v>15483.590269328399</v>
      </c>
      <c r="AHN13" s="29">
        <f t="shared" ca="1" si="937"/>
        <v>14291.097418815645</v>
      </c>
      <c r="AHO13" s="29">
        <f t="shared" ca="1" si="938"/>
        <v>14792.043600615722</v>
      </c>
      <c r="AHP13" s="29">
        <f t="shared" ca="1" si="939"/>
        <v>14718.523133412153</v>
      </c>
      <c r="AHQ13" s="29">
        <f t="shared" ca="1" si="940"/>
        <v>15205.501774199924</v>
      </c>
      <c r="AHR13" s="29">
        <f t="shared" ca="1" si="941"/>
        <v>14738.305180400401</v>
      </c>
      <c r="AHS13" s="29">
        <f t="shared" ca="1" si="942"/>
        <v>14522.464941227428</v>
      </c>
      <c r="AHT13" s="29">
        <f t="shared" ca="1" si="943"/>
        <v>14368.799740172635</v>
      </c>
      <c r="AHU13" s="29">
        <f t="shared" ca="1" si="944"/>
        <v>14430.323186700518</v>
      </c>
      <c r="AHV13" s="29">
        <f t="shared" ca="1" si="945"/>
        <v>14571.873891186287</v>
      </c>
      <c r="AHW13" s="29">
        <f t="shared" ca="1" si="946"/>
        <v>14603.394832474049</v>
      </c>
      <c r="AHX13" s="29">
        <f t="shared" ca="1" si="947"/>
        <v>14986.149824035523</v>
      </c>
      <c r="AHY13" s="29">
        <f t="shared" ca="1" si="948"/>
        <v>13764.721163131904</v>
      </c>
      <c r="AHZ13" s="29">
        <f t="shared" ca="1" si="949"/>
        <v>13330.587869568468</v>
      </c>
      <c r="AIA13" s="29">
        <f t="shared" ca="1" si="950"/>
        <v>14986.351067771686</v>
      </c>
      <c r="AIB13" s="29">
        <f t="shared" ca="1" si="951"/>
        <v>14361.206974837418</v>
      </c>
      <c r="AIC13" s="29">
        <f t="shared" ca="1" si="952"/>
        <v>14971.149021110779</v>
      </c>
      <c r="AID13" s="29">
        <f t="shared" ca="1" si="953"/>
        <v>14914.695486402186</v>
      </c>
      <c r="AIE13" s="29">
        <f t="shared" ca="1" si="954"/>
        <v>13876.359745890231</v>
      </c>
      <c r="AIF13" s="29">
        <f t="shared" ca="1" si="955"/>
        <v>14440.73539864848</v>
      </c>
      <c r="AIG13" s="29">
        <f t="shared" ca="1" si="956"/>
        <v>14975.332607627553</v>
      </c>
      <c r="AIH13" s="29">
        <f t="shared" ca="1" si="957"/>
        <v>14806.075748456218</v>
      </c>
      <c r="AII13" s="29">
        <f t="shared" ca="1" si="958"/>
        <v>13698.821140502068</v>
      </c>
      <c r="AIJ13" s="29">
        <f t="shared" ca="1" si="959"/>
        <v>13868.6621967925</v>
      </c>
      <c r="AIK13" s="29">
        <f t="shared" ca="1" si="960"/>
        <v>14735.162452475503</v>
      </c>
      <c r="AIL13" s="29">
        <f t="shared" ca="1" si="961"/>
        <v>14638.045046616779</v>
      </c>
      <c r="AIM13" s="29">
        <f t="shared" ca="1" si="962"/>
        <v>14324.684979821113</v>
      </c>
      <c r="AIN13" s="29">
        <f t="shared" ca="1" si="963"/>
        <v>15094.843800982513</v>
      </c>
      <c r="AIO13" s="29">
        <f t="shared" ca="1" si="964"/>
        <v>13592.748227048891</v>
      </c>
      <c r="AIP13" s="29">
        <f t="shared" ca="1" si="965"/>
        <v>14231.137249362526</v>
      </c>
      <c r="AIQ13" s="29">
        <f t="shared" ca="1" si="966"/>
        <v>13257.750387904367</v>
      </c>
      <c r="AIR13" s="29">
        <f t="shared" ca="1" si="967"/>
        <v>13889.893386701009</v>
      </c>
      <c r="AIS13" s="29">
        <f t="shared" ca="1" si="968"/>
        <v>14460.600519539817</v>
      </c>
      <c r="AIT13" s="29">
        <f t="shared" ca="1" si="969"/>
        <v>14113.82615155804</v>
      </c>
      <c r="AIU13" s="29">
        <f t="shared" ca="1" si="970"/>
        <v>13688.380195197728</v>
      </c>
      <c r="AIV13" s="29">
        <f t="shared" ca="1" si="971"/>
        <v>14871.968862633305</v>
      </c>
      <c r="AIW13" s="29">
        <f t="shared" ca="1" si="972"/>
        <v>13862.3755938224</v>
      </c>
      <c r="AIX13" s="29">
        <f t="shared" ca="1" si="973"/>
        <v>14656.568655841338</v>
      </c>
      <c r="AIY13" s="29">
        <f t="shared" ca="1" si="974"/>
        <v>14465.155131683512</v>
      </c>
      <c r="AIZ13" s="29">
        <f t="shared" ca="1" si="975"/>
        <v>14948.937666422478</v>
      </c>
      <c r="AJA13" s="29">
        <f t="shared" ca="1" si="976"/>
        <v>14761.936379097157</v>
      </c>
      <c r="AJB13" s="29">
        <f t="shared" ca="1" si="977"/>
        <v>14793.889830486061</v>
      </c>
      <c r="AJC13" s="29">
        <f t="shared" ca="1" si="978"/>
        <v>14267.854562336484</v>
      </c>
      <c r="AJD13" s="29">
        <f t="shared" ca="1" si="979"/>
        <v>14094.391762445952</v>
      </c>
      <c r="AJE13" s="29">
        <f t="shared" ca="1" si="980"/>
        <v>14973.143116192077</v>
      </c>
      <c r="AJF13" s="29">
        <f t="shared" ca="1" si="981"/>
        <v>14576.28040320899</v>
      </c>
      <c r="AJG13" s="29">
        <f t="shared" ca="1" si="982"/>
        <v>14718.11145099478</v>
      </c>
      <c r="AJH13" s="29">
        <f t="shared" ca="1" si="983"/>
        <v>14352.613076478361</v>
      </c>
      <c r="AJI13" s="29">
        <f t="shared" ca="1" si="984"/>
        <v>14773.874041846631</v>
      </c>
      <c r="AJJ13" s="29">
        <f t="shared" ca="1" si="985"/>
        <v>15173.732711773491</v>
      </c>
      <c r="AJK13" s="29">
        <f t="shared" ca="1" si="986"/>
        <v>13996.576415738491</v>
      </c>
      <c r="AJL13" s="29">
        <f t="shared" ca="1" si="987"/>
        <v>14702.207941751123</v>
      </c>
      <c r="AJM13" s="29">
        <f t="shared" ca="1" si="988"/>
        <v>14111.005384066419</v>
      </c>
      <c r="AJN13" s="29">
        <f t="shared" ca="1" si="989"/>
        <v>14455.448209480832</v>
      </c>
      <c r="AJO13" s="29">
        <f t="shared" ca="1" si="990"/>
        <v>14804.490042199041</v>
      </c>
      <c r="AJP13" s="29">
        <f t="shared" ca="1" si="991"/>
        <v>15509.009104088647</v>
      </c>
      <c r="AJQ13" s="29">
        <f t="shared" ca="1" si="992"/>
        <v>13888.911462744887</v>
      </c>
      <c r="AJR13" s="29">
        <f t="shared" ca="1" si="993"/>
        <v>14618.556545334903</v>
      </c>
      <c r="AJS13" s="29">
        <f t="shared" ca="1" si="994"/>
        <v>14563.229002523911</v>
      </c>
      <c r="AJT13" s="29">
        <f t="shared" ca="1" si="995"/>
        <v>14937.736957350447</v>
      </c>
      <c r="AJU13" s="29">
        <f t="shared" ca="1" si="996"/>
        <v>14128.37188363371</v>
      </c>
      <c r="AJV13" s="29">
        <f t="shared" ca="1" si="997"/>
        <v>13826.792813760485</v>
      </c>
      <c r="AJW13" s="29">
        <f t="shared" ca="1" si="998"/>
        <v>14469.751026237698</v>
      </c>
      <c r="AJX13" s="29">
        <f t="shared" ca="1" si="999"/>
        <v>14774.897297332654</v>
      </c>
      <c r="AJY13" s="29">
        <f t="shared" ca="1" si="1000"/>
        <v>14247.960287989672</v>
      </c>
      <c r="AJZ13" s="29">
        <f t="shared" ca="1" si="1001"/>
        <v>14702.979991101221</v>
      </c>
      <c r="AKA13" s="29">
        <f t="shared" ca="1" si="1002"/>
        <v>14825.778617246981</v>
      </c>
      <c r="AKB13" s="29">
        <f t="shared" ca="1" si="1003"/>
        <v>14514.069502996066</v>
      </c>
      <c r="AKC13" s="29">
        <f t="shared" ca="1" si="1004"/>
        <v>14456.175738031925</v>
      </c>
      <c r="AKD13" s="29">
        <f t="shared" ca="1" si="1005"/>
        <v>15016.809028150217</v>
      </c>
      <c r="AKE13" s="29">
        <f t="shared" ca="1" si="1006"/>
        <v>13430.425722948781</v>
      </c>
      <c r="AKF13" s="29">
        <f t="shared" ca="1" si="1007"/>
        <v>14986.769308223134</v>
      </c>
      <c r="AKG13" s="29">
        <f t="shared" ca="1" si="1008"/>
        <v>14303.004698733472</v>
      </c>
      <c r="AKH13" s="29">
        <f t="shared" ca="1" si="1009"/>
        <v>14502.211021812709</v>
      </c>
      <c r="AKI13" s="29">
        <f t="shared" ca="1" si="1010"/>
        <v>14610.780643799859</v>
      </c>
      <c r="AKJ13" s="29">
        <f t="shared" ca="1" si="1011"/>
        <v>14060.635322535902</v>
      </c>
      <c r="AKK13" s="29">
        <f t="shared" ca="1" si="1012"/>
        <v>15289.253197868369</v>
      </c>
      <c r="AKL13" s="29">
        <f t="shared" ca="1" si="1013"/>
        <v>14663.161935825796</v>
      </c>
      <c r="AKM13" s="29">
        <f t="shared" ca="1" si="1014"/>
        <v>14267.462411087537</v>
      </c>
      <c r="AKN13" s="29">
        <f t="shared" ca="1" si="1015"/>
        <v>14548.708403430137</v>
      </c>
      <c r="AKO13" s="29">
        <f t="shared" ca="1" si="1016"/>
        <v>13983.490594699033</v>
      </c>
      <c r="AKP13" s="29">
        <f t="shared" ca="1" si="1017"/>
        <v>15537.011664367992</v>
      </c>
      <c r="AKQ13" s="29">
        <f t="shared" ca="1" si="1018"/>
        <v>13470.811424411379</v>
      </c>
      <c r="AKR13" s="29">
        <f t="shared" ca="1" si="1019"/>
        <v>14073.930239893658</v>
      </c>
      <c r="AKS13" s="29">
        <f t="shared" ca="1" si="1020"/>
        <v>15211.844371309251</v>
      </c>
      <c r="AKT13" s="29">
        <f t="shared" ca="1" si="1021"/>
        <v>15005.781158598111</v>
      </c>
      <c r="AKU13" s="29">
        <f t="shared" ca="1" si="1022"/>
        <v>13987.492516622049</v>
      </c>
      <c r="AKV13" s="29">
        <f t="shared" ca="1" si="1023"/>
        <v>12954.046554800118</v>
      </c>
      <c r="AKW13" s="29">
        <f t="shared" ca="1" si="1024"/>
        <v>14210.735817081755</v>
      </c>
      <c r="AKX13" s="29">
        <f t="shared" ca="1" si="1025"/>
        <v>14579.811216158285</v>
      </c>
      <c r="AKY13" s="29">
        <f t="shared" ca="1" si="1026"/>
        <v>14711.894489219296</v>
      </c>
      <c r="AKZ13" s="29">
        <f t="shared" ca="1" si="1027"/>
        <v>13877.452134153538</v>
      </c>
      <c r="ALA13" s="29">
        <f t="shared" ca="1" si="1028"/>
        <v>14910.211300499319</v>
      </c>
      <c r="ALB13" s="29">
        <f t="shared" ca="1" si="1029"/>
        <v>15225.225186377791</v>
      </c>
      <c r="ALC13" s="29">
        <f t="shared" ca="1" si="1030"/>
        <v>14677.30902447544</v>
      </c>
      <c r="ALD13" s="29">
        <f t="shared" ca="1" si="1031"/>
        <v>14999.247101491812</v>
      </c>
      <c r="ALE13" s="29">
        <f t="shared" ca="1" si="1032"/>
        <v>13985.944199624002</v>
      </c>
      <c r="ALF13" s="29">
        <f t="shared" ca="1" si="1033"/>
        <v>13463.633380626996</v>
      </c>
      <c r="ALG13" s="29">
        <f t="shared" ca="1" si="1034"/>
        <v>14631.78192265456</v>
      </c>
      <c r="ALH13" s="29">
        <f t="shared" ca="1" si="1035"/>
        <v>14270.949859680564</v>
      </c>
      <c r="ALI13" s="29">
        <f t="shared" ca="1" si="1036"/>
        <v>14760.427923179317</v>
      </c>
      <c r="ALJ13" s="29">
        <f t="shared" ca="1" si="1037"/>
        <v>15241.214995236871</v>
      </c>
      <c r="ALK13" s="29">
        <f t="shared" ca="1" si="1038"/>
        <v>14575.106563725092</v>
      </c>
      <c r="ALL13" s="29">
        <f t="shared" ca="1" si="1039"/>
        <v>13894.640278697843</v>
      </c>
      <c r="ALM13" s="29">
        <f t="shared" ca="1" si="1040"/>
        <v>13283.189120011697</v>
      </c>
      <c r="ALN13" s="29">
        <f t="shared" ca="1" si="1041"/>
        <v>14109.936023643377</v>
      </c>
      <c r="ALO13" s="29">
        <f t="shared" ca="1" si="1042"/>
        <v>13736.172943368165</v>
      </c>
      <c r="ALP13" s="29">
        <f t="shared" ca="1" si="1043"/>
        <v>14555.693104056318</v>
      </c>
      <c r="ALQ13" s="29">
        <f t="shared" ca="1" si="1044"/>
        <v>15521.782984252721</v>
      </c>
      <c r="ALR13" s="29">
        <f t="shared" ca="1" si="1045"/>
        <v>14312.464050998227</v>
      </c>
      <c r="ALS13" s="29">
        <f t="shared" ca="1" si="1046"/>
        <v>14083.654584067564</v>
      </c>
      <c r="ALT13" s="29">
        <f t="shared" ca="1" si="1047"/>
        <v>14121.723815697604</v>
      </c>
      <c r="ALU13" s="29">
        <f t="shared" ca="1" si="1048"/>
        <v>15307.663141437028</v>
      </c>
      <c r="ALV13" s="29">
        <f t="shared" ca="1" si="1049"/>
        <v>13713.888678572634</v>
      </c>
    </row>
    <row r="14" spans="1:1258" x14ac:dyDescent="0.25">
      <c r="A14" s="1">
        <v>40493</v>
      </c>
      <c r="B14" s="2">
        <v>6194.25</v>
      </c>
      <c r="C14" s="16">
        <f t="shared" si="32"/>
        <v>-1.3063621276478926E-2</v>
      </c>
      <c r="F14" s="14">
        <f>F3*EXP(F11)</f>
        <v>13078.634480340888</v>
      </c>
      <c r="G14" s="25"/>
      <c r="H14" s="14">
        <f>F3*EXP(H11)</f>
        <v>15970.443236460853</v>
      </c>
      <c r="J14" s="29">
        <f t="shared" si="49"/>
        <v>11</v>
      </c>
      <c r="K14" s="29">
        <f t="shared" ca="1" si="50"/>
        <v>14623.431578043192</v>
      </c>
      <c r="L14" s="29">
        <f t="shared" ca="1" si="51"/>
        <v>13978.128430880754</v>
      </c>
      <c r="M14" s="29">
        <f t="shared" ca="1" si="52"/>
        <v>15014.889999924728</v>
      </c>
      <c r="N14" s="29">
        <f t="shared" ca="1" si="53"/>
        <v>13298.15164113175</v>
      </c>
      <c r="O14" s="29">
        <f t="shared" ca="1" si="54"/>
        <v>14813.24698899786</v>
      </c>
      <c r="P14" s="29">
        <f t="shared" ca="1" si="55"/>
        <v>14713.032988290037</v>
      </c>
      <c r="Q14" s="29">
        <f t="shared" ca="1" si="56"/>
        <v>13390.314138268301</v>
      </c>
      <c r="R14" s="29">
        <f t="shared" ca="1" si="57"/>
        <v>13953.727925875444</v>
      </c>
      <c r="S14" s="29">
        <f t="shared" ca="1" si="58"/>
        <v>14267.421932681558</v>
      </c>
      <c r="T14" s="29">
        <f t="shared" ca="1" si="59"/>
        <v>15248.805792698024</v>
      </c>
      <c r="U14" s="29">
        <f t="shared" ca="1" si="60"/>
        <v>15004.706803036072</v>
      </c>
      <c r="V14" s="29">
        <f t="shared" ca="1" si="61"/>
        <v>14444.587158007034</v>
      </c>
      <c r="W14" s="29">
        <f t="shared" ca="1" si="62"/>
        <v>14350.918190263023</v>
      </c>
      <c r="X14" s="29">
        <f t="shared" ca="1" si="63"/>
        <v>14990.442627427792</v>
      </c>
      <c r="Y14" s="29">
        <f t="shared" ca="1" si="64"/>
        <v>14512.250677948454</v>
      </c>
      <c r="Z14" s="29">
        <f t="shared" ca="1" si="65"/>
        <v>13696.207133113197</v>
      </c>
      <c r="AA14" s="29">
        <f t="shared" ca="1" si="66"/>
        <v>14772.469302336127</v>
      </c>
      <c r="AB14" s="29">
        <f t="shared" ca="1" si="67"/>
        <v>15282.995406636119</v>
      </c>
      <c r="AC14" s="29">
        <f t="shared" ca="1" si="68"/>
        <v>15642.399311447212</v>
      </c>
      <c r="AD14" s="29">
        <f t="shared" ca="1" si="69"/>
        <v>14501.134286995526</v>
      </c>
      <c r="AE14" s="29">
        <f t="shared" ca="1" si="70"/>
        <v>15649.304850028675</v>
      </c>
      <c r="AF14" s="29">
        <f t="shared" ca="1" si="71"/>
        <v>14384.971552610292</v>
      </c>
      <c r="AG14" s="29">
        <f t="shared" ca="1" si="72"/>
        <v>13576.655179799011</v>
      </c>
      <c r="AH14" s="29">
        <f t="shared" ca="1" si="73"/>
        <v>14906.592828550418</v>
      </c>
      <c r="AI14" s="29">
        <f t="shared" ca="1" si="74"/>
        <v>14399.190101562825</v>
      </c>
      <c r="AJ14" s="29">
        <f t="shared" ca="1" si="75"/>
        <v>14218.171061679843</v>
      </c>
      <c r="AK14" s="29">
        <f t="shared" ca="1" si="76"/>
        <v>13885.176245365466</v>
      </c>
      <c r="AL14" s="29">
        <f t="shared" ca="1" si="77"/>
        <v>14378.342210047578</v>
      </c>
      <c r="AM14" s="29">
        <f t="shared" ca="1" si="78"/>
        <v>14813.967343694399</v>
      </c>
      <c r="AN14" s="29">
        <f t="shared" ca="1" si="79"/>
        <v>14725.871209096704</v>
      </c>
      <c r="AO14" s="29">
        <f t="shared" ca="1" si="80"/>
        <v>14385.617018532486</v>
      </c>
      <c r="AP14" s="29">
        <f t="shared" ca="1" si="81"/>
        <v>14378.227843284201</v>
      </c>
      <c r="AQ14" s="29">
        <f t="shared" ca="1" si="82"/>
        <v>15002.426171289453</v>
      </c>
      <c r="AR14" s="29">
        <f t="shared" ca="1" si="83"/>
        <v>14503.460851122987</v>
      </c>
      <c r="AS14" s="29">
        <f t="shared" ca="1" si="84"/>
        <v>13386.877628338672</v>
      </c>
      <c r="AT14" s="29">
        <f t="shared" ca="1" si="85"/>
        <v>14550.106682974245</v>
      </c>
      <c r="AU14" s="29">
        <f t="shared" ca="1" si="86"/>
        <v>14629.702653956478</v>
      </c>
      <c r="AV14" s="29">
        <f t="shared" ca="1" si="87"/>
        <v>14744.427661250746</v>
      </c>
      <c r="AW14" s="29">
        <f t="shared" ca="1" si="88"/>
        <v>15013.336777821005</v>
      </c>
      <c r="AX14" s="29">
        <f t="shared" ca="1" si="89"/>
        <v>13731.677510443827</v>
      </c>
      <c r="AY14" s="29">
        <f t="shared" ca="1" si="90"/>
        <v>14247.609677729642</v>
      </c>
      <c r="AZ14" s="29">
        <f t="shared" ca="1" si="91"/>
        <v>14269.52761024822</v>
      </c>
      <c r="BA14" s="29">
        <f t="shared" ca="1" si="92"/>
        <v>14998.394653080286</v>
      </c>
      <c r="BB14" s="29">
        <f t="shared" ca="1" si="93"/>
        <v>13717.715901370131</v>
      </c>
      <c r="BC14" s="29">
        <f t="shared" ca="1" si="94"/>
        <v>13558.100521240231</v>
      </c>
      <c r="BD14" s="29">
        <f t="shared" ca="1" si="95"/>
        <v>14192.33544700781</v>
      </c>
      <c r="BE14" s="29">
        <f t="shared" ca="1" si="96"/>
        <v>14782.658774977916</v>
      </c>
      <c r="BF14" s="29">
        <f t="shared" ca="1" si="97"/>
        <v>15240.116779715685</v>
      </c>
      <c r="BG14" s="29">
        <f t="shared" ca="1" si="98"/>
        <v>13512.60519354654</v>
      </c>
      <c r="BH14" s="29">
        <f t="shared" ca="1" si="99"/>
        <v>14890.276069669755</v>
      </c>
      <c r="BI14" s="29">
        <f t="shared" ca="1" si="100"/>
        <v>15027.851055526615</v>
      </c>
      <c r="BJ14" s="29">
        <f t="shared" ca="1" si="101"/>
        <v>14420.785183960599</v>
      </c>
      <c r="BK14" s="29">
        <f t="shared" ca="1" si="102"/>
        <v>13773.003532879524</v>
      </c>
      <c r="BL14" s="29">
        <f t="shared" ca="1" si="103"/>
        <v>14504.657279092311</v>
      </c>
      <c r="BM14" s="29">
        <f t="shared" ca="1" si="104"/>
        <v>13907.921982636273</v>
      </c>
      <c r="BN14" s="29">
        <f t="shared" ca="1" si="105"/>
        <v>15127.647342070504</v>
      </c>
      <c r="BO14" s="29">
        <f t="shared" ca="1" si="106"/>
        <v>14430.708873994414</v>
      </c>
      <c r="BP14" s="29">
        <f t="shared" ca="1" si="107"/>
        <v>14934.932571054786</v>
      </c>
      <c r="BQ14" s="29">
        <f t="shared" ca="1" si="108"/>
        <v>14569.857647312283</v>
      </c>
      <c r="BR14" s="29">
        <f t="shared" ca="1" si="109"/>
        <v>13665.736329704074</v>
      </c>
      <c r="BS14" s="29">
        <f t="shared" ca="1" si="110"/>
        <v>15099.403482495394</v>
      </c>
      <c r="BT14" s="29">
        <f t="shared" ca="1" si="111"/>
        <v>14193.850343410908</v>
      </c>
      <c r="BU14" s="29">
        <f t="shared" ca="1" si="112"/>
        <v>14149.398579629749</v>
      </c>
      <c r="BV14" s="29">
        <f t="shared" ca="1" si="113"/>
        <v>14960.283191394436</v>
      </c>
      <c r="BW14" s="29">
        <f t="shared" ca="1" si="114"/>
        <v>14885.611714888355</v>
      </c>
      <c r="BX14" s="29">
        <f t="shared" ca="1" si="115"/>
        <v>14902.720819793838</v>
      </c>
      <c r="BY14" s="29">
        <f t="shared" ca="1" si="116"/>
        <v>14605.975985951029</v>
      </c>
      <c r="BZ14" s="29">
        <f t="shared" ca="1" si="117"/>
        <v>13793.951462755411</v>
      </c>
      <c r="CA14" s="29">
        <f t="shared" ca="1" si="118"/>
        <v>15051.455735365344</v>
      </c>
      <c r="CB14" s="29">
        <f t="shared" ca="1" si="119"/>
        <v>15751.515811626979</v>
      </c>
      <c r="CC14" s="29">
        <f t="shared" ca="1" si="120"/>
        <v>13587.918423913989</v>
      </c>
      <c r="CD14" s="29">
        <f t="shared" ca="1" si="121"/>
        <v>14454.353421474052</v>
      </c>
      <c r="CE14" s="29">
        <f t="shared" ca="1" si="122"/>
        <v>15461.437203615256</v>
      </c>
      <c r="CF14" s="29">
        <f t="shared" ca="1" si="123"/>
        <v>14880.656327918945</v>
      </c>
      <c r="CG14" s="29">
        <f t="shared" ca="1" si="124"/>
        <v>14375.775057752224</v>
      </c>
      <c r="CH14" s="29">
        <f t="shared" ca="1" si="125"/>
        <v>15425.242443431078</v>
      </c>
      <c r="CI14" s="29">
        <f t="shared" ca="1" si="126"/>
        <v>14835.188311204005</v>
      </c>
      <c r="CJ14" s="29">
        <f t="shared" ca="1" si="127"/>
        <v>14395.369451635293</v>
      </c>
      <c r="CK14" s="29">
        <f t="shared" ca="1" si="128"/>
        <v>14315.933057058339</v>
      </c>
      <c r="CL14" s="29">
        <f t="shared" ca="1" si="129"/>
        <v>14629.631271413224</v>
      </c>
      <c r="CM14" s="29">
        <f t="shared" ca="1" si="130"/>
        <v>14445.331327868162</v>
      </c>
      <c r="CN14" s="29">
        <f t="shared" ca="1" si="131"/>
        <v>14165.511252760365</v>
      </c>
      <c r="CO14" s="29">
        <f t="shared" ca="1" si="132"/>
        <v>15115.000292155157</v>
      </c>
      <c r="CP14" s="29">
        <f t="shared" ca="1" si="133"/>
        <v>14220.827442323794</v>
      </c>
      <c r="CQ14" s="29">
        <f t="shared" ca="1" si="134"/>
        <v>14206.131701839953</v>
      </c>
      <c r="CR14" s="29">
        <f t="shared" ca="1" si="135"/>
        <v>14025.412950372138</v>
      </c>
      <c r="CS14" s="29">
        <f t="shared" ca="1" si="136"/>
        <v>13738.408934180299</v>
      </c>
      <c r="CT14" s="29">
        <f t="shared" ca="1" si="137"/>
        <v>14151.058596854085</v>
      </c>
      <c r="CU14" s="29">
        <f t="shared" ca="1" si="138"/>
        <v>13977.245439684462</v>
      </c>
      <c r="CV14" s="29">
        <f t="shared" ca="1" si="139"/>
        <v>13846.417525571858</v>
      </c>
      <c r="CW14" s="29">
        <f t="shared" ca="1" si="140"/>
        <v>14361.146777226928</v>
      </c>
      <c r="CX14" s="29">
        <f t="shared" ca="1" si="141"/>
        <v>13827.825819939268</v>
      </c>
      <c r="CY14" s="29">
        <f t="shared" ca="1" si="142"/>
        <v>14836.132496948298</v>
      </c>
      <c r="CZ14" s="29">
        <f t="shared" ca="1" si="143"/>
        <v>13183.283800690908</v>
      </c>
      <c r="DA14" s="29">
        <f t="shared" ca="1" si="144"/>
        <v>14558.293616167584</v>
      </c>
      <c r="DB14" s="29">
        <f t="shared" ca="1" si="145"/>
        <v>15440.973004323952</v>
      </c>
      <c r="DC14" s="29">
        <f t="shared" ca="1" si="146"/>
        <v>15006.710916110987</v>
      </c>
      <c r="DD14" s="29">
        <f t="shared" ca="1" si="147"/>
        <v>13583.363895537175</v>
      </c>
      <c r="DE14" s="29">
        <f t="shared" ca="1" si="148"/>
        <v>14383.992656899563</v>
      </c>
      <c r="DF14" s="29">
        <f t="shared" ca="1" si="149"/>
        <v>14358.305469688419</v>
      </c>
      <c r="DG14" s="29">
        <f t="shared" ca="1" si="150"/>
        <v>14515.65356671132</v>
      </c>
      <c r="DH14" s="29">
        <f t="shared" ca="1" si="151"/>
        <v>14166.774720958885</v>
      </c>
      <c r="DI14" s="29">
        <f t="shared" ca="1" si="152"/>
        <v>14253.438786331377</v>
      </c>
      <c r="DJ14" s="29">
        <f t="shared" ca="1" si="153"/>
        <v>14680.45548162255</v>
      </c>
      <c r="DK14" s="29">
        <f t="shared" ca="1" si="154"/>
        <v>13898.305450127371</v>
      </c>
      <c r="DL14" s="29">
        <f t="shared" ca="1" si="155"/>
        <v>14903.839056251825</v>
      </c>
      <c r="DM14" s="29">
        <f t="shared" ca="1" si="156"/>
        <v>14526.374305717191</v>
      </c>
      <c r="DN14" s="29">
        <f t="shared" ca="1" si="157"/>
        <v>14808.654399682062</v>
      </c>
      <c r="DO14" s="29">
        <f t="shared" ca="1" si="158"/>
        <v>13728.015610083401</v>
      </c>
      <c r="DP14" s="29">
        <f t="shared" ca="1" si="159"/>
        <v>14286.113711266569</v>
      </c>
      <c r="DQ14" s="29">
        <f t="shared" ca="1" si="160"/>
        <v>14901.100688651846</v>
      </c>
      <c r="DR14" s="29">
        <f t="shared" ca="1" si="161"/>
        <v>13263.911971868309</v>
      </c>
      <c r="DS14" s="29">
        <f t="shared" ca="1" si="162"/>
        <v>14973.383017819033</v>
      </c>
      <c r="DT14" s="29">
        <f t="shared" ca="1" si="163"/>
        <v>14128.285069724474</v>
      </c>
      <c r="DU14" s="29">
        <f t="shared" ca="1" si="164"/>
        <v>14323.518673927627</v>
      </c>
      <c r="DV14" s="29">
        <f t="shared" ca="1" si="165"/>
        <v>14272.169231277323</v>
      </c>
      <c r="DW14" s="29">
        <f t="shared" ca="1" si="166"/>
        <v>14395.439032403023</v>
      </c>
      <c r="DX14" s="29">
        <f t="shared" ca="1" si="167"/>
        <v>13957.899990990558</v>
      </c>
      <c r="DY14" s="29">
        <f t="shared" ca="1" si="168"/>
        <v>14365.399392146359</v>
      </c>
      <c r="DZ14" s="29">
        <f t="shared" ca="1" si="169"/>
        <v>14826.4638799978</v>
      </c>
      <c r="EA14" s="29">
        <f t="shared" ca="1" si="170"/>
        <v>13816.458381991022</v>
      </c>
      <c r="EB14" s="29">
        <f t="shared" ca="1" si="171"/>
        <v>13677.522060687896</v>
      </c>
      <c r="EC14" s="29">
        <f t="shared" ca="1" si="172"/>
        <v>14553.117951596278</v>
      </c>
      <c r="ED14" s="29">
        <f t="shared" ca="1" si="173"/>
        <v>15222.920773148471</v>
      </c>
      <c r="EE14" s="29">
        <f t="shared" ca="1" si="174"/>
        <v>14528.366638459631</v>
      </c>
      <c r="EF14" s="29">
        <f t="shared" ca="1" si="175"/>
        <v>15083.340828734148</v>
      </c>
      <c r="EG14" s="29">
        <f t="shared" ca="1" si="176"/>
        <v>14880.754287808604</v>
      </c>
      <c r="EH14" s="29">
        <f t="shared" ca="1" si="177"/>
        <v>14274.385172487233</v>
      </c>
      <c r="EI14" s="29">
        <f t="shared" ca="1" si="178"/>
        <v>14172.827041069037</v>
      </c>
      <c r="EJ14" s="29">
        <f t="shared" ca="1" si="179"/>
        <v>14673.506522593741</v>
      </c>
      <c r="EK14" s="29">
        <f t="shared" ca="1" si="180"/>
        <v>14458.299982333776</v>
      </c>
      <c r="EL14" s="29">
        <f t="shared" ca="1" si="181"/>
        <v>14552.205751055662</v>
      </c>
      <c r="EM14" s="29">
        <f t="shared" ca="1" si="182"/>
        <v>13621.320430503727</v>
      </c>
      <c r="EN14" s="29">
        <f t="shared" ca="1" si="183"/>
        <v>14372.405893164263</v>
      </c>
      <c r="EO14" s="29">
        <f t="shared" ca="1" si="184"/>
        <v>14291.710213636105</v>
      </c>
      <c r="EP14" s="29">
        <f t="shared" ca="1" si="185"/>
        <v>14426.957227400584</v>
      </c>
      <c r="EQ14" s="29">
        <f t="shared" ca="1" si="186"/>
        <v>14559.461078910117</v>
      </c>
      <c r="ER14" s="29">
        <f t="shared" ca="1" si="187"/>
        <v>13997.07912167669</v>
      </c>
      <c r="ES14" s="29">
        <f t="shared" ca="1" si="188"/>
        <v>14359.26663935306</v>
      </c>
      <c r="ET14" s="29">
        <f t="shared" ca="1" si="189"/>
        <v>14437.930687120333</v>
      </c>
      <c r="EU14" s="29">
        <f t="shared" ca="1" si="190"/>
        <v>14552.153714225044</v>
      </c>
      <c r="EV14" s="29">
        <f t="shared" ca="1" si="191"/>
        <v>14669.985320434935</v>
      </c>
      <c r="EW14" s="29">
        <f t="shared" ca="1" si="192"/>
        <v>14188.024123595449</v>
      </c>
      <c r="EX14" s="29">
        <f t="shared" ca="1" si="193"/>
        <v>15083.367005811724</v>
      </c>
      <c r="EY14" s="29">
        <f t="shared" ca="1" si="194"/>
        <v>14248.953566835422</v>
      </c>
      <c r="EZ14" s="29">
        <f t="shared" ca="1" si="195"/>
        <v>14663.920925617145</v>
      </c>
      <c r="FA14" s="29">
        <f t="shared" ca="1" si="196"/>
        <v>14757.495294973749</v>
      </c>
      <c r="FB14" s="29">
        <f t="shared" ca="1" si="197"/>
        <v>15352.461070206637</v>
      </c>
      <c r="FC14" s="29">
        <f t="shared" ca="1" si="198"/>
        <v>14940.452041852337</v>
      </c>
      <c r="FD14" s="29">
        <f t="shared" ca="1" si="199"/>
        <v>14356.183326716742</v>
      </c>
      <c r="FE14" s="29">
        <f t="shared" ca="1" si="200"/>
        <v>15025.412735784272</v>
      </c>
      <c r="FF14" s="29">
        <f t="shared" ca="1" si="201"/>
        <v>14549.198546844817</v>
      </c>
      <c r="FG14" s="29">
        <f t="shared" ca="1" si="202"/>
        <v>13679.486275719804</v>
      </c>
      <c r="FH14" s="29">
        <f t="shared" ca="1" si="203"/>
        <v>13921.745766409211</v>
      </c>
      <c r="FI14" s="29">
        <f t="shared" ca="1" si="204"/>
        <v>14350.677852860321</v>
      </c>
      <c r="FJ14" s="29">
        <f t="shared" ca="1" si="205"/>
        <v>14255.998482987738</v>
      </c>
      <c r="FK14" s="29">
        <f t="shared" ca="1" si="206"/>
        <v>14890.819796137719</v>
      </c>
      <c r="FL14" s="29">
        <f t="shared" ca="1" si="207"/>
        <v>13942.666034297379</v>
      </c>
      <c r="FM14" s="29">
        <f t="shared" ca="1" si="208"/>
        <v>14491.960179241871</v>
      </c>
      <c r="FN14" s="29">
        <f t="shared" ca="1" si="209"/>
        <v>13326.431142323085</v>
      </c>
      <c r="FO14" s="29">
        <f t="shared" ca="1" si="210"/>
        <v>14060.424297933136</v>
      </c>
      <c r="FP14" s="29">
        <f t="shared" ca="1" si="211"/>
        <v>13434.756735294106</v>
      </c>
      <c r="FQ14" s="29">
        <f t="shared" ca="1" si="212"/>
        <v>14347.757922591414</v>
      </c>
      <c r="FR14" s="29">
        <f t="shared" ca="1" si="213"/>
        <v>14232.178072073617</v>
      </c>
      <c r="FS14" s="29">
        <f t="shared" ca="1" si="214"/>
        <v>15077.98929025084</v>
      </c>
      <c r="FT14" s="29">
        <f t="shared" ca="1" si="215"/>
        <v>14363.846518893008</v>
      </c>
      <c r="FU14" s="29">
        <f t="shared" ca="1" si="216"/>
        <v>14454.65587687309</v>
      </c>
      <c r="FV14" s="29">
        <f t="shared" ca="1" si="217"/>
        <v>14548.412275585057</v>
      </c>
      <c r="FW14" s="29">
        <f t="shared" ca="1" si="218"/>
        <v>14540.983429880893</v>
      </c>
      <c r="FX14" s="29">
        <f t="shared" ca="1" si="219"/>
        <v>15165.152062050702</v>
      </c>
      <c r="FY14" s="29">
        <f t="shared" ca="1" si="220"/>
        <v>14357.103776760743</v>
      </c>
      <c r="FZ14" s="29">
        <f t="shared" ca="1" si="221"/>
        <v>13450.052420367976</v>
      </c>
      <c r="GA14" s="29">
        <f t="shared" ca="1" si="222"/>
        <v>14330.637233579875</v>
      </c>
      <c r="GB14" s="29">
        <f t="shared" ca="1" si="223"/>
        <v>15605.061891625764</v>
      </c>
      <c r="GC14" s="29">
        <f t="shared" ca="1" si="224"/>
        <v>15082.926448527172</v>
      </c>
      <c r="GD14" s="29">
        <f t="shared" ca="1" si="225"/>
        <v>14732.880239673535</v>
      </c>
      <c r="GE14" s="29">
        <f t="shared" ca="1" si="226"/>
        <v>14350.793223165914</v>
      </c>
      <c r="GF14" s="29">
        <f t="shared" ca="1" si="227"/>
        <v>14560.566405448333</v>
      </c>
      <c r="GG14" s="29">
        <f t="shared" ca="1" si="228"/>
        <v>14239.305406110529</v>
      </c>
      <c r="GH14" s="29">
        <f t="shared" ca="1" si="229"/>
        <v>14195.425286318001</v>
      </c>
      <c r="GI14" s="29">
        <f t="shared" ca="1" si="230"/>
        <v>14241.552602180966</v>
      </c>
      <c r="GJ14" s="29">
        <f t="shared" ca="1" si="231"/>
        <v>14145.943179793256</v>
      </c>
      <c r="GK14" s="29">
        <f t="shared" ca="1" si="232"/>
        <v>13987.989863794761</v>
      </c>
      <c r="GL14" s="29">
        <f t="shared" ca="1" si="233"/>
        <v>14126.789956864997</v>
      </c>
      <c r="GM14" s="29">
        <f t="shared" ca="1" si="234"/>
        <v>13748.003595623994</v>
      </c>
      <c r="GN14" s="29">
        <f t="shared" ca="1" si="235"/>
        <v>13610.407024476688</v>
      </c>
      <c r="GO14" s="29">
        <f t="shared" ca="1" si="236"/>
        <v>14065.965920103848</v>
      </c>
      <c r="GP14" s="29">
        <f t="shared" ca="1" si="237"/>
        <v>15276.55795045901</v>
      </c>
      <c r="GQ14" s="29">
        <f t="shared" ca="1" si="238"/>
        <v>14521.350887187493</v>
      </c>
      <c r="GR14" s="29">
        <f t="shared" ca="1" si="239"/>
        <v>14299.68056132982</v>
      </c>
      <c r="GS14" s="29">
        <f t="shared" ca="1" si="240"/>
        <v>14763.606460492198</v>
      </c>
      <c r="GT14" s="29">
        <f t="shared" ca="1" si="241"/>
        <v>13833.620095868066</v>
      </c>
      <c r="GU14" s="29">
        <f t="shared" ca="1" si="242"/>
        <v>13749.968960696378</v>
      </c>
      <c r="GV14" s="29">
        <f t="shared" ca="1" si="243"/>
        <v>14704.053990578584</v>
      </c>
      <c r="GW14" s="29">
        <f t="shared" ca="1" si="244"/>
        <v>14534.21137660368</v>
      </c>
      <c r="GX14" s="29">
        <f t="shared" ca="1" si="245"/>
        <v>13833.684182418368</v>
      </c>
      <c r="GY14" s="29">
        <f t="shared" ca="1" si="246"/>
        <v>14612.382535273138</v>
      </c>
      <c r="GZ14" s="29">
        <f t="shared" ca="1" si="247"/>
        <v>14755.324006655757</v>
      </c>
      <c r="HA14" s="29">
        <f t="shared" ca="1" si="248"/>
        <v>15255.077716489546</v>
      </c>
      <c r="HB14" s="29">
        <f t="shared" ca="1" si="249"/>
        <v>14066.415021149665</v>
      </c>
      <c r="HC14" s="29">
        <f t="shared" ca="1" si="250"/>
        <v>14663.132584086163</v>
      </c>
      <c r="HD14" s="29">
        <f t="shared" ca="1" si="251"/>
        <v>13811.390624501462</v>
      </c>
      <c r="HE14" s="29">
        <f t="shared" ca="1" si="252"/>
        <v>15106.752037269291</v>
      </c>
      <c r="HF14" s="29">
        <f t="shared" ca="1" si="253"/>
        <v>13974.433711117403</v>
      </c>
      <c r="HG14" s="29">
        <f t="shared" ca="1" si="254"/>
        <v>13903.25170905935</v>
      </c>
      <c r="HH14" s="29">
        <f t="shared" ca="1" si="255"/>
        <v>13349.543658481083</v>
      </c>
      <c r="HI14" s="29">
        <f t="shared" ca="1" si="256"/>
        <v>14263.807295452385</v>
      </c>
      <c r="HJ14" s="29">
        <f t="shared" ca="1" si="257"/>
        <v>14303.847387282769</v>
      </c>
      <c r="HK14" s="29">
        <f t="shared" ca="1" si="258"/>
        <v>15275.409382947062</v>
      </c>
      <c r="HL14" s="29">
        <f t="shared" ca="1" si="259"/>
        <v>15127.863849747959</v>
      </c>
      <c r="HM14" s="29">
        <f t="shared" ca="1" si="260"/>
        <v>14167.334773186791</v>
      </c>
      <c r="HN14" s="29">
        <f t="shared" ca="1" si="261"/>
        <v>13833.109523324107</v>
      </c>
      <c r="HO14" s="29">
        <f t="shared" ca="1" si="262"/>
        <v>15066.896596837367</v>
      </c>
      <c r="HP14" s="29">
        <f t="shared" ca="1" si="263"/>
        <v>13498.026854643787</v>
      </c>
      <c r="HQ14" s="29">
        <f t="shared" ca="1" si="264"/>
        <v>14341.66469209621</v>
      </c>
      <c r="HR14" s="29">
        <f t="shared" ca="1" si="265"/>
        <v>14827.285839129956</v>
      </c>
      <c r="HS14" s="29">
        <f t="shared" ca="1" si="266"/>
        <v>14876.87653195952</v>
      </c>
      <c r="HT14" s="29">
        <f t="shared" ca="1" si="267"/>
        <v>14719.279707773165</v>
      </c>
      <c r="HU14" s="29">
        <f t="shared" ca="1" si="268"/>
        <v>14662.168475115417</v>
      </c>
      <c r="HV14" s="29">
        <f t="shared" ca="1" si="269"/>
        <v>14363.829669037332</v>
      </c>
      <c r="HW14" s="29">
        <f t="shared" ca="1" si="270"/>
        <v>14779.398526360706</v>
      </c>
      <c r="HX14" s="29">
        <f t="shared" ca="1" si="271"/>
        <v>14806.181893672321</v>
      </c>
      <c r="HY14" s="29">
        <f t="shared" ca="1" si="272"/>
        <v>14733.448036248081</v>
      </c>
      <c r="HZ14" s="29">
        <f t="shared" ca="1" si="273"/>
        <v>13991.864405506518</v>
      </c>
      <c r="IA14" s="29">
        <f t="shared" ca="1" si="274"/>
        <v>15050.43691861202</v>
      </c>
      <c r="IB14" s="29">
        <f t="shared" ca="1" si="275"/>
        <v>14868.85473061805</v>
      </c>
      <c r="IC14" s="29">
        <f t="shared" ca="1" si="276"/>
        <v>13641.660073510588</v>
      </c>
      <c r="ID14" s="29">
        <f t="shared" ca="1" si="277"/>
        <v>14778.795410064067</v>
      </c>
      <c r="IE14" s="29">
        <f t="shared" ca="1" si="278"/>
        <v>13165.060588673619</v>
      </c>
      <c r="IF14" s="29">
        <f t="shared" ca="1" si="279"/>
        <v>14691.248913698217</v>
      </c>
      <c r="IG14" s="29">
        <f t="shared" ca="1" si="280"/>
        <v>14015.3518231703</v>
      </c>
      <c r="IH14" s="29">
        <f t="shared" ca="1" si="281"/>
        <v>14194.19369533202</v>
      </c>
      <c r="II14" s="29">
        <f t="shared" ca="1" si="282"/>
        <v>14550.373651895679</v>
      </c>
      <c r="IJ14" s="29">
        <f t="shared" ca="1" si="283"/>
        <v>14762.805862975347</v>
      </c>
      <c r="IK14" s="29">
        <f t="shared" ca="1" si="284"/>
        <v>14127.148391996398</v>
      </c>
      <c r="IL14" s="29">
        <f t="shared" ca="1" si="285"/>
        <v>14754.699478105775</v>
      </c>
      <c r="IM14" s="29">
        <f t="shared" ca="1" si="286"/>
        <v>14057.342985644773</v>
      </c>
      <c r="IN14" s="29">
        <f t="shared" ca="1" si="287"/>
        <v>15433.796076542612</v>
      </c>
      <c r="IO14" s="29">
        <f t="shared" ca="1" si="288"/>
        <v>14781.223760366716</v>
      </c>
      <c r="IP14" s="29">
        <f t="shared" ca="1" si="289"/>
        <v>14781.8546888821</v>
      </c>
      <c r="IQ14" s="29">
        <f t="shared" ca="1" si="290"/>
        <v>13724.766463998791</v>
      </c>
      <c r="IR14" s="29">
        <f t="shared" ca="1" si="291"/>
        <v>14761.548698494536</v>
      </c>
      <c r="IS14" s="29">
        <f t="shared" ca="1" si="292"/>
        <v>12885.370249265849</v>
      </c>
      <c r="IT14" s="29">
        <f t="shared" ca="1" si="293"/>
        <v>16042.857098850729</v>
      </c>
      <c r="IU14" s="29">
        <f t="shared" ca="1" si="294"/>
        <v>15852.002497868421</v>
      </c>
      <c r="IV14" s="29">
        <f t="shared" ca="1" si="295"/>
        <v>14320.350489843089</v>
      </c>
      <c r="IW14" s="29">
        <f t="shared" ca="1" si="296"/>
        <v>14672.227507834486</v>
      </c>
      <c r="IX14" s="29">
        <f t="shared" ca="1" si="297"/>
        <v>15423.463514084069</v>
      </c>
      <c r="IY14" s="29">
        <f t="shared" ca="1" si="298"/>
        <v>13224.999408357455</v>
      </c>
      <c r="IZ14" s="29">
        <f t="shared" ca="1" si="299"/>
        <v>13491.921526561193</v>
      </c>
      <c r="JA14" s="29">
        <f t="shared" ca="1" si="300"/>
        <v>13427.172692158811</v>
      </c>
      <c r="JB14" s="29">
        <f t="shared" ca="1" si="301"/>
        <v>14457.79140214743</v>
      </c>
      <c r="JC14" s="29">
        <f t="shared" ca="1" si="302"/>
        <v>14291.232030677138</v>
      </c>
      <c r="JD14" s="29">
        <f t="shared" ca="1" si="303"/>
        <v>13939.762160767941</v>
      </c>
      <c r="JE14" s="29">
        <f t="shared" ca="1" si="304"/>
        <v>13226.266647011347</v>
      </c>
      <c r="JF14" s="29">
        <f t="shared" ca="1" si="305"/>
        <v>14422.667569261985</v>
      </c>
      <c r="JG14" s="29">
        <f t="shared" ca="1" si="306"/>
        <v>13719.037698894268</v>
      </c>
      <c r="JH14" s="29">
        <f t="shared" ca="1" si="307"/>
        <v>14954.585427167875</v>
      </c>
      <c r="JI14" s="29">
        <f t="shared" ca="1" si="308"/>
        <v>14099.881903619707</v>
      </c>
      <c r="JJ14" s="29">
        <f t="shared" ca="1" si="309"/>
        <v>14227.660425873257</v>
      </c>
      <c r="JK14" s="29">
        <f t="shared" ca="1" si="310"/>
        <v>13808.726890262365</v>
      </c>
      <c r="JL14" s="29">
        <f t="shared" ca="1" si="311"/>
        <v>14276.110904818528</v>
      </c>
      <c r="JM14" s="29">
        <f t="shared" ca="1" si="312"/>
        <v>13652.248756460453</v>
      </c>
      <c r="JN14" s="29">
        <f t="shared" ca="1" si="313"/>
        <v>14829.596808571225</v>
      </c>
      <c r="JO14" s="29">
        <f t="shared" ca="1" si="314"/>
        <v>14710.442619109317</v>
      </c>
      <c r="JP14" s="29">
        <f t="shared" ca="1" si="315"/>
        <v>15142.023069739427</v>
      </c>
      <c r="JQ14" s="29">
        <f t="shared" ca="1" si="316"/>
        <v>14356.122557960472</v>
      </c>
      <c r="JR14" s="29">
        <f t="shared" ca="1" si="317"/>
        <v>14936.456390568401</v>
      </c>
      <c r="JS14" s="29">
        <f t="shared" ca="1" si="318"/>
        <v>15002.01202139698</v>
      </c>
      <c r="JT14" s="29">
        <f t="shared" ca="1" si="319"/>
        <v>14783.976117683749</v>
      </c>
      <c r="JU14" s="29">
        <f t="shared" ca="1" si="320"/>
        <v>14409.6653665142</v>
      </c>
      <c r="JV14" s="29">
        <f t="shared" ca="1" si="321"/>
        <v>14495.658139136376</v>
      </c>
      <c r="JW14" s="29">
        <f t="shared" ca="1" si="322"/>
        <v>14668.112413950512</v>
      </c>
      <c r="JX14" s="29">
        <f t="shared" ca="1" si="323"/>
        <v>14588.719326463402</v>
      </c>
      <c r="JY14" s="29">
        <f t="shared" ca="1" si="324"/>
        <v>14466.129189337433</v>
      </c>
      <c r="JZ14" s="29">
        <f t="shared" ca="1" si="325"/>
        <v>14637.534051974126</v>
      </c>
      <c r="KA14" s="29">
        <f t="shared" ca="1" si="326"/>
        <v>14247.242227693239</v>
      </c>
      <c r="KB14" s="29">
        <f t="shared" ca="1" si="327"/>
        <v>13499.852756999762</v>
      </c>
      <c r="KC14" s="29">
        <f t="shared" ca="1" si="328"/>
        <v>14098.587445834948</v>
      </c>
      <c r="KD14" s="29">
        <f t="shared" ca="1" si="329"/>
        <v>13975.557419717637</v>
      </c>
      <c r="KE14" s="29">
        <f t="shared" ca="1" si="330"/>
        <v>16004.498810981777</v>
      </c>
      <c r="KF14" s="29">
        <f t="shared" ca="1" si="331"/>
        <v>14484.087279284659</v>
      </c>
      <c r="KG14" s="29">
        <f t="shared" ca="1" si="332"/>
        <v>14193.210712307304</v>
      </c>
      <c r="KH14" s="29">
        <f t="shared" ca="1" si="333"/>
        <v>14863.072513479536</v>
      </c>
      <c r="KI14" s="29">
        <f t="shared" ca="1" si="334"/>
        <v>13719.098546189003</v>
      </c>
      <c r="KJ14" s="29">
        <f t="shared" ca="1" si="335"/>
        <v>14892.541557711867</v>
      </c>
      <c r="KK14" s="29">
        <f t="shared" ca="1" si="336"/>
        <v>13919.478492967526</v>
      </c>
      <c r="KL14" s="29">
        <f t="shared" ca="1" si="337"/>
        <v>14248.597216867867</v>
      </c>
      <c r="KM14" s="29">
        <f t="shared" ca="1" si="338"/>
        <v>15463.320029643521</v>
      </c>
      <c r="KN14" s="29">
        <f t="shared" ca="1" si="339"/>
        <v>14088.064794963248</v>
      </c>
      <c r="KO14" s="29">
        <f t="shared" ca="1" si="340"/>
        <v>14562.671380584916</v>
      </c>
      <c r="KP14" s="29">
        <f t="shared" ca="1" si="341"/>
        <v>14308.228908591427</v>
      </c>
      <c r="KQ14" s="29">
        <f t="shared" ca="1" si="342"/>
        <v>14115.907454669192</v>
      </c>
      <c r="KR14" s="29">
        <f t="shared" ca="1" si="343"/>
        <v>14147.53792261846</v>
      </c>
      <c r="KS14" s="29">
        <f t="shared" ca="1" si="344"/>
        <v>13763.083859364991</v>
      </c>
      <c r="KT14" s="29">
        <f t="shared" ca="1" si="345"/>
        <v>14725.140930222618</v>
      </c>
      <c r="KU14" s="29">
        <f t="shared" ca="1" si="346"/>
        <v>13887.097500970791</v>
      </c>
      <c r="KV14" s="29">
        <f t="shared" ca="1" si="347"/>
        <v>13731.998138953464</v>
      </c>
      <c r="KW14" s="29">
        <f t="shared" ca="1" si="348"/>
        <v>14666.553036922704</v>
      </c>
      <c r="KX14" s="29">
        <f t="shared" ca="1" si="349"/>
        <v>13236.188745515612</v>
      </c>
      <c r="KY14" s="29">
        <f t="shared" ca="1" si="350"/>
        <v>14800.84556727826</v>
      </c>
      <c r="KZ14" s="29">
        <f t="shared" ca="1" si="351"/>
        <v>14398.26633263413</v>
      </c>
      <c r="LA14" s="29">
        <f t="shared" ca="1" si="352"/>
        <v>15388.468195554044</v>
      </c>
      <c r="LB14" s="29">
        <f t="shared" ca="1" si="353"/>
        <v>14145.743185174293</v>
      </c>
      <c r="LC14" s="29">
        <f t="shared" ca="1" si="354"/>
        <v>14091.111442707474</v>
      </c>
      <c r="LD14" s="29">
        <f t="shared" ca="1" si="355"/>
        <v>13455.593680080787</v>
      </c>
      <c r="LE14" s="29">
        <f t="shared" ca="1" si="356"/>
        <v>14135.297975224617</v>
      </c>
      <c r="LF14" s="29">
        <f t="shared" ca="1" si="357"/>
        <v>14069.694816423835</v>
      </c>
      <c r="LG14" s="29">
        <f t="shared" ca="1" si="358"/>
        <v>14320.580845793527</v>
      </c>
      <c r="LH14" s="29">
        <f t="shared" ca="1" si="359"/>
        <v>13511.034322926867</v>
      </c>
      <c r="LI14" s="29">
        <f t="shared" ca="1" si="360"/>
        <v>14126.046862055333</v>
      </c>
      <c r="LJ14" s="29">
        <f t="shared" ca="1" si="361"/>
        <v>14296.044841224826</v>
      </c>
      <c r="LK14" s="29">
        <f t="shared" ca="1" si="362"/>
        <v>14295.268386752976</v>
      </c>
      <c r="LL14" s="29">
        <f t="shared" ca="1" si="363"/>
        <v>14199.672679000438</v>
      </c>
      <c r="LM14" s="29">
        <f t="shared" ca="1" si="364"/>
        <v>14740.591262986176</v>
      </c>
      <c r="LN14" s="29">
        <f t="shared" ca="1" si="365"/>
        <v>14952.419380809808</v>
      </c>
      <c r="LO14" s="29">
        <f t="shared" ca="1" si="366"/>
        <v>14122.495912329659</v>
      </c>
      <c r="LP14" s="29">
        <f t="shared" ca="1" si="367"/>
        <v>14390.972351941822</v>
      </c>
      <c r="LQ14" s="29">
        <f t="shared" ca="1" si="368"/>
        <v>15837.166393177346</v>
      </c>
      <c r="LR14" s="29">
        <f t="shared" ca="1" si="369"/>
        <v>14180.802736800448</v>
      </c>
      <c r="LS14" s="29">
        <f t="shared" ca="1" si="370"/>
        <v>14243.309968496496</v>
      </c>
      <c r="LT14" s="29">
        <f t="shared" ca="1" si="371"/>
        <v>14149.480576234064</v>
      </c>
      <c r="LU14" s="29">
        <f t="shared" ca="1" si="372"/>
        <v>14832.18134680742</v>
      </c>
      <c r="LV14" s="29">
        <f t="shared" ca="1" si="373"/>
        <v>14354.737632441584</v>
      </c>
      <c r="LW14" s="29">
        <f t="shared" ca="1" si="374"/>
        <v>14500.897582542329</v>
      </c>
      <c r="LX14" s="29">
        <f t="shared" ca="1" si="375"/>
        <v>14338.070841600565</v>
      </c>
      <c r="LY14" s="29">
        <f t="shared" ca="1" si="376"/>
        <v>14780.699688533055</v>
      </c>
      <c r="LZ14" s="29">
        <f t="shared" ca="1" si="377"/>
        <v>15133.79621843572</v>
      </c>
      <c r="MA14" s="29">
        <f t="shared" ca="1" si="378"/>
        <v>14205.739844848264</v>
      </c>
      <c r="MB14" s="29">
        <f t="shared" ca="1" si="379"/>
        <v>13969.27849040856</v>
      </c>
      <c r="MC14" s="29">
        <f t="shared" ca="1" si="380"/>
        <v>14819.9420591327</v>
      </c>
      <c r="MD14" s="29">
        <f t="shared" ca="1" si="381"/>
        <v>15163.905075278193</v>
      </c>
      <c r="ME14" s="29">
        <f t="shared" ca="1" si="382"/>
        <v>13068.979740009388</v>
      </c>
      <c r="MF14" s="29">
        <f t="shared" ca="1" si="383"/>
        <v>14229.963793256773</v>
      </c>
      <c r="MG14" s="29">
        <f t="shared" ca="1" si="384"/>
        <v>14062.626905958108</v>
      </c>
      <c r="MH14" s="29">
        <f t="shared" ca="1" si="385"/>
        <v>14361.274571208534</v>
      </c>
      <c r="MI14" s="29">
        <f t="shared" ca="1" si="386"/>
        <v>14849.292123924224</v>
      </c>
      <c r="MJ14" s="29">
        <f t="shared" ca="1" si="387"/>
        <v>15014.595517708876</v>
      </c>
      <c r="MK14" s="29">
        <f t="shared" ca="1" si="388"/>
        <v>14440.073062509002</v>
      </c>
      <c r="ML14" s="29">
        <f t="shared" ca="1" si="389"/>
        <v>15825.209685366888</v>
      </c>
      <c r="MM14" s="29">
        <f t="shared" ca="1" si="390"/>
        <v>15427.773535263417</v>
      </c>
      <c r="MN14" s="29">
        <f t="shared" ca="1" si="391"/>
        <v>14449.871174657925</v>
      </c>
      <c r="MO14" s="29">
        <f t="shared" ca="1" si="392"/>
        <v>13779.030592647599</v>
      </c>
      <c r="MP14" s="29">
        <f t="shared" ca="1" si="393"/>
        <v>14206.663977753631</v>
      </c>
      <c r="MQ14" s="29">
        <f t="shared" ca="1" si="394"/>
        <v>14847.708107319122</v>
      </c>
      <c r="MR14" s="29">
        <f t="shared" ca="1" si="395"/>
        <v>14451.008993742598</v>
      </c>
      <c r="MS14" s="29">
        <f t="shared" ca="1" si="396"/>
        <v>13193.527163170575</v>
      </c>
      <c r="MT14" s="29">
        <f t="shared" ca="1" si="397"/>
        <v>14671.79806061616</v>
      </c>
      <c r="MU14" s="29">
        <f t="shared" ca="1" si="398"/>
        <v>14238.9941993915</v>
      </c>
      <c r="MV14" s="29">
        <f t="shared" ca="1" si="399"/>
        <v>13768.554366987601</v>
      </c>
      <c r="MW14" s="29">
        <f t="shared" ca="1" si="400"/>
        <v>14323.853653890641</v>
      </c>
      <c r="MX14" s="29">
        <f t="shared" ca="1" si="401"/>
        <v>14548.261024245889</v>
      </c>
      <c r="MY14" s="29">
        <f t="shared" ca="1" si="402"/>
        <v>14486.333153789014</v>
      </c>
      <c r="MZ14" s="29">
        <f t="shared" ca="1" si="403"/>
        <v>15412.933117776674</v>
      </c>
      <c r="NA14" s="29">
        <f t="shared" ca="1" si="404"/>
        <v>14249.396857929156</v>
      </c>
      <c r="NB14" s="29">
        <f t="shared" ca="1" si="405"/>
        <v>14954.526379963056</v>
      </c>
      <c r="NC14" s="29">
        <f t="shared" ca="1" si="406"/>
        <v>14099.587856683436</v>
      </c>
      <c r="ND14" s="29">
        <f t="shared" ca="1" si="407"/>
        <v>13975.708649535638</v>
      </c>
      <c r="NE14" s="29">
        <f t="shared" ca="1" si="408"/>
        <v>14723.805790072154</v>
      </c>
      <c r="NF14" s="29">
        <f t="shared" ca="1" si="409"/>
        <v>14863.058722817439</v>
      </c>
      <c r="NG14" s="29">
        <f t="shared" ca="1" si="410"/>
        <v>13783.603660158005</v>
      </c>
      <c r="NH14" s="29">
        <f t="shared" ca="1" si="411"/>
        <v>14119.077667359055</v>
      </c>
      <c r="NI14" s="29">
        <f t="shared" ca="1" si="412"/>
        <v>14845.598494751721</v>
      </c>
      <c r="NJ14" s="29">
        <f t="shared" ca="1" si="413"/>
        <v>14647.489821714318</v>
      </c>
      <c r="NK14" s="29">
        <f t="shared" ca="1" si="414"/>
        <v>15229.904552201357</v>
      </c>
      <c r="NL14" s="29">
        <f t="shared" ca="1" si="415"/>
        <v>13871.190026699111</v>
      </c>
      <c r="NM14" s="29">
        <f t="shared" ca="1" si="416"/>
        <v>14922.15173644565</v>
      </c>
      <c r="NN14" s="29">
        <f t="shared" ca="1" si="417"/>
        <v>14412.481922224206</v>
      </c>
      <c r="NO14" s="29">
        <f t="shared" ca="1" si="418"/>
        <v>14355.419297171837</v>
      </c>
      <c r="NP14" s="29">
        <f t="shared" ca="1" si="419"/>
        <v>13625.020313953055</v>
      </c>
      <c r="NQ14" s="29">
        <f t="shared" ca="1" si="420"/>
        <v>15024.367082355757</v>
      </c>
      <c r="NR14" s="29">
        <f t="shared" ca="1" si="421"/>
        <v>14521.286788858157</v>
      </c>
      <c r="NS14" s="29">
        <f t="shared" ca="1" si="422"/>
        <v>14241.127766507067</v>
      </c>
      <c r="NT14" s="29">
        <f t="shared" ca="1" si="423"/>
        <v>14687.740248714559</v>
      </c>
      <c r="NU14" s="29">
        <f t="shared" ca="1" si="424"/>
        <v>14290.866965235205</v>
      </c>
      <c r="NV14" s="29">
        <f t="shared" ca="1" si="425"/>
        <v>13768.656988579978</v>
      </c>
      <c r="NW14" s="29">
        <f t="shared" ca="1" si="426"/>
        <v>14167.311651904813</v>
      </c>
      <c r="NX14" s="29">
        <f t="shared" ca="1" si="427"/>
        <v>14785.935550569244</v>
      </c>
      <c r="NY14" s="29">
        <f t="shared" ca="1" si="428"/>
        <v>14954.268966165528</v>
      </c>
      <c r="NZ14" s="29">
        <f t="shared" ca="1" si="429"/>
        <v>13973.589467377342</v>
      </c>
      <c r="OA14" s="29">
        <f t="shared" ca="1" si="430"/>
        <v>14644.583246147349</v>
      </c>
      <c r="OB14" s="29">
        <f t="shared" ca="1" si="431"/>
        <v>15100.28934928562</v>
      </c>
      <c r="OC14" s="29">
        <f t="shared" ca="1" si="432"/>
        <v>14241.641764789812</v>
      </c>
      <c r="OD14" s="29">
        <f t="shared" ca="1" si="433"/>
        <v>14655.447229243375</v>
      </c>
      <c r="OE14" s="29">
        <f t="shared" ca="1" si="434"/>
        <v>15441.622886080735</v>
      </c>
      <c r="OF14" s="29">
        <f t="shared" ca="1" si="435"/>
        <v>14266.868208403288</v>
      </c>
      <c r="OG14" s="29">
        <f t="shared" ca="1" si="436"/>
        <v>15089.238770280363</v>
      </c>
      <c r="OH14" s="29">
        <f t="shared" ca="1" si="437"/>
        <v>14859.635145239279</v>
      </c>
      <c r="OI14" s="29">
        <f t="shared" ca="1" si="438"/>
        <v>14455.47865433703</v>
      </c>
      <c r="OJ14" s="29">
        <f t="shared" ca="1" si="439"/>
        <v>14518.353159423634</v>
      </c>
      <c r="OK14" s="29">
        <f t="shared" ca="1" si="440"/>
        <v>13701.805050859522</v>
      </c>
      <c r="OL14" s="29">
        <f t="shared" ca="1" si="441"/>
        <v>14551.066644094079</v>
      </c>
      <c r="OM14" s="29">
        <f t="shared" ca="1" si="442"/>
        <v>13936.493433706788</v>
      </c>
      <c r="ON14" s="29">
        <f t="shared" ca="1" si="443"/>
        <v>15027.866310102356</v>
      </c>
      <c r="OO14" s="29">
        <f t="shared" ca="1" si="444"/>
        <v>14140.023415500058</v>
      </c>
      <c r="OP14" s="29">
        <f t="shared" ca="1" si="445"/>
        <v>15304.182366835867</v>
      </c>
      <c r="OQ14" s="29">
        <f t="shared" ca="1" si="446"/>
        <v>13890.81460955201</v>
      </c>
      <c r="OR14" s="29">
        <f t="shared" ca="1" si="447"/>
        <v>13604.71794983952</v>
      </c>
      <c r="OS14" s="29">
        <f t="shared" ca="1" si="448"/>
        <v>13343.807401286747</v>
      </c>
      <c r="OT14" s="29">
        <f t="shared" ca="1" si="449"/>
        <v>14648.102953604328</v>
      </c>
      <c r="OU14" s="29">
        <f t="shared" ca="1" si="450"/>
        <v>14130.536665234915</v>
      </c>
      <c r="OV14" s="29">
        <f t="shared" ca="1" si="451"/>
        <v>15377.548710621573</v>
      </c>
      <c r="OW14" s="29">
        <f t="shared" ca="1" si="452"/>
        <v>14634.491925243572</v>
      </c>
      <c r="OX14" s="29">
        <f t="shared" ca="1" si="453"/>
        <v>14799.871318337451</v>
      </c>
      <c r="OY14" s="29">
        <f t="shared" ca="1" si="454"/>
        <v>14527.412371991213</v>
      </c>
      <c r="OZ14" s="29">
        <f t="shared" ca="1" si="455"/>
        <v>13492.883306904296</v>
      </c>
      <c r="PA14" s="29">
        <f t="shared" ca="1" si="456"/>
        <v>14418.186355451024</v>
      </c>
      <c r="PB14" s="29">
        <f t="shared" ca="1" si="457"/>
        <v>13613.473163382756</v>
      </c>
      <c r="PC14" s="29">
        <f t="shared" ca="1" si="458"/>
        <v>14412.907064550378</v>
      </c>
      <c r="PD14" s="29">
        <f t="shared" ca="1" si="459"/>
        <v>15112.942358553255</v>
      </c>
      <c r="PE14" s="29">
        <f t="shared" ca="1" si="460"/>
        <v>14293.141394149157</v>
      </c>
      <c r="PF14" s="29">
        <f t="shared" ca="1" si="461"/>
        <v>14599.496863186132</v>
      </c>
      <c r="PG14" s="29">
        <f t="shared" ca="1" si="462"/>
        <v>14584.175682530858</v>
      </c>
      <c r="PH14" s="29">
        <f t="shared" ca="1" si="463"/>
        <v>14387.439265052662</v>
      </c>
      <c r="PI14" s="29">
        <f t="shared" ca="1" si="464"/>
        <v>13139.658088738663</v>
      </c>
      <c r="PJ14" s="29">
        <f t="shared" ca="1" si="465"/>
        <v>14710.262639006629</v>
      </c>
      <c r="PK14" s="29">
        <f t="shared" ca="1" si="466"/>
        <v>14119.345389237933</v>
      </c>
      <c r="PL14" s="29">
        <f t="shared" ca="1" si="467"/>
        <v>13659.902681435431</v>
      </c>
      <c r="PM14" s="29">
        <f t="shared" ca="1" si="468"/>
        <v>13975.259574051523</v>
      </c>
      <c r="PN14" s="29">
        <f t="shared" ca="1" si="469"/>
        <v>13950.010666383047</v>
      </c>
      <c r="PO14" s="29">
        <f t="shared" ca="1" si="470"/>
        <v>14764.564373384175</v>
      </c>
      <c r="PP14" s="29">
        <f t="shared" ca="1" si="471"/>
        <v>14233.522778453722</v>
      </c>
      <c r="PQ14" s="29">
        <f t="shared" ca="1" si="472"/>
        <v>14772.769800045378</v>
      </c>
      <c r="PR14" s="29">
        <f t="shared" ca="1" si="473"/>
        <v>13933.580168696482</v>
      </c>
      <c r="PS14" s="29">
        <f t="shared" ca="1" si="474"/>
        <v>14769.45603902113</v>
      </c>
      <c r="PT14" s="29">
        <f t="shared" ca="1" si="475"/>
        <v>14417.377769517443</v>
      </c>
      <c r="PU14" s="29">
        <f t="shared" ca="1" si="476"/>
        <v>14481.251467942322</v>
      </c>
      <c r="PV14" s="29">
        <f t="shared" ca="1" si="477"/>
        <v>15048.98412064914</v>
      </c>
      <c r="PW14" s="29">
        <f t="shared" ca="1" si="478"/>
        <v>14371.438022251788</v>
      </c>
      <c r="PX14" s="29">
        <f t="shared" ca="1" si="479"/>
        <v>14437.692610365099</v>
      </c>
      <c r="PY14" s="29">
        <f t="shared" ca="1" si="480"/>
        <v>14407.165933034363</v>
      </c>
      <c r="PZ14" s="29">
        <f t="shared" ca="1" si="481"/>
        <v>12687.390953940196</v>
      </c>
      <c r="QA14" s="29">
        <f t="shared" ca="1" si="482"/>
        <v>15377.315441373596</v>
      </c>
      <c r="QB14" s="29">
        <f t="shared" ca="1" si="483"/>
        <v>14346.685192638808</v>
      </c>
      <c r="QC14" s="29">
        <f t="shared" ca="1" si="484"/>
        <v>13854.383819788611</v>
      </c>
      <c r="QD14" s="29">
        <f t="shared" ca="1" si="485"/>
        <v>14226.676547275043</v>
      </c>
      <c r="QE14" s="29">
        <f t="shared" ca="1" si="486"/>
        <v>14883.059056218177</v>
      </c>
      <c r="QF14" s="29">
        <f t="shared" ca="1" si="487"/>
        <v>14941.960363170354</v>
      </c>
      <c r="QG14" s="29">
        <f t="shared" ca="1" si="488"/>
        <v>15004.210514781142</v>
      </c>
      <c r="QH14" s="29">
        <f t="shared" ca="1" si="489"/>
        <v>15740.445606219149</v>
      </c>
      <c r="QI14" s="29">
        <f t="shared" ca="1" si="490"/>
        <v>14867.571639166465</v>
      </c>
      <c r="QJ14" s="29">
        <f t="shared" ca="1" si="491"/>
        <v>13891.905330741432</v>
      </c>
      <c r="QK14" s="29">
        <f t="shared" ca="1" si="492"/>
        <v>14777.791227295344</v>
      </c>
      <c r="QL14" s="29">
        <f t="shared" ca="1" si="493"/>
        <v>14250.718302788686</v>
      </c>
      <c r="QM14" s="29">
        <f t="shared" ca="1" si="494"/>
        <v>13951.572038891112</v>
      </c>
      <c r="QN14" s="29">
        <f t="shared" ca="1" si="495"/>
        <v>15273.695500774769</v>
      </c>
      <c r="QO14" s="29">
        <f t="shared" ca="1" si="496"/>
        <v>14254.399269814103</v>
      </c>
      <c r="QP14" s="29">
        <f t="shared" ca="1" si="497"/>
        <v>14622.419503430498</v>
      </c>
      <c r="QQ14" s="29">
        <f t="shared" ca="1" si="498"/>
        <v>14938.766106746629</v>
      </c>
      <c r="QR14" s="29">
        <f t="shared" ca="1" si="499"/>
        <v>14970.770804487951</v>
      </c>
      <c r="QS14" s="29">
        <f t="shared" ca="1" si="500"/>
        <v>14920.896805355278</v>
      </c>
      <c r="QT14" s="29">
        <f t="shared" ca="1" si="501"/>
        <v>15391.250934949554</v>
      </c>
      <c r="QU14" s="29">
        <f t="shared" ca="1" si="502"/>
        <v>14296.718878381351</v>
      </c>
      <c r="QV14" s="29">
        <f t="shared" ca="1" si="503"/>
        <v>14397.542530263403</v>
      </c>
      <c r="QW14" s="29">
        <f t="shared" ca="1" si="504"/>
        <v>14270.833774607372</v>
      </c>
      <c r="QX14" s="29">
        <f t="shared" ca="1" si="505"/>
        <v>14745.731396823296</v>
      </c>
      <c r="QY14" s="29">
        <f t="shared" ca="1" si="506"/>
        <v>15177.582218170484</v>
      </c>
      <c r="QZ14" s="29">
        <f t="shared" ca="1" si="507"/>
        <v>14283.482778924641</v>
      </c>
      <c r="RA14" s="29">
        <f t="shared" ca="1" si="508"/>
        <v>14067.777005714228</v>
      </c>
      <c r="RB14" s="29">
        <f t="shared" ca="1" si="509"/>
        <v>13472.311010193622</v>
      </c>
      <c r="RC14" s="29">
        <f t="shared" ca="1" si="510"/>
        <v>14485.0806463769</v>
      </c>
      <c r="RD14" s="29">
        <f t="shared" ca="1" si="511"/>
        <v>14461.503499267585</v>
      </c>
      <c r="RE14" s="29">
        <f t="shared" ca="1" si="512"/>
        <v>14989.105476530165</v>
      </c>
      <c r="RF14" s="29">
        <f t="shared" ca="1" si="513"/>
        <v>14896.885600063712</v>
      </c>
      <c r="RG14" s="29">
        <f t="shared" ca="1" si="514"/>
        <v>14364.148691003218</v>
      </c>
      <c r="RH14" s="29">
        <f t="shared" ca="1" si="515"/>
        <v>13947.840198291166</v>
      </c>
      <c r="RI14" s="29">
        <f t="shared" ca="1" si="516"/>
        <v>14472.458933796095</v>
      </c>
      <c r="RJ14" s="29">
        <f t="shared" ca="1" si="517"/>
        <v>14643.460406035725</v>
      </c>
      <c r="RK14" s="29">
        <f t="shared" ca="1" si="518"/>
        <v>13892.921893879597</v>
      </c>
      <c r="RL14" s="29">
        <f t="shared" ca="1" si="519"/>
        <v>14085.67442220269</v>
      </c>
      <c r="RM14" s="29">
        <f t="shared" ca="1" si="520"/>
        <v>14475.197025994885</v>
      </c>
      <c r="RN14" s="29">
        <f t="shared" ca="1" si="521"/>
        <v>13771.215732122644</v>
      </c>
      <c r="RO14" s="29">
        <f t="shared" ca="1" si="522"/>
        <v>14108.679525581298</v>
      </c>
      <c r="RP14" s="29">
        <f t="shared" ca="1" si="523"/>
        <v>15028.78504876077</v>
      </c>
      <c r="RQ14" s="29">
        <f t="shared" ca="1" si="524"/>
        <v>14570.687143234549</v>
      </c>
      <c r="RR14" s="29">
        <f t="shared" ca="1" si="525"/>
        <v>14288.979650561203</v>
      </c>
      <c r="RS14" s="29">
        <f t="shared" ca="1" si="526"/>
        <v>14871.943593530563</v>
      </c>
      <c r="RT14" s="29">
        <f t="shared" ca="1" si="527"/>
        <v>14692.315489144181</v>
      </c>
      <c r="RU14" s="29">
        <f t="shared" ca="1" si="528"/>
        <v>14009.771076315667</v>
      </c>
      <c r="RV14" s="29">
        <f t="shared" ca="1" si="529"/>
        <v>14499.224709460095</v>
      </c>
      <c r="RW14" s="29">
        <f t="shared" ca="1" si="530"/>
        <v>15104.041660538584</v>
      </c>
      <c r="RX14" s="29">
        <f t="shared" ca="1" si="531"/>
        <v>14686.070747308644</v>
      </c>
      <c r="RY14" s="29">
        <f t="shared" ca="1" si="532"/>
        <v>14135.939733642077</v>
      </c>
      <c r="RZ14" s="29">
        <f t="shared" ca="1" si="533"/>
        <v>15674.004496245412</v>
      </c>
      <c r="SA14" s="29">
        <f t="shared" ca="1" si="534"/>
        <v>14534.61369990757</v>
      </c>
      <c r="SB14" s="29">
        <f t="shared" ca="1" si="535"/>
        <v>13938.56034675835</v>
      </c>
      <c r="SC14" s="29">
        <f t="shared" ca="1" si="536"/>
        <v>14858.43218541346</v>
      </c>
      <c r="SD14" s="29">
        <f t="shared" ca="1" si="537"/>
        <v>14729.222487381448</v>
      </c>
      <c r="SE14" s="29">
        <f t="shared" ca="1" si="538"/>
        <v>13888.068287492852</v>
      </c>
      <c r="SF14" s="29">
        <f t="shared" ca="1" si="539"/>
        <v>14288.807405798076</v>
      </c>
      <c r="SG14" s="29">
        <f t="shared" ca="1" si="540"/>
        <v>14885.052080185622</v>
      </c>
      <c r="SH14" s="29">
        <f t="shared" ca="1" si="541"/>
        <v>15018.949696098645</v>
      </c>
      <c r="SI14" s="29">
        <f t="shared" ca="1" si="542"/>
        <v>13731.911337337486</v>
      </c>
      <c r="SJ14" s="29">
        <f t="shared" ca="1" si="543"/>
        <v>13762.374676571835</v>
      </c>
      <c r="SK14" s="29">
        <f t="shared" ca="1" si="544"/>
        <v>14847.376878182637</v>
      </c>
      <c r="SL14" s="29">
        <f t="shared" ca="1" si="545"/>
        <v>14657.87928014727</v>
      </c>
      <c r="SM14" s="29">
        <f t="shared" ca="1" si="546"/>
        <v>14736.259791069859</v>
      </c>
      <c r="SN14" s="29">
        <f t="shared" ca="1" si="547"/>
        <v>14566.970524815515</v>
      </c>
      <c r="SO14" s="29">
        <f t="shared" ca="1" si="548"/>
        <v>14278.971996361004</v>
      </c>
      <c r="SP14" s="29">
        <f t="shared" ca="1" si="549"/>
        <v>15144.529721027508</v>
      </c>
      <c r="SQ14" s="29">
        <f t="shared" ca="1" si="550"/>
        <v>14743.143380852865</v>
      </c>
      <c r="SR14" s="29">
        <f t="shared" ca="1" si="551"/>
        <v>14153.323422201494</v>
      </c>
      <c r="SS14" s="29">
        <f t="shared" ca="1" si="552"/>
        <v>14580.442821356963</v>
      </c>
      <c r="ST14" s="29">
        <f t="shared" ca="1" si="553"/>
        <v>14366.381308814107</v>
      </c>
      <c r="SU14" s="29">
        <f t="shared" ca="1" si="554"/>
        <v>14974.790747683373</v>
      </c>
      <c r="SV14" s="29">
        <f t="shared" ca="1" si="555"/>
        <v>14401.79537102559</v>
      </c>
      <c r="SW14" s="29">
        <f t="shared" ca="1" si="556"/>
        <v>14132.052529828979</v>
      </c>
      <c r="SX14" s="29">
        <f t="shared" ca="1" si="557"/>
        <v>13582.613889865888</v>
      </c>
      <c r="SY14" s="29">
        <f t="shared" ca="1" si="558"/>
        <v>14358.753617194665</v>
      </c>
      <c r="SZ14" s="29">
        <f t="shared" ca="1" si="559"/>
        <v>15135.135359748338</v>
      </c>
      <c r="TA14" s="29">
        <f t="shared" ca="1" si="560"/>
        <v>14514.931791574872</v>
      </c>
      <c r="TB14" s="29">
        <f t="shared" ca="1" si="561"/>
        <v>13889.736735875385</v>
      </c>
      <c r="TC14" s="29">
        <f t="shared" ca="1" si="562"/>
        <v>14887.526245662255</v>
      </c>
      <c r="TD14" s="29">
        <f t="shared" ca="1" si="563"/>
        <v>14215.293975981444</v>
      </c>
      <c r="TE14" s="29">
        <f t="shared" ca="1" si="564"/>
        <v>14344.024027254623</v>
      </c>
      <c r="TF14" s="29">
        <f t="shared" ca="1" si="565"/>
        <v>14109.518599386229</v>
      </c>
      <c r="TG14" s="29">
        <f t="shared" ca="1" si="566"/>
        <v>15092.095484359299</v>
      </c>
      <c r="TH14" s="29">
        <f t="shared" ca="1" si="567"/>
        <v>14367.229493474973</v>
      </c>
      <c r="TI14" s="29">
        <f t="shared" ca="1" si="568"/>
        <v>13696.032408820894</v>
      </c>
      <c r="TJ14" s="29">
        <f t="shared" ca="1" si="569"/>
        <v>15176.389989114157</v>
      </c>
      <c r="TK14" s="29">
        <f t="shared" ca="1" si="570"/>
        <v>14014.156217119729</v>
      </c>
      <c r="TL14" s="29">
        <f t="shared" ca="1" si="571"/>
        <v>15018.320913651016</v>
      </c>
      <c r="TM14" s="29">
        <f t="shared" ca="1" si="572"/>
        <v>14141.395139337763</v>
      </c>
      <c r="TN14" s="29">
        <f t="shared" ca="1" si="573"/>
        <v>14115.252822245047</v>
      </c>
      <c r="TO14" s="29">
        <f t="shared" ca="1" si="574"/>
        <v>14186.162116084639</v>
      </c>
      <c r="TP14" s="29">
        <f t="shared" ca="1" si="575"/>
        <v>15597.100296972369</v>
      </c>
      <c r="TQ14" s="29">
        <f t="shared" ca="1" si="576"/>
        <v>14838.098083310961</v>
      </c>
      <c r="TR14" s="29">
        <f t="shared" ca="1" si="577"/>
        <v>14134.289135934871</v>
      </c>
      <c r="TS14" s="29">
        <f t="shared" ca="1" si="578"/>
        <v>14586.627841958425</v>
      </c>
      <c r="TT14" s="29">
        <f t="shared" ca="1" si="579"/>
        <v>14123.457137780577</v>
      </c>
      <c r="TU14" s="29">
        <f t="shared" ca="1" si="580"/>
        <v>13916.485808160796</v>
      </c>
      <c r="TV14" s="29">
        <f t="shared" ca="1" si="581"/>
        <v>14184.695589958344</v>
      </c>
      <c r="TW14" s="29">
        <f t="shared" ca="1" si="582"/>
        <v>15373.441774438246</v>
      </c>
      <c r="TX14" s="29">
        <f t="shared" ca="1" si="583"/>
        <v>15373.433118060835</v>
      </c>
      <c r="TY14" s="29">
        <f t="shared" ca="1" si="584"/>
        <v>14226.765534154176</v>
      </c>
      <c r="TZ14" s="29">
        <f t="shared" ca="1" si="585"/>
        <v>14569.752858446662</v>
      </c>
      <c r="UA14" s="29">
        <f t="shared" ca="1" si="586"/>
        <v>14481.205891439391</v>
      </c>
      <c r="UB14" s="29">
        <f t="shared" ca="1" si="587"/>
        <v>14495.465939230839</v>
      </c>
      <c r="UC14" s="29">
        <f t="shared" ca="1" si="588"/>
        <v>13220.136404882969</v>
      </c>
      <c r="UD14" s="29">
        <f t="shared" ca="1" si="589"/>
        <v>15663.667605088358</v>
      </c>
      <c r="UE14" s="29">
        <f t="shared" ca="1" si="590"/>
        <v>13618.468372465999</v>
      </c>
      <c r="UF14" s="29">
        <f t="shared" ca="1" si="591"/>
        <v>14210.333278877351</v>
      </c>
      <c r="UG14" s="29">
        <f t="shared" ca="1" si="592"/>
        <v>14467.037375945521</v>
      </c>
      <c r="UH14" s="29">
        <f t="shared" ca="1" si="593"/>
        <v>13499.534016885496</v>
      </c>
      <c r="UI14" s="29">
        <f t="shared" ca="1" si="594"/>
        <v>14758.970822395027</v>
      </c>
      <c r="UJ14" s="29">
        <f t="shared" ca="1" si="595"/>
        <v>15088.214587081771</v>
      </c>
      <c r="UK14" s="29">
        <f t="shared" ca="1" si="596"/>
        <v>14519.364411048664</v>
      </c>
      <c r="UL14" s="29">
        <f t="shared" ca="1" si="597"/>
        <v>15837.489913514324</v>
      </c>
      <c r="UM14" s="29">
        <f t="shared" ca="1" si="598"/>
        <v>13825.822460880829</v>
      </c>
      <c r="UN14" s="29">
        <f t="shared" ca="1" si="599"/>
        <v>13769.550229918756</v>
      </c>
      <c r="UO14" s="29">
        <f t="shared" ca="1" si="600"/>
        <v>15028.753396727741</v>
      </c>
      <c r="UP14" s="29">
        <f t="shared" ca="1" si="601"/>
        <v>14113.821724595186</v>
      </c>
      <c r="UQ14" s="29">
        <f t="shared" ca="1" si="602"/>
        <v>14847.50088004497</v>
      </c>
      <c r="UR14" s="29">
        <f t="shared" ca="1" si="603"/>
        <v>13792.094700238074</v>
      </c>
      <c r="US14" s="29">
        <f t="shared" ca="1" si="604"/>
        <v>14826.414936502797</v>
      </c>
      <c r="UT14" s="29">
        <f t="shared" ca="1" si="605"/>
        <v>14482.566491063199</v>
      </c>
      <c r="UU14" s="29">
        <f t="shared" ca="1" si="606"/>
        <v>13635.526720964377</v>
      </c>
      <c r="UV14" s="29">
        <f t="shared" ca="1" si="607"/>
        <v>14571.266835568918</v>
      </c>
      <c r="UW14" s="29">
        <f t="shared" ca="1" si="608"/>
        <v>14234.80313102626</v>
      </c>
      <c r="UX14" s="29">
        <f t="shared" ca="1" si="609"/>
        <v>13936.035101570284</v>
      </c>
      <c r="UY14" s="29">
        <f t="shared" ca="1" si="610"/>
        <v>13965.633259138252</v>
      </c>
      <c r="UZ14" s="29">
        <f t="shared" ca="1" si="611"/>
        <v>14087.488503675882</v>
      </c>
      <c r="VA14" s="29">
        <f t="shared" ca="1" si="612"/>
        <v>14265.974680897834</v>
      </c>
      <c r="VB14" s="29">
        <f t="shared" ca="1" si="613"/>
        <v>14409.198657614486</v>
      </c>
      <c r="VC14" s="29">
        <f t="shared" ca="1" si="614"/>
        <v>14911.974633597712</v>
      </c>
      <c r="VD14" s="29">
        <f t="shared" ca="1" si="615"/>
        <v>14429.829969440523</v>
      </c>
      <c r="VE14" s="29">
        <f t="shared" ca="1" si="616"/>
        <v>15499.563439972349</v>
      </c>
      <c r="VF14" s="29">
        <f t="shared" ca="1" si="617"/>
        <v>14473.714142430343</v>
      </c>
      <c r="VG14" s="29">
        <f t="shared" ca="1" si="618"/>
        <v>14678.014596964556</v>
      </c>
      <c r="VH14" s="29">
        <f t="shared" ca="1" si="619"/>
        <v>14507.028538989734</v>
      </c>
      <c r="VI14" s="29">
        <f t="shared" ca="1" si="620"/>
        <v>14572.001138626298</v>
      </c>
      <c r="VJ14" s="29">
        <f t="shared" ca="1" si="621"/>
        <v>13860.283016145242</v>
      </c>
      <c r="VK14" s="29">
        <f t="shared" ca="1" si="622"/>
        <v>13602.067894166501</v>
      </c>
      <c r="VL14" s="29">
        <f t="shared" ca="1" si="623"/>
        <v>14076.419969153823</v>
      </c>
      <c r="VM14" s="29">
        <f t="shared" ca="1" si="624"/>
        <v>14297.886876229264</v>
      </c>
      <c r="VN14" s="29">
        <f t="shared" ca="1" si="625"/>
        <v>13950.102315231055</v>
      </c>
      <c r="VO14" s="29">
        <f t="shared" ca="1" si="626"/>
        <v>15694.222098023798</v>
      </c>
      <c r="VP14" s="29">
        <f t="shared" ca="1" si="627"/>
        <v>13813.83456872309</v>
      </c>
      <c r="VQ14" s="29">
        <f t="shared" ca="1" si="628"/>
        <v>14684.025289676039</v>
      </c>
      <c r="VR14" s="29">
        <f t="shared" ca="1" si="629"/>
        <v>13956.003445804459</v>
      </c>
      <c r="VS14" s="29">
        <f t="shared" ca="1" si="630"/>
        <v>13456.752800237447</v>
      </c>
      <c r="VT14" s="29">
        <f t="shared" ca="1" si="631"/>
        <v>14657.149615156162</v>
      </c>
      <c r="VU14" s="29">
        <f t="shared" ca="1" si="632"/>
        <v>14952.571428267664</v>
      </c>
      <c r="VV14" s="29">
        <f t="shared" ca="1" si="633"/>
        <v>14688.535006170136</v>
      </c>
      <c r="VW14" s="29">
        <f t="shared" ca="1" si="634"/>
        <v>13803.430391175227</v>
      </c>
      <c r="VX14" s="29">
        <f t="shared" ca="1" si="635"/>
        <v>14377.522131659603</v>
      </c>
      <c r="VY14" s="29">
        <f t="shared" ca="1" si="636"/>
        <v>14543.669273858975</v>
      </c>
      <c r="VZ14" s="29">
        <f t="shared" ca="1" si="637"/>
        <v>14290.695499227051</v>
      </c>
      <c r="WA14" s="29">
        <f t="shared" ca="1" si="638"/>
        <v>14595.156431159945</v>
      </c>
      <c r="WB14" s="29">
        <f t="shared" ca="1" si="639"/>
        <v>14338.08076376769</v>
      </c>
      <c r="WC14" s="29">
        <f t="shared" ca="1" si="640"/>
        <v>14477.733687130829</v>
      </c>
      <c r="WD14" s="29">
        <f t="shared" ca="1" si="641"/>
        <v>14984.971250472094</v>
      </c>
      <c r="WE14" s="29">
        <f t="shared" ca="1" si="642"/>
        <v>14366.547382898521</v>
      </c>
      <c r="WF14" s="29">
        <f t="shared" ca="1" si="643"/>
        <v>15145.49346024978</v>
      </c>
      <c r="WG14" s="29">
        <f t="shared" ca="1" si="644"/>
        <v>14203.055858421438</v>
      </c>
      <c r="WH14" s="29">
        <f t="shared" ca="1" si="645"/>
        <v>13636.038360008642</v>
      </c>
      <c r="WI14" s="29">
        <f t="shared" ca="1" si="646"/>
        <v>15300.191374839038</v>
      </c>
      <c r="WJ14" s="29">
        <f t="shared" ca="1" si="647"/>
        <v>15988.891840245882</v>
      </c>
      <c r="WK14" s="29">
        <f t="shared" ca="1" si="648"/>
        <v>14245.754572192647</v>
      </c>
      <c r="WL14" s="29">
        <f t="shared" ca="1" si="649"/>
        <v>13483.382133580786</v>
      </c>
      <c r="WM14" s="29">
        <f t="shared" ca="1" si="650"/>
        <v>13971.491872109509</v>
      </c>
      <c r="WN14" s="29">
        <f t="shared" ca="1" si="651"/>
        <v>14433.323090687865</v>
      </c>
      <c r="WO14" s="29">
        <f t="shared" ca="1" si="652"/>
        <v>15425.836254871425</v>
      </c>
      <c r="WP14" s="29">
        <f t="shared" ca="1" si="653"/>
        <v>13993.485400696505</v>
      </c>
      <c r="WQ14" s="29">
        <f t="shared" ca="1" si="654"/>
        <v>14251.962175475152</v>
      </c>
      <c r="WR14" s="29">
        <f t="shared" ca="1" si="655"/>
        <v>14259.839027230066</v>
      </c>
      <c r="WS14" s="29">
        <f t="shared" ca="1" si="656"/>
        <v>14925.079501770237</v>
      </c>
      <c r="WT14" s="29">
        <f t="shared" ca="1" si="657"/>
        <v>14720.334076698155</v>
      </c>
      <c r="WU14" s="29">
        <f t="shared" ca="1" si="658"/>
        <v>14488.595949549564</v>
      </c>
      <c r="WV14" s="29">
        <f t="shared" ca="1" si="659"/>
        <v>14402.164384249543</v>
      </c>
      <c r="WW14" s="29">
        <f t="shared" ca="1" si="660"/>
        <v>13845.173453453343</v>
      </c>
      <c r="WX14" s="29">
        <f t="shared" ca="1" si="661"/>
        <v>15124.334575844396</v>
      </c>
      <c r="WY14" s="29">
        <f t="shared" ca="1" si="662"/>
        <v>14814.185519311872</v>
      </c>
      <c r="WZ14" s="29">
        <f t="shared" ca="1" si="663"/>
        <v>14849.176215950472</v>
      </c>
      <c r="XA14" s="29">
        <f t="shared" ca="1" si="664"/>
        <v>14524.006024995511</v>
      </c>
      <c r="XB14" s="29">
        <f t="shared" ca="1" si="665"/>
        <v>14514.601280977047</v>
      </c>
      <c r="XC14" s="29">
        <f t="shared" ca="1" si="666"/>
        <v>14294.584100210654</v>
      </c>
      <c r="XD14" s="29">
        <f t="shared" ca="1" si="667"/>
        <v>13991.768033318107</v>
      </c>
      <c r="XE14" s="29">
        <f t="shared" ca="1" si="668"/>
        <v>14197.491226919961</v>
      </c>
      <c r="XF14" s="29">
        <f t="shared" ca="1" si="669"/>
        <v>14366.612883887159</v>
      </c>
      <c r="XG14" s="29">
        <f t="shared" ca="1" si="670"/>
        <v>14477.025360432566</v>
      </c>
      <c r="XH14" s="29">
        <f t="shared" ca="1" si="671"/>
        <v>14412.400416311926</v>
      </c>
      <c r="XI14" s="29">
        <f t="shared" ca="1" si="672"/>
        <v>15061.083831671831</v>
      </c>
      <c r="XJ14" s="29">
        <f t="shared" ca="1" si="673"/>
        <v>15177.636019313026</v>
      </c>
      <c r="XK14" s="29">
        <f t="shared" ca="1" si="674"/>
        <v>13685.784995243799</v>
      </c>
      <c r="XL14" s="29">
        <f t="shared" ca="1" si="675"/>
        <v>14012.636961458589</v>
      </c>
      <c r="XM14" s="29">
        <f t="shared" ca="1" si="676"/>
        <v>13928.930237852932</v>
      </c>
      <c r="XN14" s="29">
        <f t="shared" ca="1" si="677"/>
        <v>14322.871610224327</v>
      </c>
      <c r="XO14" s="29">
        <f t="shared" ca="1" si="678"/>
        <v>14931.64739440664</v>
      </c>
      <c r="XP14" s="29">
        <f t="shared" ca="1" si="679"/>
        <v>14944.385023630908</v>
      </c>
      <c r="XQ14" s="29">
        <f t="shared" ca="1" si="680"/>
        <v>14185.065530936585</v>
      </c>
      <c r="XR14" s="29">
        <f t="shared" ca="1" si="681"/>
        <v>14362.620491600526</v>
      </c>
      <c r="XS14" s="29">
        <f t="shared" ca="1" si="682"/>
        <v>13905.707407184975</v>
      </c>
      <c r="XT14" s="29">
        <f t="shared" ca="1" si="683"/>
        <v>15359.155831988419</v>
      </c>
      <c r="XU14" s="29">
        <f t="shared" ca="1" si="684"/>
        <v>14935.304692833595</v>
      </c>
      <c r="XV14" s="29">
        <f t="shared" ca="1" si="685"/>
        <v>14427.314058107528</v>
      </c>
      <c r="XW14" s="29">
        <f t="shared" ca="1" si="686"/>
        <v>14808.021310755676</v>
      </c>
      <c r="XX14" s="29">
        <f t="shared" ca="1" si="687"/>
        <v>14547.343377933672</v>
      </c>
      <c r="XY14" s="29">
        <f t="shared" ca="1" si="688"/>
        <v>14285.360924390845</v>
      </c>
      <c r="XZ14" s="29">
        <f t="shared" ca="1" si="689"/>
        <v>14450.53627731356</v>
      </c>
      <c r="YA14" s="29">
        <f t="shared" ca="1" si="690"/>
        <v>15177.920139753047</v>
      </c>
      <c r="YB14" s="29">
        <f t="shared" ca="1" si="691"/>
        <v>14841.86402940743</v>
      </c>
      <c r="YC14" s="29">
        <f t="shared" ca="1" si="692"/>
        <v>14895.525487226936</v>
      </c>
      <c r="YD14" s="29">
        <f t="shared" ca="1" si="693"/>
        <v>13687.619291964626</v>
      </c>
      <c r="YE14" s="29">
        <f t="shared" ca="1" si="694"/>
        <v>14734.113034402611</v>
      </c>
      <c r="YF14" s="29">
        <f t="shared" ca="1" si="695"/>
        <v>14440.71247995309</v>
      </c>
      <c r="YG14" s="29">
        <f t="shared" ca="1" si="696"/>
        <v>14505.392899558516</v>
      </c>
      <c r="YH14" s="29">
        <f t="shared" ca="1" si="697"/>
        <v>13928.692513391952</v>
      </c>
      <c r="YI14" s="29">
        <f t="shared" ca="1" si="698"/>
        <v>13718.93725230635</v>
      </c>
      <c r="YJ14" s="29">
        <f t="shared" ca="1" si="699"/>
        <v>14475.874797956731</v>
      </c>
      <c r="YK14" s="29">
        <f t="shared" ca="1" si="700"/>
        <v>13998.719639851874</v>
      </c>
      <c r="YL14" s="29">
        <f t="shared" ca="1" si="701"/>
        <v>13581.383872695158</v>
      </c>
      <c r="YM14" s="29">
        <f t="shared" ca="1" si="702"/>
        <v>14214.872793401031</v>
      </c>
      <c r="YN14" s="29">
        <f t="shared" ca="1" si="703"/>
        <v>14647.628581410367</v>
      </c>
      <c r="YO14" s="29">
        <f t="shared" ca="1" si="704"/>
        <v>13244.25708445051</v>
      </c>
      <c r="YP14" s="29">
        <f t="shared" ca="1" si="705"/>
        <v>15304.441135785655</v>
      </c>
      <c r="YQ14" s="29">
        <f t="shared" ca="1" si="706"/>
        <v>13623.857805360207</v>
      </c>
      <c r="YR14" s="29">
        <f t="shared" ca="1" si="707"/>
        <v>14233.37270895409</v>
      </c>
      <c r="YS14" s="29">
        <f t="shared" ca="1" si="708"/>
        <v>15103.61261835155</v>
      </c>
      <c r="YT14" s="29">
        <f t="shared" ca="1" si="709"/>
        <v>14777.218388206289</v>
      </c>
      <c r="YU14" s="29">
        <f t="shared" ca="1" si="710"/>
        <v>14658.869171317059</v>
      </c>
      <c r="YV14" s="29">
        <f t="shared" ca="1" si="711"/>
        <v>14455.289410580164</v>
      </c>
      <c r="YW14" s="29">
        <f t="shared" ca="1" si="712"/>
        <v>14768.501157973849</v>
      </c>
      <c r="YX14" s="29">
        <f t="shared" ca="1" si="713"/>
        <v>14791.97584940551</v>
      </c>
      <c r="YY14" s="29">
        <f t="shared" ca="1" si="714"/>
        <v>13684.020741660133</v>
      </c>
      <c r="YZ14" s="29">
        <f t="shared" ca="1" si="715"/>
        <v>14691.803666562062</v>
      </c>
      <c r="ZA14" s="29">
        <f t="shared" ca="1" si="716"/>
        <v>14237.490089794277</v>
      </c>
      <c r="ZB14" s="29">
        <f t="shared" ca="1" si="717"/>
        <v>14625.833853213144</v>
      </c>
      <c r="ZC14" s="29">
        <f t="shared" ca="1" si="718"/>
        <v>14801.949918713675</v>
      </c>
      <c r="ZD14" s="29">
        <f t="shared" ca="1" si="719"/>
        <v>14266.672410623685</v>
      </c>
      <c r="ZE14" s="29">
        <f t="shared" ca="1" si="720"/>
        <v>13678.185461537099</v>
      </c>
      <c r="ZF14" s="29">
        <f t="shared" ca="1" si="721"/>
        <v>14046.123310802532</v>
      </c>
      <c r="ZG14" s="29">
        <f t="shared" ca="1" si="722"/>
        <v>12943.546318398188</v>
      </c>
      <c r="ZH14" s="29">
        <f t="shared" ca="1" si="723"/>
        <v>14281.891610924991</v>
      </c>
      <c r="ZI14" s="29">
        <f t="shared" ca="1" si="724"/>
        <v>13742.825994750723</v>
      </c>
      <c r="ZJ14" s="29">
        <f t="shared" ca="1" si="725"/>
        <v>14271.571785835464</v>
      </c>
      <c r="ZK14" s="29">
        <f t="shared" ca="1" si="726"/>
        <v>13649.285316483127</v>
      </c>
      <c r="ZL14" s="29">
        <f t="shared" ca="1" si="727"/>
        <v>13511.169180284358</v>
      </c>
      <c r="ZM14" s="29">
        <f t="shared" ca="1" si="728"/>
        <v>13253.787823144698</v>
      </c>
      <c r="ZN14" s="29">
        <f t="shared" ca="1" si="729"/>
        <v>14141.183900953698</v>
      </c>
      <c r="ZO14" s="29">
        <f t="shared" ca="1" si="730"/>
        <v>14282.69042104945</v>
      </c>
      <c r="ZP14" s="29">
        <f t="shared" ca="1" si="731"/>
        <v>14507.275041578423</v>
      </c>
      <c r="ZQ14" s="29">
        <f t="shared" ca="1" si="732"/>
        <v>14369.269663287354</v>
      </c>
      <c r="ZR14" s="29">
        <f t="shared" ca="1" si="733"/>
        <v>14785.400369919837</v>
      </c>
      <c r="ZS14" s="29">
        <f t="shared" ca="1" si="734"/>
        <v>14237.740081175269</v>
      </c>
      <c r="ZT14" s="29">
        <f t="shared" ca="1" si="735"/>
        <v>14224.349028034427</v>
      </c>
      <c r="ZU14" s="29">
        <f t="shared" ca="1" si="736"/>
        <v>14228.780510903756</v>
      </c>
      <c r="ZV14" s="29">
        <f t="shared" ca="1" si="737"/>
        <v>14181.028559805176</v>
      </c>
      <c r="ZW14" s="29">
        <f t="shared" ca="1" si="738"/>
        <v>14377.664099719044</v>
      </c>
      <c r="ZX14" s="29">
        <f t="shared" ca="1" si="739"/>
        <v>14632.15644653143</v>
      </c>
      <c r="ZY14" s="29">
        <f t="shared" ca="1" si="740"/>
        <v>14223.361939603987</v>
      </c>
      <c r="ZZ14" s="29">
        <f t="shared" ca="1" si="741"/>
        <v>14095.672964029101</v>
      </c>
      <c r="AAA14" s="29">
        <f t="shared" ca="1" si="742"/>
        <v>15264.128156608696</v>
      </c>
      <c r="AAB14" s="29">
        <f t="shared" ca="1" si="743"/>
        <v>15308.280596395967</v>
      </c>
      <c r="AAC14" s="29">
        <f t="shared" ca="1" si="744"/>
        <v>14675.374209742356</v>
      </c>
      <c r="AAD14" s="29">
        <f t="shared" ca="1" si="745"/>
        <v>13899.385623386486</v>
      </c>
      <c r="AAE14" s="29">
        <f t="shared" ca="1" si="746"/>
        <v>13753.916725983587</v>
      </c>
      <c r="AAF14" s="29">
        <f t="shared" ca="1" si="747"/>
        <v>15455.901990141308</v>
      </c>
      <c r="AAG14" s="29">
        <f t="shared" ca="1" si="748"/>
        <v>14965.408493316887</v>
      </c>
      <c r="AAH14" s="29">
        <f t="shared" ca="1" si="749"/>
        <v>14967.626351980778</v>
      </c>
      <c r="AAI14" s="29">
        <f t="shared" ca="1" si="750"/>
        <v>14449.899914383477</v>
      </c>
      <c r="AAJ14" s="29">
        <f t="shared" ca="1" si="751"/>
        <v>14452.92680656714</v>
      </c>
      <c r="AAK14" s="29">
        <f t="shared" ca="1" si="752"/>
        <v>14597.866038492004</v>
      </c>
      <c r="AAL14" s="29">
        <f t="shared" ca="1" si="753"/>
        <v>14455.540810591368</v>
      </c>
      <c r="AAM14" s="29">
        <f t="shared" ca="1" si="754"/>
        <v>14324.509657477651</v>
      </c>
      <c r="AAN14" s="29">
        <f t="shared" ca="1" si="755"/>
        <v>15683.321336860408</v>
      </c>
      <c r="AAO14" s="29">
        <f t="shared" ca="1" si="756"/>
        <v>14396.298302031702</v>
      </c>
      <c r="AAP14" s="29">
        <f t="shared" ca="1" si="757"/>
        <v>15338.108754725481</v>
      </c>
      <c r="AAQ14" s="29">
        <f t="shared" ca="1" si="758"/>
        <v>14679.11951315079</v>
      </c>
      <c r="AAR14" s="29">
        <f t="shared" ca="1" si="759"/>
        <v>15653.729983072355</v>
      </c>
      <c r="AAS14" s="29">
        <f t="shared" ca="1" si="760"/>
        <v>14206.97138897014</v>
      </c>
      <c r="AAT14" s="29">
        <f t="shared" ca="1" si="761"/>
        <v>14630.625083355757</v>
      </c>
      <c r="AAU14" s="29">
        <f t="shared" ca="1" si="762"/>
        <v>15151.317196877751</v>
      </c>
      <c r="AAV14" s="29">
        <f t="shared" ca="1" si="763"/>
        <v>13881.923264471816</v>
      </c>
      <c r="AAW14" s="29">
        <f t="shared" ca="1" si="764"/>
        <v>14360.651248734575</v>
      </c>
      <c r="AAX14" s="29">
        <f t="shared" ca="1" si="765"/>
        <v>14865.547784865783</v>
      </c>
      <c r="AAY14" s="29">
        <f t="shared" ca="1" si="766"/>
        <v>14530.135188150209</v>
      </c>
      <c r="AAZ14" s="29">
        <f t="shared" ca="1" si="767"/>
        <v>15019.477653135395</v>
      </c>
      <c r="ABA14" s="29">
        <f t="shared" ca="1" si="768"/>
        <v>14724.913817296396</v>
      </c>
      <c r="ABB14" s="29">
        <f t="shared" ca="1" si="769"/>
        <v>14791.895552810078</v>
      </c>
      <c r="ABC14" s="29">
        <f t="shared" ca="1" si="770"/>
        <v>14880.501368769812</v>
      </c>
      <c r="ABD14" s="29">
        <f t="shared" ca="1" si="771"/>
        <v>14395.425707155302</v>
      </c>
      <c r="ABE14" s="29">
        <f t="shared" ca="1" si="772"/>
        <v>13022.897399667576</v>
      </c>
      <c r="ABF14" s="29">
        <f t="shared" ca="1" si="773"/>
        <v>14049.648179935026</v>
      </c>
      <c r="ABG14" s="29">
        <f t="shared" ca="1" si="774"/>
        <v>13947.862340559157</v>
      </c>
      <c r="ABH14" s="29">
        <f t="shared" ca="1" si="775"/>
        <v>14435.84704660016</v>
      </c>
      <c r="ABI14" s="29">
        <f t="shared" ca="1" si="776"/>
        <v>14486.461584584931</v>
      </c>
      <c r="ABJ14" s="29">
        <f t="shared" ca="1" si="777"/>
        <v>14434.156012760503</v>
      </c>
      <c r="ABK14" s="29">
        <f t="shared" ca="1" si="778"/>
        <v>15163.83517467405</v>
      </c>
      <c r="ABL14" s="29">
        <f t="shared" ca="1" si="779"/>
        <v>14274.172668156973</v>
      </c>
      <c r="ABM14" s="29">
        <f t="shared" ca="1" si="780"/>
        <v>14587.385176186503</v>
      </c>
      <c r="ABN14" s="29">
        <f t="shared" ca="1" si="781"/>
        <v>13918.225398757459</v>
      </c>
      <c r="ABO14" s="29">
        <f t="shared" ca="1" si="782"/>
        <v>15191.162961531028</v>
      </c>
      <c r="ABP14" s="29">
        <f t="shared" ca="1" si="783"/>
        <v>14221.003146164519</v>
      </c>
      <c r="ABQ14" s="29">
        <f t="shared" ca="1" si="784"/>
        <v>13244.184000752672</v>
      </c>
      <c r="ABR14" s="29">
        <f t="shared" ca="1" si="785"/>
        <v>13203.725377907582</v>
      </c>
      <c r="ABS14" s="29">
        <f t="shared" ca="1" si="786"/>
        <v>14148.881199096635</v>
      </c>
      <c r="ABT14" s="29">
        <f t="shared" ca="1" si="787"/>
        <v>14381.677612089061</v>
      </c>
      <c r="ABU14" s="29">
        <f t="shared" ca="1" si="788"/>
        <v>14595.452502699374</v>
      </c>
      <c r="ABV14" s="29">
        <f t="shared" ca="1" si="789"/>
        <v>15157.924813524416</v>
      </c>
      <c r="ABW14" s="29">
        <f t="shared" ca="1" si="790"/>
        <v>14872.175696672621</v>
      </c>
      <c r="ABX14" s="29">
        <f t="shared" ca="1" si="791"/>
        <v>14845.256258339221</v>
      </c>
      <c r="ABY14" s="29">
        <f t="shared" ca="1" si="792"/>
        <v>14734.154460275362</v>
      </c>
      <c r="ABZ14" s="29">
        <f t="shared" ca="1" si="793"/>
        <v>14666.678275619844</v>
      </c>
      <c r="ACA14" s="29">
        <f t="shared" ca="1" si="794"/>
        <v>15479.096807101589</v>
      </c>
      <c r="ACB14" s="29">
        <f t="shared" ca="1" si="795"/>
        <v>14965.175759608135</v>
      </c>
      <c r="ACC14" s="29">
        <f t="shared" ca="1" si="796"/>
        <v>14377.302567870733</v>
      </c>
      <c r="ACD14" s="29">
        <f t="shared" ca="1" si="797"/>
        <v>14599.490224573268</v>
      </c>
      <c r="ACE14" s="29">
        <f t="shared" ca="1" si="798"/>
        <v>14717.888928340531</v>
      </c>
      <c r="ACF14" s="29">
        <f t="shared" ca="1" si="799"/>
        <v>14625.472114301636</v>
      </c>
      <c r="ACG14" s="29">
        <f t="shared" ca="1" si="800"/>
        <v>13534.122772265357</v>
      </c>
      <c r="ACH14" s="29">
        <f t="shared" ca="1" si="801"/>
        <v>14754.960017121004</v>
      </c>
      <c r="ACI14" s="29">
        <f t="shared" ca="1" si="802"/>
        <v>14212.73458735589</v>
      </c>
      <c r="ACJ14" s="29">
        <f t="shared" ca="1" si="803"/>
        <v>14944.652260587447</v>
      </c>
      <c r="ACK14" s="29">
        <f t="shared" ca="1" si="804"/>
        <v>14155.151019523348</v>
      </c>
      <c r="ACL14" s="29">
        <f t="shared" ca="1" si="805"/>
        <v>13464.973446677839</v>
      </c>
      <c r="ACM14" s="29">
        <f t="shared" ca="1" si="806"/>
        <v>14687.518053628886</v>
      </c>
      <c r="ACN14" s="29">
        <f t="shared" ca="1" si="807"/>
        <v>14926.28658987189</v>
      </c>
      <c r="ACO14" s="29">
        <f t="shared" ca="1" si="808"/>
        <v>15691.314851149456</v>
      </c>
      <c r="ACP14" s="29">
        <f t="shared" ca="1" si="809"/>
        <v>14133.488566019143</v>
      </c>
      <c r="ACQ14" s="29">
        <f t="shared" ca="1" si="810"/>
        <v>14853.813994966706</v>
      </c>
      <c r="ACR14" s="29">
        <f t="shared" ca="1" si="811"/>
        <v>14849.128999641234</v>
      </c>
      <c r="ACS14" s="29">
        <f t="shared" ca="1" si="812"/>
        <v>14179.001624694642</v>
      </c>
      <c r="ACT14" s="29">
        <f t="shared" ca="1" si="813"/>
        <v>14374.122251003002</v>
      </c>
      <c r="ACU14" s="29">
        <f t="shared" ca="1" si="814"/>
        <v>14230.23093521338</v>
      </c>
      <c r="ACV14" s="29">
        <f t="shared" ca="1" si="815"/>
        <v>14419.974513421699</v>
      </c>
      <c r="ACW14" s="29">
        <f t="shared" ca="1" si="816"/>
        <v>14900.769643133264</v>
      </c>
      <c r="ACX14" s="29">
        <f t="shared" ca="1" si="817"/>
        <v>14068.445617698446</v>
      </c>
      <c r="ACY14" s="29">
        <f t="shared" ca="1" si="818"/>
        <v>13968.376588347583</v>
      </c>
      <c r="ACZ14" s="29">
        <f t="shared" ca="1" si="819"/>
        <v>14468.917364699988</v>
      </c>
      <c r="ADA14" s="29">
        <f t="shared" ca="1" si="820"/>
        <v>14689.214897050542</v>
      </c>
      <c r="ADB14" s="29">
        <f t="shared" ca="1" si="821"/>
        <v>13352.104644483841</v>
      </c>
      <c r="ADC14" s="29">
        <f t="shared" ca="1" si="822"/>
        <v>14523.93245969632</v>
      </c>
      <c r="ADD14" s="29">
        <f t="shared" ca="1" si="823"/>
        <v>15364.152613691977</v>
      </c>
      <c r="ADE14" s="29">
        <f t="shared" ca="1" si="824"/>
        <v>14622.09399645409</v>
      </c>
      <c r="ADF14" s="29">
        <f t="shared" ca="1" si="825"/>
        <v>13468.55883685407</v>
      </c>
      <c r="ADG14" s="29">
        <f t="shared" ca="1" si="826"/>
        <v>14454.598959397659</v>
      </c>
      <c r="ADH14" s="29">
        <f t="shared" ca="1" si="827"/>
        <v>14896.800770736489</v>
      </c>
      <c r="ADI14" s="29">
        <f t="shared" ca="1" si="828"/>
        <v>14420.857963377332</v>
      </c>
      <c r="ADJ14" s="29">
        <f t="shared" ca="1" si="829"/>
        <v>14971.393266139865</v>
      </c>
      <c r="ADK14" s="29">
        <f t="shared" ca="1" si="830"/>
        <v>14362.091740241169</v>
      </c>
      <c r="ADL14" s="29">
        <f t="shared" ca="1" si="831"/>
        <v>14036.812072883149</v>
      </c>
      <c r="ADM14" s="29">
        <f t="shared" ca="1" si="832"/>
        <v>14360.443205537473</v>
      </c>
      <c r="ADN14" s="29">
        <f t="shared" ca="1" si="833"/>
        <v>13976.827948396001</v>
      </c>
      <c r="ADO14" s="29">
        <f t="shared" ca="1" si="834"/>
        <v>14914.119465737043</v>
      </c>
      <c r="ADP14" s="29">
        <f t="shared" ca="1" si="835"/>
        <v>14293.033656909724</v>
      </c>
      <c r="ADQ14" s="29">
        <f t="shared" ca="1" si="836"/>
        <v>15757.978066421701</v>
      </c>
      <c r="ADR14" s="29">
        <f t="shared" ca="1" si="837"/>
        <v>14546.138636373964</v>
      </c>
      <c r="ADS14" s="29">
        <f t="shared" ca="1" si="838"/>
        <v>14386.980016286656</v>
      </c>
      <c r="ADT14" s="29">
        <f t="shared" ca="1" si="839"/>
        <v>14103.74086426523</v>
      </c>
      <c r="ADU14" s="29">
        <f t="shared" ca="1" si="840"/>
        <v>14482.341177278426</v>
      </c>
      <c r="ADV14" s="29">
        <f t="shared" ca="1" si="841"/>
        <v>15029.404015468866</v>
      </c>
      <c r="ADW14" s="29">
        <f t="shared" ca="1" si="842"/>
        <v>15255.265527322525</v>
      </c>
      <c r="ADX14" s="29">
        <f t="shared" ca="1" si="843"/>
        <v>13913.504259946296</v>
      </c>
      <c r="ADY14" s="29">
        <f t="shared" ca="1" si="844"/>
        <v>16080.556890179863</v>
      </c>
      <c r="ADZ14" s="29">
        <f t="shared" ca="1" si="845"/>
        <v>14236.790946253677</v>
      </c>
      <c r="AEA14" s="29">
        <f t="shared" ca="1" si="846"/>
        <v>14548.836486365879</v>
      </c>
      <c r="AEB14" s="29">
        <f t="shared" ca="1" si="847"/>
        <v>13210.908201390339</v>
      </c>
      <c r="AEC14" s="29">
        <f t="shared" ca="1" si="848"/>
        <v>15381.236994908077</v>
      </c>
      <c r="AED14" s="29">
        <f t="shared" ca="1" si="849"/>
        <v>14986.526452838665</v>
      </c>
      <c r="AEE14" s="29">
        <f t="shared" ca="1" si="850"/>
        <v>15221.056303301049</v>
      </c>
      <c r="AEF14" s="29">
        <f t="shared" ca="1" si="851"/>
        <v>14247.113783199053</v>
      </c>
      <c r="AEG14" s="29">
        <f t="shared" ca="1" si="852"/>
        <v>15390.987939001541</v>
      </c>
      <c r="AEH14" s="29">
        <f t="shared" ca="1" si="853"/>
        <v>13983.290427244865</v>
      </c>
      <c r="AEI14" s="29">
        <f t="shared" ca="1" si="854"/>
        <v>15347.993863652209</v>
      </c>
      <c r="AEJ14" s="29">
        <f t="shared" ca="1" si="855"/>
        <v>14296.838615697563</v>
      </c>
      <c r="AEK14" s="29">
        <f t="shared" ca="1" si="856"/>
        <v>14710.071665190244</v>
      </c>
      <c r="AEL14" s="29">
        <f t="shared" ca="1" si="857"/>
        <v>13968.09575149157</v>
      </c>
      <c r="AEM14" s="29">
        <f t="shared" ca="1" si="858"/>
        <v>14456.932485609912</v>
      </c>
      <c r="AEN14" s="29">
        <f t="shared" ca="1" si="859"/>
        <v>14945.511941512515</v>
      </c>
      <c r="AEO14" s="29">
        <f t="shared" ca="1" si="860"/>
        <v>14262.837303396042</v>
      </c>
      <c r="AEP14" s="29">
        <f t="shared" ca="1" si="861"/>
        <v>14838.452263116595</v>
      </c>
      <c r="AEQ14" s="29">
        <f t="shared" ca="1" si="862"/>
        <v>14875.96827759151</v>
      </c>
      <c r="AER14" s="29">
        <f t="shared" ca="1" si="863"/>
        <v>15300.738256428322</v>
      </c>
      <c r="AES14" s="29">
        <f t="shared" ca="1" si="864"/>
        <v>13700.524508106411</v>
      </c>
      <c r="AET14" s="29">
        <f t="shared" ca="1" si="865"/>
        <v>14647.910322060703</v>
      </c>
      <c r="AEU14" s="29">
        <f t="shared" ca="1" si="866"/>
        <v>13359.699889644424</v>
      </c>
      <c r="AEV14" s="29">
        <f t="shared" ca="1" si="867"/>
        <v>15347.743871295192</v>
      </c>
      <c r="AEW14" s="29">
        <f t="shared" ca="1" si="868"/>
        <v>13682.549971191203</v>
      </c>
      <c r="AEX14" s="29">
        <f t="shared" ca="1" si="869"/>
        <v>13734.018349350052</v>
      </c>
      <c r="AEY14" s="29">
        <f t="shared" ca="1" si="870"/>
        <v>14085.890242076683</v>
      </c>
      <c r="AEZ14" s="29">
        <f t="shared" ca="1" si="871"/>
        <v>13926.167668793105</v>
      </c>
      <c r="AFA14" s="29">
        <f t="shared" ca="1" si="872"/>
        <v>15089.528262170417</v>
      </c>
      <c r="AFB14" s="29">
        <f t="shared" ca="1" si="873"/>
        <v>14250.570101420562</v>
      </c>
      <c r="AFC14" s="29">
        <f t="shared" ca="1" si="874"/>
        <v>14493.556980284646</v>
      </c>
      <c r="AFD14" s="29">
        <f t="shared" ca="1" si="875"/>
        <v>14610.280402164217</v>
      </c>
      <c r="AFE14" s="29">
        <f t="shared" ca="1" si="876"/>
        <v>15049.302740684861</v>
      </c>
      <c r="AFF14" s="29">
        <f t="shared" ca="1" si="877"/>
        <v>14014.466977053751</v>
      </c>
      <c r="AFG14" s="29">
        <f t="shared" ca="1" si="878"/>
        <v>14915.584230393795</v>
      </c>
      <c r="AFH14" s="29">
        <f t="shared" ca="1" si="879"/>
        <v>15169.588201156757</v>
      </c>
      <c r="AFI14" s="29">
        <f t="shared" ca="1" si="880"/>
        <v>14613.475548103885</v>
      </c>
      <c r="AFJ14" s="29">
        <f t="shared" ca="1" si="881"/>
        <v>13812.98559492451</v>
      </c>
      <c r="AFK14" s="29">
        <f t="shared" ca="1" si="882"/>
        <v>14029.990653619436</v>
      </c>
      <c r="AFL14" s="29">
        <f t="shared" ca="1" si="883"/>
        <v>14376.414196063373</v>
      </c>
      <c r="AFM14" s="29">
        <f t="shared" ca="1" si="884"/>
        <v>14133.548298527021</v>
      </c>
      <c r="AFN14" s="29">
        <f t="shared" ca="1" si="885"/>
        <v>14850.034543407795</v>
      </c>
      <c r="AFO14" s="29">
        <f t="shared" ca="1" si="886"/>
        <v>15211.078927639897</v>
      </c>
      <c r="AFP14" s="29">
        <f t="shared" ca="1" si="887"/>
        <v>14748.687240708539</v>
      </c>
      <c r="AFQ14" s="29">
        <f t="shared" ca="1" si="888"/>
        <v>14012.268799951886</v>
      </c>
      <c r="AFR14" s="29">
        <f t="shared" ca="1" si="889"/>
        <v>14940.331121380797</v>
      </c>
      <c r="AFS14" s="29">
        <f t="shared" ca="1" si="890"/>
        <v>14366.582774203243</v>
      </c>
      <c r="AFT14" s="29">
        <f t="shared" ca="1" si="891"/>
        <v>14521.360668877194</v>
      </c>
      <c r="AFU14" s="29">
        <f t="shared" ca="1" si="892"/>
        <v>14055.468649955777</v>
      </c>
      <c r="AFV14" s="29">
        <f t="shared" ca="1" si="893"/>
        <v>14429.10441040104</v>
      </c>
      <c r="AFW14" s="29">
        <f t="shared" ca="1" si="894"/>
        <v>14572.866202166053</v>
      </c>
      <c r="AFX14" s="29">
        <f t="shared" ca="1" si="895"/>
        <v>15170.777711681603</v>
      </c>
      <c r="AFY14" s="29">
        <f t="shared" ca="1" si="896"/>
        <v>14944.035555611898</v>
      </c>
      <c r="AFZ14" s="29">
        <f t="shared" ca="1" si="897"/>
        <v>14381.652931723211</v>
      </c>
      <c r="AGA14" s="29">
        <f t="shared" ca="1" si="898"/>
        <v>14558.358060636978</v>
      </c>
      <c r="AGB14" s="29">
        <f t="shared" ca="1" si="899"/>
        <v>14334.279658998665</v>
      </c>
      <c r="AGC14" s="29">
        <f t="shared" ca="1" si="900"/>
        <v>13669.752445011167</v>
      </c>
      <c r="AGD14" s="29">
        <f t="shared" ca="1" si="901"/>
        <v>14973.876992542071</v>
      </c>
      <c r="AGE14" s="29">
        <f t="shared" ca="1" si="902"/>
        <v>13892.613903927686</v>
      </c>
      <c r="AGF14" s="29">
        <f t="shared" ca="1" si="903"/>
        <v>14722.156455898648</v>
      </c>
      <c r="AGG14" s="29">
        <f t="shared" ca="1" si="904"/>
        <v>13771.753545253459</v>
      </c>
      <c r="AGH14" s="29">
        <f t="shared" ca="1" si="905"/>
        <v>14976.188729448171</v>
      </c>
      <c r="AGI14" s="29">
        <f t="shared" ca="1" si="906"/>
        <v>14158.813138776028</v>
      </c>
      <c r="AGJ14" s="29">
        <f t="shared" ca="1" si="907"/>
        <v>14791.056904758674</v>
      </c>
      <c r="AGK14" s="29">
        <f t="shared" ca="1" si="908"/>
        <v>14496.619635390933</v>
      </c>
      <c r="AGL14" s="29">
        <f t="shared" ca="1" si="909"/>
        <v>14239.066101709168</v>
      </c>
      <c r="AGM14" s="29">
        <f t="shared" ca="1" si="910"/>
        <v>13817.85377341001</v>
      </c>
      <c r="AGN14" s="29">
        <f t="shared" ca="1" si="911"/>
        <v>13945.049403823206</v>
      </c>
      <c r="AGO14" s="29">
        <f t="shared" ca="1" si="912"/>
        <v>14883.110798134587</v>
      </c>
      <c r="AGP14" s="29">
        <f t="shared" ca="1" si="913"/>
        <v>13959.606564699317</v>
      </c>
      <c r="AGQ14" s="29">
        <f t="shared" ca="1" si="914"/>
        <v>14108.69854626435</v>
      </c>
      <c r="AGR14" s="29">
        <f t="shared" ca="1" si="915"/>
        <v>13976.850792714577</v>
      </c>
      <c r="AGS14" s="29">
        <f t="shared" ca="1" si="916"/>
        <v>14534.424696276017</v>
      </c>
      <c r="AGT14" s="29">
        <f t="shared" ca="1" si="917"/>
        <v>13605.767208335112</v>
      </c>
      <c r="AGU14" s="29">
        <f t="shared" ca="1" si="918"/>
        <v>14730.41679359768</v>
      </c>
      <c r="AGV14" s="29">
        <f t="shared" ca="1" si="919"/>
        <v>14795.543676594523</v>
      </c>
      <c r="AGW14" s="29">
        <f t="shared" ca="1" si="920"/>
        <v>14843.600045599002</v>
      </c>
      <c r="AGX14" s="29">
        <f t="shared" ca="1" si="921"/>
        <v>15046.818034966409</v>
      </c>
      <c r="AGY14" s="29">
        <f t="shared" ca="1" si="922"/>
        <v>14150.628713927365</v>
      </c>
      <c r="AGZ14" s="29">
        <f t="shared" ca="1" si="923"/>
        <v>14382.194654612873</v>
      </c>
      <c r="AHA14" s="29">
        <f t="shared" ca="1" si="924"/>
        <v>13829.729543778056</v>
      </c>
      <c r="AHB14" s="29">
        <f t="shared" ca="1" si="925"/>
        <v>13587.655204541874</v>
      </c>
      <c r="AHC14" s="29">
        <f t="shared" ca="1" si="926"/>
        <v>15019.970339230837</v>
      </c>
      <c r="AHD14" s="29">
        <f t="shared" ca="1" si="927"/>
        <v>14883.677225947082</v>
      </c>
      <c r="AHE14" s="29">
        <f t="shared" ca="1" si="928"/>
        <v>15188.151539706965</v>
      </c>
      <c r="AHF14" s="29">
        <f t="shared" ca="1" si="929"/>
        <v>14711.309627939303</v>
      </c>
      <c r="AHG14" s="29">
        <f t="shared" ca="1" si="930"/>
        <v>15157.47157729269</v>
      </c>
      <c r="AHH14" s="29">
        <f t="shared" ca="1" si="931"/>
        <v>15817.939278181471</v>
      </c>
      <c r="AHI14" s="29">
        <f t="shared" ca="1" si="932"/>
        <v>14359.883927789268</v>
      </c>
      <c r="AHJ14" s="29">
        <f t="shared" ca="1" si="933"/>
        <v>13770.847212004908</v>
      </c>
      <c r="AHK14" s="29">
        <f t="shared" ca="1" si="934"/>
        <v>15782.729476792061</v>
      </c>
      <c r="AHL14" s="29">
        <f t="shared" ca="1" si="935"/>
        <v>14789.167300692456</v>
      </c>
      <c r="AHM14" s="29">
        <f t="shared" ca="1" si="936"/>
        <v>15306.585826115121</v>
      </c>
      <c r="AHN14" s="29">
        <f t="shared" ca="1" si="937"/>
        <v>14119.94887021105</v>
      </c>
      <c r="AHO14" s="29">
        <f t="shared" ca="1" si="938"/>
        <v>14806.874951127835</v>
      </c>
      <c r="AHP14" s="29">
        <f t="shared" ca="1" si="939"/>
        <v>14630.005658231623</v>
      </c>
      <c r="AHQ14" s="29">
        <f t="shared" ca="1" si="940"/>
        <v>15570.349827734542</v>
      </c>
      <c r="AHR14" s="29">
        <f t="shared" ca="1" si="941"/>
        <v>14493.606705308139</v>
      </c>
      <c r="AHS14" s="29">
        <f t="shared" ca="1" si="942"/>
        <v>14528.310153201242</v>
      </c>
      <c r="AHT14" s="29">
        <f t="shared" ca="1" si="943"/>
        <v>14310.461097732496</v>
      </c>
      <c r="AHU14" s="29">
        <f t="shared" ca="1" si="944"/>
        <v>14346.305704072869</v>
      </c>
      <c r="AHV14" s="29">
        <f t="shared" ca="1" si="945"/>
        <v>14724.474550875912</v>
      </c>
      <c r="AHW14" s="29">
        <f t="shared" ca="1" si="946"/>
        <v>15079.914839437226</v>
      </c>
      <c r="AHX14" s="29">
        <f t="shared" ca="1" si="947"/>
        <v>15031.665556981136</v>
      </c>
      <c r="AHY14" s="29">
        <f t="shared" ca="1" si="948"/>
        <v>13898.163600395899</v>
      </c>
      <c r="AHZ14" s="29">
        <f t="shared" ca="1" si="949"/>
        <v>13141.559414775767</v>
      </c>
      <c r="AIA14" s="29">
        <f t="shared" ca="1" si="950"/>
        <v>15184.956540767025</v>
      </c>
      <c r="AIB14" s="29">
        <f t="shared" ca="1" si="951"/>
        <v>14444.219493401291</v>
      </c>
      <c r="AIC14" s="29">
        <f t="shared" ca="1" si="952"/>
        <v>14878.751133146299</v>
      </c>
      <c r="AID14" s="29">
        <f t="shared" ca="1" si="953"/>
        <v>14720.085322702475</v>
      </c>
      <c r="AIE14" s="29">
        <f t="shared" ca="1" si="954"/>
        <v>13951.858461353515</v>
      </c>
      <c r="AIF14" s="29">
        <f t="shared" ca="1" si="955"/>
        <v>14396.998856769034</v>
      </c>
      <c r="AIG14" s="29">
        <f t="shared" ca="1" si="956"/>
        <v>14776.05809820083</v>
      </c>
      <c r="AIH14" s="29">
        <f t="shared" ca="1" si="957"/>
        <v>14886.568129001324</v>
      </c>
      <c r="AII14" s="29">
        <f t="shared" ca="1" si="958"/>
        <v>13811.481291702565</v>
      </c>
      <c r="AIJ14" s="29">
        <f t="shared" ca="1" si="959"/>
        <v>13736.350678792358</v>
      </c>
      <c r="AIK14" s="29">
        <f t="shared" ca="1" si="960"/>
        <v>14398.407039482681</v>
      </c>
      <c r="AIL14" s="29">
        <f t="shared" ca="1" si="961"/>
        <v>14734.972467942129</v>
      </c>
      <c r="AIM14" s="29">
        <f t="shared" ca="1" si="962"/>
        <v>14433.599933620339</v>
      </c>
      <c r="AIN14" s="29">
        <f t="shared" ca="1" si="963"/>
        <v>14992.132314264738</v>
      </c>
      <c r="AIO14" s="29">
        <f t="shared" ca="1" si="964"/>
        <v>13671.814898709092</v>
      </c>
      <c r="AIP14" s="29">
        <f t="shared" ca="1" si="965"/>
        <v>14220.767983157873</v>
      </c>
      <c r="AIQ14" s="29">
        <f t="shared" ca="1" si="966"/>
        <v>13401.508460393667</v>
      </c>
      <c r="AIR14" s="29">
        <f t="shared" ca="1" si="967"/>
        <v>13859.638037605953</v>
      </c>
      <c r="AIS14" s="29">
        <f t="shared" ca="1" si="968"/>
        <v>14192.724462809912</v>
      </c>
      <c r="AIT14" s="29">
        <f t="shared" ca="1" si="969"/>
        <v>14238.063246697271</v>
      </c>
      <c r="AIU14" s="29">
        <f t="shared" ca="1" si="970"/>
        <v>13546.867880257687</v>
      </c>
      <c r="AIV14" s="29">
        <f t="shared" ca="1" si="971"/>
        <v>14631.523369762188</v>
      </c>
      <c r="AIW14" s="29">
        <f t="shared" ca="1" si="972"/>
        <v>13897.38063818143</v>
      </c>
      <c r="AIX14" s="29">
        <f t="shared" ca="1" si="973"/>
        <v>14705.265628280558</v>
      </c>
      <c r="AIY14" s="29">
        <f t="shared" ca="1" si="974"/>
        <v>14619.136970551644</v>
      </c>
      <c r="AIZ14" s="29">
        <f t="shared" ca="1" si="975"/>
        <v>14782.519172186561</v>
      </c>
      <c r="AJA14" s="29">
        <f t="shared" ca="1" si="976"/>
        <v>14587.535551855679</v>
      </c>
      <c r="AJB14" s="29">
        <f t="shared" ca="1" si="977"/>
        <v>14843.134292046045</v>
      </c>
      <c r="AJC14" s="29">
        <f t="shared" ca="1" si="978"/>
        <v>14263.420330271585</v>
      </c>
      <c r="AJD14" s="29">
        <f t="shared" ca="1" si="979"/>
        <v>14150.59107876813</v>
      </c>
      <c r="AJE14" s="29">
        <f t="shared" ca="1" si="980"/>
        <v>15198.529133502068</v>
      </c>
      <c r="AJF14" s="29">
        <f t="shared" ca="1" si="981"/>
        <v>14543.202602711775</v>
      </c>
      <c r="AJG14" s="29">
        <f t="shared" ca="1" si="982"/>
        <v>14450.098422342609</v>
      </c>
      <c r="AJH14" s="29">
        <f t="shared" ca="1" si="983"/>
        <v>14237.338097004438</v>
      </c>
      <c r="AJI14" s="29">
        <f t="shared" ca="1" si="984"/>
        <v>14946.800211001688</v>
      </c>
      <c r="AJJ14" s="29">
        <f t="shared" ca="1" si="985"/>
        <v>15246.74937429177</v>
      </c>
      <c r="AJK14" s="29">
        <f t="shared" ca="1" si="986"/>
        <v>14210.883272875964</v>
      </c>
      <c r="AJL14" s="29">
        <f t="shared" ca="1" si="987"/>
        <v>14974.840229500933</v>
      </c>
      <c r="AJM14" s="29">
        <f t="shared" ca="1" si="988"/>
        <v>14272.158400532393</v>
      </c>
      <c r="AJN14" s="29">
        <f t="shared" ca="1" si="989"/>
        <v>14203.693672773505</v>
      </c>
      <c r="AJO14" s="29">
        <f t="shared" ca="1" si="990"/>
        <v>14826.4574481296</v>
      </c>
      <c r="AJP14" s="29">
        <f t="shared" ca="1" si="991"/>
        <v>15612.674993581793</v>
      </c>
      <c r="AJQ14" s="29">
        <f t="shared" ca="1" si="992"/>
        <v>13785.978522280793</v>
      </c>
      <c r="AJR14" s="29">
        <f t="shared" ca="1" si="993"/>
        <v>14786.967292414221</v>
      </c>
      <c r="AJS14" s="29">
        <f t="shared" ca="1" si="994"/>
        <v>14638.490001215281</v>
      </c>
      <c r="AJT14" s="29">
        <f t="shared" ca="1" si="995"/>
        <v>14937.948283607791</v>
      </c>
      <c r="AJU14" s="29">
        <f t="shared" ca="1" si="996"/>
        <v>13903.340866812938</v>
      </c>
      <c r="AJV14" s="29">
        <f t="shared" ca="1" si="997"/>
        <v>13994.724832647275</v>
      </c>
      <c r="AJW14" s="29">
        <f t="shared" ca="1" si="998"/>
        <v>14542.466914681443</v>
      </c>
      <c r="AJX14" s="29">
        <f t="shared" ca="1" si="999"/>
        <v>15032.344178037794</v>
      </c>
      <c r="AJY14" s="29">
        <f t="shared" ca="1" si="1000"/>
        <v>14102.780014645197</v>
      </c>
      <c r="AJZ14" s="29">
        <f t="shared" ca="1" si="1001"/>
        <v>14644.885562532243</v>
      </c>
      <c r="AKA14" s="29">
        <f t="shared" ca="1" si="1002"/>
        <v>15177.059063411274</v>
      </c>
      <c r="AKB14" s="29">
        <f t="shared" ca="1" si="1003"/>
        <v>14471.493086899603</v>
      </c>
      <c r="AKC14" s="29">
        <f t="shared" ca="1" si="1004"/>
        <v>14193.549768965007</v>
      </c>
      <c r="AKD14" s="29">
        <f t="shared" ca="1" si="1005"/>
        <v>15266.226758524013</v>
      </c>
      <c r="AKE14" s="29">
        <f t="shared" ca="1" si="1006"/>
        <v>13495.359093035355</v>
      </c>
      <c r="AKF14" s="29">
        <f t="shared" ca="1" si="1007"/>
        <v>15002.668265389782</v>
      </c>
      <c r="AKG14" s="29">
        <f t="shared" ca="1" si="1008"/>
        <v>14176.763889537095</v>
      </c>
      <c r="AKH14" s="29">
        <f t="shared" ca="1" si="1009"/>
        <v>14429.83970342246</v>
      </c>
      <c r="AKI14" s="29">
        <f t="shared" ca="1" si="1010"/>
        <v>14606.466521508219</v>
      </c>
      <c r="AKJ14" s="29">
        <f t="shared" ca="1" si="1011"/>
        <v>13945.405920388863</v>
      </c>
      <c r="AKK14" s="29">
        <f t="shared" ca="1" si="1012"/>
        <v>15583.808731986539</v>
      </c>
      <c r="AKL14" s="29">
        <f t="shared" ca="1" si="1013"/>
        <v>14726.23258328269</v>
      </c>
      <c r="AKM14" s="29">
        <f t="shared" ca="1" si="1014"/>
        <v>14276.518758096667</v>
      </c>
      <c r="AKN14" s="29">
        <f t="shared" ca="1" si="1015"/>
        <v>14596.631545875585</v>
      </c>
      <c r="AKO14" s="29">
        <f t="shared" ca="1" si="1016"/>
        <v>14124.475024596444</v>
      </c>
      <c r="AKP14" s="29">
        <f t="shared" ca="1" si="1017"/>
        <v>15884.625425447679</v>
      </c>
      <c r="AKQ14" s="29">
        <f t="shared" ca="1" si="1018"/>
        <v>13461.158500403888</v>
      </c>
      <c r="AKR14" s="29">
        <f t="shared" ca="1" si="1019"/>
        <v>14077.364302322552</v>
      </c>
      <c r="AKS14" s="29">
        <f t="shared" ca="1" si="1020"/>
        <v>14949.406303064659</v>
      </c>
      <c r="AKT14" s="29">
        <f t="shared" ca="1" si="1021"/>
        <v>14727.775849106283</v>
      </c>
      <c r="AKU14" s="29">
        <f t="shared" ca="1" si="1022"/>
        <v>14164.969944370272</v>
      </c>
      <c r="AKV14" s="29">
        <f t="shared" ca="1" si="1023"/>
        <v>13141.515735408251</v>
      </c>
      <c r="AKW14" s="29">
        <f t="shared" ca="1" si="1024"/>
        <v>14170.913568454442</v>
      </c>
      <c r="AKX14" s="29">
        <f t="shared" ca="1" si="1025"/>
        <v>14825.398518528968</v>
      </c>
      <c r="AKY14" s="29">
        <f t="shared" ca="1" si="1026"/>
        <v>14803.853997178925</v>
      </c>
      <c r="AKZ14" s="29">
        <f t="shared" ca="1" si="1027"/>
        <v>13912.863463733896</v>
      </c>
      <c r="ALA14" s="29">
        <f t="shared" ca="1" si="1028"/>
        <v>14595.483903472676</v>
      </c>
      <c r="ALB14" s="29">
        <f t="shared" ca="1" si="1029"/>
        <v>15268.837019499582</v>
      </c>
      <c r="ALC14" s="29">
        <f t="shared" ca="1" si="1030"/>
        <v>14689.877170347674</v>
      </c>
      <c r="ALD14" s="29">
        <f t="shared" ca="1" si="1031"/>
        <v>15141.538091139193</v>
      </c>
      <c r="ALE14" s="29">
        <f t="shared" ca="1" si="1032"/>
        <v>14063.899737714453</v>
      </c>
      <c r="ALF14" s="29">
        <f t="shared" ca="1" si="1033"/>
        <v>13478.067500692345</v>
      </c>
      <c r="ALG14" s="29">
        <f t="shared" ca="1" si="1034"/>
        <v>14694.550683587637</v>
      </c>
      <c r="ALH14" s="29">
        <f t="shared" ca="1" si="1035"/>
        <v>14377.462040721903</v>
      </c>
      <c r="ALI14" s="29">
        <f t="shared" ca="1" si="1036"/>
        <v>14656.737136603191</v>
      </c>
      <c r="ALJ14" s="29">
        <f t="shared" ca="1" si="1037"/>
        <v>15194.357762346568</v>
      </c>
      <c r="ALK14" s="29">
        <f t="shared" ca="1" si="1038"/>
        <v>14462.457588359364</v>
      </c>
      <c r="ALL14" s="29">
        <f t="shared" ca="1" si="1039"/>
        <v>14013.682559868466</v>
      </c>
      <c r="ALM14" s="29">
        <f t="shared" ca="1" si="1040"/>
        <v>13492.623483496491</v>
      </c>
      <c r="ALN14" s="29">
        <f t="shared" ca="1" si="1041"/>
        <v>14164.720152586808</v>
      </c>
      <c r="ALO14" s="29">
        <f t="shared" ca="1" si="1042"/>
        <v>13770.914917054368</v>
      </c>
      <c r="ALP14" s="29">
        <f t="shared" ca="1" si="1043"/>
        <v>14590.655591835533</v>
      </c>
      <c r="ALQ14" s="29">
        <f t="shared" ca="1" si="1044"/>
        <v>15555.666606756891</v>
      </c>
      <c r="ALR14" s="29">
        <f t="shared" ca="1" si="1045"/>
        <v>14199.020452115969</v>
      </c>
      <c r="ALS14" s="29">
        <f t="shared" ca="1" si="1046"/>
        <v>14125.766470768316</v>
      </c>
      <c r="ALT14" s="29">
        <f t="shared" ca="1" si="1047"/>
        <v>14414.701934108232</v>
      </c>
      <c r="ALU14" s="29">
        <f t="shared" ca="1" si="1048"/>
        <v>15245.710517938689</v>
      </c>
      <c r="ALV14" s="29">
        <f t="shared" ca="1" si="1049"/>
        <v>13884.125240432541</v>
      </c>
    </row>
    <row r="15" spans="1:1258" x14ac:dyDescent="0.25">
      <c r="A15" s="1">
        <v>40494</v>
      </c>
      <c r="B15" s="2">
        <v>6071.6499020000001</v>
      </c>
      <c r="C15" s="16">
        <f t="shared" si="32"/>
        <v>-1.9991061719129573E-2</v>
      </c>
      <c r="E15" s="29" t="s">
        <v>60</v>
      </c>
      <c r="J15" s="29">
        <f t="shared" si="49"/>
        <v>12</v>
      </c>
      <c r="K15" s="29">
        <f t="shared" ca="1" si="50"/>
        <v>14567.85022302072</v>
      </c>
      <c r="L15" s="29">
        <f t="shared" ca="1" si="51"/>
        <v>14096.156693033248</v>
      </c>
      <c r="M15" s="29">
        <f t="shared" ca="1" si="52"/>
        <v>14783.960893025387</v>
      </c>
      <c r="N15" s="29">
        <f t="shared" ca="1" si="53"/>
        <v>13422.329405946557</v>
      </c>
      <c r="O15" s="29">
        <f t="shared" ca="1" si="54"/>
        <v>14688.279790342003</v>
      </c>
      <c r="P15" s="29">
        <f t="shared" ca="1" si="55"/>
        <v>14865.543077897619</v>
      </c>
      <c r="Q15" s="29">
        <f t="shared" ca="1" si="56"/>
        <v>13522.050556462735</v>
      </c>
      <c r="R15" s="29">
        <f t="shared" ca="1" si="57"/>
        <v>14152.313408772523</v>
      </c>
      <c r="S15" s="29">
        <f t="shared" ca="1" si="58"/>
        <v>14334.135303139947</v>
      </c>
      <c r="T15" s="29">
        <f t="shared" ca="1" si="59"/>
        <v>15405.83644156331</v>
      </c>
      <c r="U15" s="29">
        <f t="shared" ca="1" si="60"/>
        <v>14960.189129042206</v>
      </c>
      <c r="V15" s="29">
        <f t="shared" ca="1" si="61"/>
        <v>14335.780038443019</v>
      </c>
      <c r="W15" s="29">
        <f t="shared" ca="1" si="62"/>
        <v>14228.927713970686</v>
      </c>
      <c r="X15" s="29">
        <f t="shared" ca="1" si="63"/>
        <v>15314.857076603806</v>
      </c>
      <c r="Y15" s="29">
        <f t="shared" ca="1" si="64"/>
        <v>14512.524152383439</v>
      </c>
      <c r="Z15" s="29">
        <f t="shared" ca="1" si="65"/>
        <v>13662.203600471785</v>
      </c>
      <c r="AA15" s="29">
        <f t="shared" ca="1" si="66"/>
        <v>14738.538975709793</v>
      </c>
      <c r="AB15" s="29">
        <f t="shared" ca="1" si="67"/>
        <v>15532.67517033458</v>
      </c>
      <c r="AC15" s="29">
        <f t="shared" ca="1" si="68"/>
        <v>15558.747275883863</v>
      </c>
      <c r="AD15" s="29">
        <f t="shared" ca="1" si="69"/>
        <v>14320.170840902574</v>
      </c>
      <c r="AE15" s="29">
        <f t="shared" ca="1" si="70"/>
        <v>15311.639906654831</v>
      </c>
      <c r="AF15" s="29">
        <f t="shared" ca="1" si="71"/>
        <v>14894.090603176535</v>
      </c>
      <c r="AG15" s="29">
        <f t="shared" ca="1" si="72"/>
        <v>13358.712446179768</v>
      </c>
      <c r="AH15" s="29">
        <f t="shared" ca="1" si="73"/>
        <v>14571.690068027367</v>
      </c>
      <c r="AI15" s="29">
        <f t="shared" ca="1" si="74"/>
        <v>14467.719966841096</v>
      </c>
      <c r="AJ15" s="29">
        <f t="shared" ca="1" si="75"/>
        <v>14524.829642605642</v>
      </c>
      <c r="AK15" s="29">
        <f t="shared" ca="1" si="76"/>
        <v>13611.124443729608</v>
      </c>
      <c r="AL15" s="29">
        <f t="shared" ca="1" si="77"/>
        <v>14468.63377118449</v>
      </c>
      <c r="AM15" s="29">
        <f t="shared" ca="1" si="78"/>
        <v>14998.58265292101</v>
      </c>
      <c r="AN15" s="29">
        <f t="shared" ca="1" si="79"/>
        <v>14799.092730114196</v>
      </c>
      <c r="AO15" s="29">
        <f t="shared" ca="1" si="80"/>
        <v>14407.677226446956</v>
      </c>
      <c r="AP15" s="29">
        <f t="shared" ca="1" si="81"/>
        <v>14598.339821167789</v>
      </c>
      <c r="AQ15" s="29">
        <f t="shared" ca="1" si="82"/>
        <v>15118.835750433309</v>
      </c>
      <c r="AR15" s="29">
        <f t="shared" ca="1" si="83"/>
        <v>14661.936278116407</v>
      </c>
      <c r="AS15" s="29">
        <f t="shared" ca="1" si="84"/>
        <v>13132.753948814294</v>
      </c>
      <c r="AT15" s="29">
        <f t="shared" ca="1" si="85"/>
        <v>14580.459669894281</v>
      </c>
      <c r="AU15" s="29">
        <f t="shared" ca="1" si="86"/>
        <v>14342.348617144027</v>
      </c>
      <c r="AV15" s="29">
        <f t="shared" ca="1" si="87"/>
        <v>14601.980101628802</v>
      </c>
      <c r="AW15" s="29">
        <f t="shared" ca="1" si="88"/>
        <v>15317.010785066759</v>
      </c>
      <c r="AX15" s="29">
        <f t="shared" ca="1" si="89"/>
        <v>13809.289593476531</v>
      </c>
      <c r="AY15" s="29">
        <f t="shared" ca="1" si="90"/>
        <v>14070.704786292099</v>
      </c>
      <c r="AZ15" s="29">
        <f t="shared" ca="1" si="91"/>
        <v>14270.808340902158</v>
      </c>
      <c r="BA15" s="29">
        <f t="shared" ca="1" si="92"/>
        <v>14693.02204002239</v>
      </c>
      <c r="BB15" s="29">
        <f t="shared" ca="1" si="93"/>
        <v>13748.4796941569</v>
      </c>
      <c r="BC15" s="29">
        <f t="shared" ca="1" si="94"/>
        <v>13506.261607397846</v>
      </c>
      <c r="BD15" s="29">
        <f t="shared" ca="1" si="95"/>
        <v>14274.866627871415</v>
      </c>
      <c r="BE15" s="29">
        <f t="shared" ca="1" si="96"/>
        <v>14761.489265768794</v>
      </c>
      <c r="BF15" s="29">
        <f t="shared" ca="1" si="97"/>
        <v>15444.258930597814</v>
      </c>
      <c r="BG15" s="29">
        <f t="shared" ca="1" si="98"/>
        <v>13627.704623460293</v>
      </c>
      <c r="BH15" s="29">
        <f t="shared" ca="1" si="99"/>
        <v>14989.151984047889</v>
      </c>
      <c r="BI15" s="29">
        <f t="shared" ca="1" si="100"/>
        <v>14826.807678783171</v>
      </c>
      <c r="BJ15" s="29">
        <f t="shared" ca="1" si="101"/>
        <v>14084.451654507815</v>
      </c>
      <c r="BK15" s="29">
        <f t="shared" ca="1" si="102"/>
        <v>13792.344921991638</v>
      </c>
      <c r="BL15" s="29">
        <f t="shared" ca="1" si="103"/>
        <v>14542.603661198127</v>
      </c>
      <c r="BM15" s="29">
        <f t="shared" ca="1" si="104"/>
        <v>14206.294466024843</v>
      </c>
      <c r="BN15" s="29">
        <f t="shared" ca="1" si="105"/>
        <v>15098.577857816445</v>
      </c>
      <c r="BO15" s="29">
        <f t="shared" ca="1" si="106"/>
        <v>14434.333031889071</v>
      </c>
      <c r="BP15" s="29">
        <f t="shared" ca="1" si="107"/>
        <v>14750.202199021949</v>
      </c>
      <c r="BQ15" s="29">
        <f t="shared" ca="1" si="108"/>
        <v>14794.087939679473</v>
      </c>
      <c r="BR15" s="29">
        <f t="shared" ca="1" si="109"/>
        <v>13423.497713041785</v>
      </c>
      <c r="BS15" s="29">
        <f t="shared" ca="1" si="110"/>
        <v>15042.33147175434</v>
      </c>
      <c r="BT15" s="29">
        <f t="shared" ca="1" si="111"/>
        <v>14175.620632826822</v>
      </c>
      <c r="BU15" s="29">
        <f t="shared" ca="1" si="112"/>
        <v>14035.4427837688</v>
      </c>
      <c r="BV15" s="29">
        <f t="shared" ca="1" si="113"/>
        <v>15223.151439329326</v>
      </c>
      <c r="BW15" s="29">
        <f t="shared" ca="1" si="114"/>
        <v>14588.878324744948</v>
      </c>
      <c r="BX15" s="29">
        <f t="shared" ca="1" si="115"/>
        <v>14955.258198201043</v>
      </c>
      <c r="BY15" s="29">
        <f t="shared" ca="1" si="116"/>
        <v>14858.302336384961</v>
      </c>
      <c r="BZ15" s="29">
        <f t="shared" ca="1" si="117"/>
        <v>13804.040930103789</v>
      </c>
      <c r="CA15" s="29">
        <f t="shared" ca="1" si="118"/>
        <v>14918.543925260685</v>
      </c>
      <c r="CB15" s="29">
        <f t="shared" ca="1" si="119"/>
        <v>15802.945384964025</v>
      </c>
      <c r="CC15" s="29">
        <f t="shared" ca="1" si="120"/>
        <v>13735.725845396273</v>
      </c>
      <c r="CD15" s="29">
        <f t="shared" ca="1" si="121"/>
        <v>14503.383907670406</v>
      </c>
      <c r="CE15" s="29">
        <f t="shared" ca="1" si="122"/>
        <v>15644.157536720541</v>
      </c>
      <c r="CF15" s="29">
        <f t="shared" ca="1" si="123"/>
        <v>14887.88318108396</v>
      </c>
      <c r="CG15" s="29">
        <f t="shared" ca="1" si="124"/>
        <v>14474.066111267088</v>
      </c>
      <c r="CH15" s="29">
        <f t="shared" ca="1" si="125"/>
        <v>15466.494510807843</v>
      </c>
      <c r="CI15" s="29">
        <f t="shared" ca="1" si="126"/>
        <v>14811.052868431572</v>
      </c>
      <c r="CJ15" s="29">
        <f t="shared" ca="1" si="127"/>
        <v>14638.305558052924</v>
      </c>
      <c r="CK15" s="29">
        <f t="shared" ca="1" si="128"/>
        <v>14326.951633230925</v>
      </c>
      <c r="CL15" s="29">
        <f t="shared" ca="1" si="129"/>
        <v>14601.216528250477</v>
      </c>
      <c r="CM15" s="29">
        <f t="shared" ca="1" si="130"/>
        <v>14433.110682285771</v>
      </c>
      <c r="CN15" s="29">
        <f t="shared" ca="1" si="131"/>
        <v>14198.486874554785</v>
      </c>
      <c r="CO15" s="29">
        <f t="shared" ca="1" si="132"/>
        <v>15181.564248409688</v>
      </c>
      <c r="CP15" s="29">
        <f t="shared" ca="1" si="133"/>
        <v>14194.195077039689</v>
      </c>
      <c r="CQ15" s="29">
        <f t="shared" ca="1" si="134"/>
        <v>14079.41395273646</v>
      </c>
      <c r="CR15" s="29">
        <f t="shared" ca="1" si="135"/>
        <v>13927.764240028113</v>
      </c>
      <c r="CS15" s="29">
        <f t="shared" ca="1" si="136"/>
        <v>13552.010652244082</v>
      </c>
      <c r="CT15" s="29">
        <f t="shared" ca="1" si="137"/>
        <v>14595.621236804051</v>
      </c>
      <c r="CU15" s="29">
        <f t="shared" ca="1" si="138"/>
        <v>14121.412872680123</v>
      </c>
      <c r="CV15" s="29">
        <f t="shared" ca="1" si="139"/>
        <v>13672.086890990095</v>
      </c>
      <c r="CW15" s="29">
        <f t="shared" ca="1" si="140"/>
        <v>14236.663585970797</v>
      </c>
      <c r="CX15" s="29">
        <f t="shared" ca="1" si="141"/>
        <v>13680.694334219204</v>
      </c>
      <c r="CY15" s="29">
        <f t="shared" ca="1" si="142"/>
        <v>14885.24654739887</v>
      </c>
      <c r="CZ15" s="29">
        <f t="shared" ca="1" si="143"/>
        <v>13075.787041047239</v>
      </c>
      <c r="DA15" s="29">
        <f t="shared" ca="1" si="144"/>
        <v>14488.075320140209</v>
      </c>
      <c r="DB15" s="29">
        <f t="shared" ca="1" si="145"/>
        <v>15474.951318928037</v>
      </c>
      <c r="DC15" s="29">
        <f t="shared" ca="1" si="146"/>
        <v>15124.951608070103</v>
      </c>
      <c r="DD15" s="29">
        <f t="shared" ca="1" si="147"/>
        <v>13517.589770320203</v>
      </c>
      <c r="DE15" s="29">
        <f t="shared" ca="1" si="148"/>
        <v>14346.411452624003</v>
      </c>
      <c r="DF15" s="29">
        <f t="shared" ca="1" si="149"/>
        <v>14283.119284125254</v>
      </c>
      <c r="DG15" s="29">
        <f t="shared" ca="1" si="150"/>
        <v>14374.102142983453</v>
      </c>
      <c r="DH15" s="29">
        <f t="shared" ca="1" si="151"/>
        <v>13880.088605645658</v>
      </c>
      <c r="DI15" s="29">
        <f t="shared" ca="1" si="152"/>
        <v>14465.489180993536</v>
      </c>
      <c r="DJ15" s="29">
        <f t="shared" ca="1" si="153"/>
        <v>14702.803231578642</v>
      </c>
      <c r="DK15" s="29">
        <f t="shared" ca="1" si="154"/>
        <v>13921.492676123484</v>
      </c>
      <c r="DL15" s="29">
        <f t="shared" ca="1" si="155"/>
        <v>14896.214529383087</v>
      </c>
      <c r="DM15" s="29">
        <f t="shared" ca="1" si="156"/>
        <v>14421.325539750547</v>
      </c>
      <c r="DN15" s="29">
        <f t="shared" ca="1" si="157"/>
        <v>14990.97078092519</v>
      </c>
      <c r="DO15" s="29">
        <f t="shared" ca="1" si="158"/>
        <v>13913.138151516678</v>
      </c>
      <c r="DP15" s="29">
        <f t="shared" ca="1" si="159"/>
        <v>14391.611414603709</v>
      </c>
      <c r="DQ15" s="29">
        <f t="shared" ca="1" si="160"/>
        <v>14920.680339114653</v>
      </c>
      <c r="DR15" s="29">
        <f t="shared" ca="1" si="161"/>
        <v>13031.167512187882</v>
      </c>
      <c r="DS15" s="29">
        <f t="shared" ca="1" si="162"/>
        <v>15095.258874928597</v>
      </c>
      <c r="DT15" s="29">
        <f t="shared" ca="1" si="163"/>
        <v>14134.590238232975</v>
      </c>
      <c r="DU15" s="29">
        <f t="shared" ca="1" si="164"/>
        <v>14239.979566194412</v>
      </c>
      <c r="DV15" s="29">
        <f t="shared" ca="1" si="165"/>
        <v>14181.115135800765</v>
      </c>
      <c r="DW15" s="29">
        <f t="shared" ca="1" si="166"/>
        <v>14609.727586597388</v>
      </c>
      <c r="DX15" s="29">
        <f t="shared" ca="1" si="167"/>
        <v>13838.852993448145</v>
      </c>
      <c r="DY15" s="29">
        <f t="shared" ca="1" si="168"/>
        <v>14266.453213250774</v>
      </c>
      <c r="DZ15" s="29">
        <f t="shared" ca="1" si="169"/>
        <v>14784.061929538753</v>
      </c>
      <c r="EA15" s="29">
        <f t="shared" ca="1" si="170"/>
        <v>13862.691633418021</v>
      </c>
      <c r="EB15" s="29">
        <f t="shared" ca="1" si="171"/>
        <v>13598.737281210557</v>
      </c>
      <c r="EC15" s="29">
        <f t="shared" ca="1" si="172"/>
        <v>14515.561217674276</v>
      </c>
      <c r="ED15" s="29">
        <f t="shared" ca="1" si="173"/>
        <v>15268.522611312401</v>
      </c>
      <c r="EE15" s="29">
        <f t="shared" ca="1" si="174"/>
        <v>14093.153151632156</v>
      </c>
      <c r="EF15" s="29">
        <f t="shared" ca="1" si="175"/>
        <v>15124.46853651241</v>
      </c>
      <c r="EG15" s="29">
        <f t="shared" ca="1" si="176"/>
        <v>14880.634630717876</v>
      </c>
      <c r="EH15" s="29">
        <f t="shared" ca="1" si="177"/>
        <v>13995.665202032924</v>
      </c>
      <c r="EI15" s="29">
        <f t="shared" ca="1" si="178"/>
        <v>14238.726282617692</v>
      </c>
      <c r="EJ15" s="29">
        <f t="shared" ca="1" si="179"/>
        <v>14678.888788155004</v>
      </c>
      <c r="EK15" s="29">
        <f t="shared" ca="1" si="180"/>
        <v>14541.330841722309</v>
      </c>
      <c r="EL15" s="29">
        <f t="shared" ca="1" si="181"/>
        <v>14365.32720812928</v>
      </c>
      <c r="EM15" s="29">
        <f t="shared" ca="1" si="182"/>
        <v>13656.414515737039</v>
      </c>
      <c r="EN15" s="29">
        <f t="shared" ca="1" si="183"/>
        <v>14469.035942737439</v>
      </c>
      <c r="EO15" s="29">
        <f t="shared" ca="1" si="184"/>
        <v>13959.758305948651</v>
      </c>
      <c r="EP15" s="29">
        <f t="shared" ca="1" si="185"/>
        <v>14508.546063936792</v>
      </c>
      <c r="EQ15" s="29">
        <f t="shared" ca="1" si="186"/>
        <v>14908.749551182033</v>
      </c>
      <c r="ER15" s="29">
        <f t="shared" ca="1" si="187"/>
        <v>14018.827269753838</v>
      </c>
      <c r="ES15" s="29">
        <f t="shared" ca="1" si="188"/>
        <v>14484.497355996515</v>
      </c>
      <c r="ET15" s="29">
        <f t="shared" ca="1" si="189"/>
        <v>14342.609983159989</v>
      </c>
      <c r="EU15" s="29">
        <f t="shared" ca="1" si="190"/>
        <v>14320.594848023769</v>
      </c>
      <c r="EV15" s="29">
        <f t="shared" ca="1" si="191"/>
        <v>14705.791627673427</v>
      </c>
      <c r="EW15" s="29">
        <f t="shared" ca="1" si="192"/>
        <v>14335.016446899643</v>
      </c>
      <c r="EX15" s="29">
        <f t="shared" ca="1" si="193"/>
        <v>15200.416516590103</v>
      </c>
      <c r="EY15" s="29">
        <f t="shared" ca="1" si="194"/>
        <v>14141.101038015435</v>
      </c>
      <c r="EZ15" s="29">
        <f t="shared" ca="1" si="195"/>
        <v>14570.686626752562</v>
      </c>
      <c r="FA15" s="29">
        <f t="shared" ca="1" si="196"/>
        <v>14823.979475422992</v>
      </c>
      <c r="FB15" s="29">
        <f t="shared" ca="1" si="197"/>
        <v>15563.27935330889</v>
      </c>
      <c r="FC15" s="29">
        <f t="shared" ca="1" si="198"/>
        <v>15031.074577472364</v>
      </c>
      <c r="FD15" s="29">
        <f t="shared" ca="1" si="199"/>
        <v>14168.484906456413</v>
      </c>
      <c r="FE15" s="29">
        <f t="shared" ca="1" si="200"/>
        <v>14849.021022196119</v>
      </c>
      <c r="FF15" s="29">
        <f t="shared" ca="1" si="201"/>
        <v>14554.787031236456</v>
      </c>
      <c r="FG15" s="29">
        <f t="shared" ca="1" si="202"/>
        <v>13832.19774229577</v>
      </c>
      <c r="FH15" s="29">
        <f t="shared" ca="1" si="203"/>
        <v>13883.295173803697</v>
      </c>
      <c r="FI15" s="29">
        <f t="shared" ca="1" si="204"/>
        <v>14203.803336857269</v>
      </c>
      <c r="FJ15" s="29">
        <f t="shared" ca="1" si="205"/>
        <v>14405.123772674611</v>
      </c>
      <c r="FK15" s="29">
        <f t="shared" ca="1" si="206"/>
        <v>14794.831912769443</v>
      </c>
      <c r="FL15" s="29">
        <f t="shared" ca="1" si="207"/>
        <v>13922.940520709595</v>
      </c>
      <c r="FM15" s="29">
        <f t="shared" ca="1" si="208"/>
        <v>14530.428826485031</v>
      </c>
      <c r="FN15" s="29">
        <f t="shared" ca="1" si="209"/>
        <v>13531.674309901504</v>
      </c>
      <c r="FO15" s="29">
        <f t="shared" ca="1" si="210"/>
        <v>14082.931496357616</v>
      </c>
      <c r="FP15" s="29">
        <f t="shared" ca="1" si="211"/>
        <v>13452.640826650886</v>
      </c>
      <c r="FQ15" s="29">
        <f t="shared" ca="1" si="212"/>
        <v>14324.113821896086</v>
      </c>
      <c r="FR15" s="29">
        <f t="shared" ca="1" si="213"/>
        <v>14600.327489596993</v>
      </c>
      <c r="FS15" s="29">
        <f t="shared" ca="1" si="214"/>
        <v>15273.226373803169</v>
      </c>
      <c r="FT15" s="29">
        <f t="shared" ca="1" si="215"/>
        <v>14495.298745350208</v>
      </c>
      <c r="FU15" s="29">
        <f t="shared" ca="1" si="216"/>
        <v>14219.01479582259</v>
      </c>
      <c r="FV15" s="29">
        <f t="shared" ca="1" si="217"/>
        <v>14471.477878770202</v>
      </c>
      <c r="FW15" s="29">
        <f t="shared" ca="1" si="218"/>
        <v>14513.324816809716</v>
      </c>
      <c r="FX15" s="29">
        <f t="shared" ca="1" si="219"/>
        <v>15317.412873832049</v>
      </c>
      <c r="FY15" s="29">
        <f t="shared" ca="1" si="220"/>
        <v>14340.977826344411</v>
      </c>
      <c r="FZ15" s="29">
        <f t="shared" ca="1" si="221"/>
        <v>13405.656038316904</v>
      </c>
      <c r="GA15" s="29">
        <f t="shared" ca="1" si="222"/>
        <v>14283.13807915641</v>
      </c>
      <c r="GB15" s="29">
        <f t="shared" ca="1" si="223"/>
        <v>15558.676294174616</v>
      </c>
      <c r="GC15" s="29">
        <f t="shared" ca="1" si="224"/>
        <v>15079.022971102979</v>
      </c>
      <c r="GD15" s="29">
        <f t="shared" ca="1" si="225"/>
        <v>14857.664462811535</v>
      </c>
      <c r="GE15" s="29">
        <f t="shared" ca="1" si="226"/>
        <v>14153.649807051213</v>
      </c>
      <c r="GF15" s="29">
        <f t="shared" ca="1" si="227"/>
        <v>14530.611104029462</v>
      </c>
      <c r="GG15" s="29">
        <f t="shared" ca="1" si="228"/>
        <v>14409.07380591871</v>
      </c>
      <c r="GH15" s="29">
        <f t="shared" ca="1" si="229"/>
        <v>14113.322112466991</v>
      </c>
      <c r="GI15" s="29">
        <f t="shared" ca="1" si="230"/>
        <v>14070.20539153087</v>
      </c>
      <c r="GJ15" s="29">
        <f t="shared" ca="1" si="231"/>
        <v>14005.098529281535</v>
      </c>
      <c r="GK15" s="29">
        <f t="shared" ca="1" si="232"/>
        <v>14102.593323550966</v>
      </c>
      <c r="GL15" s="29">
        <f t="shared" ca="1" si="233"/>
        <v>13951.24609959231</v>
      </c>
      <c r="GM15" s="29">
        <f t="shared" ca="1" si="234"/>
        <v>14045.273460006181</v>
      </c>
      <c r="GN15" s="29">
        <f t="shared" ca="1" si="235"/>
        <v>13674.631294520399</v>
      </c>
      <c r="GO15" s="29">
        <f t="shared" ca="1" si="236"/>
        <v>13972.98490228654</v>
      </c>
      <c r="GP15" s="29">
        <f t="shared" ca="1" si="237"/>
        <v>15459.404885548576</v>
      </c>
      <c r="GQ15" s="29">
        <f t="shared" ca="1" si="238"/>
        <v>14508.622987558549</v>
      </c>
      <c r="GR15" s="29">
        <f t="shared" ca="1" si="239"/>
        <v>13972.982261503041</v>
      </c>
      <c r="GS15" s="29">
        <f t="shared" ca="1" si="240"/>
        <v>14495.61469235963</v>
      </c>
      <c r="GT15" s="29">
        <f t="shared" ca="1" si="241"/>
        <v>13868.996555465934</v>
      </c>
      <c r="GU15" s="29">
        <f t="shared" ca="1" si="242"/>
        <v>13765.515343409188</v>
      </c>
      <c r="GV15" s="29">
        <f t="shared" ca="1" si="243"/>
        <v>14724.389232324091</v>
      </c>
      <c r="GW15" s="29">
        <f t="shared" ca="1" si="244"/>
        <v>14144.712474513666</v>
      </c>
      <c r="GX15" s="29">
        <f t="shared" ca="1" si="245"/>
        <v>13755.511920609297</v>
      </c>
      <c r="GY15" s="29">
        <f t="shared" ca="1" si="246"/>
        <v>14691.122817139327</v>
      </c>
      <c r="GZ15" s="29">
        <f t="shared" ca="1" si="247"/>
        <v>14764.083902271859</v>
      </c>
      <c r="HA15" s="29">
        <f t="shared" ca="1" si="248"/>
        <v>15398.510213078269</v>
      </c>
      <c r="HB15" s="29">
        <f t="shared" ca="1" si="249"/>
        <v>14127.439723133093</v>
      </c>
      <c r="HC15" s="29">
        <f t="shared" ca="1" si="250"/>
        <v>14635.80736828143</v>
      </c>
      <c r="HD15" s="29">
        <f t="shared" ca="1" si="251"/>
        <v>13594.912958045879</v>
      </c>
      <c r="HE15" s="29">
        <f t="shared" ca="1" si="252"/>
        <v>15266.463712479535</v>
      </c>
      <c r="HF15" s="29">
        <f t="shared" ca="1" si="253"/>
        <v>14037.487367902047</v>
      </c>
      <c r="HG15" s="29">
        <f t="shared" ca="1" si="254"/>
        <v>14007.908606890196</v>
      </c>
      <c r="HH15" s="29">
        <f t="shared" ca="1" si="255"/>
        <v>13350.142487846315</v>
      </c>
      <c r="HI15" s="29">
        <f t="shared" ca="1" si="256"/>
        <v>13973.843977887671</v>
      </c>
      <c r="HJ15" s="29">
        <f t="shared" ca="1" si="257"/>
        <v>14156.13623465817</v>
      </c>
      <c r="HK15" s="29">
        <f t="shared" ca="1" si="258"/>
        <v>15269.547486630865</v>
      </c>
      <c r="HL15" s="29">
        <f t="shared" ca="1" si="259"/>
        <v>15109.834551907539</v>
      </c>
      <c r="HM15" s="29">
        <f t="shared" ca="1" si="260"/>
        <v>14095.129150260587</v>
      </c>
      <c r="HN15" s="29">
        <f t="shared" ca="1" si="261"/>
        <v>13935.049953108215</v>
      </c>
      <c r="HO15" s="29">
        <f t="shared" ca="1" si="262"/>
        <v>15230.562438399407</v>
      </c>
      <c r="HP15" s="29">
        <f t="shared" ca="1" si="263"/>
        <v>13344.793740755027</v>
      </c>
      <c r="HQ15" s="29">
        <f t="shared" ca="1" si="264"/>
        <v>14716.970767203555</v>
      </c>
      <c r="HR15" s="29">
        <f t="shared" ca="1" si="265"/>
        <v>14915.744914819812</v>
      </c>
      <c r="HS15" s="29">
        <f t="shared" ca="1" si="266"/>
        <v>14865.273189950911</v>
      </c>
      <c r="HT15" s="29">
        <f t="shared" ca="1" si="267"/>
        <v>14614.821883492199</v>
      </c>
      <c r="HU15" s="29">
        <f t="shared" ca="1" si="268"/>
        <v>14713.107629868296</v>
      </c>
      <c r="HV15" s="29">
        <f t="shared" ca="1" si="269"/>
        <v>14408.362339312296</v>
      </c>
      <c r="HW15" s="29">
        <f t="shared" ca="1" si="270"/>
        <v>14723.724631050069</v>
      </c>
      <c r="HX15" s="29">
        <f t="shared" ca="1" si="271"/>
        <v>14709.543861389762</v>
      </c>
      <c r="HY15" s="29">
        <f t="shared" ca="1" si="272"/>
        <v>14533.143504771209</v>
      </c>
      <c r="HZ15" s="29">
        <f t="shared" ca="1" si="273"/>
        <v>14140.970239507971</v>
      </c>
      <c r="IA15" s="29">
        <f t="shared" ca="1" si="274"/>
        <v>15176.478071764486</v>
      </c>
      <c r="IB15" s="29">
        <f t="shared" ca="1" si="275"/>
        <v>15152.946636218292</v>
      </c>
      <c r="IC15" s="29">
        <f t="shared" ca="1" si="276"/>
        <v>13585.575656997868</v>
      </c>
      <c r="ID15" s="29">
        <f t="shared" ca="1" si="277"/>
        <v>14765.169890924066</v>
      </c>
      <c r="IE15" s="29">
        <f t="shared" ca="1" si="278"/>
        <v>12829.374188018521</v>
      </c>
      <c r="IF15" s="29">
        <f t="shared" ca="1" si="279"/>
        <v>14754.618867216916</v>
      </c>
      <c r="IG15" s="29">
        <f t="shared" ca="1" si="280"/>
        <v>13938.991447459739</v>
      </c>
      <c r="IH15" s="29">
        <f t="shared" ca="1" si="281"/>
        <v>14184.098397749174</v>
      </c>
      <c r="II15" s="29">
        <f t="shared" ca="1" si="282"/>
        <v>14757.451688410445</v>
      </c>
      <c r="IJ15" s="29">
        <f t="shared" ca="1" si="283"/>
        <v>14425.996242442507</v>
      </c>
      <c r="IK15" s="29">
        <f t="shared" ca="1" si="284"/>
        <v>14297.779666785311</v>
      </c>
      <c r="IL15" s="29">
        <f t="shared" ca="1" si="285"/>
        <v>14864.327755035001</v>
      </c>
      <c r="IM15" s="29">
        <f t="shared" ca="1" si="286"/>
        <v>14039.561516895717</v>
      </c>
      <c r="IN15" s="29">
        <f t="shared" ca="1" si="287"/>
        <v>15451.383985994944</v>
      </c>
      <c r="IO15" s="29">
        <f t="shared" ca="1" si="288"/>
        <v>14819.801021774305</v>
      </c>
      <c r="IP15" s="29">
        <f t="shared" ca="1" si="289"/>
        <v>14762.99043019865</v>
      </c>
      <c r="IQ15" s="29">
        <f t="shared" ca="1" si="290"/>
        <v>13524.602959642254</v>
      </c>
      <c r="IR15" s="29">
        <f t="shared" ca="1" si="291"/>
        <v>14872.692380966961</v>
      </c>
      <c r="IS15" s="29">
        <f t="shared" ca="1" si="292"/>
        <v>13075.824306577455</v>
      </c>
      <c r="IT15" s="29">
        <f t="shared" ca="1" si="293"/>
        <v>15887.539207106647</v>
      </c>
      <c r="IU15" s="29">
        <f t="shared" ca="1" si="294"/>
        <v>15841.155822292862</v>
      </c>
      <c r="IV15" s="29">
        <f t="shared" ca="1" si="295"/>
        <v>14411.359253425106</v>
      </c>
      <c r="IW15" s="29">
        <f t="shared" ca="1" si="296"/>
        <v>14815.247391968205</v>
      </c>
      <c r="IX15" s="29">
        <f t="shared" ca="1" si="297"/>
        <v>15458.241342305248</v>
      </c>
      <c r="IY15" s="29">
        <f t="shared" ca="1" si="298"/>
        <v>13375.118560513907</v>
      </c>
      <c r="IZ15" s="29">
        <f t="shared" ca="1" si="299"/>
        <v>13581.868056207049</v>
      </c>
      <c r="JA15" s="29">
        <f t="shared" ca="1" si="300"/>
        <v>13520.457892185528</v>
      </c>
      <c r="JB15" s="29">
        <f t="shared" ca="1" si="301"/>
        <v>14145.326043864588</v>
      </c>
      <c r="JC15" s="29">
        <f t="shared" ca="1" si="302"/>
        <v>14426.926957141686</v>
      </c>
      <c r="JD15" s="29">
        <f t="shared" ca="1" si="303"/>
        <v>14009.977717291984</v>
      </c>
      <c r="JE15" s="29">
        <f t="shared" ca="1" si="304"/>
        <v>13526.84165858185</v>
      </c>
      <c r="JF15" s="29">
        <f t="shared" ca="1" si="305"/>
        <v>14078.152181242132</v>
      </c>
      <c r="JG15" s="29">
        <f t="shared" ca="1" si="306"/>
        <v>13708.214277753468</v>
      </c>
      <c r="JH15" s="29">
        <f t="shared" ca="1" si="307"/>
        <v>14876.945512011667</v>
      </c>
      <c r="JI15" s="29">
        <f t="shared" ca="1" si="308"/>
        <v>13965.414177590364</v>
      </c>
      <c r="JJ15" s="29">
        <f t="shared" ca="1" si="309"/>
        <v>14157.899192066474</v>
      </c>
      <c r="JK15" s="29">
        <f t="shared" ca="1" si="310"/>
        <v>14144.560766746523</v>
      </c>
      <c r="JL15" s="29">
        <f t="shared" ca="1" si="311"/>
        <v>14092.0206253982</v>
      </c>
      <c r="JM15" s="29">
        <f t="shared" ca="1" si="312"/>
        <v>13559.284264405946</v>
      </c>
      <c r="JN15" s="29">
        <f t="shared" ca="1" si="313"/>
        <v>14946.410787640418</v>
      </c>
      <c r="JO15" s="29">
        <f t="shared" ca="1" si="314"/>
        <v>14836.631318827771</v>
      </c>
      <c r="JP15" s="29">
        <f t="shared" ca="1" si="315"/>
        <v>15126.131419424084</v>
      </c>
      <c r="JQ15" s="29">
        <f t="shared" ca="1" si="316"/>
        <v>14438.808603891619</v>
      </c>
      <c r="JR15" s="29">
        <f t="shared" ca="1" si="317"/>
        <v>14810.848107103478</v>
      </c>
      <c r="JS15" s="29">
        <f t="shared" ca="1" si="318"/>
        <v>14874.844411386675</v>
      </c>
      <c r="JT15" s="29">
        <f t="shared" ca="1" si="319"/>
        <v>14539.828881945356</v>
      </c>
      <c r="JU15" s="29">
        <f t="shared" ca="1" si="320"/>
        <v>14445.778442443905</v>
      </c>
      <c r="JV15" s="29">
        <f t="shared" ca="1" si="321"/>
        <v>14726.059661883392</v>
      </c>
      <c r="JW15" s="29">
        <f t="shared" ca="1" si="322"/>
        <v>14671.508215219194</v>
      </c>
      <c r="JX15" s="29">
        <f t="shared" ca="1" si="323"/>
        <v>14389.654996618348</v>
      </c>
      <c r="JY15" s="29">
        <f t="shared" ca="1" si="324"/>
        <v>14364.280946274683</v>
      </c>
      <c r="JZ15" s="29">
        <f t="shared" ca="1" si="325"/>
        <v>14863.732306267601</v>
      </c>
      <c r="KA15" s="29">
        <f t="shared" ca="1" si="326"/>
        <v>14396.001597029732</v>
      </c>
      <c r="KB15" s="29">
        <f t="shared" ca="1" si="327"/>
        <v>13503.328553736548</v>
      </c>
      <c r="KC15" s="29">
        <f t="shared" ca="1" si="328"/>
        <v>14201.022476246369</v>
      </c>
      <c r="KD15" s="29">
        <f t="shared" ca="1" si="329"/>
        <v>13940.799772257596</v>
      </c>
      <c r="KE15" s="29">
        <f t="shared" ca="1" si="330"/>
        <v>15858.261749625601</v>
      </c>
      <c r="KF15" s="29">
        <f t="shared" ca="1" si="331"/>
        <v>14516.86483414555</v>
      </c>
      <c r="KG15" s="29">
        <f t="shared" ca="1" si="332"/>
        <v>14117.273927745639</v>
      </c>
      <c r="KH15" s="29">
        <f t="shared" ca="1" si="333"/>
        <v>14748.021277003427</v>
      </c>
      <c r="KI15" s="29">
        <f t="shared" ca="1" si="334"/>
        <v>13789.717284335404</v>
      </c>
      <c r="KJ15" s="29">
        <f t="shared" ca="1" si="335"/>
        <v>14845.897902990097</v>
      </c>
      <c r="KK15" s="29">
        <f t="shared" ca="1" si="336"/>
        <v>13904.603286671094</v>
      </c>
      <c r="KL15" s="29">
        <f t="shared" ca="1" si="337"/>
        <v>14343.087123773103</v>
      </c>
      <c r="KM15" s="29">
        <f t="shared" ca="1" si="338"/>
        <v>15589.357445454434</v>
      </c>
      <c r="KN15" s="29">
        <f t="shared" ca="1" si="339"/>
        <v>14262.887126033769</v>
      </c>
      <c r="KO15" s="29">
        <f t="shared" ca="1" si="340"/>
        <v>14451.064567197243</v>
      </c>
      <c r="KP15" s="29">
        <f t="shared" ca="1" si="341"/>
        <v>14232.252469758358</v>
      </c>
      <c r="KQ15" s="29">
        <f t="shared" ca="1" si="342"/>
        <v>14103.054864251904</v>
      </c>
      <c r="KR15" s="29">
        <f t="shared" ca="1" si="343"/>
        <v>14185.865548698854</v>
      </c>
      <c r="KS15" s="29">
        <f t="shared" ca="1" si="344"/>
        <v>13618.34322688975</v>
      </c>
      <c r="KT15" s="29">
        <f t="shared" ca="1" si="345"/>
        <v>14684.696088473409</v>
      </c>
      <c r="KU15" s="29">
        <f t="shared" ca="1" si="346"/>
        <v>13770.54375767521</v>
      </c>
      <c r="KV15" s="29">
        <f t="shared" ca="1" si="347"/>
        <v>13667.046678185776</v>
      </c>
      <c r="KW15" s="29">
        <f t="shared" ca="1" si="348"/>
        <v>14524.13177669483</v>
      </c>
      <c r="KX15" s="29">
        <f t="shared" ca="1" si="349"/>
        <v>13349.509182987053</v>
      </c>
      <c r="KY15" s="29">
        <f t="shared" ca="1" si="350"/>
        <v>14777.85135977909</v>
      </c>
      <c r="KZ15" s="29">
        <f t="shared" ca="1" si="351"/>
        <v>14729.856540309414</v>
      </c>
      <c r="LA15" s="29">
        <f t="shared" ca="1" si="352"/>
        <v>15185.862611705637</v>
      </c>
      <c r="LB15" s="29">
        <f t="shared" ca="1" si="353"/>
        <v>14162.5170148609</v>
      </c>
      <c r="LC15" s="29">
        <f t="shared" ca="1" si="354"/>
        <v>13948.549589308484</v>
      </c>
      <c r="LD15" s="29">
        <f t="shared" ca="1" si="355"/>
        <v>13444.832647557454</v>
      </c>
      <c r="LE15" s="29">
        <f t="shared" ca="1" si="356"/>
        <v>13870.160961824304</v>
      </c>
      <c r="LF15" s="29">
        <f t="shared" ca="1" si="357"/>
        <v>14010.842048591256</v>
      </c>
      <c r="LG15" s="29">
        <f t="shared" ca="1" si="358"/>
        <v>14377.245195903373</v>
      </c>
      <c r="LH15" s="29">
        <f t="shared" ca="1" si="359"/>
        <v>13466.355672228323</v>
      </c>
      <c r="LI15" s="29">
        <f t="shared" ca="1" si="360"/>
        <v>14083.5684837644</v>
      </c>
      <c r="LJ15" s="29">
        <f t="shared" ca="1" si="361"/>
        <v>14221.336160617757</v>
      </c>
      <c r="LK15" s="29">
        <f t="shared" ca="1" si="362"/>
        <v>14113.616323026137</v>
      </c>
      <c r="LL15" s="29">
        <f t="shared" ca="1" si="363"/>
        <v>14238.358992882846</v>
      </c>
      <c r="LM15" s="29">
        <f t="shared" ca="1" si="364"/>
        <v>14696.260224751284</v>
      </c>
      <c r="LN15" s="29">
        <f t="shared" ca="1" si="365"/>
        <v>14545.14866512664</v>
      </c>
      <c r="LO15" s="29">
        <f t="shared" ca="1" si="366"/>
        <v>14153.040655535497</v>
      </c>
      <c r="LP15" s="29">
        <f t="shared" ca="1" si="367"/>
        <v>14310.708266379672</v>
      </c>
      <c r="LQ15" s="29">
        <f t="shared" ca="1" si="368"/>
        <v>15595.083126124528</v>
      </c>
      <c r="LR15" s="29">
        <f t="shared" ca="1" si="369"/>
        <v>14117.507426030255</v>
      </c>
      <c r="LS15" s="29">
        <f t="shared" ca="1" si="370"/>
        <v>14296.949563770078</v>
      </c>
      <c r="LT15" s="29">
        <f t="shared" ca="1" si="371"/>
        <v>14137.22620980962</v>
      </c>
      <c r="LU15" s="29">
        <f t="shared" ca="1" si="372"/>
        <v>14671.284493984182</v>
      </c>
      <c r="LV15" s="29">
        <f t="shared" ca="1" si="373"/>
        <v>14200.442406964252</v>
      </c>
      <c r="LW15" s="29">
        <f t="shared" ca="1" si="374"/>
        <v>14268.062801806638</v>
      </c>
      <c r="LX15" s="29">
        <f t="shared" ca="1" si="375"/>
        <v>14394.571224751897</v>
      </c>
      <c r="LY15" s="29">
        <f t="shared" ca="1" si="376"/>
        <v>15119.331172668037</v>
      </c>
      <c r="LZ15" s="29">
        <f t="shared" ca="1" si="377"/>
        <v>14927.324512607911</v>
      </c>
      <c r="MA15" s="29">
        <f t="shared" ca="1" si="378"/>
        <v>14145.520094587268</v>
      </c>
      <c r="MB15" s="29">
        <f t="shared" ca="1" si="379"/>
        <v>14138.614231357727</v>
      </c>
      <c r="MC15" s="29">
        <f t="shared" ca="1" si="380"/>
        <v>14787.966701770969</v>
      </c>
      <c r="MD15" s="29">
        <f t="shared" ca="1" si="381"/>
        <v>15052.823615686917</v>
      </c>
      <c r="ME15" s="29">
        <f t="shared" ca="1" si="382"/>
        <v>13116.013323119892</v>
      </c>
      <c r="MF15" s="29">
        <f t="shared" ca="1" si="383"/>
        <v>14397.695492708624</v>
      </c>
      <c r="MG15" s="29">
        <f t="shared" ca="1" si="384"/>
        <v>14211.076233029989</v>
      </c>
      <c r="MH15" s="29">
        <f t="shared" ca="1" si="385"/>
        <v>14385.948406580555</v>
      </c>
      <c r="MI15" s="29">
        <f t="shared" ca="1" si="386"/>
        <v>15154.693876452253</v>
      </c>
      <c r="MJ15" s="29">
        <f t="shared" ca="1" si="387"/>
        <v>15242.167084925586</v>
      </c>
      <c r="MK15" s="29">
        <f t="shared" ca="1" si="388"/>
        <v>14507.974127183379</v>
      </c>
      <c r="ML15" s="29">
        <f t="shared" ca="1" si="389"/>
        <v>15764.2369140388</v>
      </c>
      <c r="MM15" s="29">
        <f t="shared" ca="1" si="390"/>
        <v>15528.98743830515</v>
      </c>
      <c r="MN15" s="29">
        <f t="shared" ca="1" si="391"/>
        <v>14611.215451632843</v>
      </c>
      <c r="MO15" s="29">
        <f t="shared" ca="1" si="392"/>
        <v>13843.655693220786</v>
      </c>
      <c r="MP15" s="29">
        <f t="shared" ca="1" si="393"/>
        <v>14306.900108736703</v>
      </c>
      <c r="MQ15" s="29">
        <f t="shared" ca="1" si="394"/>
        <v>14763.633264952043</v>
      </c>
      <c r="MR15" s="29">
        <f t="shared" ca="1" si="395"/>
        <v>14325.372724898378</v>
      </c>
      <c r="MS15" s="29">
        <f t="shared" ca="1" si="396"/>
        <v>12992.285427250517</v>
      </c>
      <c r="MT15" s="29">
        <f t="shared" ca="1" si="397"/>
        <v>14586.376635081864</v>
      </c>
      <c r="MU15" s="29">
        <f t="shared" ca="1" si="398"/>
        <v>14218.08538869784</v>
      </c>
      <c r="MV15" s="29">
        <f t="shared" ca="1" si="399"/>
        <v>13781.833282349147</v>
      </c>
      <c r="MW15" s="29">
        <f t="shared" ca="1" si="400"/>
        <v>14482.150394076263</v>
      </c>
      <c r="MX15" s="29">
        <f t="shared" ca="1" si="401"/>
        <v>14599.61892239404</v>
      </c>
      <c r="MY15" s="29">
        <f t="shared" ca="1" si="402"/>
        <v>14636.262674014484</v>
      </c>
      <c r="MZ15" s="29">
        <f t="shared" ca="1" si="403"/>
        <v>15261.522177018967</v>
      </c>
      <c r="NA15" s="29">
        <f t="shared" ca="1" si="404"/>
        <v>14056.579365826934</v>
      </c>
      <c r="NB15" s="29">
        <f t="shared" ca="1" si="405"/>
        <v>15383.743589924938</v>
      </c>
      <c r="NC15" s="29">
        <f t="shared" ca="1" si="406"/>
        <v>14411.9710881348</v>
      </c>
      <c r="ND15" s="29">
        <f t="shared" ca="1" si="407"/>
        <v>13960.528998106607</v>
      </c>
      <c r="NE15" s="29">
        <f t="shared" ca="1" si="408"/>
        <v>14797.775333836555</v>
      </c>
      <c r="NF15" s="29">
        <f t="shared" ca="1" si="409"/>
        <v>14623.558287481144</v>
      </c>
      <c r="NG15" s="29">
        <f t="shared" ca="1" si="410"/>
        <v>13655.20364645171</v>
      </c>
      <c r="NH15" s="29">
        <f t="shared" ca="1" si="411"/>
        <v>14251.931043044138</v>
      </c>
      <c r="NI15" s="29">
        <f t="shared" ca="1" si="412"/>
        <v>14959.871084767137</v>
      </c>
      <c r="NJ15" s="29">
        <f t="shared" ca="1" si="413"/>
        <v>14831.321207050903</v>
      </c>
      <c r="NK15" s="29">
        <f t="shared" ca="1" si="414"/>
        <v>15156.312821850115</v>
      </c>
      <c r="NL15" s="29">
        <f t="shared" ca="1" si="415"/>
        <v>13937.960793282369</v>
      </c>
      <c r="NM15" s="29">
        <f t="shared" ca="1" si="416"/>
        <v>14861.771782695712</v>
      </c>
      <c r="NN15" s="29">
        <f t="shared" ca="1" si="417"/>
        <v>14250.561858438581</v>
      </c>
      <c r="NO15" s="29">
        <f t="shared" ca="1" si="418"/>
        <v>14530.101373079817</v>
      </c>
      <c r="NP15" s="29">
        <f t="shared" ca="1" si="419"/>
        <v>13533.187018020868</v>
      </c>
      <c r="NQ15" s="29">
        <f t="shared" ca="1" si="420"/>
        <v>15135.562432473818</v>
      </c>
      <c r="NR15" s="29">
        <f t="shared" ca="1" si="421"/>
        <v>14810.76019613282</v>
      </c>
      <c r="NS15" s="29">
        <f t="shared" ca="1" si="422"/>
        <v>14095.069940423356</v>
      </c>
      <c r="NT15" s="29">
        <f t="shared" ca="1" si="423"/>
        <v>14597.443199459129</v>
      </c>
      <c r="NU15" s="29">
        <f t="shared" ca="1" si="424"/>
        <v>14154.009158317915</v>
      </c>
      <c r="NV15" s="29">
        <f t="shared" ca="1" si="425"/>
        <v>13863.878844453367</v>
      </c>
      <c r="NW15" s="29">
        <f t="shared" ca="1" si="426"/>
        <v>14140.672463105062</v>
      </c>
      <c r="NX15" s="29">
        <f t="shared" ca="1" si="427"/>
        <v>14906.221130514883</v>
      </c>
      <c r="NY15" s="29">
        <f t="shared" ca="1" si="428"/>
        <v>15135.295421111923</v>
      </c>
      <c r="NZ15" s="29">
        <f t="shared" ca="1" si="429"/>
        <v>14174.381229501685</v>
      </c>
      <c r="OA15" s="29">
        <f t="shared" ca="1" si="430"/>
        <v>14483.148931878881</v>
      </c>
      <c r="OB15" s="29">
        <f t="shared" ca="1" si="431"/>
        <v>15089.526584861174</v>
      </c>
      <c r="OC15" s="29">
        <f t="shared" ca="1" si="432"/>
        <v>14220.586929377419</v>
      </c>
      <c r="OD15" s="29">
        <f t="shared" ca="1" si="433"/>
        <v>14560.80515997486</v>
      </c>
      <c r="OE15" s="29">
        <f t="shared" ca="1" si="434"/>
        <v>15333.704744128996</v>
      </c>
      <c r="OF15" s="29">
        <f t="shared" ca="1" si="435"/>
        <v>14390.030716936184</v>
      </c>
      <c r="OG15" s="29">
        <f t="shared" ca="1" si="436"/>
        <v>14965.270250145581</v>
      </c>
      <c r="OH15" s="29">
        <f t="shared" ca="1" si="437"/>
        <v>15004.909690121987</v>
      </c>
      <c r="OI15" s="29">
        <f t="shared" ca="1" si="438"/>
        <v>14387.36971714569</v>
      </c>
      <c r="OJ15" s="29">
        <f t="shared" ca="1" si="439"/>
        <v>14722.639497722437</v>
      </c>
      <c r="OK15" s="29">
        <f t="shared" ca="1" si="440"/>
        <v>13574.749326930569</v>
      </c>
      <c r="OL15" s="29">
        <f t="shared" ca="1" si="441"/>
        <v>14509.782626059876</v>
      </c>
      <c r="OM15" s="29">
        <f t="shared" ca="1" si="442"/>
        <v>13868.006484449923</v>
      </c>
      <c r="ON15" s="29">
        <f t="shared" ca="1" si="443"/>
        <v>15222.924954799057</v>
      </c>
      <c r="OO15" s="29">
        <f t="shared" ca="1" si="444"/>
        <v>14047.574586062556</v>
      </c>
      <c r="OP15" s="29">
        <f t="shared" ca="1" si="445"/>
        <v>15358.6365420977</v>
      </c>
      <c r="OQ15" s="29">
        <f t="shared" ca="1" si="446"/>
        <v>14115.316609077296</v>
      </c>
      <c r="OR15" s="29">
        <f t="shared" ca="1" si="447"/>
        <v>13895.35619137685</v>
      </c>
      <c r="OS15" s="29">
        <f t="shared" ca="1" si="448"/>
        <v>13487.024153920695</v>
      </c>
      <c r="OT15" s="29">
        <f t="shared" ca="1" si="449"/>
        <v>14544.473580702916</v>
      </c>
      <c r="OU15" s="29">
        <f t="shared" ca="1" si="450"/>
        <v>14265.530187469814</v>
      </c>
      <c r="OV15" s="29">
        <f t="shared" ca="1" si="451"/>
        <v>15662.832554489965</v>
      </c>
      <c r="OW15" s="29">
        <f t="shared" ca="1" si="452"/>
        <v>14392.564199555387</v>
      </c>
      <c r="OX15" s="29">
        <f t="shared" ca="1" si="453"/>
        <v>15163.930196084964</v>
      </c>
      <c r="OY15" s="29">
        <f t="shared" ca="1" si="454"/>
        <v>14575.514943947912</v>
      </c>
      <c r="OZ15" s="29">
        <f t="shared" ca="1" si="455"/>
        <v>13520.70888270493</v>
      </c>
      <c r="PA15" s="29">
        <f t="shared" ca="1" si="456"/>
        <v>14435.351229109254</v>
      </c>
      <c r="PB15" s="29">
        <f t="shared" ca="1" si="457"/>
        <v>13606.481125325619</v>
      </c>
      <c r="PC15" s="29">
        <f t="shared" ca="1" si="458"/>
        <v>14377.184679937927</v>
      </c>
      <c r="PD15" s="29">
        <f t="shared" ca="1" si="459"/>
        <v>14882.703345300533</v>
      </c>
      <c r="PE15" s="29">
        <f t="shared" ca="1" si="460"/>
        <v>14563.967714629429</v>
      </c>
      <c r="PF15" s="29">
        <f t="shared" ca="1" si="461"/>
        <v>14146.593911436546</v>
      </c>
      <c r="PG15" s="29">
        <f t="shared" ca="1" si="462"/>
        <v>14616.457031890428</v>
      </c>
      <c r="PH15" s="29">
        <f t="shared" ca="1" si="463"/>
        <v>14605.832599080717</v>
      </c>
      <c r="PI15" s="29">
        <f t="shared" ca="1" si="464"/>
        <v>13337.057128079719</v>
      </c>
      <c r="PJ15" s="29">
        <f t="shared" ca="1" si="465"/>
        <v>14752.162650727922</v>
      </c>
      <c r="PK15" s="29">
        <f t="shared" ca="1" si="466"/>
        <v>13864.179833988477</v>
      </c>
      <c r="PL15" s="29">
        <f t="shared" ca="1" si="467"/>
        <v>13530.951492415381</v>
      </c>
      <c r="PM15" s="29">
        <f t="shared" ca="1" si="468"/>
        <v>14101.684997717899</v>
      </c>
      <c r="PN15" s="29">
        <f t="shared" ca="1" si="469"/>
        <v>14001.540216822339</v>
      </c>
      <c r="PO15" s="29">
        <f t="shared" ca="1" si="470"/>
        <v>15087.240676029705</v>
      </c>
      <c r="PP15" s="29">
        <f t="shared" ca="1" si="471"/>
        <v>14296.147615823915</v>
      </c>
      <c r="PQ15" s="29">
        <f t="shared" ca="1" si="472"/>
        <v>14873.301387475472</v>
      </c>
      <c r="PR15" s="29">
        <f t="shared" ca="1" si="473"/>
        <v>14033.489910282371</v>
      </c>
      <c r="PS15" s="29">
        <f t="shared" ca="1" si="474"/>
        <v>14801.732624278055</v>
      </c>
      <c r="PT15" s="29">
        <f t="shared" ca="1" si="475"/>
        <v>14711.127217748541</v>
      </c>
      <c r="PU15" s="29">
        <f t="shared" ca="1" si="476"/>
        <v>14391.906623503197</v>
      </c>
      <c r="PV15" s="29">
        <f t="shared" ca="1" si="477"/>
        <v>14977.951333073164</v>
      </c>
      <c r="PW15" s="29">
        <f t="shared" ca="1" si="478"/>
        <v>14115.429750600144</v>
      </c>
      <c r="PX15" s="29">
        <f t="shared" ca="1" si="479"/>
        <v>14363.836537232599</v>
      </c>
      <c r="PY15" s="29">
        <f t="shared" ca="1" si="480"/>
        <v>14386.679229587155</v>
      </c>
      <c r="PZ15" s="29">
        <f t="shared" ca="1" si="481"/>
        <v>12731.163311800301</v>
      </c>
      <c r="QA15" s="29">
        <f t="shared" ca="1" si="482"/>
        <v>15409.412188655462</v>
      </c>
      <c r="QB15" s="29">
        <f t="shared" ca="1" si="483"/>
        <v>14311.40526687676</v>
      </c>
      <c r="QC15" s="29">
        <f t="shared" ca="1" si="484"/>
        <v>13894.386690753963</v>
      </c>
      <c r="QD15" s="29">
        <f t="shared" ca="1" si="485"/>
        <v>13835.756780734779</v>
      </c>
      <c r="QE15" s="29">
        <f t="shared" ca="1" si="486"/>
        <v>14969.832039548246</v>
      </c>
      <c r="QF15" s="29">
        <f t="shared" ca="1" si="487"/>
        <v>15044.218209813971</v>
      </c>
      <c r="QG15" s="29">
        <f t="shared" ca="1" si="488"/>
        <v>15079.479728992379</v>
      </c>
      <c r="QH15" s="29">
        <f t="shared" ca="1" si="489"/>
        <v>15748.491151604732</v>
      </c>
      <c r="QI15" s="29">
        <f t="shared" ca="1" si="490"/>
        <v>14813.184771742581</v>
      </c>
      <c r="QJ15" s="29">
        <f t="shared" ca="1" si="491"/>
        <v>14011.216411219757</v>
      </c>
      <c r="QK15" s="29">
        <f t="shared" ca="1" si="492"/>
        <v>14603.70577081243</v>
      </c>
      <c r="QL15" s="29">
        <f t="shared" ca="1" si="493"/>
        <v>14179.596249777087</v>
      </c>
      <c r="QM15" s="29">
        <f t="shared" ca="1" si="494"/>
        <v>13831.263591653082</v>
      </c>
      <c r="QN15" s="29">
        <f t="shared" ca="1" si="495"/>
        <v>15312.228075090312</v>
      </c>
      <c r="QO15" s="29">
        <f t="shared" ca="1" si="496"/>
        <v>14130.444114489543</v>
      </c>
      <c r="QP15" s="29">
        <f t="shared" ca="1" si="497"/>
        <v>14729.766061355891</v>
      </c>
      <c r="QQ15" s="29">
        <f t="shared" ca="1" si="498"/>
        <v>14960.470866561966</v>
      </c>
      <c r="QR15" s="29">
        <f t="shared" ca="1" si="499"/>
        <v>14989.614008099978</v>
      </c>
      <c r="QS15" s="29">
        <f t="shared" ca="1" si="500"/>
        <v>14899.043191244687</v>
      </c>
      <c r="QT15" s="29">
        <f t="shared" ca="1" si="501"/>
        <v>15407.465784017939</v>
      </c>
      <c r="QU15" s="29">
        <f t="shared" ca="1" si="502"/>
        <v>14493.596075372936</v>
      </c>
      <c r="QV15" s="29">
        <f t="shared" ca="1" si="503"/>
        <v>14541.532890606193</v>
      </c>
      <c r="QW15" s="29">
        <f t="shared" ca="1" si="504"/>
        <v>14593.299386977698</v>
      </c>
      <c r="QX15" s="29">
        <f t="shared" ca="1" si="505"/>
        <v>14391.848730775839</v>
      </c>
      <c r="QY15" s="29">
        <f t="shared" ca="1" si="506"/>
        <v>14947.0141426642</v>
      </c>
      <c r="QZ15" s="29">
        <f t="shared" ca="1" si="507"/>
        <v>14240.292447856937</v>
      </c>
      <c r="RA15" s="29">
        <f t="shared" ca="1" si="508"/>
        <v>13945.459810492663</v>
      </c>
      <c r="RB15" s="29">
        <f t="shared" ca="1" si="509"/>
        <v>13395.759899488337</v>
      </c>
      <c r="RC15" s="29">
        <f t="shared" ca="1" si="510"/>
        <v>14398.907161842868</v>
      </c>
      <c r="RD15" s="29">
        <f t="shared" ca="1" si="511"/>
        <v>14503.097696898094</v>
      </c>
      <c r="RE15" s="29">
        <f t="shared" ca="1" si="512"/>
        <v>15031.237088585545</v>
      </c>
      <c r="RF15" s="29">
        <f t="shared" ca="1" si="513"/>
        <v>14783.903252799499</v>
      </c>
      <c r="RG15" s="29">
        <f t="shared" ca="1" si="514"/>
        <v>14151.303778622301</v>
      </c>
      <c r="RH15" s="29">
        <f t="shared" ca="1" si="515"/>
        <v>13976.910965296838</v>
      </c>
      <c r="RI15" s="29">
        <f t="shared" ca="1" si="516"/>
        <v>14505.068231150744</v>
      </c>
      <c r="RJ15" s="29">
        <f t="shared" ca="1" si="517"/>
        <v>14349.499904941551</v>
      </c>
      <c r="RK15" s="29">
        <f t="shared" ca="1" si="518"/>
        <v>13816.863212527305</v>
      </c>
      <c r="RL15" s="29">
        <f t="shared" ca="1" si="519"/>
        <v>14077.959295502176</v>
      </c>
      <c r="RM15" s="29">
        <f t="shared" ca="1" si="520"/>
        <v>14446.552082443506</v>
      </c>
      <c r="RN15" s="29">
        <f t="shared" ca="1" si="521"/>
        <v>13650.556508232066</v>
      </c>
      <c r="RO15" s="29">
        <f t="shared" ca="1" si="522"/>
        <v>13952.826451683628</v>
      </c>
      <c r="RP15" s="29">
        <f t="shared" ca="1" si="523"/>
        <v>14957.543469866048</v>
      </c>
      <c r="RQ15" s="29">
        <f t="shared" ca="1" si="524"/>
        <v>14424.896352609434</v>
      </c>
      <c r="RR15" s="29">
        <f t="shared" ca="1" si="525"/>
        <v>14339.74273432402</v>
      </c>
      <c r="RS15" s="29">
        <f t="shared" ca="1" si="526"/>
        <v>14739.878224954164</v>
      </c>
      <c r="RT15" s="29">
        <f t="shared" ca="1" si="527"/>
        <v>14704.923782504929</v>
      </c>
      <c r="RU15" s="29">
        <f t="shared" ca="1" si="528"/>
        <v>13981.979854857929</v>
      </c>
      <c r="RV15" s="29">
        <f t="shared" ca="1" si="529"/>
        <v>14252.867716751647</v>
      </c>
      <c r="RW15" s="29">
        <f t="shared" ca="1" si="530"/>
        <v>14960.010355474749</v>
      </c>
      <c r="RX15" s="29">
        <f t="shared" ca="1" si="531"/>
        <v>14483.086233653485</v>
      </c>
      <c r="RY15" s="29">
        <f t="shared" ca="1" si="532"/>
        <v>14498.712233340475</v>
      </c>
      <c r="RZ15" s="29">
        <f t="shared" ca="1" si="533"/>
        <v>15864.915878495409</v>
      </c>
      <c r="SA15" s="29">
        <f t="shared" ca="1" si="534"/>
        <v>14568.676624594313</v>
      </c>
      <c r="SB15" s="29">
        <f t="shared" ca="1" si="535"/>
        <v>14167.177483058746</v>
      </c>
      <c r="SC15" s="29">
        <f t="shared" ca="1" si="536"/>
        <v>14663.28044044506</v>
      </c>
      <c r="SD15" s="29">
        <f t="shared" ca="1" si="537"/>
        <v>14737.042067593129</v>
      </c>
      <c r="SE15" s="29">
        <f t="shared" ca="1" si="538"/>
        <v>13679.80782386739</v>
      </c>
      <c r="SF15" s="29">
        <f t="shared" ca="1" si="539"/>
        <v>14447.679718107649</v>
      </c>
      <c r="SG15" s="29">
        <f t="shared" ca="1" si="540"/>
        <v>14913.752280473518</v>
      </c>
      <c r="SH15" s="29">
        <f t="shared" ca="1" si="541"/>
        <v>15026.2972675685</v>
      </c>
      <c r="SI15" s="29">
        <f t="shared" ca="1" si="542"/>
        <v>13700.107617190726</v>
      </c>
      <c r="SJ15" s="29">
        <f t="shared" ca="1" si="543"/>
        <v>13427.1058744447</v>
      </c>
      <c r="SK15" s="29">
        <f t="shared" ca="1" si="544"/>
        <v>14765.658570595784</v>
      </c>
      <c r="SL15" s="29">
        <f t="shared" ca="1" si="545"/>
        <v>14520.050549279918</v>
      </c>
      <c r="SM15" s="29">
        <f t="shared" ca="1" si="546"/>
        <v>14464.769439049862</v>
      </c>
      <c r="SN15" s="29">
        <f t="shared" ca="1" si="547"/>
        <v>14624.987032554871</v>
      </c>
      <c r="SO15" s="29">
        <f t="shared" ca="1" si="548"/>
        <v>14391.190161664004</v>
      </c>
      <c r="SP15" s="29">
        <f t="shared" ca="1" si="549"/>
        <v>15133.451770137297</v>
      </c>
      <c r="SQ15" s="29">
        <f t="shared" ca="1" si="550"/>
        <v>15069.293512331873</v>
      </c>
      <c r="SR15" s="29">
        <f t="shared" ca="1" si="551"/>
        <v>14064.636424695747</v>
      </c>
      <c r="SS15" s="29">
        <f t="shared" ca="1" si="552"/>
        <v>14614.224977957441</v>
      </c>
      <c r="ST15" s="29">
        <f t="shared" ca="1" si="553"/>
        <v>14296.635082271348</v>
      </c>
      <c r="SU15" s="29">
        <f t="shared" ca="1" si="554"/>
        <v>14832.322007480372</v>
      </c>
      <c r="SV15" s="29">
        <f t="shared" ca="1" si="555"/>
        <v>14304.168500324009</v>
      </c>
      <c r="SW15" s="29">
        <f t="shared" ca="1" si="556"/>
        <v>14175.492823330971</v>
      </c>
      <c r="SX15" s="29">
        <f t="shared" ca="1" si="557"/>
        <v>13404.274387925709</v>
      </c>
      <c r="SY15" s="29">
        <f t="shared" ca="1" si="558"/>
        <v>14206.526489951626</v>
      </c>
      <c r="SZ15" s="29">
        <f t="shared" ca="1" si="559"/>
        <v>15013.152549005787</v>
      </c>
      <c r="TA15" s="29">
        <f t="shared" ca="1" si="560"/>
        <v>14442.526523385624</v>
      </c>
      <c r="TB15" s="29">
        <f t="shared" ca="1" si="561"/>
        <v>13828.119282337719</v>
      </c>
      <c r="TC15" s="29">
        <f t="shared" ca="1" si="562"/>
        <v>14966.326371636802</v>
      </c>
      <c r="TD15" s="29">
        <f t="shared" ca="1" si="563"/>
        <v>14343.454349055328</v>
      </c>
      <c r="TE15" s="29">
        <f t="shared" ca="1" si="564"/>
        <v>14387.755010322204</v>
      </c>
      <c r="TF15" s="29">
        <f t="shared" ca="1" si="565"/>
        <v>13837.679115950366</v>
      </c>
      <c r="TG15" s="29">
        <f t="shared" ca="1" si="566"/>
        <v>14820.928257748908</v>
      </c>
      <c r="TH15" s="29">
        <f t="shared" ca="1" si="567"/>
        <v>14376.171878866518</v>
      </c>
      <c r="TI15" s="29">
        <f t="shared" ca="1" si="568"/>
        <v>13750.657319814723</v>
      </c>
      <c r="TJ15" s="29">
        <f t="shared" ca="1" si="569"/>
        <v>15067.90563108166</v>
      </c>
      <c r="TK15" s="29">
        <f t="shared" ca="1" si="570"/>
        <v>13982.386802021139</v>
      </c>
      <c r="TL15" s="29">
        <f t="shared" ca="1" si="571"/>
        <v>14880.263606373026</v>
      </c>
      <c r="TM15" s="29">
        <f t="shared" ca="1" si="572"/>
        <v>14087.120876889567</v>
      </c>
      <c r="TN15" s="29">
        <f t="shared" ca="1" si="573"/>
        <v>14166.658671975285</v>
      </c>
      <c r="TO15" s="29">
        <f t="shared" ca="1" si="574"/>
        <v>14328.066520116034</v>
      </c>
      <c r="TP15" s="29">
        <f t="shared" ca="1" si="575"/>
        <v>15602.929949923613</v>
      </c>
      <c r="TQ15" s="29">
        <f t="shared" ca="1" si="576"/>
        <v>14820.945576212034</v>
      </c>
      <c r="TR15" s="29">
        <f t="shared" ca="1" si="577"/>
        <v>13907.417509918574</v>
      </c>
      <c r="TS15" s="29">
        <f t="shared" ca="1" si="578"/>
        <v>14581.660392067088</v>
      </c>
      <c r="TT15" s="29">
        <f t="shared" ca="1" si="579"/>
        <v>14367.574527181083</v>
      </c>
      <c r="TU15" s="29">
        <f t="shared" ca="1" si="580"/>
        <v>14173.777872022942</v>
      </c>
      <c r="TV15" s="29">
        <f t="shared" ca="1" si="581"/>
        <v>14190.298296724057</v>
      </c>
      <c r="TW15" s="29">
        <f t="shared" ca="1" si="582"/>
        <v>14996.060554063783</v>
      </c>
      <c r="TX15" s="29">
        <f t="shared" ca="1" si="583"/>
        <v>15417.266938310973</v>
      </c>
      <c r="TY15" s="29">
        <f t="shared" ca="1" si="584"/>
        <v>14281.775813662851</v>
      </c>
      <c r="TZ15" s="29">
        <f t="shared" ca="1" si="585"/>
        <v>14717.940919193121</v>
      </c>
      <c r="UA15" s="29">
        <f t="shared" ca="1" si="586"/>
        <v>14450.261023062776</v>
      </c>
      <c r="UB15" s="29">
        <f t="shared" ca="1" si="587"/>
        <v>14258.617883285637</v>
      </c>
      <c r="UC15" s="29">
        <f t="shared" ca="1" si="588"/>
        <v>13128.821035310872</v>
      </c>
      <c r="UD15" s="29">
        <f t="shared" ca="1" si="589"/>
        <v>16154.657205776952</v>
      </c>
      <c r="UE15" s="29">
        <f t="shared" ca="1" si="590"/>
        <v>13661.060765056711</v>
      </c>
      <c r="UF15" s="29">
        <f t="shared" ca="1" si="591"/>
        <v>14086.021324305495</v>
      </c>
      <c r="UG15" s="29">
        <f t="shared" ca="1" si="592"/>
        <v>14468.452165585628</v>
      </c>
      <c r="UH15" s="29">
        <f t="shared" ca="1" si="593"/>
        <v>13621.127037921768</v>
      </c>
      <c r="UI15" s="29">
        <f t="shared" ca="1" si="594"/>
        <v>14716.858054490538</v>
      </c>
      <c r="UJ15" s="29">
        <f t="shared" ca="1" si="595"/>
        <v>15087.565080892224</v>
      </c>
      <c r="UK15" s="29">
        <f t="shared" ca="1" si="596"/>
        <v>14550.503094828106</v>
      </c>
      <c r="UL15" s="29">
        <f t="shared" ca="1" si="597"/>
        <v>15948.722195347043</v>
      </c>
      <c r="UM15" s="29">
        <f t="shared" ca="1" si="598"/>
        <v>13653.679425278213</v>
      </c>
      <c r="UN15" s="29">
        <f t="shared" ca="1" si="599"/>
        <v>13597.992269899472</v>
      </c>
      <c r="UO15" s="29">
        <f t="shared" ca="1" si="600"/>
        <v>15358.193233244139</v>
      </c>
      <c r="UP15" s="29">
        <f t="shared" ca="1" si="601"/>
        <v>14179.716737733235</v>
      </c>
      <c r="UQ15" s="29">
        <f t="shared" ca="1" si="602"/>
        <v>14831.38201525363</v>
      </c>
      <c r="UR15" s="29">
        <f t="shared" ca="1" si="603"/>
        <v>13651.426890702265</v>
      </c>
      <c r="US15" s="29">
        <f t="shared" ca="1" si="604"/>
        <v>14810.91954242897</v>
      </c>
      <c r="UT15" s="29">
        <f t="shared" ca="1" si="605"/>
        <v>14743.494944928452</v>
      </c>
      <c r="UU15" s="29">
        <f t="shared" ca="1" si="606"/>
        <v>13612.651690981944</v>
      </c>
      <c r="UV15" s="29">
        <f t="shared" ca="1" si="607"/>
        <v>14424.973191862409</v>
      </c>
      <c r="UW15" s="29">
        <f t="shared" ca="1" si="608"/>
        <v>14262.183906687125</v>
      </c>
      <c r="UX15" s="29">
        <f t="shared" ca="1" si="609"/>
        <v>13787.924303081338</v>
      </c>
      <c r="UY15" s="29">
        <f t="shared" ca="1" si="610"/>
        <v>14249.081659897551</v>
      </c>
      <c r="UZ15" s="29">
        <f t="shared" ca="1" si="611"/>
        <v>14099.914484568188</v>
      </c>
      <c r="VA15" s="29">
        <f t="shared" ca="1" si="612"/>
        <v>14380.930893870096</v>
      </c>
      <c r="VB15" s="29">
        <f t="shared" ca="1" si="613"/>
        <v>14756.443700812755</v>
      </c>
      <c r="VC15" s="29">
        <f t="shared" ca="1" si="614"/>
        <v>14933.072155876316</v>
      </c>
      <c r="VD15" s="29">
        <f t="shared" ca="1" si="615"/>
        <v>14558.874019471405</v>
      </c>
      <c r="VE15" s="29">
        <f t="shared" ca="1" si="616"/>
        <v>15438.215540107532</v>
      </c>
      <c r="VF15" s="29">
        <f t="shared" ca="1" si="617"/>
        <v>14362.976420210649</v>
      </c>
      <c r="VG15" s="29">
        <f t="shared" ca="1" si="618"/>
        <v>14704.725067847199</v>
      </c>
      <c r="VH15" s="29">
        <f t="shared" ca="1" si="619"/>
        <v>14780.112747966066</v>
      </c>
      <c r="VI15" s="29">
        <f t="shared" ca="1" si="620"/>
        <v>14554.206424896212</v>
      </c>
      <c r="VJ15" s="29">
        <f t="shared" ca="1" si="621"/>
        <v>13975.702401204373</v>
      </c>
      <c r="VK15" s="29">
        <f t="shared" ca="1" si="622"/>
        <v>13520.447121511021</v>
      </c>
      <c r="VL15" s="29">
        <f t="shared" ca="1" si="623"/>
        <v>13767.347925694436</v>
      </c>
      <c r="VM15" s="29">
        <f t="shared" ca="1" si="624"/>
        <v>14277.386108199886</v>
      </c>
      <c r="VN15" s="29">
        <f t="shared" ca="1" si="625"/>
        <v>14068.657378503762</v>
      </c>
      <c r="VO15" s="29">
        <f t="shared" ca="1" si="626"/>
        <v>15782.884921109668</v>
      </c>
      <c r="VP15" s="29">
        <f t="shared" ca="1" si="627"/>
        <v>13916.256463623244</v>
      </c>
      <c r="VQ15" s="29">
        <f t="shared" ca="1" si="628"/>
        <v>14392.490506034241</v>
      </c>
      <c r="VR15" s="29">
        <f t="shared" ca="1" si="629"/>
        <v>13794.961957940395</v>
      </c>
      <c r="VS15" s="29">
        <f t="shared" ca="1" si="630"/>
        <v>13437.294332473135</v>
      </c>
      <c r="VT15" s="29">
        <f t="shared" ca="1" si="631"/>
        <v>14420.827649873021</v>
      </c>
      <c r="VU15" s="29">
        <f t="shared" ca="1" si="632"/>
        <v>15101.57686473974</v>
      </c>
      <c r="VV15" s="29">
        <f t="shared" ca="1" si="633"/>
        <v>14807.875682374564</v>
      </c>
      <c r="VW15" s="29">
        <f t="shared" ca="1" si="634"/>
        <v>13729.720224942797</v>
      </c>
      <c r="VX15" s="29">
        <f t="shared" ca="1" si="635"/>
        <v>14435.139962835388</v>
      </c>
      <c r="VY15" s="29">
        <f t="shared" ca="1" si="636"/>
        <v>14551.149013781365</v>
      </c>
      <c r="VZ15" s="29">
        <f t="shared" ca="1" si="637"/>
        <v>14051.933332262462</v>
      </c>
      <c r="WA15" s="29">
        <f t="shared" ca="1" si="638"/>
        <v>14618.62980916392</v>
      </c>
      <c r="WB15" s="29">
        <f t="shared" ca="1" si="639"/>
        <v>14270.721614618074</v>
      </c>
      <c r="WC15" s="29">
        <f t="shared" ca="1" si="640"/>
        <v>14405.121203461025</v>
      </c>
      <c r="WD15" s="29">
        <f t="shared" ca="1" si="641"/>
        <v>15085.372785617912</v>
      </c>
      <c r="WE15" s="29">
        <f t="shared" ca="1" si="642"/>
        <v>14113.372811120318</v>
      </c>
      <c r="WF15" s="29">
        <f t="shared" ca="1" si="643"/>
        <v>15137.871476629143</v>
      </c>
      <c r="WG15" s="29">
        <f t="shared" ca="1" si="644"/>
        <v>14120.509878421135</v>
      </c>
      <c r="WH15" s="29">
        <f t="shared" ca="1" si="645"/>
        <v>13607.012937059522</v>
      </c>
      <c r="WI15" s="29">
        <f t="shared" ca="1" si="646"/>
        <v>15537.484182157741</v>
      </c>
      <c r="WJ15" s="29">
        <f t="shared" ca="1" si="647"/>
        <v>15794.355185256596</v>
      </c>
      <c r="WK15" s="29">
        <f t="shared" ca="1" si="648"/>
        <v>14471.634355433562</v>
      </c>
      <c r="WL15" s="29">
        <f t="shared" ca="1" si="649"/>
        <v>13430.359821711645</v>
      </c>
      <c r="WM15" s="29">
        <f t="shared" ca="1" si="650"/>
        <v>13916.592215251425</v>
      </c>
      <c r="WN15" s="29">
        <f t="shared" ca="1" si="651"/>
        <v>14563.971701614235</v>
      </c>
      <c r="WO15" s="29">
        <f t="shared" ca="1" si="652"/>
        <v>15463.916646771382</v>
      </c>
      <c r="WP15" s="29">
        <f t="shared" ca="1" si="653"/>
        <v>13922.15229168453</v>
      </c>
      <c r="WQ15" s="29">
        <f t="shared" ca="1" si="654"/>
        <v>14045.04640920786</v>
      </c>
      <c r="WR15" s="29">
        <f t="shared" ca="1" si="655"/>
        <v>14141.176078912966</v>
      </c>
      <c r="WS15" s="29">
        <f t="shared" ca="1" si="656"/>
        <v>15036.32656119198</v>
      </c>
      <c r="WT15" s="29">
        <f t="shared" ca="1" si="657"/>
        <v>14611.790615962638</v>
      </c>
      <c r="WU15" s="29">
        <f t="shared" ca="1" si="658"/>
        <v>14435.477113428446</v>
      </c>
      <c r="WV15" s="29">
        <f t="shared" ca="1" si="659"/>
        <v>14332.846694137326</v>
      </c>
      <c r="WW15" s="29">
        <f t="shared" ca="1" si="660"/>
        <v>13810.016700583437</v>
      </c>
      <c r="WX15" s="29">
        <f t="shared" ca="1" si="661"/>
        <v>15168.680632792604</v>
      </c>
      <c r="WY15" s="29">
        <f t="shared" ca="1" si="662"/>
        <v>14869.746435569979</v>
      </c>
      <c r="WZ15" s="29">
        <f t="shared" ca="1" si="663"/>
        <v>14976.136360968971</v>
      </c>
      <c r="XA15" s="29">
        <f t="shared" ca="1" si="664"/>
        <v>14292.211913870986</v>
      </c>
      <c r="XB15" s="29">
        <f t="shared" ca="1" si="665"/>
        <v>14620.012427472424</v>
      </c>
      <c r="XC15" s="29">
        <f t="shared" ca="1" si="666"/>
        <v>14294.671378638204</v>
      </c>
      <c r="XD15" s="29">
        <f t="shared" ca="1" si="667"/>
        <v>14049.489211115206</v>
      </c>
      <c r="XE15" s="29">
        <f t="shared" ca="1" si="668"/>
        <v>14194.445492207265</v>
      </c>
      <c r="XF15" s="29">
        <f t="shared" ca="1" si="669"/>
        <v>14292.13201767709</v>
      </c>
      <c r="XG15" s="29">
        <f t="shared" ca="1" si="670"/>
        <v>14235.62491606983</v>
      </c>
      <c r="XH15" s="29">
        <f t="shared" ca="1" si="671"/>
        <v>14214.803996921944</v>
      </c>
      <c r="XI15" s="29">
        <f t="shared" ca="1" si="672"/>
        <v>14993.404784501823</v>
      </c>
      <c r="XJ15" s="29">
        <f t="shared" ca="1" si="673"/>
        <v>15087.683667965748</v>
      </c>
      <c r="XK15" s="29">
        <f t="shared" ca="1" si="674"/>
        <v>13701.365753973363</v>
      </c>
      <c r="XL15" s="29">
        <f t="shared" ca="1" si="675"/>
        <v>13885.841694033374</v>
      </c>
      <c r="XM15" s="29">
        <f t="shared" ca="1" si="676"/>
        <v>14271.163641229054</v>
      </c>
      <c r="XN15" s="29">
        <f t="shared" ca="1" si="677"/>
        <v>14277.936848701771</v>
      </c>
      <c r="XO15" s="29">
        <f t="shared" ca="1" si="678"/>
        <v>14814.046612894515</v>
      </c>
      <c r="XP15" s="29">
        <f t="shared" ca="1" si="679"/>
        <v>14838.584321759818</v>
      </c>
      <c r="XQ15" s="29">
        <f t="shared" ca="1" si="680"/>
        <v>14027.522420129766</v>
      </c>
      <c r="XR15" s="29">
        <f t="shared" ca="1" si="681"/>
        <v>14457.51929368568</v>
      </c>
      <c r="XS15" s="29">
        <f t="shared" ca="1" si="682"/>
        <v>13791.496000002369</v>
      </c>
      <c r="XT15" s="29">
        <f t="shared" ca="1" si="683"/>
        <v>15326.944976527962</v>
      </c>
      <c r="XU15" s="29">
        <f t="shared" ca="1" si="684"/>
        <v>15050.915910197191</v>
      </c>
      <c r="XV15" s="29">
        <f t="shared" ca="1" si="685"/>
        <v>14378.009370636519</v>
      </c>
      <c r="XW15" s="29">
        <f t="shared" ca="1" si="686"/>
        <v>14647.56626249205</v>
      </c>
      <c r="XX15" s="29">
        <f t="shared" ca="1" si="687"/>
        <v>14530.768476191233</v>
      </c>
      <c r="XY15" s="29">
        <f t="shared" ca="1" si="688"/>
        <v>14032.3022599224</v>
      </c>
      <c r="XZ15" s="29">
        <f t="shared" ca="1" si="689"/>
        <v>14403.188937051502</v>
      </c>
      <c r="YA15" s="29">
        <f t="shared" ca="1" si="690"/>
        <v>14972.256562514051</v>
      </c>
      <c r="YB15" s="29">
        <f t="shared" ca="1" si="691"/>
        <v>14876.657598747675</v>
      </c>
      <c r="YC15" s="29">
        <f t="shared" ca="1" si="692"/>
        <v>15121.347318362905</v>
      </c>
      <c r="YD15" s="29">
        <f t="shared" ca="1" si="693"/>
        <v>13666.122183364167</v>
      </c>
      <c r="YE15" s="29">
        <f t="shared" ca="1" si="694"/>
        <v>14528.798592601215</v>
      </c>
      <c r="YF15" s="29">
        <f t="shared" ca="1" si="695"/>
        <v>14538.041035205062</v>
      </c>
      <c r="YG15" s="29">
        <f t="shared" ca="1" si="696"/>
        <v>14343.902655042439</v>
      </c>
      <c r="YH15" s="29">
        <f t="shared" ca="1" si="697"/>
        <v>14013.828325726659</v>
      </c>
      <c r="YI15" s="29">
        <f t="shared" ca="1" si="698"/>
        <v>13454.270062295116</v>
      </c>
      <c r="YJ15" s="29">
        <f t="shared" ca="1" si="699"/>
        <v>14604.518996519495</v>
      </c>
      <c r="YK15" s="29">
        <f t="shared" ca="1" si="700"/>
        <v>14250.5969037675</v>
      </c>
      <c r="YL15" s="29">
        <f t="shared" ca="1" si="701"/>
        <v>13580.503897989045</v>
      </c>
      <c r="YM15" s="29">
        <f t="shared" ca="1" si="702"/>
        <v>14124.921595470936</v>
      </c>
      <c r="YN15" s="29">
        <f t="shared" ca="1" si="703"/>
        <v>14518.170794402955</v>
      </c>
      <c r="YO15" s="29">
        <f t="shared" ca="1" si="704"/>
        <v>13157.077205521542</v>
      </c>
      <c r="YP15" s="29">
        <f t="shared" ca="1" si="705"/>
        <v>15508.240573208064</v>
      </c>
      <c r="YQ15" s="29">
        <f t="shared" ca="1" si="706"/>
        <v>13659.17989346972</v>
      </c>
      <c r="YR15" s="29">
        <f t="shared" ca="1" si="707"/>
        <v>14134.253408612505</v>
      </c>
      <c r="YS15" s="29">
        <f t="shared" ca="1" si="708"/>
        <v>14856.448098950381</v>
      </c>
      <c r="YT15" s="29">
        <f t="shared" ca="1" si="709"/>
        <v>14996.233219178608</v>
      </c>
      <c r="YU15" s="29">
        <f t="shared" ca="1" si="710"/>
        <v>14692.853438143471</v>
      </c>
      <c r="YV15" s="29">
        <f t="shared" ca="1" si="711"/>
        <v>14209.719827990477</v>
      </c>
      <c r="YW15" s="29">
        <f t="shared" ca="1" si="712"/>
        <v>14645.462866515029</v>
      </c>
      <c r="YX15" s="29">
        <f t="shared" ca="1" si="713"/>
        <v>14589.091318302746</v>
      </c>
      <c r="YY15" s="29">
        <f t="shared" ca="1" si="714"/>
        <v>13515.334146186398</v>
      </c>
      <c r="YZ15" s="29">
        <f t="shared" ca="1" si="715"/>
        <v>14427.814425104181</v>
      </c>
      <c r="ZA15" s="29">
        <f t="shared" ca="1" si="716"/>
        <v>14239.181657965248</v>
      </c>
      <c r="ZB15" s="29">
        <f t="shared" ca="1" si="717"/>
        <v>14467.627718996933</v>
      </c>
      <c r="ZC15" s="29">
        <f t="shared" ca="1" si="718"/>
        <v>14893.913383320329</v>
      </c>
      <c r="ZD15" s="29">
        <f t="shared" ca="1" si="719"/>
        <v>14371.810942943184</v>
      </c>
      <c r="ZE15" s="29">
        <f t="shared" ca="1" si="720"/>
        <v>13860.150279236839</v>
      </c>
      <c r="ZF15" s="29">
        <f t="shared" ca="1" si="721"/>
        <v>14079.21181421751</v>
      </c>
      <c r="ZG15" s="29">
        <f t="shared" ca="1" si="722"/>
        <v>12759.743510329714</v>
      </c>
      <c r="ZH15" s="29">
        <f t="shared" ca="1" si="723"/>
        <v>14100.976271920714</v>
      </c>
      <c r="ZI15" s="29">
        <f t="shared" ca="1" si="724"/>
        <v>13709.254242823336</v>
      </c>
      <c r="ZJ15" s="29">
        <f t="shared" ca="1" si="725"/>
        <v>14446.373780750826</v>
      </c>
      <c r="ZK15" s="29">
        <f t="shared" ca="1" si="726"/>
        <v>13744.443723986798</v>
      </c>
      <c r="ZL15" s="29">
        <f t="shared" ca="1" si="727"/>
        <v>13643.361791503556</v>
      </c>
      <c r="ZM15" s="29">
        <f t="shared" ca="1" si="728"/>
        <v>13165.10663481234</v>
      </c>
      <c r="ZN15" s="29">
        <f t="shared" ca="1" si="729"/>
        <v>14353.686998876028</v>
      </c>
      <c r="ZO15" s="29">
        <f t="shared" ca="1" si="730"/>
        <v>14369.739051024049</v>
      </c>
      <c r="ZP15" s="29">
        <f t="shared" ca="1" si="731"/>
        <v>14327.17118431643</v>
      </c>
      <c r="ZQ15" s="29">
        <f t="shared" ca="1" si="732"/>
        <v>14399.374499347541</v>
      </c>
      <c r="ZR15" s="29">
        <f t="shared" ca="1" si="733"/>
        <v>14648.264871369154</v>
      </c>
      <c r="ZS15" s="29">
        <f t="shared" ca="1" si="734"/>
        <v>14290.884872996601</v>
      </c>
      <c r="ZT15" s="29">
        <f t="shared" ca="1" si="735"/>
        <v>14385.663561729914</v>
      </c>
      <c r="ZU15" s="29">
        <f t="shared" ca="1" si="736"/>
        <v>14230.015841511249</v>
      </c>
      <c r="ZV15" s="29">
        <f t="shared" ca="1" si="737"/>
        <v>14242.400931759159</v>
      </c>
      <c r="ZW15" s="29">
        <f t="shared" ca="1" si="738"/>
        <v>14551.495935488352</v>
      </c>
      <c r="ZX15" s="29">
        <f t="shared" ca="1" si="739"/>
        <v>14713.507998424646</v>
      </c>
      <c r="ZY15" s="29">
        <f t="shared" ca="1" si="740"/>
        <v>14054.164705908222</v>
      </c>
      <c r="ZZ15" s="29">
        <f t="shared" ca="1" si="741"/>
        <v>14183.049084588405</v>
      </c>
      <c r="AAA15" s="29">
        <f t="shared" ca="1" si="742"/>
        <v>15112.546106246025</v>
      </c>
      <c r="AAB15" s="29">
        <f t="shared" ca="1" si="743"/>
        <v>15317.700322668532</v>
      </c>
      <c r="AAC15" s="29">
        <f t="shared" ca="1" si="744"/>
        <v>14433.166727031195</v>
      </c>
      <c r="AAD15" s="29">
        <f t="shared" ca="1" si="745"/>
        <v>13566.087388679942</v>
      </c>
      <c r="AAE15" s="29">
        <f t="shared" ca="1" si="746"/>
        <v>13715.691024513213</v>
      </c>
      <c r="AAF15" s="29">
        <f t="shared" ca="1" si="747"/>
        <v>15450.909390099339</v>
      </c>
      <c r="AAG15" s="29">
        <f t="shared" ca="1" si="748"/>
        <v>15110.864384192846</v>
      </c>
      <c r="AAH15" s="29">
        <f t="shared" ca="1" si="749"/>
        <v>14935.221348645868</v>
      </c>
      <c r="AAI15" s="29">
        <f t="shared" ca="1" si="750"/>
        <v>14184.280173355623</v>
      </c>
      <c r="AAJ15" s="29">
        <f t="shared" ca="1" si="751"/>
        <v>14524.465277225263</v>
      </c>
      <c r="AAK15" s="29">
        <f t="shared" ca="1" si="752"/>
        <v>14594.58727482207</v>
      </c>
      <c r="AAL15" s="29">
        <f t="shared" ca="1" si="753"/>
        <v>14389.23785017203</v>
      </c>
      <c r="AAM15" s="29">
        <f t="shared" ca="1" si="754"/>
        <v>14408.951413725352</v>
      </c>
      <c r="AAN15" s="29">
        <f t="shared" ca="1" si="755"/>
        <v>15582.440406931442</v>
      </c>
      <c r="AAO15" s="29">
        <f t="shared" ca="1" si="756"/>
        <v>14451.986455496904</v>
      </c>
      <c r="AAP15" s="29">
        <f t="shared" ca="1" si="757"/>
        <v>15478.640791309841</v>
      </c>
      <c r="AAQ15" s="29">
        <f t="shared" ca="1" si="758"/>
        <v>14690.093032552766</v>
      </c>
      <c r="AAR15" s="29">
        <f t="shared" ca="1" si="759"/>
        <v>15775.097436157179</v>
      </c>
      <c r="AAS15" s="29">
        <f t="shared" ca="1" si="760"/>
        <v>14309.622268104902</v>
      </c>
      <c r="AAT15" s="29">
        <f t="shared" ca="1" si="761"/>
        <v>14408.855946103413</v>
      </c>
      <c r="AAU15" s="29">
        <f t="shared" ca="1" si="762"/>
        <v>15203.998692727375</v>
      </c>
      <c r="AAV15" s="29">
        <f t="shared" ca="1" si="763"/>
        <v>13746.807851260528</v>
      </c>
      <c r="AAW15" s="29">
        <f t="shared" ca="1" si="764"/>
        <v>14372.860086384479</v>
      </c>
      <c r="AAX15" s="29">
        <f t="shared" ca="1" si="765"/>
        <v>14905.912243293962</v>
      </c>
      <c r="AAY15" s="29">
        <f t="shared" ca="1" si="766"/>
        <v>14884.439851994697</v>
      </c>
      <c r="AAZ15" s="29">
        <f t="shared" ca="1" si="767"/>
        <v>15086.43425328462</v>
      </c>
      <c r="ABA15" s="29">
        <f t="shared" ca="1" si="768"/>
        <v>14582.993668055587</v>
      </c>
      <c r="ABB15" s="29">
        <f t="shared" ca="1" si="769"/>
        <v>14588.814868349114</v>
      </c>
      <c r="ABC15" s="29">
        <f t="shared" ca="1" si="770"/>
        <v>14893.132912632509</v>
      </c>
      <c r="ABD15" s="29">
        <f t="shared" ca="1" si="771"/>
        <v>14121.123631261584</v>
      </c>
      <c r="ABE15" s="29">
        <f t="shared" ca="1" si="772"/>
        <v>12938.618582902316</v>
      </c>
      <c r="ABF15" s="29">
        <f t="shared" ca="1" si="773"/>
        <v>14368.911416267771</v>
      </c>
      <c r="ABG15" s="29">
        <f t="shared" ca="1" si="774"/>
        <v>14101.81913881318</v>
      </c>
      <c r="ABH15" s="29">
        <f t="shared" ca="1" si="775"/>
        <v>14229.574447120314</v>
      </c>
      <c r="ABI15" s="29">
        <f t="shared" ca="1" si="776"/>
        <v>14355.252856421786</v>
      </c>
      <c r="ABJ15" s="29">
        <f t="shared" ca="1" si="777"/>
        <v>14484.609948307572</v>
      </c>
      <c r="ABK15" s="29">
        <f t="shared" ca="1" si="778"/>
        <v>15188.788215681721</v>
      </c>
      <c r="ABL15" s="29">
        <f t="shared" ca="1" si="779"/>
        <v>14384.514603063511</v>
      </c>
      <c r="ABM15" s="29">
        <f t="shared" ca="1" si="780"/>
        <v>14352.304388852555</v>
      </c>
      <c r="ABN15" s="29">
        <f t="shared" ca="1" si="781"/>
        <v>13748.508335152035</v>
      </c>
      <c r="ABO15" s="29">
        <f t="shared" ca="1" si="782"/>
        <v>15276.075904955645</v>
      </c>
      <c r="ABP15" s="29">
        <f t="shared" ca="1" si="783"/>
        <v>14464.908739930119</v>
      </c>
      <c r="ABQ15" s="29">
        <f t="shared" ca="1" si="784"/>
        <v>13342.150072545335</v>
      </c>
      <c r="ABR15" s="29">
        <f t="shared" ca="1" si="785"/>
        <v>13427.868593814024</v>
      </c>
      <c r="ABS15" s="29">
        <f t="shared" ca="1" si="786"/>
        <v>14043.409595586552</v>
      </c>
      <c r="ABT15" s="29">
        <f t="shared" ca="1" si="787"/>
        <v>14260.583673602117</v>
      </c>
      <c r="ABU15" s="29">
        <f t="shared" ca="1" si="788"/>
        <v>14296.863316299616</v>
      </c>
      <c r="ABV15" s="29">
        <f t="shared" ca="1" si="789"/>
        <v>15457.657877467112</v>
      </c>
      <c r="ABW15" s="29">
        <f t="shared" ca="1" si="790"/>
        <v>14875.737970090451</v>
      </c>
      <c r="ABX15" s="29">
        <f t="shared" ca="1" si="791"/>
        <v>14916.345952160564</v>
      </c>
      <c r="ABY15" s="29">
        <f t="shared" ca="1" si="792"/>
        <v>14450.673553719076</v>
      </c>
      <c r="ABZ15" s="29">
        <f t="shared" ca="1" si="793"/>
        <v>14546.535231070678</v>
      </c>
      <c r="ACA15" s="29">
        <f t="shared" ca="1" si="794"/>
        <v>15492.956567298919</v>
      </c>
      <c r="ACB15" s="29">
        <f t="shared" ca="1" si="795"/>
        <v>14933.046910731638</v>
      </c>
      <c r="ACC15" s="29">
        <f t="shared" ca="1" si="796"/>
        <v>14333.715620182418</v>
      </c>
      <c r="ACD15" s="29">
        <f t="shared" ca="1" si="797"/>
        <v>14748.367903687744</v>
      </c>
      <c r="ACE15" s="29">
        <f t="shared" ca="1" si="798"/>
        <v>14724.715573326841</v>
      </c>
      <c r="ACF15" s="29">
        <f t="shared" ca="1" si="799"/>
        <v>14583.850933743735</v>
      </c>
      <c r="ACG15" s="29">
        <f t="shared" ca="1" si="800"/>
        <v>13412.385596383567</v>
      </c>
      <c r="ACH15" s="29">
        <f t="shared" ca="1" si="801"/>
        <v>14971.974694331586</v>
      </c>
      <c r="ACI15" s="29">
        <f t="shared" ca="1" si="802"/>
        <v>14117.69707823878</v>
      </c>
      <c r="ACJ15" s="29">
        <f t="shared" ca="1" si="803"/>
        <v>15035.086689791253</v>
      </c>
      <c r="ACK15" s="29">
        <f t="shared" ca="1" si="804"/>
        <v>13858.525815499275</v>
      </c>
      <c r="ACL15" s="29">
        <f t="shared" ca="1" si="805"/>
        <v>13305.628481669401</v>
      </c>
      <c r="ACM15" s="29">
        <f t="shared" ca="1" si="806"/>
        <v>14822.943025100252</v>
      </c>
      <c r="ACN15" s="29">
        <f t="shared" ca="1" si="807"/>
        <v>15139.549678897083</v>
      </c>
      <c r="ACO15" s="29">
        <f t="shared" ca="1" si="808"/>
        <v>16065.268375140633</v>
      </c>
      <c r="ACP15" s="29">
        <f t="shared" ca="1" si="809"/>
        <v>14258.565630169913</v>
      </c>
      <c r="ACQ15" s="29">
        <f t="shared" ca="1" si="810"/>
        <v>14820.055582966004</v>
      </c>
      <c r="ACR15" s="29">
        <f t="shared" ca="1" si="811"/>
        <v>14901.531349054729</v>
      </c>
      <c r="ACS15" s="29">
        <f t="shared" ca="1" si="812"/>
        <v>14245.002960598162</v>
      </c>
      <c r="ACT15" s="29">
        <f t="shared" ca="1" si="813"/>
        <v>14345.734033478358</v>
      </c>
      <c r="ACU15" s="29">
        <f t="shared" ca="1" si="814"/>
        <v>14075.578709628846</v>
      </c>
      <c r="ACV15" s="29">
        <f t="shared" ca="1" si="815"/>
        <v>14469.23298871264</v>
      </c>
      <c r="ACW15" s="29">
        <f t="shared" ca="1" si="816"/>
        <v>14696.271676841276</v>
      </c>
      <c r="ACX15" s="29">
        <f t="shared" ca="1" si="817"/>
        <v>14015.71222777543</v>
      </c>
      <c r="ACY15" s="29">
        <f t="shared" ca="1" si="818"/>
        <v>14237.182819313774</v>
      </c>
      <c r="ACZ15" s="29">
        <f t="shared" ca="1" si="819"/>
        <v>14199.317221619111</v>
      </c>
      <c r="ADA15" s="29">
        <f t="shared" ca="1" si="820"/>
        <v>14664.005106038237</v>
      </c>
      <c r="ADB15" s="29">
        <f t="shared" ca="1" si="821"/>
        <v>13444.471695879969</v>
      </c>
      <c r="ADC15" s="29">
        <f t="shared" ca="1" si="822"/>
        <v>14297.865596518903</v>
      </c>
      <c r="ADD15" s="29">
        <f t="shared" ca="1" si="823"/>
        <v>15074.397949709879</v>
      </c>
      <c r="ADE15" s="29">
        <f t="shared" ca="1" si="824"/>
        <v>14494.969764171568</v>
      </c>
      <c r="ADF15" s="29">
        <f t="shared" ca="1" si="825"/>
        <v>13798.141304307535</v>
      </c>
      <c r="ADG15" s="29">
        <f t="shared" ca="1" si="826"/>
        <v>14578.887833097984</v>
      </c>
      <c r="ADH15" s="29">
        <f t="shared" ca="1" si="827"/>
        <v>14770.49712962501</v>
      </c>
      <c r="ADI15" s="29">
        <f t="shared" ca="1" si="828"/>
        <v>14673.008521262636</v>
      </c>
      <c r="ADJ15" s="29">
        <f t="shared" ca="1" si="829"/>
        <v>14884.19480054889</v>
      </c>
      <c r="ADK15" s="29">
        <f t="shared" ca="1" si="830"/>
        <v>14565.825775662524</v>
      </c>
      <c r="ADL15" s="29">
        <f t="shared" ca="1" si="831"/>
        <v>14009.893378014132</v>
      </c>
      <c r="ADM15" s="29">
        <f t="shared" ca="1" si="832"/>
        <v>14400.459289318465</v>
      </c>
      <c r="ADN15" s="29">
        <f t="shared" ca="1" si="833"/>
        <v>14104.935185929446</v>
      </c>
      <c r="ADO15" s="29">
        <f t="shared" ca="1" si="834"/>
        <v>15145.329769990562</v>
      </c>
      <c r="ADP15" s="29">
        <f t="shared" ca="1" si="835"/>
        <v>14407.882006613372</v>
      </c>
      <c r="ADQ15" s="29">
        <f t="shared" ca="1" si="836"/>
        <v>16010.441701376831</v>
      </c>
      <c r="ADR15" s="29">
        <f t="shared" ca="1" si="837"/>
        <v>14411.501332211918</v>
      </c>
      <c r="ADS15" s="29">
        <f t="shared" ca="1" si="838"/>
        <v>14321.845315926925</v>
      </c>
      <c r="ADT15" s="29">
        <f t="shared" ca="1" si="839"/>
        <v>14026.138881446546</v>
      </c>
      <c r="ADU15" s="29">
        <f t="shared" ca="1" si="840"/>
        <v>14613.293168865208</v>
      </c>
      <c r="ADV15" s="29">
        <f t="shared" ca="1" si="841"/>
        <v>14776.169080824997</v>
      </c>
      <c r="ADW15" s="29">
        <f t="shared" ca="1" si="842"/>
        <v>15093.312339129065</v>
      </c>
      <c r="ADX15" s="29">
        <f t="shared" ca="1" si="843"/>
        <v>13793.764630654452</v>
      </c>
      <c r="ADY15" s="29">
        <f t="shared" ca="1" si="844"/>
        <v>15773.552623365906</v>
      </c>
      <c r="ADZ15" s="29">
        <f t="shared" ca="1" si="845"/>
        <v>14284.47503501187</v>
      </c>
      <c r="AEA15" s="29">
        <f t="shared" ca="1" si="846"/>
        <v>14941.811735217227</v>
      </c>
      <c r="AEB15" s="29">
        <f t="shared" ca="1" si="847"/>
        <v>13154.402298989404</v>
      </c>
      <c r="AEC15" s="29">
        <f t="shared" ca="1" si="848"/>
        <v>15405.3847004942</v>
      </c>
      <c r="AED15" s="29">
        <f t="shared" ca="1" si="849"/>
        <v>14644.088847974213</v>
      </c>
      <c r="AEE15" s="29">
        <f t="shared" ca="1" si="850"/>
        <v>15190.248355737878</v>
      </c>
      <c r="AEF15" s="29">
        <f t="shared" ca="1" si="851"/>
        <v>14164.094432950424</v>
      </c>
      <c r="AEG15" s="29">
        <f t="shared" ca="1" si="852"/>
        <v>15473.056040854402</v>
      </c>
      <c r="AEH15" s="29">
        <f t="shared" ca="1" si="853"/>
        <v>14049.900014895229</v>
      </c>
      <c r="AEI15" s="29">
        <f t="shared" ca="1" si="854"/>
        <v>15245.197030776479</v>
      </c>
      <c r="AEJ15" s="29">
        <f t="shared" ca="1" si="855"/>
        <v>14076.782430031677</v>
      </c>
      <c r="AEK15" s="29">
        <f t="shared" ca="1" si="856"/>
        <v>14456.779934477614</v>
      </c>
      <c r="AEL15" s="29">
        <f t="shared" ca="1" si="857"/>
        <v>14080.897941717503</v>
      </c>
      <c r="AEM15" s="29">
        <f t="shared" ca="1" si="858"/>
        <v>14587.785289159892</v>
      </c>
      <c r="AEN15" s="29">
        <f t="shared" ca="1" si="859"/>
        <v>15028.011664185417</v>
      </c>
      <c r="AEO15" s="29">
        <f t="shared" ca="1" si="860"/>
        <v>14330.185908134526</v>
      </c>
      <c r="AEP15" s="29">
        <f t="shared" ca="1" si="861"/>
        <v>14819.391064234827</v>
      </c>
      <c r="AEQ15" s="29">
        <f t="shared" ca="1" si="862"/>
        <v>14787.619995843546</v>
      </c>
      <c r="AER15" s="29">
        <f t="shared" ca="1" si="863"/>
        <v>15475.432060517514</v>
      </c>
      <c r="AES15" s="29">
        <f t="shared" ca="1" si="864"/>
        <v>13768.080745603023</v>
      </c>
      <c r="AET15" s="29">
        <f t="shared" ca="1" si="865"/>
        <v>14808.688882680819</v>
      </c>
      <c r="AEU15" s="29">
        <f t="shared" ca="1" si="866"/>
        <v>13771.332682899976</v>
      </c>
      <c r="AEV15" s="29">
        <f t="shared" ca="1" si="867"/>
        <v>15729.218439772316</v>
      </c>
      <c r="AEW15" s="29">
        <f t="shared" ca="1" si="868"/>
        <v>13816.061435827851</v>
      </c>
      <c r="AEX15" s="29">
        <f t="shared" ca="1" si="869"/>
        <v>13845.826012967387</v>
      </c>
      <c r="AEY15" s="29">
        <f t="shared" ca="1" si="870"/>
        <v>13687.465569035299</v>
      </c>
      <c r="AEZ15" s="29">
        <f t="shared" ca="1" si="871"/>
        <v>13927.363887183286</v>
      </c>
      <c r="AFA15" s="29">
        <f t="shared" ca="1" si="872"/>
        <v>15019.200674403804</v>
      </c>
      <c r="AFB15" s="29">
        <f t="shared" ca="1" si="873"/>
        <v>14216.36776403658</v>
      </c>
      <c r="AFC15" s="29">
        <f t="shared" ca="1" si="874"/>
        <v>14278.962985021546</v>
      </c>
      <c r="AFD15" s="29">
        <f t="shared" ca="1" si="875"/>
        <v>14606.846903971749</v>
      </c>
      <c r="AFE15" s="29">
        <f t="shared" ca="1" si="876"/>
        <v>14967.515945790692</v>
      </c>
      <c r="AFF15" s="29">
        <f t="shared" ca="1" si="877"/>
        <v>14175.362871021562</v>
      </c>
      <c r="AFG15" s="29">
        <f t="shared" ca="1" si="878"/>
        <v>15049.213225330208</v>
      </c>
      <c r="AFH15" s="29">
        <f t="shared" ca="1" si="879"/>
        <v>15115.822704604881</v>
      </c>
      <c r="AFI15" s="29">
        <f t="shared" ca="1" si="880"/>
        <v>14713.664054721405</v>
      </c>
      <c r="AFJ15" s="29">
        <f t="shared" ca="1" si="881"/>
        <v>13824.246739940902</v>
      </c>
      <c r="AFK15" s="29">
        <f t="shared" ca="1" si="882"/>
        <v>13918.081007424726</v>
      </c>
      <c r="AFL15" s="29">
        <f t="shared" ca="1" si="883"/>
        <v>14139.653045034367</v>
      </c>
      <c r="AFM15" s="29">
        <f t="shared" ca="1" si="884"/>
        <v>13978.608557872409</v>
      </c>
      <c r="AFN15" s="29">
        <f t="shared" ca="1" si="885"/>
        <v>14758.374670900967</v>
      </c>
      <c r="AFO15" s="29">
        <f t="shared" ca="1" si="886"/>
        <v>15333.282121976965</v>
      </c>
      <c r="AFP15" s="29">
        <f t="shared" ca="1" si="887"/>
        <v>14749.391694814312</v>
      </c>
      <c r="AFQ15" s="29">
        <f t="shared" ca="1" si="888"/>
        <v>13614.977969465946</v>
      </c>
      <c r="AFR15" s="29">
        <f t="shared" ca="1" si="889"/>
        <v>14835.164656852983</v>
      </c>
      <c r="AFS15" s="29">
        <f t="shared" ca="1" si="890"/>
        <v>14502.462441564154</v>
      </c>
      <c r="AFT15" s="29">
        <f t="shared" ca="1" si="891"/>
        <v>14532.495299584845</v>
      </c>
      <c r="AFU15" s="29">
        <f t="shared" ca="1" si="892"/>
        <v>13835.440612656568</v>
      </c>
      <c r="AFV15" s="29">
        <f t="shared" ca="1" si="893"/>
        <v>14563.377284784025</v>
      </c>
      <c r="AFW15" s="29">
        <f t="shared" ca="1" si="894"/>
        <v>14670.33175349175</v>
      </c>
      <c r="AFX15" s="29">
        <f t="shared" ca="1" si="895"/>
        <v>15307.121691950877</v>
      </c>
      <c r="AFY15" s="29">
        <f t="shared" ca="1" si="896"/>
        <v>14976.774463364472</v>
      </c>
      <c r="AFZ15" s="29">
        <f t="shared" ca="1" si="897"/>
        <v>14606.965993246793</v>
      </c>
      <c r="AGA15" s="29">
        <f t="shared" ca="1" si="898"/>
        <v>14701.07015268991</v>
      </c>
      <c r="AGB15" s="29">
        <f t="shared" ca="1" si="899"/>
        <v>14434.060001693902</v>
      </c>
      <c r="AGC15" s="29">
        <f t="shared" ca="1" si="900"/>
        <v>13904.300445684694</v>
      </c>
      <c r="AGD15" s="29">
        <f t="shared" ca="1" si="901"/>
        <v>15038.155231893288</v>
      </c>
      <c r="AGE15" s="29">
        <f t="shared" ca="1" si="902"/>
        <v>14018.477271502767</v>
      </c>
      <c r="AGF15" s="29">
        <f t="shared" ca="1" si="903"/>
        <v>14588.197662014112</v>
      </c>
      <c r="AGG15" s="29">
        <f t="shared" ca="1" si="904"/>
        <v>13716.872044979873</v>
      </c>
      <c r="AGH15" s="29">
        <f t="shared" ca="1" si="905"/>
        <v>14436.551885924711</v>
      </c>
      <c r="AGI15" s="29">
        <f t="shared" ca="1" si="906"/>
        <v>14123.827489638568</v>
      </c>
      <c r="AGJ15" s="29">
        <f t="shared" ca="1" si="907"/>
        <v>14643.939232188595</v>
      </c>
      <c r="AGK15" s="29">
        <f t="shared" ca="1" si="908"/>
        <v>14737.685882098756</v>
      </c>
      <c r="AGL15" s="29">
        <f t="shared" ca="1" si="909"/>
        <v>14260.719879431532</v>
      </c>
      <c r="AGM15" s="29">
        <f t="shared" ca="1" si="910"/>
        <v>13755.036944634265</v>
      </c>
      <c r="AGN15" s="29">
        <f t="shared" ca="1" si="911"/>
        <v>13941.436026270407</v>
      </c>
      <c r="AGO15" s="29">
        <f t="shared" ca="1" si="912"/>
        <v>15178.264777740276</v>
      </c>
      <c r="AGP15" s="29">
        <f t="shared" ca="1" si="913"/>
        <v>13844.485481244032</v>
      </c>
      <c r="AGQ15" s="29">
        <f t="shared" ca="1" si="914"/>
        <v>14205.710399201158</v>
      </c>
      <c r="AGR15" s="29">
        <f t="shared" ca="1" si="915"/>
        <v>14089.548414450353</v>
      </c>
      <c r="AGS15" s="29">
        <f t="shared" ca="1" si="916"/>
        <v>14439.622678052223</v>
      </c>
      <c r="AGT15" s="29">
        <f t="shared" ca="1" si="917"/>
        <v>13546.556574676557</v>
      </c>
      <c r="AGU15" s="29">
        <f t="shared" ca="1" si="918"/>
        <v>14830.862494953457</v>
      </c>
      <c r="AGV15" s="29">
        <f t="shared" ca="1" si="919"/>
        <v>15083.207743386787</v>
      </c>
      <c r="AGW15" s="29">
        <f t="shared" ca="1" si="920"/>
        <v>15061.189153756608</v>
      </c>
      <c r="AGX15" s="29">
        <f t="shared" ca="1" si="921"/>
        <v>15003.648982731875</v>
      </c>
      <c r="AGY15" s="29">
        <f t="shared" ca="1" si="922"/>
        <v>14342.093365097828</v>
      </c>
      <c r="AGZ15" s="29">
        <f t="shared" ca="1" si="923"/>
        <v>14121.835194436087</v>
      </c>
      <c r="AHA15" s="29">
        <f t="shared" ca="1" si="924"/>
        <v>13896.337481950424</v>
      </c>
      <c r="AHB15" s="29">
        <f t="shared" ca="1" si="925"/>
        <v>13455.031755567776</v>
      </c>
      <c r="AHC15" s="29">
        <f t="shared" ca="1" si="926"/>
        <v>15170.133720924441</v>
      </c>
      <c r="AHD15" s="29">
        <f t="shared" ca="1" si="927"/>
        <v>14744.480366437858</v>
      </c>
      <c r="AHE15" s="29">
        <f t="shared" ca="1" si="928"/>
        <v>15130.040336084938</v>
      </c>
      <c r="AHF15" s="29">
        <f t="shared" ca="1" si="929"/>
        <v>14994.362444178436</v>
      </c>
      <c r="AHG15" s="29">
        <f t="shared" ca="1" si="930"/>
        <v>15228.616206040195</v>
      </c>
      <c r="AHH15" s="29">
        <f t="shared" ca="1" si="931"/>
        <v>15654.050312542056</v>
      </c>
      <c r="AHI15" s="29">
        <f t="shared" ca="1" si="932"/>
        <v>14377.397682030165</v>
      </c>
      <c r="AHJ15" s="29">
        <f t="shared" ca="1" si="933"/>
        <v>13637.817838886916</v>
      </c>
      <c r="AHK15" s="29">
        <f t="shared" ca="1" si="934"/>
        <v>15500.952717424005</v>
      </c>
      <c r="AHL15" s="29">
        <f t="shared" ca="1" si="935"/>
        <v>15002.680468732111</v>
      </c>
      <c r="AHM15" s="29">
        <f t="shared" ca="1" si="936"/>
        <v>15485.031321988225</v>
      </c>
      <c r="AHN15" s="29">
        <f t="shared" ca="1" si="937"/>
        <v>13987.184007412421</v>
      </c>
      <c r="AHO15" s="29">
        <f t="shared" ca="1" si="938"/>
        <v>14967.819144403016</v>
      </c>
      <c r="AHP15" s="29">
        <f t="shared" ca="1" si="939"/>
        <v>14656.769760286354</v>
      </c>
      <c r="AHQ15" s="29">
        <f t="shared" ca="1" si="940"/>
        <v>15363.537127051422</v>
      </c>
      <c r="AHR15" s="29">
        <f t="shared" ca="1" si="941"/>
        <v>14418.769665029169</v>
      </c>
      <c r="AHS15" s="29">
        <f t="shared" ca="1" si="942"/>
        <v>14347.611555264744</v>
      </c>
      <c r="AHT15" s="29">
        <f t="shared" ca="1" si="943"/>
        <v>14508.479666303396</v>
      </c>
      <c r="AHU15" s="29">
        <f t="shared" ca="1" si="944"/>
        <v>14203.534733767448</v>
      </c>
      <c r="AHV15" s="29">
        <f t="shared" ca="1" si="945"/>
        <v>14791.480325460805</v>
      </c>
      <c r="AHW15" s="29">
        <f t="shared" ca="1" si="946"/>
        <v>15218.337262294477</v>
      </c>
      <c r="AHX15" s="29">
        <f t="shared" ca="1" si="947"/>
        <v>15207.532444055612</v>
      </c>
      <c r="AHY15" s="29">
        <f t="shared" ca="1" si="948"/>
        <v>13812.208355451225</v>
      </c>
      <c r="AHZ15" s="29">
        <f t="shared" ca="1" si="949"/>
        <v>13075.214250680034</v>
      </c>
      <c r="AIA15" s="29">
        <f t="shared" ca="1" si="950"/>
        <v>14947.552690154998</v>
      </c>
      <c r="AIB15" s="29">
        <f t="shared" ca="1" si="951"/>
        <v>14374.075227355133</v>
      </c>
      <c r="AIC15" s="29">
        <f t="shared" ca="1" si="952"/>
        <v>14784.270208590735</v>
      </c>
      <c r="AID15" s="29">
        <f t="shared" ca="1" si="953"/>
        <v>14606.269634168089</v>
      </c>
      <c r="AIE15" s="29">
        <f t="shared" ca="1" si="954"/>
        <v>13925.519968872195</v>
      </c>
      <c r="AIF15" s="29">
        <f t="shared" ca="1" si="955"/>
        <v>14464.39345610304</v>
      </c>
      <c r="AIG15" s="29">
        <f t="shared" ca="1" si="956"/>
        <v>14896.043268367552</v>
      </c>
      <c r="AIH15" s="29">
        <f t="shared" ca="1" si="957"/>
        <v>14874.584929022671</v>
      </c>
      <c r="AII15" s="29">
        <f t="shared" ca="1" si="958"/>
        <v>13739.986020334176</v>
      </c>
      <c r="AIJ15" s="29">
        <f t="shared" ca="1" si="959"/>
        <v>13882.7003315242</v>
      </c>
      <c r="AIK15" s="29">
        <f t="shared" ca="1" si="960"/>
        <v>14511.02040512032</v>
      </c>
      <c r="AIL15" s="29">
        <f t="shared" ca="1" si="961"/>
        <v>14189.222550322673</v>
      </c>
      <c r="AIM15" s="29">
        <f t="shared" ca="1" si="962"/>
        <v>14372.679578788911</v>
      </c>
      <c r="AIN15" s="29">
        <f t="shared" ca="1" si="963"/>
        <v>14959.38227180487</v>
      </c>
      <c r="AIO15" s="29">
        <f t="shared" ca="1" si="964"/>
        <v>13765.397593197415</v>
      </c>
      <c r="AIP15" s="29">
        <f t="shared" ca="1" si="965"/>
        <v>14172.871553456825</v>
      </c>
      <c r="AIQ15" s="29">
        <f t="shared" ca="1" si="966"/>
        <v>13288.024144311532</v>
      </c>
      <c r="AIR15" s="29">
        <f t="shared" ca="1" si="967"/>
        <v>13835.795140568438</v>
      </c>
      <c r="AIS15" s="29">
        <f t="shared" ca="1" si="968"/>
        <v>14235.429124222932</v>
      </c>
      <c r="AIT15" s="29">
        <f t="shared" ca="1" si="969"/>
        <v>14130.717761863283</v>
      </c>
      <c r="AIU15" s="29">
        <f t="shared" ca="1" si="970"/>
        <v>13523.530982941604</v>
      </c>
      <c r="AIV15" s="29">
        <f t="shared" ca="1" si="971"/>
        <v>14560.609142070309</v>
      </c>
      <c r="AIW15" s="29">
        <f t="shared" ca="1" si="972"/>
        <v>13698.99868513788</v>
      </c>
      <c r="AIX15" s="29">
        <f t="shared" ca="1" si="973"/>
        <v>14804.096880831901</v>
      </c>
      <c r="AIY15" s="29">
        <f t="shared" ca="1" si="974"/>
        <v>14711.9038605975</v>
      </c>
      <c r="AIZ15" s="29">
        <f t="shared" ca="1" si="975"/>
        <v>14971.817329735397</v>
      </c>
      <c r="AJA15" s="29">
        <f t="shared" ca="1" si="976"/>
        <v>14394.917576150734</v>
      </c>
      <c r="AJB15" s="29">
        <f t="shared" ca="1" si="977"/>
        <v>14611.814907189355</v>
      </c>
      <c r="AJC15" s="29">
        <f t="shared" ca="1" si="978"/>
        <v>14220.287701768906</v>
      </c>
      <c r="AJD15" s="29">
        <f t="shared" ca="1" si="979"/>
        <v>14211.070128795058</v>
      </c>
      <c r="AJE15" s="29">
        <f t="shared" ca="1" si="980"/>
        <v>15200.179309269406</v>
      </c>
      <c r="AJF15" s="29">
        <f t="shared" ca="1" si="981"/>
        <v>14573.793677698217</v>
      </c>
      <c r="AJG15" s="29">
        <f t="shared" ca="1" si="982"/>
        <v>14439.386386403658</v>
      </c>
      <c r="AJH15" s="29">
        <f t="shared" ca="1" si="983"/>
        <v>14377.894541463229</v>
      </c>
      <c r="AJI15" s="29">
        <f t="shared" ca="1" si="984"/>
        <v>15100.705693009082</v>
      </c>
      <c r="AJJ15" s="29">
        <f t="shared" ca="1" si="985"/>
        <v>15318.145193404467</v>
      </c>
      <c r="AJK15" s="29">
        <f t="shared" ca="1" si="986"/>
        <v>14295.317918785338</v>
      </c>
      <c r="AJL15" s="29">
        <f t="shared" ca="1" si="987"/>
        <v>15095.819763796502</v>
      </c>
      <c r="AJM15" s="29">
        <f t="shared" ca="1" si="988"/>
        <v>14153.958440476998</v>
      </c>
      <c r="AJN15" s="29">
        <f t="shared" ca="1" si="989"/>
        <v>14329.943448693999</v>
      </c>
      <c r="AJO15" s="29">
        <f t="shared" ca="1" si="990"/>
        <v>14781.43346583886</v>
      </c>
      <c r="AJP15" s="29">
        <f t="shared" ca="1" si="991"/>
        <v>15542.716528972651</v>
      </c>
      <c r="AJQ15" s="29">
        <f t="shared" ca="1" si="992"/>
        <v>14011.797866477222</v>
      </c>
      <c r="AJR15" s="29">
        <f t="shared" ca="1" si="993"/>
        <v>14785.201559850935</v>
      </c>
      <c r="AJS15" s="29">
        <f t="shared" ca="1" si="994"/>
        <v>14674.013510250306</v>
      </c>
      <c r="AJT15" s="29">
        <f t="shared" ca="1" si="995"/>
        <v>14784.529195079007</v>
      </c>
      <c r="AJU15" s="29">
        <f t="shared" ca="1" si="996"/>
        <v>13787.424879571341</v>
      </c>
      <c r="AJV15" s="29">
        <f t="shared" ca="1" si="997"/>
        <v>14067.793479766206</v>
      </c>
      <c r="AJW15" s="29">
        <f t="shared" ca="1" si="998"/>
        <v>14518.639046123217</v>
      </c>
      <c r="AJX15" s="29">
        <f t="shared" ca="1" si="999"/>
        <v>14808.785317871081</v>
      </c>
      <c r="AJY15" s="29">
        <f t="shared" ca="1" si="1000"/>
        <v>13914.976263257291</v>
      </c>
      <c r="AJZ15" s="29">
        <f t="shared" ca="1" si="1001"/>
        <v>14685.493317053642</v>
      </c>
      <c r="AKA15" s="29">
        <f t="shared" ca="1" si="1002"/>
        <v>15269.056151600666</v>
      </c>
      <c r="AKB15" s="29">
        <f t="shared" ca="1" si="1003"/>
        <v>14534.887938732862</v>
      </c>
      <c r="AKC15" s="29">
        <f t="shared" ca="1" si="1004"/>
        <v>13900.547741218137</v>
      </c>
      <c r="AKD15" s="29">
        <f t="shared" ca="1" si="1005"/>
        <v>15248.192025037386</v>
      </c>
      <c r="AKE15" s="29">
        <f t="shared" ca="1" si="1006"/>
        <v>13454.004904838353</v>
      </c>
      <c r="AKF15" s="29">
        <f t="shared" ca="1" si="1007"/>
        <v>15128.743138543756</v>
      </c>
      <c r="AKG15" s="29">
        <f t="shared" ca="1" si="1008"/>
        <v>14318.779910384032</v>
      </c>
      <c r="AKH15" s="29">
        <f t="shared" ca="1" si="1009"/>
        <v>14544.235484025496</v>
      </c>
      <c r="AKI15" s="29">
        <f t="shared" ca="1" si="1010"/>
        <v>14505.085849025616</v>
      </c>
      <c r="AKJ15" s="29">
        <f t="shared" ca="1" si="1011"/>
        <v>14136.057145226536</v>
      </c>
      <c r="AKK15" s="29">
        <f t="shared" ca="1" si="1012"/>
        <v>15742.57411804629</v>
      </c>
      <c r="AKL15" s="29">
        <f t="shared" ca="1" si="1013"/>
        <v>14663.290484029987</v>
      </c>
      <c r="AKM15" s="29">
        <f t="shared" ca="1" si="1014"/>
        <v>14289.867142911662</v>
      </c>
      <c r="AKN15" s="29">
        <f t="shared" ca="1" si="1015"/>
        <v>14630.075826141305</v>
      </c>
      <c r="AKO15" s="29">
        <f t="shared" ca="1" si="1016"/>
        <v>14305.710869807723</v>
      </c>
      <c r="AKP15" s="29">
        <f t="shared" ca="1" si="1017"/>
        <v>15800.174632256379</v>
      </c>
      <c r="AKQ15" s="29">
        <f t="shared" ca="1" si="1018"/>
        <v>13392.655632275135</v>
      </c>
      <c r="AKR15" s="29">
        <f t="shared" ca="1" si="1019"/>
        <v>14308.587831925237</v>
      </c>
      <c r="AKS15" s="29">
        <f t="shared" ca="1" si="1020"/>
        <v>15228.081740874644</v>
      </c>
      <c r="AKT15" s="29">
        <f t="shared" ca="1" si="1021"/>
        <v>14850.215142108615</v>
      </c>
      <c r="AKU15" s="29">
        <f t="shared" ca="1" si="1022"/>
        <v>14249.201556319793</v>
      </c>
      <c r="AKV15" s="29">
        <f t="shared" ca="1" si="1023"/>
        <v>13027.201773141318</v>
      </c>
      <c r="AKW15" s="29">
        <f t="shared" ca="1" si="1024"/>
        <v>14217.910561634404</v>
      </c>
      <c r="AKX15" s="29">
        <f t="shared" ca="1" si="1025"/>
        <v>14823.633460403111</v>
      </c>
      <c r="AKY15" s="29">
        <f t="shared" ca="1" si="1026"/>
        <v>14935.34954351761</v>
      </c>
      <c r="AKZ15" s="29">
        <f t="shared" ca="1" si="1027"/>
        <v>14175.860592701132</v>
      </c>
      <c r="ALA15" s="29">
        <f t="shared" ca="1" si="1028"/>
        <v>14569.785145214457</v>
      </c>
      <c r="ALB15" s="29">
        <f t="shared" ca="1" si="1029"/>
        <v>15371.974184706402</v>
      </c>
      <c r="ALC15" s="29">
        <f t="shared" ca="1" si="1030"/>
        <v>14597.4588056091</v>
      </c>
      <c r="ALD15" s="29">
        <f t="shared" ca="1" si="1031"/>
        <v>15442.477595098208</v>
      </c>
      <c r="ALE15" s="29">
        <f t="shared" ca="1" si="1032"/>
        <v>14025.024734929915</v>
      </c>
      <c r="ALF15" s="29">
        <f t="shared" ca="1" si="1033"/>
        <v>13243.89485409081</v>
      </c>
      <c r="ALG15" s="29">
        <f t="shared" ca="1" si="1034"/>
        <v>14582.793021326946</v>
      </c>
      <c r="ALH15" s="29">
        <f t="shared" ca="1" si="1035"/>
        <v>14543.656370153934</v>
      </c>
      <c r="ALI15" s="29">
        <f t="shared" ca="1" si="1036"/>
        <v>14441.966027849603</v>
      </c>
      <c r="ALJ15" s="29">
        <f t="shared" ca="1" si="1037"/>
        <v>14822.966265668087</v>
      </c>
      <c r="ALK15" s="29">
        <f t="shared" ca="1" si="1038"/>
        <v>14290.116084222103</v>
      </c>
      <c r="ALL15" s="29">
        <f t="shared" ca="1" si="1039"/>
        <v>14119.464622999492</v>
      </c>
      <c r="ALM15" s="29">
        <f t="shared" ca="1" si="1040"/>
        <v>13396.963342753646</v>
      </c>
      <c r="ALN15" s="29">
        <f t="shared" ca="1" si="1041"/>
        <v>14295.287807755562</v>
      </c>
      <c r="ALO15" s="29">
        <f t="shared" ca="1" si="1042"/>
        <v>13730.083328907345</v>
      </c>
      <c r="ALP15" s="29">
        <f t="shared" ca="1" si="1043"/>
        <v>14356.960105059141</v>
      </c>
      <c r="ALQ15" s="29">
        <f t="shared" ca="1" si="1044"/>
        <v>15533.705156649828</v>
      </c>
      <c r="ALR15" s="29">
        <f t="shared" ca="1" si="1045"/>
        <v>14259.48509580206</v>
      </c>
      <c r="ALS15" s="29">
        <f t="shared" ca="1" si="1046"/>
        <v>13831.342857576517</v>
      </c>
      <c r="ALT15" s="29">
        <f t="shared" ca="1" si="1047"/>
        <v>14186.795571701903</v>
      </c>
      <c r="ALU15" s="29">
        <f t="shared" ca="1" si="1048"/>
        <v>14927.060611202856</v>
      </c>
      <c r="ALV15" s="29">
        <f t="shared" ca="1" si="1049"/>
        <v>14028.463368693561</v>
      </c>
    </row>
    <row r="16" spans="1:1258" x14ac:dyDescent="0.25">
      <c r="A16" s="1">
        <v>40497</v>
      </c>
      <c r="B16" s="2">
        <v>6121.6000979999999</v>
      </c>
      <c r="C16" s="16">
        <f t="shared" si="32"/>
        <v>8.1931356150137229E-3</v>
      </c>
      <c r="J16" s="29">
        <f t="shared" si="49"/>
        <v>13</v>
      </c>
      <c r="K16" s="29">
        <f t="shared" ca="1" si="50"/>
        <v>14892.582515694232</v>
      </c>
      <c r="L16" s="29">
        <f t="shared" ca="1" si="51"/>
        <v>14067.740271983403</v>
      </c>
      <c r="M16" s="29">
        <f t="shared" ca="1" si="52"/>
        <v>15012.41058983903</v>
      </c>
      <c r="N16" s="29">
        <f t="shared" ca="1" si="53"/>
        <v>13520.912901387233</v>
      </c>
      <c r="O16" s="29">
        <f t="shared" ca="1" si="54"/>
        <v>14714.066655734443</v>
      </c>
      <c r="P16" s="29">
        <f t="shared" ca="1" si="55"/>
        <v>15103.376825379186</v>
      </c>
      <c r="Q16" s="29">
        <f t="shared" ca="1" si="56"/>
        <v>13329.323539917727</v>
      </c>
      <c r="R16" s="29">
        <f t="shared" ca="1" si="57"/>
        <v>14121.184800534154</v>
      </c>
      <c r="S16" s="29">
        <f t="shared" ca="1" si="58"/>
        <v>14445.603171760602</v>
      </c>
      <c r="T16" s="29">
        <f t="shared" ca="1" si="59"/>
        <v>15456.707946094357</v>
      </c>
      <c r="U16" s="29">
        <f t="shared" ca="1" si="60"/>
        <v>14878.109308768944</v>
      </c>
      <c r="V16" s="29">
        <f t="shared" ca="1" si="61"/>
        <v>14078.43815856873</v>
      </c>
      <c r="W16" s="29">
        <f t="shared" ca="1" si="62"/>
        <v>14226.820642014993</v>
      </c>
      <c r="X16" s="29">
        <f t="shared" ca="1" si="63"/>
        <v>15268.090006330998</v>
      </c>
      <c r="Y16" s="29">
        <f t="shared" ca="1" si="64"/>
        <v>14651.930345924115</v>
      </c>
      <c r="Z16" s="29">
        <f t="shared" ca="1" si="65"/>
        <v>13815.162310359714</v>
      </c>
      <c r="AA16" s="29">
        <f t="shared" ca="1" si="66"/>
        <v>14882.030033561708</v>
      </c>
      <c r="AB16" s="29">
        <f t="shared" ca="1" si="67"/>
        <v>15387.646678309897</v>
      </c>
      <c r="AC16" s="29">
        <f t="shared" ca="1" si="68"/>
        <v>15714.00998358327</v>
      </c>
      <c r="AD16" s="29">
        <f t="shared" ca="1" si="69"/>
        <v>14453.849305369455</v>
      </c>
      <c r="AE16" s="29">
        <f t="shared" ca="1" si="70"/>
        <v>15223.170284771419</v>
      </c>
      <c r="AF16" s="29">
        <f t="shared" ca="1" si="71"/>
        <v>15022.07789707675</v>
      </c>
      <c r="AG16" s="29">
        <f t="shared" ca="1" si="72"/>
        <v>13488.645953327219</v>
      </c>
      <c r="AH16" s="29">
        <f t="shared" ca="1" si="73"/>
        <v>14811.306033050541</v>
      </c>
      <c r="AI16" s="29">
        <f t="shared" ca="1" si="74"/>
        <v>14649.910278757487</v>
      </c>
      <c r="AJ16" s="29">
        <f t="shared" ca="1" si="75"/>
        <v>14867.450416681877</v>
      </c>
      <c r="AK16" s="29">
        <f t="shared" ca="1" si="76"/>
        <v>13448.647678506421</v>
      </c>
      <c r="AL16" s="29">
        <f t="shared" ca="1" si="77"/>
        <v>14619.179626787132</v>
      </c>
      <c r="AM16" s="29">
        <f t="shared" ca="1" si="78"/>
        <v>14978.205317812159</v>
      </c>
      <c r="AN16" s="29">
        <f t="shared" ca="1" si="79"/>
        <v>14721.438937025445</v>
      </c>
      <c r="AO16" s="29">
        <f t="shared" ca="1" si="80"/>
        <v>14744.701390707174</v>
      </c>
      <c r="AP16" s="29">
        <f t="shared" ca="1" si="81"/>
        <v>14389.214020563279</v>
      </c>
      <c r="AQ16" s="29">
        <f t="shared" ca="1" si="82"/>
        <v>15207.217184302734</v>
      </c>
      <c r="AR16" s="29">
        <f t="shared" ca="1" si="83"/>
        <v>14509.236890621949</v>
      </c>
      <c r="AS16" s="29">
        <f t="shared" ca="1" si="84"/>
        <v>13290.777885543719</v>
      </c>
      <c r="AT16" s="29">
        <f t="shared" ca="1" si="85"/>
        <v>14491.621379191647</v>
      </c>
      <c r="AU16" s="29">
        <f t="shared" ca="1" si="86"/>
        <v>14284.652860640539</v>
      </c>
      <c r="AV16" s="29">
        <f t="shared" ca="1" si="87"/>
        <v>14541.427388230166</v>
      </c>
      <c r="AW16" s="29">
        <f t="shared" ca="1" si="88"/>
        <v>15260.859329970004</v>
      </c>
      <c r="AX16" s="29">
        <f t="shared" ca="1" si="89"/>
        <v>13596.058736384763</v>
      </c>
      <c r="AY16" s="29">
        <f t="shared" ca="1" si="90"/>
        <v>13973.339792108274</v>
      </c>
      <c r="AZ16" s="29">
        <f t="shared" ca="1" si="91"/>
        <v>14256.5958725624</v>
      </c>
      <c r="BA16" s="29">
        <f t="shared" ca="1" si="92"/>
        <v>14780.014176419545</v>
      </c>
      <c r="BB16" s="29">
        <f t="shared" ca="1" si="93"/>
        <v>13355.392126224806</v>
      </c>
      <c r="BC16" s="29">
        <f t="shared" ca="1" si="94"/>
        <v>13508.030534802219</v>
      </c>
      <c r="BD16" s="29">
        <f t="shared" ca="1" si="95"/>
        <v>14187.160620227449</v>
      </c>
      <c r="BE16" s="29">
        <f t="shared" ca="1" si="96"/>
        <v>15077.680535812186</v>
      </c>
      <c r="BF16" s="29">
        <f t="shared" ca="1" si="97"/>
        <v>15371.055038252038</v>
      </c>
      <c r="BG16" s="29">
        <f t="shared" ca="1" si="98"/>
        <v>13525.268632934423</v>
      </c>
      <c r="BH16" s="29">
        <f t="shared" ca="1" si="99"/>
        <v>15057.16656739913</v>
      </c>
      <c r="BI16" s="29">
        <f t="shared" ca="1" si="100"/>
        <v>14688.398150279414</v>
      </c>
      <c r="BJ16" s="29">
        <f t="shared" ca="1" si="101"/>
        <v>14010.924843742438</v>
      </c>
      <c r="BK16" s="29">
        <f t="shared" ca="1" si="102"/>
        <v>13850.402039626922</v>
      </c>
      <c r="BL16" s="29">
        <f t="shared" ca="1" si="103"/>
        <v>14456.271977705417</v>
      </c>
      <c r="BM16" s="29">
        <f t="shared" ca="1" si="104"/>
        <v>14166.972836174267</v>
      </c>
      <c r="BN16" s="29">
        <f t="shared" ca="1" si="105"/>
        <v>15121.526181750851</v>
      </c>
      <c r="BO16" s="29">
        <f t="shared" ca="1" si="106"/>
        <v>14498.891844497735</v>
      </c>
      <c r="BP16" s="29">
        <f t="shared" ca="1" si="107"/>
        <v>14863.570661601445</v>
      </c>
      <c r="BQ16" s="29">
        <f t="shared" ca="1" si="108"/>
        <v>14571.115089085903</v>
      </c>
      <c r="BR16" s="29">
        <f t="shared" ca="1" si="109"/>
        <v>13387.00058058473</v>
      </c>
      <c r="BS16" s="29">
        <f t="shared" ca="1" si="110"/>
        <v>15449.987752649513</v>
      </c>
      <c r="BT16" s="29">
        <f t="shared" ca="1" si="111"/>
        <v>14179.045914142016</v>
      </c>
      <c r="BU16" s="29">
        <f t="shared" ca="1" si="112"/>
        <v>14047.913613747854</v>
      </c>
      <c r="BV16" s="29">
        <f t="shared" ca="1" si="113"/>
        <v>15576.154865365563</v>
      </c>
      <c r="BW16" s="29">
        <f t="shared" ca="1" si="114"/>
        <v>14654.763742984234</v>
      </c>
      <c r="BX16" s="29">
        <f t="shared" ca="1" si="115"/>
        <v>14772.202113851716</v>
      </c>
      <c r="BY16" s="29">
        <f t="shared" ca="1" si="116"/>
        <v>14696.238258147016</v>
      </c>
      <c r="BZ16" s="29">
        <f t="shared" ca="1" si="117"/>
        <v>13820.479884949485</v>
      </c>
      <c r="CA16" s="29">
        <f t="shared" ca="1" si="118"/>
        <v>14858.560745806848</v>
      </c>
      <c r="CB16" s="29">
        <f t="shared" ca="1" si="119"/>
        <v>15889.52086859844</v>
      </c>
      <c r="CC16" s="29">
        <f t="shared" ca="1" si="120"/>
        <v>13621.17231440507</v>
      </c>
      <c r="CD16" s="29">
        <f t="shared" ca="1" si="121"/>
        <v>14611.565457803381</v>
      </c>
      <c r="CE16" s="29">
        <f t="shared" ca="1" si="122"/>
        <v>15986.888258575105</v>
      </c>
      <c r="CF16" s="29">
        <f t="shared" ca="1" si="123"/>
        <v>15034.126178252771</v>
      </c>
      <c r="CG16" s="29">
        <f t="shared" ca="1" si="124"/>
        <v>14384.780757945962</v>
      </c>
      <c r="CH16" s="29">
        <f t="shared" ca="1" si="125"/>
        <v>15109.852597972622</v>
      </c>
      <c r="CI16" s="29">
        <f t="shared" ca="1" si="126"/>
        <v>14844.005066748146</v>
      </c>
      <c r="CJ16" s="29">
        <f t="shared" ca="1" si="127"/>
        <v>14600.610090283746</v>
      </c>
      <c r="CK16" s="29">
        <f t="shared" ca="1" si="128"/>
        <v>14208.191330561227</v>
      </c>
      <c r="CL16" s="29">
        <f t="shared" ca="1" si="129"/>
        <v>14516.99029153943</v>
      </c>
      <c r="CM16" s="29">
        <f t="shared" ca="1" si="130"/>
        <v>14542.975150066379</v>
      </c>
      <c r="CN16" s="29">
        <f t="shared" ca="1" si="131"/>
        <v>14072.072788708894</v>
      </c>
      <c r="CO16" s="29">
        <f t="shared" ca="1" si="132"/>
        <v>15197.619720134004</v>
      </c>
      <c r="CP16" s="29">
        <f t="shared" ca="1" si="133"/>
        <v>14313.799335165982</v>
      </c>
      <c r="CQ16" s="29">
        <f t="shared" ca="1" si="134"/>
        <v>13829.618307555413</v>
      </c>
      <c r="CR16" s="29">
        <f t="shared" ca="1" si="135"/>
        <v>13900.047864618038</v>
      </c>
      <c r="CS16" s="29">
        <f t="shared" ca="1" si="136"/>
        <v>13512.808128334391</v>
      </c>
      <c r="CT16" s="29">
        <f t="shared" ca="1" si="137"/>
        <v>14636.38823070121</v>
      </c>
      <c r="CU16" s="29">
        <f t="shared" ca="1" si="138"/>
        <v>14335.948531391514</v>
      </c>
      <c r="CV16" s="29">
        <f t="shared" ca="1" si="139"/>
        <v>13597.876599908341</v>
      </c>
      <c r="CW16" s="29">
        <f t="shared" ca="1" si="140"/>
        <v>14164.116743889133</v>
      </c>
      <c r="CX16" s="29">
        <f t="shared" ca="1" si="141"/>
        <v>13600.858420681117</v>
      </c>
      <c r="CY16" s="29">
        <f t="shared" ca="1" si="142"/>
        <v>14946.68723841385</v>
      </c>
      <c r="CZ16" s="29">
        <f t="shared" ca="1" si="143"/>
        <v>12826.661563853009</v>
      </c>
      <c r="DA16" s="29">
        <f t="shared" ca="1" si="144"/>
        <v>14718.073369083993</v>
      </c>
      <c r="DB16" s="29">
        <f t="shared" ca="1" si="145"/>
        <v>15725.323784020873</v>
      </c>
      <c r="DC16" s="29">
        <f t="shared" ca="1" si="146"/>
        <v>15202.327021424575</v>
      </c>
      <c r="DD16" s="29">
        <f t="shared" ca="1" si="147"/>
        <v>13430.082785590001</v>
      </c>
      <c r="DE16" s="29">
        <f t="shared" ca="1" si="148"/>
        <v>14351.198627086942</v>
      </c>
      <c r="DF16" s="29">
        <f t="shared" ca="1" si="149"/>
        <v>14191.102448296804</v>
      </c>
      <c r="DG16" s="29">
        <f t="shared" ca="1" si="150"/>
        <v>14493.033733251541</v>
      </c>
      <c r="DH16" s="29">
        <f t="shared" ca="1" si="151"/>
        <v>13674.819383527194</v>
      </c>
      <c r="DI16" s="29">
        <f t="shared" ca="1" si="152"/>
        <v>14931.181186863856</v>
      </c>
      <c r="DJ16" s="29">
        <f t="shared" ca="1" si="153"/>
        <v>14811.486263682416</v>
      </c>
      <c r="DK16" s="29">
        <f t="shared" ca="1" si="154"/>
        <v>13941.780704362322</v>
      </c>
      <c r="DL16" s="29">
        <f t="shared" ca="1" si="155"/>
        <v>14913.419702336738</v>
      </c>
      <c r="DM16" s="29">
        <f t="shared" ca="1" si="156"/>
        <v>14340.264142170552</v>
      </c>
      <c r="DN16" s="29">
        <f t="shared" ca="1" si="157"/>
        <v>14911.510945841419</v>
      </c>
      <c r="DO16" s="29">
        <f t="shared" ca="1" si="158"/>
        <v>13910.190204617782</v>
      </c>
      <c r="DP16" s="29">
        <f t="shared" ca="1" si="159"/>
        <v>14288.689052781539</v>
      </c>
      <c r="DQ16" s="29">
        <f t="shared" ca="1" si="160"/>
        <v>14710.436969778179</v>
      </c>
      <c r="DR16" s="29">
        <f t="shared" ca="1" si="161"/>
        <v>13192.421660244809</v>
      </c>
      <c r="DS16" s="29">
        <f t="shared" ca="1" si="162"/>
        <v>15308.916144616403</v>
      </c>
      <c r="DT16" s="29">
        <f t="shared" ca="1" si="163"/>
        <v>14176.282204225985</v>
      </c>
      <c r="DU16" s="29">
        <f t="shared" ca="1" si="164"/>
        <v>14426.413640969395</v>
      </c>
      <c r="DV16" s="29">
        <f t="shared" ca="1" si="165"/>
        <v>14306.636198465223</v>
      </c>
      <c r="DW16" s="29">
        <f t="shared" ca="1" si="166"/>
        <v>14597.692338597293</v>
      </c>
      <c r="DX16" s="29">
        <f t="shared" ca="1" si="167"/>
        <v>14045.607609586414</v>
      </c>
      <c r="DY16" s="29">
        <f t="shared" ca="1" si="168"/>
        <v>14469.749927213374</v>
      </c>
      <c r="DZ16" s="29">
        <f t="shared" ca="1" si="169"/>
        <v>14511.616323410601</v>
      </c>
      <c r="EA16" s="29">
        <f t="shared" ca="1" si="170"/>
        <v>14042.381474788992</v>
      </c>
      <c r="EB16" s="29">
        <f t="shared" ca="1" si="171"/>
        <v>13587.258269114835</v>
      </c>
      <c r="EC16" s="29">
        <f t="shared" ca="1" si="172"/>
        <v>14728.242385528609</v>
      </c>
      <c r="ED16" s="29">
        <f t="shared" ca="1" si="173"/>
        <v>15349.419363456764</v>
      </c>
      <c r="EE16" s="29">
        <f t="shared" ca="1" si="174"/>
        <v>14201.748255573893</v>
      </c>
      <c r="EF16" s="29">
        <f t="shared" ca="1" si="175"/>
        <v>15029.059157837328</v>
      </c>
      <c r="EG16" s="29">
        <f t="shared" ca="1" si="176"/>
        <v>14803.905435083167</v>
      </c>
      <c r="EH16" s="29">
        <f t="shared" ca="1" si="177"/>
        <v>13958.770860809444</v>
      </c>
      <c r="EI16" s="29">
        <f t="shared" ca="1" si="178"/>
        <v>14447.270873157377</v>
      </c>
      <c r="EJ16" s="29">
        <f t="shared" ca="1" si="179"/>
        <v>14418.967142549938</v>
      </c>
      <c r="EK16" s="29">
        <f t="shared" ca="1" si="180"/>
        <v>14720.082114647426</v>
      </c>
      <c r="EL16" s="29">
        <f t="shared" ca="1" si="181"/>
        <v>14116.432421447789</v>
      </c>
      <c r="EM16" s="29">
        <f t="shared" ca="1" si="182"/>
        <v>13816.717580792696</v>
      </c>
      <c r="EN16" s="29">
        <f t="shared" ca="1" si="183"/>
        <v>14476.032592860876</v>
      </c>
      <c r="EO16" s="29">
        <f t="shared" ca="1" si="184"/>
        <v>14196.818033779859</v>
      </c>
      <c r="EP16" s="29">
        <f t="shared" ca="1" si="185"/>
        <v>14533.255396925166</v>
      </c>
      <c r="EQ16" s="29">
        <f t="shared" ca="1" si="186"/>
        <v>14792.562132008145</v>
      </c>
      <c r="ER16" s="29">
        <f t="shared" ca="1" si="187"/>
        <v>13813.068554246951</v>
      </c>
      <c r="ES16" s="29">
        <f t="shared" ca="1" si="188"/>
        <v>14444.50009334306</v>
      </c>
      <c r="ET16" s="29">
        <f t="shared" ca="1" si="189"/>
        <v>14330.769415627909</v>
      </c>
      <c r="EU16" s="29">
        <f t="shared" ca="1" si="190"/>
        <v>14456.073594924188</v>
      </c>
      <c r="EV16" s="29">
        <f t="shared" ca="1" si="191"/>
        <v>14866.790743357804</v>
      </c>
      <c r="EW16" s="29">
        <f t="shared" ca="1" si="192"/>
        <v>14119.641252359988</v>
      </c>
      <c r="EX16" s="29">
        <f t="shared" ca="1" si="193"/>
        <v>15059.486548600429</v>
      </c>
      <c r="EY16" s="29">
        <f t="shared" ca="1" si="194"/>
        <v>14101.579448439059</v>
      </c>
      <c r="EZ16" s="29">
        <f t="shared" ca="1" si="195"/>
        <v>14636.308118328734</v>
      </c>
      <c r="FA16" s="29">
        <f t="shared" ca="1" si="196"/>
        <v>14702.870778703536</v>
      </c>
      <c r="FB16" s="29">
        <f t="shared" ca="1" si="197"/>
        <v>15578.951330772084</v>
      </c>
      <c r="FC16" s="29">
        <f t="shared" ca="1" si="198"/>
        <v>15035.984640923603</v>
      </c>
      <c r="FD16" s="29">
        <f t="shared" ca="1" si="199"/>
        <v>14101.256979398062</v>
      </c>
      <c r="FE16" s="29">
        <f t="shared" ca="1" si="200"/>
        <v>14958.041473520099</v>
      </c>
      <c r="FF16" s="29">
        <f t="shared" ca="1" si="201"/>
        <v>14755.670150816679</v>
      </c>
      <c r="FG16" s="29">
        <f t="shared" ca="1" si="202"/>
        <v>13785.688119717996</v>
      </c>
      <c r="FH16" s="29">
        <f t="shared" ca="1" si="203"/>
        <v>13575.432664016747</v>
      </c>
      <c r="FI16" s="29">
        <f t="shared" ca="1" si="204"/>
        <v>14168.522924711333</v>
      </c>
      <c r="FJ16" s="29">
        <f t="shared" ca="1" si="205"/>
        <v>14403.964461812982</v>
      </c>
      <c r="FK16" s="29">
        <f t="shared" ca="1" si="206"/>
        <v>14927.695118446603</v>
      </c>
      <c r="FL16" s="29">
        <f t="shared" ca="1" si="207"/>
        <v>14205.006907000796</v>
      </c>
      <c r="FM16" s="29">
        <f t="shared" ca="1" si="208"/>
        <v>14359.640780050398</v>
      </c>
      <c r="FN16" s="29">
        <f t="shared" ca="1" si="209"/>
        <v>13589.116311244979</v>
      </c>
      <c r="FO16" s="29">
        <f t="shared" ca="1" si="210"/>
        <v>14035.24537142133</v>
      </c>
      <c r="FP16" s="29">
        <f t="shared" ca="1" si="211"/>
        <v>13400.521290376564</v>
      </c>
      <c r="FQ16" s="29">
        <f t="shared" ca="1" si="212"/>
        <v>14246.212803766635</v>
      </c>
      <c r="FR16" s="29">
        <f t="shared" ca="1" si="213"/>
        <v>14829.709781283074</v>
      </c>
      <c r="FS16" s="29">
        <f t="shared" ca="1" si="214"/>
        <v>15288.889214904908</v>
      </c>
      <c r="FT16" s="29">
        <f t="shared" ca="1" si="215"/>
        <v>14384.029904377754</v>
      </c>
      <c r="FU16" s="29">
        <f t="shared" ca="1" si="216"/>
        <v>14152.971670204131</v>
      </c>
      <c r="FV16" s="29">
        <f t="shared" ca="1" si="217"/>
        <v>14680.420696953028</v>
      </c>
      <c r="FW16" s="29">
        <f t="shared" ca="1" si="218"/>
        <v>14290.530553160555</v>
      </c>
      <c r="FX16" s="29">
        <f t="shared" ca="1" si="219"/>
        <v>15429.723000573102</v>
      </c>
      <c r="FY16" s="29">
        <f t="shared" ca="1" si="220"/>
        <v>14337.606430630842</v>
      </c>
      <c r="FZ16" s="29">
        <f t="shared" ca="1" si="221"/>
        <v>13535.181169260803</v>
      </c>
      <c r="GA16" s="29">
        <f t="shared" ca="1" si="222"/>
        <v>14153.892521682807</v>
      </c>
      <c r="GB16" s="29">
        <f t="shared" ca="1" si="223"/>
        <v>15933.846070982789</v>
      </c>
      <c r="GC16" s="29">
        <f t="shared" ca="1" si="224"/>
        <v>15268.996727649843</v>
      </c>
      <c r="GD16" s="29">
        <f t="shared" ca="1" si="225"/>
        <v>14963.365852444989</v>
      </c>
      <c r="GE16" s="29">
        <f t="shared" ca="1" si="226"/>
        <v>14383.071435906302</v>
      </c>
      <c r="GF16" s="29">
        <f t="shared" ca="1" si="227"/>
        <v>14680.321629604705</v>
      </c>
      <c r="GG16" s="29">
        <f t="shared" ca="1" si="228"/>
        <v>14425.08773203895</v>
      </c>
      <c r="GH16" s="29">
        <f t="shared" ca="1" si="229"/>
        <v>14260.107437713204</v>
      </c>
      <c r="GI16" s="29">
        <f t="shared" ca="1" si="230"/>
        <v>14010.631073283495</v>
      </c>
      <c r="GJ16" s="29">
        <f t="shared" ca="1" si="231"/>
        <v>14081.535675406878</v>
      </c>
      <c r="GK16" s="29">
        <f t="shared" ca="1" si="232"/>
        <v>14026.331817854036</v>
      </c>
      <c r="GL16" s="29">
        <f t="shared" ca="1" si="233"/>
        <v>14061.223820146864</v>
      </c>
      <c r="GM16" s="29">
        <f t="shared" ca="1" si="234"/>
        <v>14061.692357554442</v>
      </c>
      <c r="GN16" s="29">
        <f t="shared" ca="1" si="235"/>
        <v>13800.048590508197</v>
      </c>
      <c r="GO16" s="29">
        <f t="shared" ca="1" si="236"/>
        <v>13697.74460330179</v>
      </c>
      <c r="GP16" s="29">
        <f t="shared" ca="1" si="237"/>
        <v>15819.124269460681</v>
      </c>
      <c r="GQ16" s="29">
        <f t="shared" ca="1" si="238"/>
        <v>14666.280590007182</v>
      </c>
      <c r="GR16" s="29">
        <f t="shared" ca="1" si="239"/>
        <v>13906.32867721535</v>
      </c>
      <c r="GS16" s="29">
        <f t="shared" ca="1" si="240"/>
        <v>14351.30114068693</v>
      </c>
      <c r="GT16" s="29">
        <f t="shared" ca="1" si="241"/>
        <v>14059.966338165577</v>
      </c>
      <c r="GU16" s="29">
        <f t="shared" ca="1" si="242"/>
        <v>13939.066458471667</v>
      </c>
      <c r="GV16" s="29">
        <f t="shared" ca="1" si="243"/>
        <v>14799.580157898255</v>
      </c>
      <c r="GW16" s="29">
        <f t="shared" ca="1" si="244"/>
        <v>13795.280604273852</v>
      </c>
      <c r="GX16" s="29">
        <f t="shared" ca="1" si="245"/>
        <v>13916.846464423295</v>
      </c>
      <c r="GY16" s="29">
        <f t="shared" ca="1" si="246"/>
        <v>14884.892578732424</v>
      </c>
      <c r="GZ16" s="29">
        <f t="shared" ca="1" si="247"/>
        <v>14663.761965442734</v>
      </c>
      <c r="HA16" s="29">
        <f t="shared" ca="1" si="248"/>
        <v>15395.786758321143</v>
      </c>
      <c r="HB16" s="29">
        <f t="shared" ca="1" si="249"/>
        <v>13982.201591161152</v>
      </c>
      <c r="HC16" s="29">
        <f t="shared" ca="1" si="250"/>
        <v>14907.586365802921</v>
      </c>
      <c r="HD16" s="29">
        <f t="shared" ca="1" si="251"/>
        <v>13633.056104749558</v>
      </c>
      <c r="HE16" s="29">
        <f t="shared" ca="1" si="252"/>
        <v>15309.736960744574</v>
      </c>
      <c r="HF16" s="29">
        <f t="shared" ca="1" si="253"/>
        <v>13987.442956751074</v>
      </c>
      <c r="HG16" s="29">
        <f t="shared" ca="1" si="254"/>
        <v>13840.553223674679</v>
      </c>
      <c r="HH16" s="29">
        <f t="shared" ca="1" si="255"/>
        <v>13198.660249616323</v>
      </c>
      <c r="HI16" s="29">
        <f t="shared" ca="1" si="256"/>
        <v>14093.811333768968</v>
      </c>
      <c r="HJ16" s="29">
        <f t="shared" ca="1" si="257"/>
        <v>14063.875175246301</v>
      </c>
      <c r="HK16" s="29">
        <f t="shared" ca="1" si="258"/>
        <v>15390.669883101853</v>
      </c>
      <c r="HL16" s="29">
        <f t="shared" ca="1" si="259"/>
        <v>15236.326443315662</v>
      </c>
      <c r="HM16" s="29">
        <f t="shared" ca="1" si="260"/>
        <v>14230.579567796583</v>
      </c>
      <c r="HN16" s="29">
        <f t="shared" ca="1" si="261"/>
        <v>13784.161670388365</v>
      </c>
      <c r="HO16" s="29">
        <f t="shared" ca="1" si="262"/>
        <v>15296.546706020925</v>
      </c>
      <c r="HP16" s="29">
        <f t="shared" ca="1" si="263"/>
        <v>13419.929203270884</v>
      </c>
      <c r="HQ16" s="29">
        <f t="shared" ca="1" si="264"/>
        <v>14484.20203798603</v>
      </c>
      <c r="HR16" s="29">
        <f t="shared" ca="1" si="265"/>
        <v>15124.717358901255</v>
      </c>
      <c r="HS16" s="29">
        <f t="shared" ca="1" si="266"/>
        <v>14767.115414189147</v>
      </c>
      <c r="HT16" s="29">
        <f t="shared" ca="1" si="267"/>
        <v>14930.708414311042</v>
      </c>
      <c r="HU16" s="29">
        <f t="shared" ca="1" si="268"/>
        <v>14441.709778202452</v>
      </c>
      <c r="HV16" s="29">
        <f t="shared" ca="1" si="269"/>
        <v>14829.408726228488</v>
      </c>
      <c r="HW16" s="29">
        <f t="shared" ca="1" si="270"/>
        <v>14544.743537701936</v>
      </c>
      <c r="HX16" s="29">
        <f t="shared" ca="1" si="271"/>
        <v>14858.824754239975</v>
      </c>
      <c r="HY16" s="29">
        <f t="shared" ca="1" si="272"/>
        <v>14515.791996196655</v>
      </c>
      <c r="HZ16" s="29">
        <f t="shared" ca="1" si="273"/>
        <v>14134.842840254621</v>
      </c>
      <c r="IA16" s="29">
        <f t="shared" ca="1" si="274"/>
        <v>15110.625710732391</v>
      </c>
      <c r="IB16" s="29">
        <f t="shared" ca="1" si="275"/>
        <v>15259.097834178561</v>
      </c>
      <c r="IC16" s="29">
        <f t="shared" ca="1" si="276"/>
        <v>13627.733281659806</v>
      </c>
      <c r="ID16" s="29">
        <f t="shared" ca="1" si="277"/>
        <v>14527.139035046483</v>
      </c>
      <c r="IE16" s="29">
        <f t="shared" ca="1" si="278"/>
        <v>12773.603057144315</v>
      </c>
      <c r="IF16" s="29">
        <f t="shared" ca="1" si="279"/>
        <v>14727.021304817268</v>
      </c>
      <c r="IG16" s="29">
        <f t="shared" ca="1" si="280"/>
        <v>14211.085685553982</v>
      </c>
      <c r="IH16" s="29">
        <f t="shared" ca="1" si="281"/>
        <v>14176.716110460837</v>
      </c>
      <c r="II16" s="29">
        <f t="shared" ca="1" si="282"/>
        <v>14676.346905640825</v>
      </c>
      <c r="IJ16" s="29">
        <f t="shared" ca="1" si="283"/>
        <v>14327.569390556368</v>
      </c>
      <c r="IK16" s="29">
        <f t="shared" ca="1" si="284"/>
        <v>14315.254472302657</v>
      </c>
      <c r="IL16" s="29">
        <f t="shared" ca="1" si="285"/>
        <v>14982.48598696336</v>
      </c>
      <c r="IM16" s="29">
        <f t="shared" ca="1" si="286"/>
        <v>13906.764750576467</v>
      </c>
      <c r="IN16" s="29">
        <f t="shared" ca="1" si="287"/>
        <v>15346.289858268326</v>
      </c>
      <c r="IO16" s="29">
        <f t="shared" ca="1" si="288"/>
        <v>14896.589390620034</v>
      </c>
      <c r="IP16" s="29">
        <f t="shared" ca="1" si="289"/>
        <v>14844.666061533233</v>
      </c>
      <c r="IQ16" s="29">
        <f t="shared" ca="1" si="290"/>
        <v>13427.296155801478</v>
      </c>
      <c r="IR16" s="29">
        <f t="shared" ca="1" si="291"/>
        <v>14819.073076392902</v>
      </c>
      <c r="IS16" s="29">
        <f t="shared" ca="1" si="292"/>
        <v>13232.058621322045</v>
      </c>
      <c r="IT16" s="29">
        <f t="shared" ca="1" si="293"/>
        <v>15790.188528949899</v>
      </c>
      <c r="IU16" s="29">
        <f t="shared" ca="1" si="294"/>
        <v>15606.416147189406</v>
      </c>
      <c r="IV16" s="29">
        <f t="shared" ca="1" si="295"/>
        <v>14233.921538172137</v>
      </c>
      <c r="IW16" s="29">
        <f t="shared" ca="1" si="296"/>
        <v>14885.531769745638</v>
      </c>
      <c r="IX16" s="29">
        <f t="shared" ca="1" si="297"/>
        <v>15596.349018912906</v>
      </c>
      <c r="IY16" s="29">
        <f t="shared" ca="1" si="298"/>
        <v>13541.867546727997</v>
      </c>
      <c r="IZ16" s="29">
        <f t="shared" ca="1" si="299"/>
        <v>13885.423815608852</v>
      </c>
      <c r="JA16" s="29">
        <f t="shared" ca="1" si="300"/>
        <v>13599.069729688857</v>
      </c>
      <c r="JB16" s="29">
        <f t="shared" ca="1" si="301"/>
        <v>14012.942318324756</v>
      </c>
      <c r="JC16" s="29">
        <f t="shared" ca="1" si="302"/>
        <v>14575.393165082591</v>
      </c>
      <c r="JD16" s="29">
        <f t="shared" ca="1" si="303"/>
        <v>14141.98804300285</v>
      </c>
      <c r="JE16" s="29">
        <f t="shared" ca="1" si="304"/>
        <v>13329.237160953568</v>
      </c>
      <c r="JF16" s="29">
        <f t="shared" ca="1" si="305"/>
        <v>14147.828659272538</v>
      </c>
      <c r="JG16" s="29">
        <f t="shared" ca="1" si="306"/>
        <v>13606.363374638284</v>
      </c>
      <c r="JH16" s="29">
        <f t="shared" ca="1" si="307"/>
        <v>14646.298728972342</v>
      </c>
      <c r="JI16" s="29">
        <f t="shared" ca="1" si="308"/>
        <v>14197.723603928716</v>
      </c>
      <c r="JJ16" s="29">
        <f t="shared" ca="1" si="309"/>
        <v>13976.405086193778</v>
      </c>
      <c r="JK16" s="29">
        <f t="shared" ca="1" si="310"/>
        <v>14164.392585518868</v>
      </c>
      <c r="JL16" s="29">
        <f t="shared" ca="1" si="311"/>
        <v>14490.437959934623</v>
      </c>
      <c r="JM16" s="29">
        <f t="shared" ca="1" si="312"/>
        <v>13304.759798257124</v>
      </c>
      <c r="JN16" s="29">
        <f t="shared" ca="1" si="313"/>
        <v>14888.87670592951</v>
      </c>
      <c r="JO16" s="29">
        <f t="shared" ca="1" si="314"/>
        <v>14776.156050972086</v>
      </c>
      <c r="JP16" s="29">
        <f t="shared" ca="1" si="315"/>
        <v>15060.789887045796</v>
      </c>
      <c r="JQ16" s="29">
        <f t="shared" ca="1" si="316"/>
        <v>14472.491171430487</v>
      </c>
      <c r="JR16" s="29">
        <f t="shared" ca="1" si="317"/>
        <v>14933.844388755313</v>
      </c>
      <c r="JS16" s="29">
        <f t="shared" ca="1" si="318"/>
        <v>14870.678094418663</v>
      </c>
      <c r="JT16" s="29">
        <f t="shared" ca="1" si="319"/>
        <v>14592.783123936073</v>
      </c>
      <c r="JU16" s="29">
        <f t="shared" ca="1" si="320"/>
        <v>14693.872687710875</v>
      </c>
      <c r="JV16" s="29">
        <f t="shared" ca="1" si="321"/>
        <v>14662.032579899027</v>
      </c>
      <c r="JW16" s="29">
        <f t="shared" ca="1" si="322"/>
        <v>14474.376328574723</v>
      </c>
      <c r="JX16" s="29">
        <f t="shared" ca="1" si="323"/>
        <v>14471.312934209729</v>
      </c>
      <c r="JY16" s="29">
        <f t="shared" ca="1" si="324"/>
        <v>14447.69687318895</v>
      </c>
      <c r="JZ16" s="29">
        <f t="shared" ca="1" si="325"/>
        <v>15201.737925163092</v>
      </c>
      <c r="KA16" s="29">
        <f t="shared" ca="1" si="326"/>
        <v>14407.429304013322</v>
      </c>
      <c r="KB16" s="29">
        <f t="shared" ca="1" si="327"/>
        <v>13591.624563429854</v>
      </c>
      <c r="KC16" s="29">
        <f t="shared" ca="1" si="328"/>
        <v>14141.496416527109</v>
      </c>
      <c r="KD16" s="29">
        <f t="shared" ca="1" si="329"/>
        <v>14113.236433383967</v>
      </c>
      <c r="KE16" s="29">
        <f t="shared" ca="1" si="330"/>
        <v>15799.691633108845</v>
      </c>
      <c r="KF16" s="29">
        <f t="shared" ca="1" si="331"/>
        <v>14663.753079302349</v>
      </c>
      <c r="KG16" s="29">
        <f t="shared" ca="1" si="332"/>
        <v>14283.742133844618</v>
      </c>
      <c r="KH16" s="29">
        <f t="shared" ca="1" si="333"/>
        <v>14677.271548590681</v>
      </c>
      <c r="KI16" s="29">
        <f t="shared" ca="1" si="334"/>
        <v>13702.233603313802</v>
      </c>
      <c r="KJ16" s="29">
        <f t="shared" ca="1" si="335"/>
        <v>14754.608620508117</v>
      </c>
      <c r="KK16" s="29">
        <f t="shared" ca="1" si="336"/>
        <v>13931.075129223114</v>
      </c>
      <c r="KL16" s="29">
        <f t="shared" ca="1" si="337"/>
        <v>14378.214566668832</v>
      </c>
      <c r="KM16" s="29">
        <f t="shared" ca="1" si="338"/>
        <v>15528.081348217695</v>
      </c>
      <c r="KN16" s="29">
        <f t="shared" ca="1" si="339"/>
        <v>14351.21581107517</v>
      </c>
      <c r="KO16" s="29">
        <f t="shared" ca="1" si="340"/>
        <v>14545.687598387341</v>
      </c>
      <c r="KP16" s="29">
        <f t="shared" ca="1" si="341"/>
        <v>14321.775135150217</v>
      </c>
      <c r="KQ16" s="29">
        <f t="shared" ca="1" si="342"/>
        <v>14050.979710968177</v>
      </c>
      <c r="KR16" s="29">
        <f t="shared" ca="1" si="343"/>
        <v>14176.202361665613</v>
      </c>
      <c r="KS16" s="29">
        <f t="shared" ca="1" si="344"/>
        <v>13726.110130901759</v>
      </c>
      <c r="KT16" s="29">
        <f t="shared" ca="1" si="345"/>
        <v>14674.717561647976</v>
      </c>
      <c r="KU16" s="29">
        <f t="shared" ca="1" si="346"/>
        <v>13756.020131219804</v>
      </c>
      <c r="KV16" s="29">
        <f t="shared" ca="1" si="347"/>
        <v>13785.731357599758</v>
      </c>
      <c r="KW16" s="29">
        <f t="shared" ca="1" si="348"/>
        <v>14574.385698126547</v>
      </c>
      <c r="KX16" s="29">
        <f t="shared" ca="1" si="349"/>
        <v>13374.483468295486</v>
      </c>
      <c r="KY16" s="29">
        <f t="shared" ca="1" si="350"/>
        <v>14796.520263405235</v>
      </c>
      <c r="KZ16" s="29">
        <f t="shared" ca="1" si="351"/>
        <v>15128.478772544649</v>
      </c>
      <c r="LA16" s="29">
        <f t="shared" ca="1" si="352"/>
        <v>15264.721303283945</v>
      </c>
      <c r="LB16" s="29">
        <f t="shared" ca="1" si="353"/>
        <v>14069.237899171849</v>
      </c>
      <c r="LC16" s="29">
        <f t="shared" ca="1" si="354"/>
        <v>14151.439414055678</v>
      </c>
      <c r="LD16" s="29">
        <f t="shared" ca="1" si="355"/>
        <v>13440.004770492204</v>
      </c>
      <c r="LE16" s="29">
        <f t="shared" ca="1" si="356"/>
        <v>13670.125258931954</v>
      </c>
      <c r="LF16" s="29">
        <f t="shared" ca="1" si="357"/>
        <v>13991.188345326989</v>
      </c>
      <c r="LG16" s="29">
        <f t="shared" ca="1" si="358"/>
        <v>14473.097532860749</v>
      </c>
      <c r="LH16" s="29">
        <f t="shared" ca="1" si="359"/>
        <v>13485.661084816054</v>
      </c>
      <c r="LI16" s="29">
        <f t="shared" ca="1" si="360"/>
        <v>14187.720889289592</v>
      </c>
      <c r="LJ16" s="29">
        <f t="shared" ca="1" si="361"/>
        <v>14084.55237875123</v>
      </c>
      <c r="LK16" s="29">
        <f t="shared" ca="1" si="362"/>
        <v>14096.030670163831</v>
      </c>
      <c r="LL16" s="29">
        <f t="shared" ca="1" si="363"/>
        <v>14475.282305312059</v>
      </c>
      <c r="LM16" s="29">
        <f t="shared" ca="1" si="364"/>
        <v>14813.457992925642</v>
      </c>
      <c r="LN16" s="29">
        <f t="shared" ca="1" si="365"/>
        <v>14741.468508649876</v>
      </c>
      <c r="LO16" s="29">
        <f t="shared" ca="1" si="366"/>
        <v>14156.641175149838</v>
      </c>
      <c r="LP16" s="29">
        <f t="shared" ca="1" si="367"/>
        <v>14392.121175268978</v>
      </c>
      <c r="LQ16" s="29">
        <f t="shared" ca="1" si="368"/>
        <v>15438.196250547217</v>
      </c>
      <c r="LR16" s="29">
        <f t="shared" ca="1" si="369"/>
        <v>14135.199863108261</v>
      </c>
      <c r="LS16" s="29">
        <f t="shared" ca="1" si="370"/>
        <v>14264.286608273324</v>
      </c>
      <c r="LT16" s="29">
        <f t="shared" ca="1" si="371"/>
        <v>14173.705442806859</v>
      </c>
      <c r="LU16" s="29">
        <f t="shared" ca="1" si="372"/>
        <v>14458.577689885669</v>
      </c>
      <c r="LV16" s="29">
        <f t="shared" ca="1" si="373"/>
        <v>14413.313552426529</v>
      </c>
      <c r="LW16" s="29">
        <f t="shared" ca="1" si="374"/>
        <v>14082.198938275955</v>
      </c>
      <c r="LX16" s="29">
        <f t="shared" ca="1" si="375"/>
        <v>14790.413664824415</v>
      </c>
      <c r="LY16" s="29">
        <f t="shared" ca="1" si="376"/>
        <v>15176.317339502004</v>
      </c>
      <c r="LZ16" s="29">
        <f t="shared" ca="1" si="377"/>
        <v>14771.012390447178</v>
      </c>
      <c r="MA16" s="29">
        <f t="shared" ca="1" si="378"/>
        <v>13928.118436410447</v>
      </c>
      <c r="MB16" s="29">
        <f t="shared" ca="1" si="379"/>
        <v>13999.071649568657</v>
      </c>
      <c r="MC16" s="29">
        <f t="shared" ca="1" si="380"/>
        <v>14749.745330465834</v>
      </c>
      <c r="MD16" s="29">
        <f t="shared" ca="1" si="381"/>
        <v>14783.53335951764</v>
      </c>
      <c r="ME16" s="29">
        <f t="shared" ca="1" si="382"/>
        <v>13250.678650424226</v>
      </c>
      <c r="MF16" s="29">
        <f t="shared" ca="1" si="383"/>
        <v>14013.942894088685</v>
      </c>
      <c r="MG16" s="29">
        <f t="shared" ca="1" si="384"/>
        <v>14133.627918742475</v>
      </c>
      <c r="MH16" s="29">
        <f t="shared" ca="1" si="385"/>
        <v>14192.195713230964</v>
      </c>
      <c r="MI16" s="29">
        <f t="shared" ca="1" si="386"/>
        <v>15158.461952901154</v>
      </c>
      <c r="MJ16" s="29">
        <f t="shared" ca="1" si="387"/>
        <v>15451.006307090709</v>
      </c>
      <c r="MK16" s="29">
        <f t="shared" ca="1" si="388"/>
        <v>14481.313112776279</v>
      </c>
      <c r="ML16" s="29">
        <f t="shared" ca="1" si="389"/>
        <v>15907.800040197939</v>
      </c>
      <c r="MM16" s="29">
        <f t="shared" ca="1" si="390"/>
        <v>15577.955435800155</v>
      </c>
      <c r="MN16" s="29">
        <f t="shared" ca="1" si="391"/>
        <v>14426.408209335357</v>
      </c>
      <c r="MO16" s="29">
        <f t="shared" ca="1" si="392"/>
        <v>13673.362114034891</v>
      </c>
      <c r="MP16" s="29">
        <f t="shared" ca="1" si="393"/>
        <v>14491.819714205625</v>
      </c>
      <c r="MQ16" s="29">
        <f t="shared" ca="1" si="394"/>
        <v>15209.491781137771</v>
      </c>
      <c r="MR16" s="29">
        <f t="shared" ca="1" si="395"/>
        <v>14423.57426155694</v>
      </c>
      <c r="MS16" s="29">
        <f t="shared" ca="1" si="396"/>
        <v>13249.425517034142</v>
      </c>
      <c r="MT16" s="29">
        <f t="shared" ca="1" si="397"/>
        <v>14728.982168888237</v>
      </c>
      <c r="MU16" s="29">
        <f t="shared" ca="1" si="398"/>
        <v>14363.62014952231</v>
      </c>
      <c r="MV16" s="29">
        <f t="shared" ca="1" si="399"/>
        <v>13853.669038145263</v>
      </c>
      <c r="MW16" s="29">
        <f t="shared" ca="1" si="400"/>
        <v>14458.022762515659</v>
      </c>
      <c r="MX16" s="29">
        <f t="shared" ca="1" si="401"/>
        <v>14291.602372777461</v>
      </c>
      <c r="MY16" s="29">
        <f t="shared" ca="1" si="402"/>
        <v>14456.151044767739</v>
      </c>
      <c r="MZ16" s="29">
        <f t="shared" ca="1" si="403"/>
        <v>15502.866061290271</v>
      </c>
      <c r="NA16" s="29">
        <f t="shared" ca="1" si="404"/>
        <v>14332.071044870007</v>
      </c>
      <c r="NB16" s="29">
        <f t="shared" ca="1" si="405"/>
        <v>15357.270805552849</v>
      </c>
      <c r="NC16" s="29">
        <f t="shared" ca="1" si="406"/>
        <v>14189.059493356161</v>
      </c>
      <c r="ND16" s="29">
        <f t="shared" ca="1" si="407"/>
        <v>13697.574583948262</v>
      </c>
      <c r="NE16" s="29">
        <f t="shared" ca="1" si="408"/>
        <v>15019.55524711523</v>
      </c>
      <c r="NF16" s="29">
        <f t="shared" ca="1" si="409"/>
        <v>14720.088655191303</v>
      </c>
      <c r="NG16" s="29">
        <f t="shared" ca="1" si="410"/>
        <v>13496.554115710449</v>
      </c>
      <c r="NH16" s="29">
        <f t="shared" ca="1" si="411"/>
        <v>14421.161761720343</v>
      </c>
      <c r="NI16" s="29">
        <f t="shared" ca="1" si="412"/>
        <v>14838.445190644614</v>
      </c>
      <c r="NJ16" s="29">
        <f t="shared" ca="1" si="413"/>
        <v>14779.645875100425</v>
      </c>
      <c r="NK16" s="29">
        <f t="shared" ca="1" si="414"/>
        <v>14934.687347490964</v>
      </c>
      <c r="NL16" s="29">
        <f t="shared" ca="1" si="415"/>
        <v>13866.374380509313</v>
      </c>
      <c r="NM16" s="29">
        <f t="shared" ca="1" si="416"/>
        <v>14538.345730678389</v>
      </c>
      <c r="NN16" s="29">
        <f t="shared" ca="1" si="417"/>
        <v>14419.096172318186</v>
      </c>
      <c r="NO16" s="29">
        <f t="shared" ca="1" si="418"/>
        <v>14504.009017293267</v>
      </c>
      <c r="NP16" s="29">
        <f t="shared" ca="1" si="419"/>
        <v>13775.391699260916</v>
      </c>
      <c r="NQ16" s="29">
        <f t="shared" ca="1" si="420"/>
        <v>15073.029340783332</v>
      </c>
      <c r="NR16" s="29">
        <f t="shared" ca="1" si="421"/>
        <v>14664.719828409197</v>
      </c>
      <c r="NS16" s="29">
        <f t="shared" ca="1" si="422"/>
        <v>14247.309744558448</v>
      </c>
      <c r="NT16" s="29">
        <f t="shared" ca="1" si="423"/>
        <v>14403.39907731335</v>
      </c>
      <c r="NU16" s="29">
        <f t="shared" ca="1" si="424"/>
        <v>14268.370002806572</v>
      </c>
      <c r="NV16" s="29">
        <f t="shared" ca="1" si="425"/>
        <v>13906.086065049249</v>
      </c>
      <c r="NW16" s="29">
        <f t="shared" ca="1" si="426"/>
        <v>13983.162815461057</v>
      </c>
      <c r="NX16" s="29">
        <f t="shared" ca="1" si="427"/>
        <v>14691.706348372816</v>
      </c>
      <c r="NY16" s="29">
        <f t="shared" ca="1" si="428"/>
        <v>15108.287200411491</v>
      </c>
      <c r="NZ16" s="29">
        <f t="shared" ca="1" si="429"/>
        <v>14198.030298526219</v>
      </c>
      <c r="OA16" s="29">
        <f t="shared" ca="1" si="430"/>
        <v>14390.004695359579</v>
      </c>
      <c r="OB16" s="29">
        <f t="shared" ca="1" si="431"/>
        <v>15217.624870449323</v>
      </c>
      <c r="OC16" s="29">
        <f t="shared" ca="1" si="432"/>
        <v>14444.576261659293</v>
      </c>
      <c r="OD16" s="29">
        <f t="shared" ca="1" si="433"/>
        <v>14798.714864036589</v>
      </c>
      <c r="OE16" s="29">
        <f t="shared" ca="1" si="434"/>
        <v>15293.809705054</v>
      </c>
      <c r="OF16" s="29">
        <f t="shared" ca="1" si="435"/>
        <v>14316.183508921074</v>
      </c>
      <c r="OG16" s="29">
        <f t="shared" ca="1" si="436"/>
        <v>15210.313144786398</v>
      </c>
      <c r="OH16" s="29">
        <f t="shared" ca="1" si="437"/>
        <v>14897.71966883136</v>
      </c>
      <c r="OI16" s="29">
        <f t="shared" ca="1" si="438"/>
        <v>14473.170958030116</v>
      </c>
      <c r="OJ16" s="29">
        <f t="shared" ca="1" si="439"/>
        <v>14460.674811967174</v>
      </c>
      <c r="OK16" s="29">
        <f t="shared" ca="1" si="440"/>
        <v>13567.781466027882</v>
      </c>
      <c r="OL16" s="29">
        <f t="shared" ca="1" si="441"/>
        <v>14559.763661478917</v>
      </c>
      <c r="OM16" s="29">
        <f t="shared" ca="1" si="442"/>
        <v>13886.084180765552</v>
      </c>
      <c r="ON16" s="29">
        <f t="shared" ca="1" si="443"/>
        <v>15239.211899369404</v>
      </c>
      <c r="OO16" s="29">
        <f t="shared" ca="1" si="444"/>
        <v>14296.880172496585</v>
      </c>
      <c r="OP16" s="29">
        <f t="shared" ca="1" si="445"/>
        <v>15262.542768017876</v>
      </c>
      <c r="OQ16" s="29">
        <f t="shared" ca="1" si="446"/>
        <v>14008.488574629861</v>
      </c>
      <c r="OR16" s="29">
        <f t="shared" ca="1" si="447"/>
        <v>13827.242769019234</v>
      </c>
      <c r="OS16" s="29">
        <f t="shared" ca="1" si="448"/>
        <v>13523.698629607614</v>
      </c>
      <c r="OT16" s="29">
        <f t="shared" ca="1" si="449"/>
        <v>14576.8763491755</v>
      </c>
      <c r="OU16" s="29">
        <f t="shared" ca="1" si="450"/>
        <v>13988.655173297066</v>
      </c>
      <c r="OV16" s="29">
        <f t="shared" ca="1" si="451"/>
        <v>15590.597610620653</v>
      </c>
      <c r="OW16" s="29">
        <f t="shared" ca="1" si="452"/>
        <v>14551.66171059382</v>
      </c>
      <c r="OX16" s="29">
        <f t="shared" ca="1" si="453"/>
        <v>15285.334862709795</v>
      </c>
      <c r="OY16" s="29">
        <f t="shared" ca="1" si="454"/>
        <v>14367.774972152773</v>
      </c>
      <c r="OZ16" s="29">
        <f t="shared" ca="1" si="455"/>
        <v>13585.558792562399</v>
      </c>
      <c r="PA16" s="29">
        <f t="shared" ca="1" si="456"/>
        <v>14359.639336738279</v>
      </c>
      <c r="PB16" s="29">
        <f t="shared" ca="1" si="457"/>
        <v>13919.675224886178</v>
      </c>
      <c r="PC16" s="29">
        <f t="shared" ca="1" si="458"/>
        <v>14477.291662218769</v>
      </c>
      <c r="PD16" s="29">
        <f t="shared" ca="1" si="459"/>
        <v>14922.02471617395</v>
      </c>
      <c r="PE16" s="29">
        <f t="shared" ca="1" si="460"/>
        <v>14785.563602823735</v>
      </c>
      <c r="PF16" s="29">
        <f t="shared" ca="1" si="461"/>
        <v>14009.217830079211</v>
      </c>
      <c r="PG16" s="29">
        <f t="shared" ca="1" si="462"/>
        <v>14491.61404256873</v>
      </c>
      <c r="PH16" s="29">
        <f t="shared" ca="1" si="463"/>
        <v>14714.470740479581</v>
      </c>
      <c r="PI16" s="29">
        <f t="shared" ca="1" si="464"/>
        <v>13448.570630140202</v>
      </c>
      <c r="PJ16" s="29">
        <f t="shared" ca="1" si="465"/>
        <v>14942.271674660597</v>
      </c>
      <c r="PK16" s="29">
        <f t="shared" ca="1" si="466"/>
        <v>13966.953339799695</v>
      </c>
      <c r="PL16" s="29">
        <f t="shared" ca="1" si="467"/>
        <v>13770.298053841272</v>
      </c>
      <c r="PM16" s="29">
        <f t="shared" ca="1" si="468"/>
        <v>14179.581013727662</v>
      </c>
      <c r="PN16" s="29">
        <f t="shared" ca="1" si="469"/>
        <v>13995.86042186799</v>
      </c>
      <c r="PO16" s="29">
        <f t="shared" ca="1" si="470"/>
        <v>15111.006881843301</v>
      </c>
      <c r="PP16" s="29">
        <f t="shared" ca="1" si="471"/>
        <v>14418.736318902795</v>
      </c>
      <c r="PQ16" s="29">
        <f t="shared" ca="1" si="472"/>
        <v>15055.52969322524</v>
      </c>
      <c r="PR16" s="29">
        <f t="shared" ca="1" si="473"/>
        <v>13993.398350648116</v>
      </c>
      <c r="PS16" s="29">
        <f t="shared" ca="1" si="474"/>
        <v>15049.810236448995</v>
      </c>
      <c r="PT16" s="29">
        <f t="shared" ca="1" si="475"/>
        <v>14611.883441810474</v>
      </c>
      <c r="PU16" s="29">
        <f t="shared" ca="1" si="476"/>
        <v>14194.039803432557</v>
      </c>
      <c r="PV16" s="29">
        <f t="shared" ca="1" si="477"/>
        <v>14890.45990115948</v>
      </c>
      <c r="PW16" s="29">
        <f t="shared" ca="1" si="478"/>
        <v>14135.927792820363</v>
      </c>
      <c r="PX16" s="29">
        <f t="shared" ca="1" si="479"/>
        <v>14230.302929562857</v>
      </c>
      <c r="PY16" s="29">
        <f t="shared" ca="1" si="480"/>
        <v>14091.389822260959</v>
      </c>
      <c r="PZ16" s="29">
        <f t="shared" ca="1" si="481"/>
        <v>12774.776543527421</v>
      </c>
      <c r="QA16" s="29">
        <f t="shared" ca="1" si="482"/>
        <v>15118.947007823052</v>
      </c>
      <c r="QB16" s="29">
        <f t="shared" ca="1" si="483"/>
        <v>14296.723817732829</v>
      </c>
      <c r="QC16" s="29">
        <f t="shared" ca="1" si="484"/>
        <v>14100.954034417087</v>
      </c>
      <c r="QD16" s="29">
        <f t="shared" ca="1" si="485"/>
        <v>13708.682222026069</v>
      </c>
      <c r="QE16" s="29">
        <f t="shared" ca="1" si="486"/>
        <v>15087.809218465269</v>
      </c>
      <c r="QF16" s="29">
        <f t="shared" ca="1" si="487"/>
        <v>15099.326270104784</v>
      </c>
      <c r="QG16" s="29">
        <f t="shared" ca="1" si="488"/>
        <v>14849.247849233629</v>
      </c>
      <c r="QH16" s="29">
        <f t="shared" ca="1" si="489"/>
        <v>15636.93188653019</v>
      </c>
      <c r="QI16" s="29">
        <f t="shared" ca="1" si="490"/>
        <v>14692.635425620922</v>
      </c>
      <c r="QJ16" s="29">
        <f t="shared" ca="1" si="491"/>
        <v>14053.285852468369</v>
      </c>
      <c r="QK16" s="29">
        <f t="shared" ca="1" si="492"/>
        <v>14627.569825537101</v>
      </c>
      <c r="QL16" s="29">
        <f t="shared" ca="1" si="493"/>
        <v>14545.199053138136</v>
      </c>
      <c r="QM16" s="29">
        <f t="shared" ca="1" si="494"/>
        <v>13538.752753792673</v>
      </c>
      <c r="QN16" s="29">
        <f t="shared" ca="1" si="495"/>
        <v>15192.456616049905</v>
      </c>
      <c r="QO16" s="29">
        <f t="shared" ca="1" si="496"/>
        <v>14041.097828276736</v>
      </c>
      <c r="QP16" s="29">
        <f t="shared" ca="1" si="497"/>
        <v>14576.165335205707</v>
      </c>
      <c r="QQ16" s="29">
        <f t="shared" ca="1" si="498"/>
        <v>15197.806748543449</v>
      </c>
      <c r="QR16" s="29">
        <f t="shared" ca="1" si="499"/>
        <v>14922.33376983077</v>
      </c>
      <c r="QS16" s="29">
        <f t="shared" ca="1" si="500"/>
        <v>15010.072070769509</v>
      </c>
      <c r="QT16" s="29">
        <f t="shared" ca="1" si="501"/>
        <v>15588.531127108961</v>
      </c>
      <c r="QU16" s="29">
        <f t="shared" ca="1" si="502"/>
        <v>14606.759569186786</v>
      </c>
      <c r="QV16" s="29">
        <f t="shared" ca="1" si="503"/>
        <v>14454.894557549213</v>
      </c>
      <c r="QW16" s="29">
        <f t="shared" ca="1" si="504"/>
        <v>14456.529906467276</v>
      </c>
      <c r="QX16" s="29">
        <f t="shared" ca="1" si="505"/>
        <v>14605.171934177144</v>
      </c>
      <c r="QY16" s="29">
        <f t="shared" ca="1" si="506"/>
        <v>14909.163376571221</v>
      </c>
      <c r="QZ16" s="29">
        <f t="shared" ca="1" si="507"/>
        <v>14376.970887234744</v>
      </c>
      <c r="RA16" s="29">
        <f t="shared" ca="1" si="508"/>
        <v>14046.821370615953</v>
      </c>
      <c r="RB16" s="29">
        <f t="shared" ca="1" si="509"/>
        <v>13354.968474457091</v>
      </c>
      <c r="RC16" s="29">
        <f t="shared" ca="1" si="510"/>
        <v>14553.51597516219</v>
      </c>
      <c r="RD16" s="29">
        <f t="shared" ca="1" si="511"/>
        <v>14746.010522637021</v>
      </c>
      <c r="RE16" s="29">
        <f t="shared" ca="1" si="512"/>
        <v>15330.893331703071</v>
      </c>
      <c r="RF16" s="29">
        <f t="shared" ca="1" si="513"/>
        <v>14889.557058118418</v>
      </c>
      <c r="RG16" s="29">
        <f t="shared" ca="1" si="514"/>
        <v>13841.612541834302</v>
      </c>
      <c r="RH16" s="29">
        <f t="shared" ca="1" si="515"/>
        <v>13819.105173565546</v>
      </c>
      <c r="RI16" s="29">
        <f t="shared" ca="1" si="516"/>
        <v>14501.673201855279</v>
      </c>
      <c r="RJ16" s="29">
        <f t="shared" ca="1" si="517"/>
        <v>14278.738685978582</v>
      </c>
      <c r="RK16" s="29">
        <f t="shared" ca="1" si="518"/>
        <v>13827.790418063694</v>
      </c>
      <c r="RL16" s="29">
        <f t="shared" ca="1" si="519"/>
        <v>14137.081639343211</v>
      </c>
      <c r="RM16" s="29">
        <f t="shared" ca="1" si="520"/>
        <v>14315.578914709149</v>
      </c>
      <c r="RN16" s="29">
        <f t="shared" ca="1" si="521"/>
        <v>13467.679384221534</v>
      </c>
      <c r="RO16" s="29">
        <f t="shared" ca="1" si="522"/>
        <v>13985.053585176285</v>
      </c>
      <c r="RP16" s="29">
        <f t="shared" ca="1" si="523"/>
        <v>14745.684631042002</v>
      </c>
      <c r="RQ16" s="29">
        <f t="shared" ca="1" si="524"/>
        <v>14366.583404980438</v>
      </c>
      <c r="RR16" s="29">
        <f t="shared" ca="1" si="525"/>
        <v>14792.710666069526</v>
      </c>
      <c r="RS16" s="29">
        <f t="shared" ca="1" si="526"/>
        <v>14558.522416195137</v>
      </c>
      <c r="RT16" s="29">
        <f t="shared" ca="1" si="527"/>
        <v>14861.743932238838</v>
      </c>
      <c r="RU16" s="29">
        <f t="shared" ca="1" si="528"/>
        <v>14187.041531591207</v>
      </c>
      <c r="RV16" s="29">
        <f t="shared" ca="1" si="529"/>
        <v>14283.082369591953</v>
      </c>
      <c r="RW16" s="29">
        <f t="shared" ca="1" si="530"/>
        <v>14941.012943956537</v>
      </c>
      <c r="RX16" s="29">
        <f t="shared" ca="1" si="531"/>
        <v>14320.76396786666</v>
      </c>
      <c r="RY16" s="29">
        <f t="shared" ca="1" si="532"/>
        <v>14235.50544971966</v>
      </c>
      <c r="RZ16" s="29">
        <f t="shared" ca="1" si="533"/>
        <v>15847.520684818352</v>
      </c>
      <c r="SA16" s="29">
        <f t="shared" ca="1" si="534"/>
        <v>14315.112047725939</v>
      </c>
      <c r="SB16" s="29">
        <f t="shared" ca="1" si="535"/>
        <v>14120.093942128582</v>
      </c>
      <c r="SC16" s="29">
        <f t="shared" ca="1" si="536"/>
        <v>14576.247530561448</v>
      </c>
      <c r="SD16" s="29">
        <f t="shared" ca="1" si="537"/>
        <v>14955.912605376918</v>
      </c>
      <c r="SE16" s="29">
        <f t="shared" ca="1" si="538"/>
        <v>13434.056700651478</v>
      </c>
      <c r="SF16" s="29">
        <f t="shared" ca="1" si="539"/>
        <v>14200.049056638823</v>
      </c>
      <c r="SG16" s="29">
        <f t="shared" ca="1" si="540"/>
        <v>14944.584998385275</v>
      </c>
      <c r="SH16" s="29">
        <f t="shared" ca="1" si="541"/>
        <v>15142.159468047294</v>
      </c>
      <c r="SI16" s="29">
        <f t="shared" ca="1" si="542"/>
        <v>13887.572884400166</v>
      </c>
      <c r="SJ16" s="29">
        <f t="shared" ca="1" si="543"/>
        <v>13375.207325418933</v>
      </c>
      <c r="SK16" s="29">
        <f t="shared" ca="1" si="544"/>
        <v>14794.357809340549</v>
      </c>
      <c r="SL16" s="29">
        <f t="shared" ca="1" si="545"/>
        <v>14121.248482906547</v>
      </c>
      <c r="SM16" s="29">
        <f t="shared" ca="1" si="546"/>
        <v>14656.995834687341</v>
      </c>
      <c r="SN16" s="29">
        <f t="shared" ca="1" si="547"/>
        <v>14624.632569271038</v>
      </c>
      <c r="SO16" s="29">
        <f t="shared" ca="1" si="548"/>
        <v>14498.910173944214</v>
      </c>
      <c r="SP16" s="29">
        <f t="shared" ca="1" si="549"/>
        <v>15303.238546498271</v>
      </c>
      <c r="SQ16" s="29">
        <f t="shared" ca="1" si="550"/>
        <v>15059.801165460278</v>
      </c>
      <c r="SR16" s="29">
        <f t="shared" ca="1" si="551"/>
        <v>14178.786974258621</v>
      </c>
      <c r="SS16" s="29">
        <f t="shared" ca="1" si="552"/>
        <v>14875.296636078925</v>
      </c>
      <c r="ST16" s="29">
        <f t="shared" ca="1" si="553"/>
        <v>14283.878017995459</v>
      </c>
      <c r="SU16" s="29">
        <f t="shared" ca="1" si="554"/>
        <v>14819.543446457857</v>
      </c>
      <c r="SV16" s="29">
        <f t="shared" ca="1" si="555"/>
        <v>14209.937452503915</v>
      </c>
      <c r="SW16" s="29">
        <f t="shared" ca="1" si="556"/>
        <v>14411.751024251951</v>
      </c>
      <c r="SX16" s="29">
        <f t="shared" ca="1" si="557"/>
        <v>13389.188881641358</v>
      </c>
      <c r="SY16" s="29">
        <f t="shared" ca="1" si="558"/>
        <v>14369.152650606398</v>
      </c>
      <c r="SZ16" s="29">
        <f t="shared" ca="1" si="559"/>
        <v>14996.835137135318</v>
      </c>
      <c r="TA16" s="29">
        <f t="shared" ca="1" si="560"/>
        <v>14390.348905320359</v>
      </c>
      <c r="TB16" s="29">
        <f t="shared" ca="1" si="561"/>
        <v>13756.619022103505</v>
      </c>
      <c r="TC16" s="29">
        <f t="shared" ca="1" si="562"/>
        <v>15111.872046906989</v>
      </c>
      <c r="TD16" s="29">
        <f t="shared" ca="1" si="563"/>
        <v>14402.93948922311</v>
      </c>
      <c r="TE16" s="29">
        <f t="shared" ca="1" si="564"/>
        <v>14260.612194642543</v>
      </c>
      <c r="TF16" s="29">
        <f t="shared" ca="1" si="565"/>
        <v>13977.360964157255</v>
      </c>
      <c r="TG16" s="29">
        <f t="shared" ca="1" si="566"/>
        <v>14893.309105572433</v>
      </c>
      <c r="TH16" s="29">
        <f t="shared" ca="1" si="567"/>
        <v>14563.673249265157</v>
      </c>
      <c r="TI16" s="29">
        <f t="shared" ca="1" si="568"/>
        <v>13765.702517772521</v>
      </c>
      <c r="TJ16" s="29">
        <f t="shared" ca="1" si="569"/>
        <v>15149.487837578137</v>
      </c>
      <c r="TK16" s="29">
        <f t="shared" ca="1" si="570"/>
        <v>14040.352959733184</v>
      </c>
      <c r="TL16" s="29">
        <f t="shared" ca="1" si="571"/>
        <v>14661.898637425418</v>
      </c>
      <c r="TM16" s="29">
        <f t="shared" ca="1" si="572"/>
        <v>14092.311042315072</v>
      </c>
      <c r="TN16" s="29">
        <f t="shared" ca="1" si="573"/>
        <v>13954.855408798125</v>
      </c>
      <c r="TO16" s="29">
        <f t="shared" ca="1" si="574"/>
        <v>14225.765259299924</v>
      </c>
      <c r="TP16" s="29">
        <f t="shared" ca="1" si="575"/>
        <v>15567.049688490129</v>
      </c>
      <c r="TQ16" s="29">
        <f t="shared" ca="1" si="576"/>
        <v>14831.140104580742</v>
      </c>
      <c r="TR16" s="29">
        <f t="shared" ca="1" si="577"/>
        <v>13925.417472581805</v>
      </c>
      <c r="TS16" s="29">
        <f t="shared" ca="1" si="578"/>
        <v>14517.614445201796</v>
      </c>
      <c r="TT16" s="29">
        <f t="shared" ca="1" si="579"/>
        <v>14587.167007351454</v>
      </c>
      <c r="TU16" s="29">
        <f t="shared" ca="1" si="580"/>
        <v>14223.934506250624</v>
      </c>
      <c r="TV16" s="29">
        <f t="shared" ca="1" si="581"/>
        <v>13840.607394558627</v>
      </c>
      <c r="TW16" s="29">
        <f t="shared" ca="1" si="582"/>
        <v>15107.887914841138</v>
      </c>
      <c r="TX16" s="29">
        <f t="shared" ca="1" si="583"/>
        <v>15677.81543706179</v>
      </c>
      <c r="TY16" s="29">
        <f t="shared" ca="1" si="584"/>
        <v>14381.762318728308</v>
      </c>
      <c r="TZ16" s="29">
        <f t="shared" ca="1" si="585"/>
        <v>14900.431980661237</v>
      </c>
      <c r="UA16" s="29">
        <f t="shared" ca="1" si="586"/>
        <v>14510.594636741631</v>
      </c>
      <c r="UB16" s="29">
        <f t="shared" ca="1" si="587"/>
        <v>14074.455988648717</v>
      </c>
      <c r="UC16" s="29">
        <f t="shared" ca="1" si="588"/>
        <v>13122.172721504505</v>
      </c>
      <c r="UD16" s="29">
        <f t="shared" ca="1" si="589"/>
        <v>16293.575671038767</v>
      </c>
      <c r="UE16" s="29">
        <f t="shared" ca="1" si="590"/>
        <v>13457.945583186862</v>
      </c>
      <c r="UF16" s="29">
        <f t="shared" ca="1" si="591"/>
        <v>13894.264689556585</v>
      </c>
      <c r="UG16" s="29">
        <f t="shared" ca="1" si="592"/>
        <v>14422.862737415566</v>
      </c>
      <c r="UH16" s="29">
        <f t="shared" ca="1" si="593"/>
        <v>13911.417041654169</v>
      </c>
      <c r="UI16" s="29">
        <f t="shared" ca="1" si="594"/>
        <v>14941.873120238837</v>
      </c>
      <c r="UJ16" s="29">
        <f t="shared" ca="1" si="595"/>
        <v>14967.38598520827</v>
      </c>
      <c r="UK16" s="29">
        <f t="shared" ca="1" si="596"/>
        <v>14579.148941552396</v>
      </c>
      <c r="UL16" s="29">
        <f t="shared" ca="1" si="597"/>
        <v>16024.389846527421</v>
      </c>
      <c r="UM16" s="29">
        <f t="shared" ca="1" si="598"/>
        <v>13395.527155454434</v>
      </c>
      <c r="UN16" s="29">
        <f t="shared" ca="1" si="599"/>
        <v>13449.408431906311</v>
      </c>
      <c r="UO16" s="29">
        <f t="shared" ca="1" si="600"/>
        <v>15524.451582063823</v>
      </c>
      <c r="UP16" s="29">
        <f t="shared" ca="1" si="601"/>
        <v>13995.211762347491</v>
      </c>
      <c r="UQ16" s="29">
        <f t="shared" ca="1" si="602"/>
        <v>15077.138618974428</v>
      </c>
      <c r="UR16" s="29">
        <f t="shared" ca="1" si="603"/>
        <v>13515.755284180517</v>
      </c>
      <c r="US16" s="29">
        <f t="shared" ca="1" si="604"/>
        <v>14607.483875838612</v>
      </c>
      <c r="UT16" s="29">
        <f t="shared" ca="1" si="605"/>
        <v>14929.193332245961</v>
      </c>
      <c r="UU16" s="29">
        <f t="shared" ca="1" si="606"/>
        <v>13860.737087422123</v>
      </c>
      <c r="UV16" s="29">
        <f t="shared" ca="1" si="607"/>
        <v>14400.924651229843</v>
      </c>
      <c r="UW16" s="29">
        <f t="shared" ca="1" si="608"/>
        <v>14078.598894000221</v>
      </c>
      <c r="UX16" s="29">
        <f t="shared" ca="1" si="609"/>
        <v>14001.87516478348</v>
      </c>
      <c r="UY16" s="29">
        <f t="shared" ca="1" si="610"/>
        <v>14249.347313096379</v>
      </c>
      <c r="UZ16" s="29">
        <f t="shared" ca="1" si="611"/>
        <v>13787.629406755033</v>
      </c>
      <c r="VA16" s="29">
        <f t="shared" ca="1" si="612"/>
        <v>13972.755964911998</v>
      </c>
      <c r="VB16" s="29">
        <f t="shared" ca="1" si="613"/>
        <v>14661.027850816754</v>
      </c>
      <c r="VC16" s="29">
        <f t="shared" ca="1" si="614"/>
        <v>14933.476980255047</v>
      </c>
      <c r="VD16" s="29">
        <f t="shared" ca="1" si="615"/>
        <v>14333.674369589262</v>
      </c>
      <c r="VE16" s="29">
        <f t="shared" ca="1" si="616"/>
        <v>15214.365189437096</v>
      </c>
      <c r="VF16" s="29">
        <f t="shared" ca="1" si="617"/>
        <v>14056.085312189854</v>
      </c>
      <c r="VG16" s="29">
        <f t="shared" ca="1" si="618"/>
        <v>14597.332333802997</v>
      </c>
      <c r="VH16" s="29">
        <f t="shared" ca="1" si="619"/>
        <v>14810.292141119025</v>
      </c>
      <c r="VI16" s="29">
        <f t="shared" ca="1" si="620"/>
        <v>14566.540213786668</v>
      </c>
      <c r="VJ16" s="29">
        <f t="shared" ca="1" si="621"/>
        <v>14114.910579973253</v>
      </c>
      <c r="VK16" s="29">
        <f t="shared" ca="1" si="622"/>
        <v>13610.128168902509</v>
      </c>
      <c r="VL16" s="29">
        <f t="shared" ca="1" si="623"/>
        <v>13771.940698941928</v>
      </c>
      <c r="VM16" s="29">
        <f t="shared" ca="1" si="624"/>
        <v>14231.640342097016</v>
      </c>
      <c r="VN16" s="29">
        <f t="shared" ca="1" si="625"/>
        <v>13986.661200259536</v>
      </c>
      <c r="VO16" s="29">
        <f t="shared" ca="1" si="626"/>
        <v>15647.76592161103</v>
      </c>
      <c r="VP16" s="29">
        <f t="shared" ca="1" si="627"/>
        <v>14064.0023030009</v>
      </c>
      <c r="VQ16" s="29">
        <f t="shared" ca="1" si="628"/>
        <v>14448.5914795843</v>
      </c>
      <c r="VR16" s="29">
        <f t="shared" ca="1" si="629"/>
        <v>13845.220227965496</v>
      </c>
      <c r="VS16" s="29">
        <f t="shared" ca="1" si="630"/>
        <v>13554.924666378532</v>
      </c>
      <c r="VT16" s="29">
        <f t="shared" ca="1" si="631"/>
        <v>14397.184102394902</v>
      </c>
      <c r="VU16" s="29">
        <f t="shared" ca="1" si="632"/>
        <v>14823.770661952833</v>
      </c>
      <c r="VV16" s="29">
        <f t="shared" ca="1" si="633"/>
        <v>14783.718018857715</v>
      </c>
      <c r="VW16" s="29">
        <f t="shared" ca="1" si="634"/>
        <v>14120.079931329774</v>
      </c>
      <c r="VX16" s="29">
        <f t="shared" ca="1" si="635"/>
        <v>14391.542187514278</v>
      </c>
      <c r="VY16" s="29">
        <f t="shared" ca="1" si="636"/>
        <v>14395.275851149045</v>
      </c>
      <c r="VZ16" s="29">
        <f t="shared" ca="1" si="637"/>
        <v>13887.721622764031</v>
      </c>
      <c r="WA16" s="29">
        <f t="shared" ca="1" si="638"/>
        <v>14615.764734255959</v>
      </c>
      <c r="WB16" s="29">
        <f t="shared" ca="1" si="639"/>
        <v>14067.079921926575</v>
      </c>
      <c r="WC16" s="29">
        <f t="shared" ca="1" si="640"/>
        <v>14455.464713667219</v>
      </c>
      <c r="WD16" s="29">
        <f t="shared" ca="1" si="641"/>
        <v>15153.14254242326</v>
      </c>
      <c r="WE16" s="29">
        <f t="shared" ca="1" si="642"/>
        <v>14259.457459745146</v>
      </c>
      <c r="WF16" s="29">
        <f t="shared" ca="1" si="643"/>
        <v>15271.671870335455</v>
      </c>
      <c r="WG16" s="29">
        <f t="shared" ca="1" si="644"/>
        <v>14281.735152045792</v>
      </c>
      <c r="WH16" s="29">
        <f t="shared" ca="1" si="645"/>
        <v>13552.106831558256</v>
      </c>
      <c r="WI16" s="29">
        <f t="shared" ca="1" si="646"/>
        <v>15686.260938329038</v>
      </c>
      <c r="WJ16" s="29">
        <f t="shared" ca="1" si="647"/>
        <v>15750.339256243926</v>
      </c>
      <c r="WK16" s="29">
        <f t="shared" ca="1" si="648"/>
        <v>14630.616081584494</v>
      </c>
      <c r="WL16" s="29">
        <f t="shared" ca="1" si="649"/>
        <v>13540.009230266938</v>
      </c>
      <c r="WM16" s="29">
        <f t="shared" ca="1" si="650"/>
        <v>14296.011923725107</v>
      </c>
      <c r="WN16" s="29">
        <f t="shared" ca="1" si="651"/>
        <v>14798.714681564396</v>
      </c>
      <c r="WO16" s="29">
        <f t="shared" ca="1" si="652"/>
        <v>15300.151051252706</v>
      </c>
      <c r="WP16" s="29">
        <f t="shared" ca="1" si="653"/>
        <v>13821.351227006076</v>
      </c>
      <c r="WQ16" s="29">
        <f t="shared" ca="1" si="654"/>
        <v>14016.132481867236</v>
      </c>
      <c r="WR16" s="29">
        <f t="shared" ca="1" si="655"/>
        <v>14261.050842506824</v>
      </c>
      <c r="WS16" s="29">
        <f t="shared" ca="1" si="656"/>
        <v>15024.740952421495</v>
      </c>
      <c r="WT16" s="29">
        <f t="shared" ca="1" si="657"/>
        <v>14506.585262326289</v>
      </c>
      <c r="WU16" s="29">
        <f t="shared" ca="1" si="658"/>
        <v>14435.544429206275</v>
      </c>
      <c r="WV16" s="29">
        <f t="shared" ca="1" si="659"/>
        <v>14661.337075806059</v>
      </c>
      <c r="WW16" s="29">
        <f t="shared" ca="1" si="660"/>
        <v>13993.265842583054</v>
      </c>
      <c r="WX16" s="29">
        <f t="shared" ca="1" si="661"/>
        <v>15008.596736108513</v>
      </c>
      <c r="WY16" s="29">
        <f t="shared" ca="1" si="662"/>
        <v>14641.458885880602</v>
      </c>
      <c r="WZ16" s="29">
        <f t="shared" ca="1" si="663"/>
        <v>15192.036930109885</v>
      </c>
      <c r="XA16" s="29">
        <f t="shared" ca="1" si="664"/>
        <v>14481.034485018348</v>
      </c>
      <c r="XB16" s="29">
        <f t="shared" ca="1" si="665"/>
        <v>14760.658735346493</v>
      </c>
      <c r="XC16" s="29">
        <f t="shared" ca="1" si="666"/>
        <v>14546.908226458298</v>
      </c>
      <c r="XD16" s="29">
        <f t="shared" ca="1" si="667"/>
        <v>13777.516241300005</v>
      </c>
      <c r="XE16" s="29">
        <f t="shared" ca="1" si="668"/>
        <v>14073.937563057358</v>
      </c>
      <c r="XF16" s="29">
        <f t="shared" ca="1" si="669"/>
        <v>14523.435497656494</v>
      </c>
      <c r="XG16" s="29">
        <f t="shared" ca="1" si="670"/>
        <v>14363.863972687759</v>
      </c>
      <c r="XH16" s="29">
        <f t="shared" ca="1" si="671"/>
        <v>14255.031886930068</v>
      </c>
      <c r="XI16" s="29">
        <f t="shared" ca="1" si="672"/>
        <v>14906.491391340067</v>
      </c>
      <c r="XJ16" s="29">
        <f t="shared" ca="1" si="673"/>
        <v>15090.661476562229</v>
      </c>
      <c r="XK16" s="29">
        <f t="shared" ca="1" si="674"/>
        <v>13974.268167967413</v>
      </c>
      <c r="XL16" s="29">
        <f t="shared" ca="1" si="675"/>
        <v>14148.389517227781</v>
      </c>
      <c r="XM16" s="29">
        <f t="shared" ca="1" si="676"/>
        <v>14344.203649288431</v>
      </c>
      <c r="XN16" s="29">
        <f t="shared" ca="1" si="677"/>
        <v>14185.066787591346</v>
      </c>
      <c r="XO16" s="29">
        <f t="shared" ca="1" si="678"/>
        <v>14945.96644965117</v>
      </c>
      <c r="XP16" s="29">
        <f t="shared" ca="1" si="679"/>
        <v>14742.451387820625</v>
      </c>
      <c r="XQ16" s="29">
        <f t="shared" ca="1" si="680"/>
        <v>13993.747532344649</v>
      </c>
      <c r="XR16" s="29">
        <f t="shared" ca="1" si="681"/>
        <v>14429.398671013736</v>
      </c>
      <c r="XS16" s="29">
        <f t="shared" ca="1" si="682"/>
        <v>13925.85538439945</v>
      </c>
      <c r="XT16" s="29">
        <f t="shared" ca="1" si="683"/>
        <v>15345.267269710643</v>
      </c>
      <c r="XU16" s="29">
        <f t="shared" ca="1" si="684"/>
        <v>15343.431260531719</v>
      </c>
      <c r="XV16" s="29">
        <f t="shared" ca="1" si="685"/>
        <v>14687.230372600658</v>
      </c>
      <c r="XW16" s="29">
        <f t="shared" ca="1" si="686"/>
        <v>14541.991836734933</v>
      </c>
      <c r="XX16" s="29">
        <f t="shared" ca="1" si="687"/>
        <v>14654.097019939338</v>
      </c>
      <c r="XY16" s="29">
        <f t="shared" ca="1" si="688"/>
        <v>14122.084415736734</v>
      </c>
      <c r="XZ16" s="29">
        <f t="shared" ca="1" si="689"/>
        <v>14180.111664766906</v>
      </c>
      <c r="YA16" s="29">
        <f t="shared" ca="1" si="690"/>
        <v>15069.923808241825</v>
      </c>
      <c r="YB16" s="29">
        <f t="shared" ca="1" si="691"/>
        <v>15139.497928975867</v>
      </c>
      <c r="YC16" s="29">
        <f t="shared" ca="1" si="692"/>
        <v>15474.410371520713</v>
      </c>
      <c r="YD16" s="29">
        <f t="shared" ca="1" si="693"/>
        <v>13648.647508863669</v>
      </c>
      <c r="YE16" s="29">
        <f t="shared" ca="1" si="694"/>
        <v>14605.584172392098</v>
      </c>
      <c r="YF16" s="29">
        <f t="shared" ca="1" si="695"/>
        <v>14293.214283401025</v>
      </c>
      <c r="YG16" s="29">
        <f t="shared" ca="1" si="696"/>
        <v>14590.534827472104</v>
      </c>
      <c r="YH16" s="29">
        <f t="shared" ca="1" si="697"/>
        <v>13690.989699259597</v>
      </c>
      <c r="YI16" s="29">
        <f t="shared" ca="1" si="698"/>
        <v>13276.138598784442</v>
      </c>
      <c r="YJ16" s="29">
        <f t="shared" ca="1" si="699"/>
        <v>14443.6466334299</v>
      </c>
      <c r="YK16" s="29">
        <f t="shared" ca="1" si="700"/>
        <v>14283.206737822646</v>
      </c>
      <c r="YL16" s="29">
        <f t="shared" ca="1" si="701"/>
        <v>13839.828589843468</v>
      </c>
      <c r="YM16" s="29">
        <f t="shared" ca="1" si="702"/>
        <v>14292.559217438669</v>
      </c>
      <c r="YN16" s="29">
        <f t="shared" ca="1" si="703"/>
        <v>14661.887312850193</v>
      </c>
      <c r="YO16" s="29">
        <f t="shared" ca="1" si="704"/>
        <v>13316.807701159913</v>
      </c>
      <c r="YP16" s="29">
        <f t="shared" ca="1" si="705"/>
        <v>15569.441704059987</v>
      </c>
      <c r="YQ16" s="29">
        <f t="shared" ca="1" si="706"/>
        <v>13693.376584860182</v>
      </c>
      <c r="YR16" s="29">
        <f t="shared" ca="1" si="707"/>
        <v>13881.704325976663</v>
      </c>
      <c r="YS16" s="29">
        <f t="shared" ca="1" si="708"/>
        <v>15125.046410054827</v>
      </c>
      <c r="YT16" s="29">
        <f t="shared" ca="1" si="709"/>
        <v>15094.232468997789</v>
      </c>
      <c r="YU16" s="29">
        <f t="shared" ca="1" si="710"/>
        <v>14959.733198905626</v>
      </c>
      <c r="YV16" s="29">
        <f t="shared" ca="1" si="711"/>
        <v>13927.07696139176</v>
      </c>
      <c r="YW16" s="29">
        <f t="shared" ca="1" si="712"/>
        <v>14454.243757510567</v>
      </c>
      <c r="YX16" s="29">
        <f t="shared" ca="1" si="713"/>
        <v>14722.133322637674</v>
      </c>
      <c r="YY16" s="29">
        <f t="shared" ca="1" si="714"/>
        <v>13851.320902828204</v>
      </c>
      <c r="YZ16" s="29">
        <f t="shared" ca="1" si="715"/>
        <v>14182.7693095007</v>
      </c>
      <c r="ZA16" s="29">
        <f t="shared" ca="1" si="716"/>
        <v>14196.756268619514</v>
      </c>
      <c r="ZB16" s="29">
        <f t="shared" ca="1" si="717"/>
        <v>14712.813167931949</v>
      </c>
      <c r="ZC16" s="29">
        <f t="shared" ca="1" si="718"/>
        <v>15008.136124486815</v>
      </c>
      <c r="ZD16" s="29">
        <f t="shared" ca="1" si="719"/>
        <v>14437.409567787146</v>
      </c>
      <c r="ZE16" s="29">
        <f t="shared" ca="1" si="720"/>
        <v>13848.532682931636</v>
      </c>
      <c r="ZF16" s="29">
        <f t="shared" ca="1" si="721"/>
        <v>13961.794339881504</v>
      </c>
      <c r="ZG16" s="29">
        <f t="shared" ca="1" si="722"/>
        <v>12997.764201519931</v>
      </c>
      <c r="ZH16" s="29">
        <f t="shared" ca="1" si="723"/>
        <v>14083.923758811698</v>
      </c>
      <c r="ZI16" s="29">
        <f t="shared" ca="1" si="724"/>
        <v>13536.228434027</v>
      </c>
      <c r="ZJ16" s="29">
        <f t="shared" ca="1" si="725"/>
        <v>14512.432674052814</v>
      </c>
      <c r="ZK16" s="29">
        <f t="shared" ca="1" si="726"/>
        <v>13628.915075292332</v>
      </c>
      <c r="ZL16" s="29">
        <f t="shared" ca="1" si="727"/>
        <v>13931.1642627292</v>
      </c>
      <c r="ZM16" s="29">
        <f t="shared" ca="1" si="728"/>
        <v>13173.658656469845</v>
      </c>
      <c r="ZN16" s="29">
        <f t="shared" ca="1" si="729"/>
        <v>14401.500611407077</v>
      </c>
      <c r="ZO16" s="29">
        <f t="shared" ca="1" si="730"/>
        <v>14482.403643584463</v>
      </c>
      <c r="ZP16" s="29">
        <f t="shared" ca="1" si="731"/>
        <v>14152.890260359669</v>
      </c>
      <c r="ZQ16" s="29">
        <f t="shared" ca="1" si="732"/>
        <v>14498.112917582999</v>
      </c>
      <c r="ZR16" s="29">
        <f t="shared" ca="1" si="733"/>
        <v>14797.669303465858</v>
      </c>
      <c r="ZS16" s="29">
        <f t="shared" ca="1" si="734"/>
        <v>14189.804939375446</v>
      </c>
      <c r="ZT16" s="29">
        <f t="shared" ca="1" si="735"/>
        <v>14413.06714753382</v>
      </c>
      <c r="ZU16" s="29">
        <f t="shared" ca="1" si="736"/>
        <v>14306.859055408619</v>
      </c>
      <c r="ZV16" s="29">
        <f t="shared" ca="1" si="737"/>
        <v>14293.34154051219</v>
      </c>
      <c r="ZW16" s="29">
        <f t="shared" ca="1" si="738"/>
        <v>14293.800567733515</v>
      </c>
      <c r="ZX16" s="29">
        <f t="shared" ca="1" si="739"/>
        <v>14721.005284792869</v>
      </c>
      <c r="ZY16" s="29">
        <f t="shared" ca="1" si="740"/>
        <v>14121.332482575204</v>
      </c>
      <c r="ZZ16" s="29">
        <f t="shared" ca="1" si="741"/>
        <v>13868.282972054711</v>
      </c>
      <c r="AAA16" s="29">
        <f t="shared" ca="1" si="742"/>
        <v>15074.193758879695</v>
      </c>
      <c r="AAB16" s="29">
        <f t="shared" ca="1" si="743"/>
        <v>15393.772754081696</v>
      </c>
      <c r="AAC16" s="29">
        <f t="shared" ca="1" si="744"/>
        <v>14687.932031413715</v>
      </c>
      <c r="AAD16" s="29">
        <f t="shared" ca="1" si="745"/>
        <v>13486.39155262569</v>
      </c>
      <c r="AAE16" s="29">
        <f t="shared" ca="1" si="746"/>
        <v>13578.47403903108</v>
      </c>
      <c r="AAF16" s="29">
        <f t="shared" ca="1" si="747"/>
        <v>15380.202115563123</v>
      </c>
      <c r="AAG16" s="29">
        <f t="shared" ca="1" si="748"/>
        <v>15269.279081274419</v>
      </c>
      <c r="AAH16" s="29">
        <f t="shared" ca="1" si="749"/>
        <v>15013.486541203685</v>
      </c>
      <c r="AAI16" s="29">
        <f t="shared" ca="1" si="750"/>
        <v>14233.219873826096</v>
      </c>
      <c r="AAJ16" s="29">
        <f t="shared" ca="1" si="751"/>
        <v>14644.276878179391</v>
      </c>
      <c r="AAK16" s="29">
        <f t="shared" ca="1" si="752"/>
        <v>14572.865703498454</v>
      </c>
      <c r="AAL16" s="29">
        <f t="shared" ca="1" si="753"/>
        <v>14392.567853521399</v>
      </c>
      <c r="AAM16" s="29">
        <f t="shared" ca="1" si="754"/>
        <v>14346.209135224932</v>
      </c>
      <c r="AAN16" s="29">
        <f t="shared" ca="1" si="755"/>
        <v>15306.043005895492</v>
      </c>
      <c r="AAO16" s="29">
        <f t="shared" ca="1" si="756"/>
        <v>14355.894570686947</v>
      </c>
      <c r="AAP16" s="29">
        <f t="shared" ca="1" si="757"/>
        <v>15288.519288079044</v>
      </c>
      <c r="AAQ16" s="29">
        <f t="shared" ca="1" si="758"/>
        <v>14562.42974673869</v>
      </c>
      <c r="AAR16" s="29">
        <f t="shared" ca="1" si="759"/>
        <v>15612.172324566651</v>
      </c>
      <c r="AAS16" s="29">
        <f t="shared" ca="1" si="760"/>
        <v>14163.985559117418</v>
      </c>
      <c r="AAT16" s="29">
        <f t="shared" ca="1" si="761"/>
        <v>14514.927888768701</v>
      </c>
      <c r="AAU16" s="29">
        <f t="shared" ca="1" si="762"/>
        <v>15320.97069763523</v>
      </c>
      <c r="AAV16" s="29">
        <f t="shared" ca="1" si="763"/>
        <v>13614.030693744053</v>
      </c>
      <c r="AAW16" s="29">
        <f t="shared" ca="1" si="764"/>
        <v>14487.631050284977</v>
      </c>
      <c r="AAX16" s="29">
        <f t="shared" ca="1" si="765"/>
        <v>14853.897233748339</v>
      </c>
      <c r="AAY16" s="29">
        <f t="shared" ca="1" si="766"/>
        <v>14335.682975593108</v>
      </c>
      <c r="AAZ16" s="29">
        <f t="shared" ca="1" si="767"/>
        <v>14950.107120078637</v>
      </c>
      <c r="ABA16" s="29">
        <f t="shared" ca="1" si="768"/>
        <v>14492.514171249803</v>
      </c>
      <c r="ABB16" s="29">
        <f t="shared" ca="1" si="769"/>
        <v>14846.203028762728</v>
      </c>
      <c r="ABC16" s="29">
        <f t="shared" ca="1" si="770"/>
        <v>14693.974477783951</v>
      </c>
      <c r="ABD16" s="29">
        <f t="shared" ca="1" si="771"/>
        <v>14190.439795419145</v>
      </c>
      <c r="ABE16" s="29">
        <f t="shared" ca="1" si="772"/>
        <v>12789.226724097605</v>
      </c>
      <c r="ABF16" s="29">
        <f t="shared" ca="1" si="773"/>
        <v>14255.518840263701</v>
      </c>
      <c r="ABG16" s="29">
        <f t="shared" ca="1" si="774"/>
        <v>14321.028497789634</v>
      </c>
      <c r="ABH16" s="29">
        <f t="shared" ca="1" si="775"/>
        <v>14369.254034595819</v>
      </c>
      <c r="ABI16" s="29">
        <f t="shared" ca="1" si="776"/>
        <v>14421.871134706902</v>
      </c>
      <c r="ABJ16" s="29">
        <f t="shared" ca="1" si="777"/>
        <v>14600.705699204285</v>
      </c>
      <c r="ABK16" s="29">
        <f t="shared" ca="1" si="778"/>
        <v>15059.171369641399</v>
      </c>
      <c r="ABL16" s="29">
        <f t="shared" ca="1" si="779"/>
        <v>14530.879617663577</v>
      </c>
      <c r="ABM16" s="29">
        <f t="shared" ca="1" si="780"/>
        <v>14251.235182115885</v>
      </c>
      <c r="ABN16" s="29">
        <f t="shared" ca="1" si="781"/>
        <v>14183.692895498874</v>
      </c>
      <c r="ABO16" s="29">
        <f t="shared" ca="1" si="782"/>
        <v>15204.430605391764</v>
      </c>
      <c r="ABP16" s="29">
        <f t="shared" ca="1" si="783"/>
        <v>14333.677318399767</v>
      </c>
      <c r="ABQ16" s="29">
        <f t="shared" ca="1" si="784"/>
        <v>13077.021907976055</v>
      </c>
      <c r="ABR16" s="29">
        <f t="shared" ca="1" si="785"/>
        <v>13337.620851255137</v>
      </c>
      <c r="ABS16" s="29">
        <f t="shared" ca="1" si="786"/>
        <v>13820.905219901701</v>
      </c>
      <c r="ABT16" s="29">
        <f t="shared" ca="1" si="787"/>
        <v>14430.567620469921</v>
      </c>
      <c r="ABU16" s="29">
        <f t="shared" ca="1" si="788"/>
        <v>14378.704263861151</v>
      </c>
      <c r="ABV16" s="29">
        <f t="shared" ca="1" si="789"/>
        <v>15539.742236483491</v>
      </c>
      <c r="ABW16" s="29">
        <f t="shared" ca="1" si="790"/>
        <v>15020.442818799174</v>
      </c>
      <c r="ABX16" s="29">
        <f t="shared" ca="1" si="791"/>
        <v>14975.386730431032</v>
      </c>
      <c r="ABY16" s="29">
        <f t="shared" ca="1" si="792"/>
        <v>14858.585523868756</v>
      </c>
      <c r="ABZ16" s="29">
        <f t="shared" ca="1" si="793"/>
        <v>14323.364358525941</v>
      </c>
      <c r="ACA16" s="29">
        <f t="shared" ca="1" si="794"/>
        <v>15360.99717129185</v>
      </c>
      <c r="ACB16" s="29">
        <f t="shared" ca="1" si="795"/>
        <v>14971.426491937525</v>
      </c>
      <c r="ACC16" s="29">
        <f t="shared" ca="1" si="796"/>
        <v>14115.96061536374</v>
      </c>
      <c r="ACD16" s="29">
        <f t="shared" ca="1" si="797"/>
        <v>14661.463128029043</v>
      </c>
      <c r="ACE16" s="29">
        <f t="shared" ca="1" si="798"/>
        <v>14918.149888322947</v>
      </c>
      <c r="ACF16" s="29">
        <f t="shared" ca="1" si="799"/>
        <v>14498.149287534279</v>
      </c>
      <c r="ACG16" s="29">
        <f t="shared" ca="1" si="800"/>
        <v>13570.509863117715</v>
      </c>
      <c r="ACH16" s="29">
        <f t="shared" ca="1" si="801"/>
        <v>14871.435391394712</v>
      </c>
      <c r="ACI16" s="29">
        <f t="shared" ca="1" si="802"/>
        <v>14041.984203483476</v>
      </c>
      <c r="ACJ16" s="29">
        <f t="shared" ca="1" si="803"/>
        <v>15105.925794767012</v>
      </c>
      <c r="ACK16" s="29">
        <f t="shared" ca="1" si="804"/>
        <v>13750.478341856957</v>
      </c>
      <c r="ACL16" s="29">
        <f t="shared" ca="1" si="805"/>
        <v>13475.443362108876</v>
      </c>
      <c r="ACM16" s="29">
        <f t="shared" ca="1" si="806"/>
        <v>14880.695468106976</v>
      </c>
      <c r="ACN16" s="29">
        <f t="shared" ca="1" si="807"/>
        <v>14918.756824170225</v>
      </c>
      <c r="ACO16" s="29">
        <f t="shared" ca="1" si="808"/>
        <v>16210.741307306851</v>
      </c>
      <c r="ACP16" s="29">
        <f t="shared" ca="1" si="809"/>
        <v>14416.318591363673</v>
      </c>
      <c r="ACQ16" s="29">
        <f t="shared" ca="1" si="810"/>
        <v>14760.051650065287</v>
      </c>
      <c r="ACR16" s="29">
        <f t="shared" ca="1" si="811"/>
        <v>14830.82063743899</v>
      </c>
      <c r="ACS16" s="29">
        <f t="shared" ca="1" si="812"/>
        <v>14355.556952961118</v>
      </c>
      <c r="ACT16" s="29">
        <f t="shared" ca="1" si="813"/>
        <v>14409.669650391592</v>
      </c>
      <c r="ACU16" s="29">
        <f t="shared" ca="1" si="814"/>
        <v>13925.672896334798</v>
      </c>
      <c r="ACV16" s="29">
        <f t="shared" ca="1" si="815"/>
        <v>14328.04679137247</v>
      </c>
      <c r="ACW16" s="29">
        <f t="shared" ca="1" si="816"/>
        <v>14661.933436245177</v>
      </c>
      <c r="ACX16" s="29">
        <f t="shared" ca="1" si="817"/>
        <v>14177.29978020966</v>
      </c>
      <c r="ACY16" s="29">
        <f t="shared" ca="1" si="818"/>
        <v>14326.166907255163</v>
      </c>
      <c r="ACZ16" s="29">
        <f t="shared" ca="1" si="819"/>
        <v>14062.99434960389</v>
      </c>
      <c r="ADA16" s="29">
        <f t="shared" ca="1" si="820"/>
        <v>14668.229223166829</v>
      </c>
      <c r="ADB16" s="29">
        <f t="shared" ca="1" si="821"/>
        <v>13735.935672760173</v>
      </c>
      <c r="ADC16" s="29">
        <f t="shared" ca="1" si="822"/>
        <v>14264.063133190808</v>
      </c>
      <c r="ADD16" s="29">
        <f t="shared" ca="1" si="823"/>
        <v>14848.065890350013</v>
      </c>
      <c r="ADE16" s="29">
        <f t="shared" ca="1" si="824"/>
        <v>14271.552088983703</v>
      </c>
      <c r="ADF16" s="29">
        <f t="shared" ca="1" si="825"/>
        <v>13600.566823734382</v>
      </c>
      <c r="ADG16" s="29">
        <f t="shared" ca="1" si="826"/>
        <v>14650.064254811343</v>
      </c>
      <c r="ADH16" s="29">
        <f t="shared" ca="1" si="827"/>
        <v>14946.95256073579</v>
      </c>
      <c r="ADI16" s="29">
        <f t="shared" ca="1" si="828"/>
        <v>14722.742211640869</v>
      </c>
      <c r="ADJ16" s="29">
        <f t="shared" ca="1" si="829"/>
        <v>14603.055728969097</v>
      </c>
      <c r="ADK16" s="29">
        <f t="shared" ca="1" si="830"/>
        <v>14702.503313092204</v>
      </c>
      <c r="ADL16" s="29">
        <f t="shared" ca="1" si="831"/>
        <v>14324.690113109807</v>
      </c>
      <c r="ADM16" s="29">
        <f t="shared" ca="1" si="832"/>
        <v>14425.24213487753</v>
      </c>
      <c r="ADN16" s="29">
        <f t="shared" ca="1" si="833"/>
        <v>13948.43161699365</v>
      </c>
      <c r="ADO16" s="29">
        <f t="shared" ca="1" si="834"/>
        <v>14902.576612831284</v>
      </c>
      <c r="ADP16" s="29">
        <f t="shared" ca="1" si="835"/>
        <v>14619.304768892633</v>
      </c>
      <c r="ADQ16" s="29">
        <f t="shared" ca="1" si="836"/>
        <v>16289.82992028734</v>
      </c>
      <c r="ADR16" s="29">
        <f t="shared" ca="1" si="837"/>
        <v>14790.907225688617</v>
      </c>
      <c r="ADS16" s="29">
        <f t="shared" ca="1" si="838"/>
        <v>14320.478681505447</v>
      </c>
      <c r="ADT16" s="29">
        <f t="shared" ca="1" si="839"/>
        <v>13551.828879230055</v>
      </c>
      <c r="ADU16" s="29">
        <f t="shared" ca="1" si="840"/>
        <v>14932.600217386816</v>
      </c>
      <c r="ADV16" s="29">
        <f t="shared" ca="1" si="841"/>
        <v>14886.265495683345</v>
      </c>
      <c r="ADW16" s="29">
        <f t="shared" ca="1" si="842"/>
        <v>15128.381865726295</v>
      </c>
      <c r="ADX16" s="29">
        <f t="shared" ca="1" si="843"/>
        <v>13685.923614692274</v>
      </c>
      <c r="ADY16" s="29">
        <f t="shared" ca="1" si="844"/>
        <v>15948.920442055549</v>
      </c>
      <c r="ADZ16" s="29">
        <f t="shared" ca="1" si="845"/>
        <v>13999.503237437773</v>
      </c>
      <c r="AEA16" s="29">
        <f t="shared" ca="1" si="846"/>
        <v>14762.652417902169</v>
      </c>
      <c r="AEB16" s="29">
        <f t="shared" ca="1" si="847"/>
        <v>13227.251434768772</v>
      </c>
      <c r="AEC16" s="29">
        <f t="shared" ca="1" si="848"/>
        <v>15164.81537604444</v>
      </c>
      <c r="AED16" s="29">
        <f t="shared" ca="1" si="849"/>
        <v>14392.71542550081</v>
      </c>
      <c r="AEE16" s="29">
        <f t="shared" ca="1" si="850"/>
        <v>15074.645267530723</v>
      </c>
      <c r="AEF16" s="29">
        <f t="shared" ca="1" si="851"/>
        <v>14107.285068692619</v>
      </c>
      <c r="AEG16" s="29">
        <f t="shared" ca="1" si="852"/>
        <v>15634.93747848666</v>
      </c>
      <c r="AEH16" s="29">
        <f t="shared" ca="1" si="853"/>
        <v>14019.311890010102</v>
      </c>
      <c r="AEI16" s="29">
        <f t="shared" ca="1" si="854"/>
        <v>15240.152253812499</v>
      </c>
      <c r="AEJ16" s="29">
        <f t="shared" ca="1" si="855"/>
        <v>14057.919453802817</v>
      </c>
      <c r="AEK16" s="29">
        <f t="shared" ca="1" si="856"/>
        <v>14685.979530668777</v>
      </c>
      <c r="AEL16" s="29">
        <f t="shared" ca="1" si="857"/>
        <v>14030.948370781074</v>
      </c>
      <c r="AEM16" s="29">
        <f t="shared" ca="1" si="858"/>
        <v>14440.342264261684</v>
      </c>
      <c r="AEN16" s="29">
        <f t="shared" ca="1" si="859"/>
        <v>15228.056110971596</v>
      </c>
      <c r="AEO16" s="29">
        <f t="shared" ca="1" si="860"/>
        <v>14144.195340786129</v>
      </c>
      <c r="AEP16" s="29">
        <f t="shared" ca="1" si="861"/>
        <v>14906.356345074159</v>
      </c>
      <c r="AEQ16" s="29">
        <f t="shared" ca="1" si="862"/>
        <v>14827.46215085426</v>
      </c>
      <c r="AER16" s="29">
        <f t="shared" ca="1" si="863"/>
        <v>15093.002569989902</v>
      </c>
      <c r="AES16" s="29">
        <f t="shared" ca="1" si="864"/>
        <v>13526.26000248313</v>
      </c>
      <c r="AET16" s="29">
        <f t="shared" ca="1" si="865"/>
        <v>14711.270222975956</v>
      </c>
      <c r="AEU16" s="29">
        <f t="shared" ca="1" si="866"/>
        <v>13916.319285259666</v>
      </c>
      <c r="AEV16" s="29">
        <f t="shared" ca="1" si="867"/>
        <v>15855.850089938869</v>
      </c>
      <c r="AEW16" s="29">
        <f t="shared" ca="1" si="868"/>
        <v>14179.219370372199</v>
      </c>
      <c r="AEX16" s="29">
        <f t="shared" ca="1" si="869"/>
        <v>13846.068017280548</v>
      </c>
      <c r="AEY16" s="29">
        <f t="shared" ca="1" si="870"/>
        <v>13663.909799529019</v>
      </c>
      <c r="AEZ16" s="29">
        <f t="shared" ca="1" si="871"/>
        <v>13927.893685621835</v>
      </c>
      <c r="AFA16" s="29">
        <f t="shared" ca="1" si="872"/>
        <v>15052.86808675123</v>
      </c>
      <c r="AFB16" s="29">
        <f t="shared" ca="1" si="873"/>
        <v>14220.563362490659</v>
      </c>
      <c r="AFC16" s="29">
        <f t="shared" ca="1" si="874"/>
        <v>14265.595766841416</v>
      </c>
      <c r="AFD16" s="29">
        <f t="shared" ca="1" si="875"/>
        <v>14787.764855571011</v>
      </c>
      <c r="AFE16" s="29">
        <f t="shared" ca="1" si="876"/>
        <v>14923.718120100486</v>
      </c>
      <c r="AFF16" s="29">
        <f t="shared" ca="1" si="877"/>
        <v>14074.090927531304</v>
      </c>
      <c r="AFG16" s="29">
        <f t="shared" ca="1" si="878"/>
        <v>15158.473967691241</v>
      </c>
      <c r="AFH16" s="29">
        <f t="shared" ca="1" si="879"/>
        <v>15177.377203729959</v>
      </c>
      <c r="AFI16" s="29">
        <f t="shared" ca="1" si="880"/>
        <v>14497.129096649329</v>
      </c>
      <c r="AFJ16" s="29">
        <f t="shared" ca="1" si="881"/>
        <v>13915.794835547073</v>
      </c>
      <c r="AFK16" s="29">
        <f t="shared" ca="1" si="882"/>
        <v>13990.035897106511</v>
      </c>
      <c r="AFL16" s="29">
        <f t="shared" ca="1" si="883"/>
        <v>14320.585475655253</v>
      </c>
      <c r="AFM16" s="29">
        <f t="shared" ca="1" si="884"/>
        <v>13943.357766420611</v>
      </c>
      <c r="AFN16" s="29">
        <f t="shared" ca="1" si="885"/>
        <v>14683.438530724825</v>
      </c>
      <c r="AFO16" s="29">
        <f t="shared" ca="1" si="886"/>
        <v>15129.73556410279</v>
      </c>
      <c r="AFP16" s="29">
        <f t="shared" ca="1" si="887"/>
        <v>14750.737353625147</v>
      </c>
      <c r="AFQ16" s="29">
        <f t="shared" ca="1" si="888"/>
        <v>13891.409572745144</v>
      </c>
      <c r="AFR16" s="29">
        <f t="shared" ca="1" si="889"/>
        <v>14941.467769660527</v>
      </c>
      <c r="AFS16" s="29">
        <f t="shared" ca="1" si="890"/>
        <v>14627.5688087862</v>
      </c>
      <c r="AFT16" s="29">
        <f t="shared" ca="1" si="891"/>
        <v>14634.922934342236</v>
      </c>
      <c r="AFU16" s="29">
        <f t="shared" ca="1" si="892"/>
        <v>13790.583228835312</v>
      </c>
      <c r="AFV16" s="29">
        <f t="shared" ca="1" si="893"/>
        <v>14544.055524084701</v>
      </c>
      <c r="AFW16" s="29">
        <f t="shared" ca="1" si="894"/>
        <v>14593.775208424902</v>
      </c>
      <c r="AFX16" s="29">
        <f t="shared" ca="1" si="895"/>
        <v>15282.943710646879</v>
      </c>
      <c r="AFY16" s="29">
        <f t="shared" ca="1" si="896"/>
        <v>15009.78615777199</v>
      </c>
      <c r="AFZ16" s="29">
        <f t="shared" ca="1" si="897"/>
        <v>14769.305493000256</v>
      </c>
      <c r="AGA16" s="29">
        <f t="shared" ca="1" si="898"/>
        <v>14878.585871461963</v>
      </c>
      <c r="AGB16" s="29">
        <f t="shared" ca="1" si="899"/>
        <v>14328.187311535145</v>
      </c>
      <c r="AGC16" s="29">
        <f t="shared" ca="1" si="900"/>
        <v>13890.877072617004</v>
      </c>
      <c r="AGD16" s="29">
        <f t="shared" ca="1" si="901"/>
        <v>14983.009357059071</v>
      </c>
      <c r="AGE16" s="29">
        <f t="shared" ca="1" si="902"/>
        <v>14078.484872524326</v>
      </c>
      <c r="AGF16" s="29">
        <f t="shared" ca="1" si="903"/>
        <v>14456.166979456328</v>
      </c>
      <c r="AGG16" s="29">
        <f t="shared" ca="1" si="904"/>
        <v>13667.94452502923</v>
      </c>
      <c r="AGH16" s="29">
        <f t="shared" ca="1" si="905"/>
        <v>14585.798290519733</v>
      </c>
      <c r="AGI16" s="29">
        <f t="shared" ca="1" si="906"/>
        <v>14153.797419802984</v>
      </c>
      <c r="AGJ16" s="29">
        <f t="shared" ca="1" si="907"/>
        <v>14673.333735936681</v>
      </c>
      <c r="AGK16" s="29">
        <f t="shared" ca="1" si="908"/>
        <v>14863.826482667266</v>
      </c>
      <c r="AGL16" s="29">
        <f t="shared" ca="1" si="909"/>
        <v>14282.240470342696</v>
      </c>
      <c r="AGM16" s="29">
        <f t="shared" ca="1" si="910"/>
        <v>13834.374014756071</v>
      </c>
      <c r="AGN16" s="29">
        <f t="shared" ca="1" si="911"/>
        <v>13901.021073765942</v>
      </c>
      <c r="AGO16" s="29">
        <f t="shared" ca="1" si="912"/>
        <v>15210.640828433759</v>
      </c>
      <c r="AGP16" s="29">
        <f t="shared" ca="1" si="913"/>
        <v>14054.451523363881</v>
      </c>
      <c r="AGQ16" s="29">
        <f t="shared" ca="1" si="914"/>
        <v>14395.535291412896</v>
      </c>
      <c r="AGR16" s="29">
        <f t="shared" ca="1" si="915"/>
        <v>14085.980202727453</v>
      </c>
      <c r="AGS16" s="29">
        <f t="shared" ca="1" si="916"/>
        <v>14736.481328783637</v>
      </c>
      <c r="AGT16" s="29">
        <f t="shared" ca="1" si="917"/>
        <v>13658.497371083355</v>
      </c>
      <c r="AGU16" s="29">
        <f t="shared" ca="1" si="918"/>
        <v>14656.668704808546</v>
      </c>
      <c r="AGV16" s="29">
        <f t="shared" ca="1" si="919"/>
        <v>14819.037222968578</v>
      </c>
      <c r="AGW16" s="29">
        <f t="shared" ca="1" si="920"/>
        <v>15032.483801549277</v>
      </c>
      <c r="AGX16" s="29">
        <f t="shared" ca="1" si="921"/>
        <v>15094.775150118679</v>
      </c>
      <c r="AGY16" s="29">
        <f t="shared" ca="1" si="922"/>
        <v>14316.65487273267</v>
      </c>
      <c r="AGZ16" s="29">
        <f t="shared" ca="1" si="923"/>
        <v>13881.604577563747</v>
      </c>
      <c r="AHA16" s="29">
        <f t="shared" ca="1" si="924"/>
        <v>13686.065514205171</v>
      </c>
      <c r="AHB16" s="29">
        <f t="shared" ca="1" si="925"/>
        <v>13322.546471516522</v>
      </c>
      <c r="AHC16" s="29">
        <f t="shared" ca="1" si="926"/>
        <v>15389.560279207015</v>
      </c>
      <c r="AHD16" s="29">
        <f t="shared" ca="1" si="927"/>
        <v>14542.714449486437</v>
      </c>
      <c r="AHE16" s="29">
        <f t="shared" ca="1" si="928"/>
        <v>14938.343852491773</v>
      </c>
      <c r="AHF16" s="29">
        <f t="shared" ca="1" si="929"/>
        <v>15231.853587601496</v>
      </c>
      <c r="AHG16" s="29">
        <f t="shared" ca="1" si="930"/>
        <v>15270.876529404379</v>
      </c>
      <c r="AHH16" s="29">
        <f t="shared" ca="1" si="931"/>
        <v>15702.464024278617</v>
      </c>
      <c r="AHI16" s="29">
        <f t="shared" ca="1" si="932"/>
        <v>14189.535317598851</v>
      </c>
      <c r="AHJ16" s="29">
        <f t="shared" ca="1" si="933"/>
        <v>13581.801867341053</v>
      </c>
      <c r="AHK16" s="29">
        <f t="shared" ca="1" si="934"/>
        <v>15635.56345943254</v>
      </c>
      <c r="AHL16" s="29">
        <f t="shared" ca="1" si="935"/>
        <v>15010.765204162668</v>
      </c>
      <c r="AHM16" s="29">
        <f t="shared" ca="1" si="936"/>
        <v>15781.052883601278</v>
      </c>
      <c r="AHN16" s="29">
        <f t="shared" ca="1" si="937"/>
        <v>14085.692156873012</v>
      </c>
      <c r="AHO16" s="29">
        <f t="shared" ca="1" si="938"/>
        <v>15016.869956329509</v>
      </c>
      <c r="AHP16" s="29">
        <f t="shared" ca="1" si="939"/>
        <v>14740.348306041711</v>
      </c>
      <c r="AHQ16" s="29">
        <f t="shared" ca="1" si="940"/>
        <v>14993.846805559273</v>
      </c>
      <c r="AHR16" s="29">
        <f t="shared" ca="1" si="941"/>
        <v>14583.435756750891</v>
      </c>
      <c r="AHS16" s="29">
        <f t="shared" ca="1" si="942"/>
        <v>14371.530118011544</v>
      </c>
      <c r="AHT16" s="29">
        <f t="shared" ca="1" si="943"/>
        <v>14539.570306084199</v>
      </c>
      <c r="AHU16" s="29">
        <f t="shared" ca="1" si="944"/>
        <v>14239.770646889534</v>
      </c>
      <c r="AHV16" s="29">
        <f t="shared" ca="1" si="945"/>
        <v>14932.129785036313</v>
      </c>
      <c r="AHW16" s="29">
        <f t="shared" ca="1" si="946"/>
        <v>15141.931977444408</v>
      </c>
      <c r="AHX16" s="29">
        <f t="shared" ca="1" si="947"/>
        <v>15393.959773447872</v>
      </c>
      <c r="AHY16" s="29">
        <f t="shared" ca="1" si="948"/>
        <v>14191.169197939696</v>
      </c>
      <c r="AHZ16" s="29">
        <f t="shared" ca="1" si="949"/>
        <v>13337.994982117445</v>
      </c>
      <c r="AIA16" s="29">
        <f t="shared" ca="1" si="950"/>
        <v>15054.538591114062</v>
      </c>
      <c r="AIB16" s="29">
        <f t="shared" ca="1" si="951"/>
        <v>14366.246271481255</v>
      </c>
      <c r="AIC16" s="29">
        <f t="shared" ca="1" si="952"/>
        <v>14594.419670151479</v>
      </c>
      <c r="AID16" s="29">
        <f t="shared" ca="1" si="953"/>
        <v>14501.607864143163</v>
      </c>
      <c r="AIE16" s="29">
        <f t="shared" ca="1" si="954"/>
        <v>14333.257633767922</v>
      </c>
      <c r="AIF16" s="29">
        <f t="shared" ca="1" si="955"/>
        <v>14406.956345736799</v>
      </c>
      <c r="AIG16" s="29">
        <f t="shared" ca="1" si="956"/>
        <v>15097.727561149586</v>
      </c>
      <c r="AIH16" s="29">
        <f t="shared" ca="1" si="957"/>
        <v>14630.538772917227</v>
      </c>
      <c r="AII16" s="29">
        <f t="shared" ca="1" si="958"/>
        <v>13888.054006445222</v>
      </c>
      <c r="AIJ16" s="29">
        <f t="shared" ca="1" si="959"/>
        <v>13509.474024083656</v>
      </c>
      <c r="AIK16" s="29">
        <f t="shared" ca="1" si="960"/>
        <v>14382.250849884005</v>
      </c>
      <c r="AIL16" s="29">
        <f t="shared" ca="1" si="961"/>
        <v>14253.91360403591</v>
      </c>
      <c r="AIM16" s="29">
        <f t="shared" ca="1" si="962"/>
        <v>14261.838655476849</v>
      </c>
      <c r="AIN16" s="29">
        <f t="shared" ca="1" si="963"/>
        <v>14520.772238838927</v>
      </c>
      <c r="AIO16" s="29">
        <f t="shared" ca="1" si="964"/>
        <v>13725.991026069394</v>
      </c>
      <c r="AIP16" s="29">
        <f t="shared" ca="1" si="965"/>
        <v>14220.063126460273</v>
      </c>
      <c r="AIQ16" s="29">
        <f t="shared" ca="1" si="966"/>
        <v>13287.877984259116</v>
      </c>
      <c r="AIR16" s="29">
        <f t="shared" ca="1" si="967"/>
        <v>13970.04437723636</v>
      </c>
      <c r="AIS16" s="29">
        <f t="shared" ca="1" si="968"/>
        <v>14314.018977997241</v>
      </c>
      <c r="AIT16" s="29">
        <f t="shared" ca="1" si="969"/>
        <v>14179.499999377884</v>
      </c>
      <c r="AIU16" s="29">
        <f t="shared" ca="1" si="970"/>
        <v>13799.437028884337</v>
      </c>
      <c r="AIV16" s="29">
        <f t="shared" ca="1" si="971"/>
        <v>14294.079614264903</v>
      </c>
      <c r="AIW16" s="29">
        <f t="shared" ca="1" si="972"/>
        <v>13754.482286940349</v>
      </c>
      <c r="AIX16" s="29">
        <f t="shared" ca="1" si="973"/>
        <v>14921.131003741013</v>
      </c>
      <c r="AIY16" s="29">
        <f t="shared" ca="1" si="974"/>
        <v>14720.819190310596</v>
      </c>
      <c r="AIZ16" s="29">
        <f t="shared" ca="1" si="975"/>
        <v>14926.745369660121</v>
      </c>
      <c r="AJA16" s="29">
        <f t="shared" ca="1" si="976"/>
        <v>14148.29638038419</v>
      </c>
      <c r="AJB16" s="29">
        <f t="shared" ca="1" si="977"/>
        <v>14619.337247114483</v>
      </c>
      <c r="AJC16" s="29">
        <f t="shared" ca="1" si="978"/>
        <v>14643.455029765464</v>
      </c>
      <c r="AJD16" s="29">
        <f t="shared" ca="1" si="979"/>
        <v>14167.625646285171</v>
      </c>
      <c r="AJE16" s="29">
        <f t="shared" ca="1" si="980"/>
        <v>15106.155222732876</v>
      </c>
      <c r="AJF16" s="29">
        <f t="shared" ca="1" si="981"/>
        <v>14485.144003477322</v>
      </c>
      <c r="AJG16" s="29">
        <f t="shared" ca="1" si="982"/>
        <v>14581.759135760869</v>
      </c>
      <c r="AJH16" s="29">
        <f t="shared" ca="1" si="983"/>
        <v>14337.907627729468</v>
      </c>
      <c r="AJI16" s="29">
        <f t="shared" ca="1" si="984"/>
        <v>14952.334122498807</v>
      </c>
      <c r="AJJ16" s="29">
        <f t="shared" ca="1" si="985"/>
        <v>15132.306447071805</v>
      </c>
      <c r="AJK16" s="29">
        <f t="shared" ca="1" si="986"/>
        <v>14423.569022097265</v>
      </c>
      <c r="AJL16" s="29">
        <f t="shared" ca="1" si="987"/>
        <v>15136.070265733768</v>
      </c>
      <c r="AJM16" s="29">
        <f t="shared" ca="1" si="988"/>
        <v>14235.733463493609</v>
      </c>
      <c r="AJN16" s="29">
        <f t="shared" ca="1" si="989"/>
        <v>14282.690354815511</v>
      </c>
      <c r="AJO16" s="29">
        <f t="shared" ca="1" si="990"/>
        <v>14683.50771506925</v>
      </c>
      <c r="AJP16" s="29">
        <f t="shared" ca="1" si="991"/>
        <v>15290.381198215318</v>
      </c>
      <c r="AJQ16" s="29">
        <f t="shared" ca="1" si="992"/>
        <v>14181.900749343138</v>
      </c>
      <c r="AJR16" s="29">
        <f t="shared" ca="1" si="993"/>
        <v>15071.596605839874</v>
      </c>
      <c r="AJS16" s="29">
        <f t="shared" ca="1" si="994"/>
        <v>14826.461442240345</v>
      </c>
      <c r="AJT16" s="29">
        <f t="shared" ca="1" si="995"/>
        <v>14648.113201544835</v>
      </c>
      <c r="AJU16" s="29">
        <f t="shared" ca="1" si="996"/>
        <v>13508.639724125944</v>
      </c>
      <c r="AJV16" s="29">
        <f t="shared" ca="1" si="997"/>
        <v>13940.215497548561</v>
      </c>
      <c r="AJW16" s="29">
        <f t="shared" ca="1" si="998"/>
        <v>14490.98184226018</v>
      </c>
      <c r="AJX16" s="29">
        <f t="shared" ca="1" si="999"/>
        <v>15104.992004877076</v>
      </c>
      <c r="AJY16" s="29">
        <f t="shared" ca="1" si="1000"/>
        <v>13974.955624796448</v>
      </c>
      <c r="AJZ16" s="29">
        <f t="shared" ca="1" si="1001"/>
        <v>14616.079091019565</v>
      </c>
      <c r="AKA16" s="29">
        <f t="shared" ca="1" si="1002"/>
        <v>15096.254536172568</v>
      </c>
      <c r="AKB16" s="29">
        <f t="shared" ca="1" si="1003"/>
        <v>14359.332045084107</v>
      </c>
      <c r="AKC16" s="29">
        <f t="shared" ca="1" si="1004"/>
        <v>13952.680844321167</v>
      </c>
      <c r="AKD16" s="29">
        <f t="shared" ca="1" si="1005"/>
        <v>15159.432613914923</v>
      </c>
      <c r="AKE16" s="29">
        <f t="shared" ca="1" si="1006"/>
        <v>13415.813199318787</v>
      </c>
      <c r="AKF16" s="29">
        <f t="shared" ca="1" si="1007"/>
        <v>15294.941201365389</v>
      </c>
      <c r="AKG16" s="29">
        <f t="shared" ca="1" si="1008"/>
        <v>14056.753500688083</v>
      </c>
      <c r="AKH16" s="29">
        <f t="shared" ca="1" si="1009"/>
        <v>14257.713583346007</v>
      </c>
      <c r="AKI16" s="29">
        <f t="shared" ca="1" si="1010"/>
        <v>14609.974231090957</v>
      </c>
      <c r="AKJ16" s="29">
        <f t="shared" ca="1" si="1011"/>
        <v>14111.037676968277</v>
      </c>
      <c r="AKK16" s="29">
        <f t="shared" ca="1" si="1012"/>
        <v>15856.673416243586</v>
      </c>
      <c r="AKL16" s="29">
        <f t="shared" ca="1" si="1013"/>
        <v>14756.044072413961</v>
      </c>
      <c r="AKM16" s="29">
        <f t="shared" ca="1" si="1014"/>
        <v>14576.309115986756</v>
      </c>
      <c r="AKN16" s="29">
        <f t="shared" ca="1" si="1015"/>
        <v>14702.408505920166</v>
      </c>
      <c r="AKO16" s="29">
        <f t="shared" ca="1" si="1016"/>
        <v>14249.817923845245</v>
      </c>
      <c r="AKP16" s="29">
        <f t="shared" ca="1" si="1017"/>
        <v>15592.175365958063</v>
      </c>
      <c r="AKQ16" s="29">
        <f t="shared" ca="1" si="1018"/>
        <v>13372.421948283505</v>
      </c>
      <c r="AKR16" s="29">
        <f t="shared" ca="1" si="1019"/>
        <v>14211.959725346222</v>
      </c>
      <c r="AKS16" s="29">
        <f t="shared" ca="1" si="1020"/>
        <v>15212.732434831873</v>
      </c>
      <c r="AKT16" s="29">
        <f t="shared" ca="1" si="1021"/>
        <v>14942.224449851146</v>
      </c>
      <c r="AKU16" s="29">
        <f t="shared" ca="1" si="1022"/>
        <v>14276.040572466287</v>
      </c>
      <c r="AKV16" s="29">
        <f t="shared" ca="1" si="1023"/>
        <v>13049.502807734698</v>
      </c>
      <c r="AKW16" s="29">
        <f t="shared" ca="1" si="1024"/>
        <v>14359.909140200725</v>
      </c>
      <c r="AKX16" s="29">
        <f t="shared" ca="1" si="1025"/>
        <v>15144.757391621901</v>
      </c>
      <c r="AKY16" s="29">
        <f t="shared" ca="1" si="1026"/>
        <v>14651.183988602848</v>
      </c>
      <c r="AKZ16" s="29">
        <f t="shared" ca="1" si="1027"/>
        <v>14219.295266863704</v>
      </c>
      <c r="ALA16" s="29">
        <f t="shared" ca="1" si="1028"/>
        <v>14253.34653631246</v>
      </c>
      <c r="ALB16" s="29">
        <f t="shared" ca="1" si="1029"/>
        <v>15226.688201462914</v>
      </c>
      <c r="ALC16" s="29">
        <f t="shared" ca="1" si="1030"/>
        <v>14341.964157903634</v>
      </c>
      <c r="ALD16" s="29">
        <f t="shared" ca="1" si="1031"/>
        <v>15576.945214921801</v>
      </c>
      <c r="ALE16" s="29">
        <f t="shared" ca="1" si="1032"/>
        <v>13837.787784480339</v>
      </c>
      <c r="ALF16" s="29">
        <f t="shared" ca="1" si="1033"/>
        <v>13347.486927848577</v>
      </c>
      <c r="ALG16" s="29">
        <f t="shared" ca="1" si="1034"/>
        <v>14783.387094251164</v>
      </c>
      <c r="ALH16" s="29">
        <f t="shared" ca="1" si="1035"/>
        <v>14455.048824470099</v>
      </c>
      <c r="ALI16" s="29">
        <f t="shared" ca="1" si="1036"/>
        <v>14219.448846165296</v>
      </c>
      <c r="ALJ16" s="29">
        <f t="shared" ca="1" si="1037"/>
        <v>15041.270366077104</v>
      </c>
      <c r="ALK16" s="29">
        <f t="shared" ca="1" si="1038"/>
        <v>14587.481895169252</v>
      </c>
      <c r="ALL16" s="29">
        <f t="shared" ca="1" si="1039"/>
        <v>14280.900420981436</v>
      </c>
      <c r="ALM16" s="29">
        <f t="shared" ca="1" si="1040"/>
        <v>13471.713096678677</v>
      </c>
      <c r="ALN16" s="29">
        <f t="shared" ca="1" si="1041"/>
        <v>14279.311563895521</v>
      </c>
      <c r="ALO16" s="29">
        <f t="shared" ca="1" si="1042"/>
        <v>13786.762148896996</v>
      </c>
      <c r="ALP16" s="29">
        <f t="shared" ca="1" si="1043"/>
        <v>14208.881283345208</v>
      </c>
      <c r="ALQ16" s="29">
        <f t="shared" ca="1" si="1044"/>
        <v>15357.396910514994</v>
      </c>
      <c r="ALR16" s="29">
        <f t="shared" ca="1" si="1045"/>
        <v>14498.264473337493</v>
      </c>
      <c r="ALS16" s="29">
        <f t="shared" ca="1" si="1046"/>
        <v>13842.66275637023</v>
      </c>
      <c r="ALT16" s="29">
        <f t="shared" ca="1" si="1047"/>
        <v>14352.33412995214</v>
      </c>
      <c r="ALU16" s="29">
        <f t="shared" ca="1" si="1048"/>
        <v>14649.354480088887</v>
      </c>
      <c r="ALV16" s="29">
        <f t="shared" ca="1" si="1049"/>
        <v>14204.334377735981</v>
      </c>
    </row>
    <row r="17" spans="1:1010" x14ac:dyDescent="0.25">
      <c r="A17" s="1">
        <v>40498</v>
      </c>
      <c r="B17" s="2">
        <v>5988.7001950000003</v>
      </c>
      <c r="C17" s="16">
        <f t="shared" si="32"/>
        <v>-2.1949123518703203E-2</v>
      </c>
      <c r="J17" s="29">
        <f t="shared" si="49"/>
        <v>14</v>
      </c>
      <c r="K17" s="29">
        <f t="shared" ca="1" si="50"/>
        <v>14832.418343394735</v>
      </c>
      <c r="L17" s="29">
        <f t="shared" ca="1" si="51"/>
        <v>13868.218580147988</v>
      </c>
      <c r="M17" s="29">
        <f t="shared" ca="1" si="52"/>
        <v>15016.912024062849</v>
      </c>
      <c r="N17" s="29">
        <f t="shared" ca="1" si="53"/>
        <v>13564.081104720766</v>
      </c>
      <c r="O17" s="29">
        <f t="shared" ca="1" si="54"/>
        <v>14586.696083771607</v>
      </c>
      <c r="P17" s="29">
        <f t="shared" ca="1" si="55"/>
        <v>15153.296285039771</v>
      </c>
      <c r="Q17" s="29">
        <f t="shared" ca="1" si="56"/>
        <v>13232.543527256614</v>
      </c>
      <c r="R17" s="29">
        <f t="shared" ca="1" si="57"/>
        <v>14375.175063973107</v>
      </c>
      <c r="S17" s="29">
        <f t="shared" ca="1" si="58"/>
        <v>14620.461947083431</v>
      </c>
      <c r="T17" s="29">
        <f t="shared" ca="1" si="59"/>
        <v>15523.858784694059</v>
      </c>
      <c r="U17" s="29">
        <f t="shared" ca="1" si="60"/>
        <v>14913.759892799973</v>
      </c>
      <c r="V17" s="29">
        <f t="shared" ca="1" si="61"/>
        <v>14112.724007457937</v>
      </c>
      <c r="W17" s="29">
        <f t="shared" ca="1" si="62"/>
        <v>14123.334830865062</v>
      </c>
      <c r="X17" s="29">
        <f t="shared" ca="1" si="63"/>
        <v>15207.179155435</v>
      </c>
      <c r="Y17" s="29">
        <f t="shared" ca="1" si="64"/>
        <v>14800.496820061135</v>
      </c>
      <c r="Z17" s="29">
        <f t="shared" ca="1" si="65"/>
        <v>13979.020626391286</v>
      </c>
      <c r="AA17" s="29">
        <f t="shared" ca="1" si="66"/>
        <v>14799.730100221908</v>
      </c>
      <c r="AB17" s="29">
        <f t="shared" ca="1" si="67"/>
        <v>15604.230504300878</v>
      </c>
      <c r="AC17" s="29">
        <f t="shared" ca="1" si="68"/>
        <v>15873.55688033192</v>
      </c>
      <c r="AD17" s="29">
        <f t="shared" ca="1" si="69"/>
        <v>14403.222445142701</v>
      </c>
      <c r="AE17" s="29">
        <f t="shared" ca="1" si="70"/>
        <v>15389.913808707901</v>
      </c>
      <c r="AF17" s="29">
        <f t="shared" ca="1" si="71"/>
        <v>14967.910242853359</v>
      </c>
      <c r="AG17" s="29">
        <f t="shared" ca="1" si="72"/>
        <v>13627.945432212855</v>
      </c>
      <c r="AH17" s="29">
        <f t="shared" ca="1" si="73"/>
        <v>14603.005261016611</v>
      </c>
      <c r="AI17" s="29">
        <f t="shared" ca="1" si="74"/>
        <v>14521.167181290928</v>
      </c>
      <c r="AJ17" s="29">
        <f t="shared" ca="1" si="75"/>
        <v>14683.19698936971</v>
      </c>
      <c r="AK17" s="29">
        <f t="shared" ca="1" si="76"/>
        <v>13662.859181933542</v>
      </c>
      <c r="AL17" s="29">
        <f t="shared" ca="1" si="77"/>
        <v>14669.098579111233</v>
      </c>
      <c r="AM17" s="29">
        <f t="shared" ca="1" si="78"/>
        <v>14963.738297225209</v>
      </c>
      <c r="AN17" s="29">
        <f t="shared" ca="1" si="79"/>
        <v>14592.794509843307</v>
      </c>
      <c r="AO17" s="29">
        <f t="shared" ca="1" si="80"/>
        <v>14660.762076394876</v>
      </c>
      <c r="AP17" s="29">
        <f t="shared" ca="1" si="81"/>
        <v>14397.086042797122</v>
      </c>
      <c r="AQ17" s="29">
        <f t="shared" ca="1" si="82"/>
        <v>15342.346630556667</v>
      </c>
      <c r="AR17" s="29">
        <f t="shared" ca="1" si="83"/>
        <v>14224.78130495643</v>
      </c>
      <c r="AS17" s="29">
        <f t="shared" ca="1" si="84"/>
        <v>13227.118072928442</v>
      </c>
      <c r="AT17" s="29">
        <f t="shared" ca="1" si="85"/>
        <v>14453.289032754057</v>
      </c>
      <c r="AU17" s="29">
        <f t="shared" ca="1" si="86"/>
        <v>14123.416542253897</v>
      </c>
      <c r="AV17" s="29">
        <f t="shared" ca="1" si="87"/>
        <v>14660.229254815786</v>
      </c>
      <c r="AW17" s="29">
        <f t="shared" ca="1" si="88"/>
        <v>15268.690154165455</v>
      </c>
      <c r="AX17" s="29">
        <f t="shared" ca="1" si="89"/>
        <v>13754.043000977663</v>
      </c>
      <c r="AY17" s="29">
        <f t="shared" ca="1" si="90"/>
        <v>13955.715868752523</v>
      </c>
      <c r="AZ17" s="29">
        <f t="shared" ca="1" si="91"/>
        <v>14087.096436439939</v>
      </c>
      <c r="BA17" s="29">
        <f t="shared" ca="1" si="92"/>
        <v>14605.764362193489</v>
      </c>
      <c r="BB17" s="29">
        <f t="shared" ca="1" si="93"/>
        <v>13450.773312868636</v>
      </c>
      <c r="BC17" s="29">
        <f t="shared" ca="1" si="94"/>
        <v>13558.794868428586</v>
      </c>
      <c r="BD17" s="29">
        <f t="shared" ca="1" si="95"/>
        <v>14135.391828047061</v>
      </c>
      <c r="BE17" s="29">
        <f t="shared" ca="1" si="96"/>
        <v>15362.343982472325</v>
      </c>
      <c r="BF17" s="29">
        <f t="shared" ca="1" si="97"/>
        <v>15653.670144917862</v>
      </c>
      <c r="BG17" s="29">
        <f t="shared" ca="1" si="98"/>
        <v>13500.07627135146</v>
      </c>
      <c r="BH17" s="29">
        <f t="shared" ca="1" si="99"/>
        <v>15108.017948036982</v>
      </c>
      <c r="BI17" s="29">
        <f t="shared" ca="1" si="100"/>
        <v>14576.124021395341</v>
      </c>
      <c r="BJ17" s="29">
        <f t="shared" ca="1" si="101"/>
        <v>13837.51584596738</v>
      </c>
      <c r="BK17" s="29">
        <f t="shared" ca="1" si="102"/>
        <v>13728.507922391065</v>
      </c>
      <c r="BL17" s="29">
        <f t="shared" ca="1" si="103"/>
        <v>14265.918515838022</v>
      </c>
      <c r="BM17" s="29">
        <f t="shared" ca="1" si="104"/>
        <v>14470.840992496362</v>
      </c>
      <c r="BN17" s="29">
        <f t="shared" ca="1" si="105"/>
        <v>15071.610357056246</v>
      </c>
      <c r="BO17" s="29">
        <f t="shared" ca="1" si="106"/>
        <v>14607.794226668575</v>
      </c>
      <c r="BP17" s="29">
        <f t="shared" ca="1" si="107"/>
        <v>14773.505315105247</v>
      </c>
      <c r="BQ17" s="29">
        <f t="shared" ca="1" si="108"/>
        <v>14669.525292748483</v>
      </c>
      <c r="BR17" s="29">
        <f t="shared" ca="1" si="109"/>
        <v>13249.275696628671</v>
      </c>
      <c r="BS17" s="29">
        <f t="shared" ca="1" si="110"/>
        <v>14946.459794679537</v>
      </c>
      <c r="BT17" s="29">
        <f t="shared" ca="1" si="111"/>
        <v>14376.771237358389</v>
      </c>
      <c r="BU17" s="29">
        <f t="shared" ca="1" si="112"/>
        <v>13909.72338295444</v>
      </c>
      <c r="BV17" s="29">
        <f t="shared" ca="1" si="113"/>
        <v>15727.492593713869</v>
      </c>
      <c r="BW17" s="29">
        <f t="shared" ca="1" si="114"/>
        <v>14524.272602005156</v>
      </c>
      <c r="BX17" s="29">
        <f t="shared" ca="1" si="115"/>
        <v>14869.53251774899</v>
      </c>
      <c r="BY17" s="29">
        <f t="shared" ca="1" si="116"/>
        <v>14898.197426972736</v>
      </c>
      <c r="BZ17" s="29">
        <f t="shared" ca="1" si="117"/>
        <v>13820.788980727395</v>
      </c>
      <c r="CA17" s="29">
        <f t="shared" ca="1" si="118"/>
        <v>14818.285163420456</v>
      </c>
      <c r="CB17" s="29">
        <f t="shared" ca="1" si="119"/>
        <v>15720.353728484994</v>
      </c>
      <c r="CC17" s="29">
        <f t="shared" ca="1" si="120"/>
        <v>13768.301451622094</v>
      </c>
      <c r="CD17" s="29">
        <f t="shared" ca="1" si="121"/>
        <v>14830.456800397526</v>
      </c>
      <c r="CE17" s="29">
        <f t="shared" ca="1" si="122"/>
        <v>16210.428499605523</v>
      </c>
      <c r="CF17" s="29">
        <f t="shared" ca="1" si="123"/>
        <v>15300.119522386265</v>
      </c>
      <c r="CG17" s="29">
        <f t="shared" ca="1" si="124"/>
        <v>14452.256841272114</v>
      </c>
      <c r="CH17" s="29">
        <f t="shared" ca="1" si="125"/>
        <v>15288.549842703964</v>
      </c>
      <c r="CI17" s="29">
        <f t="shared" ca="1" si="126"/>
        <v>14758.265287148459</v>
      </c>
      <c r="CJ17" s="29">
        <f t="shared" ca="1" si="127"/>
        <v>14492.542550637163</v>
      </c>
      <c r="CK17" s="29">
        <f t="shared" ca="1" si="128"/>
        <v>14155.750122392881</v>
      </c>
      <c r="CL17" s="29">
        <f t="shared" ca="1" si="129"/>
        <v>14520.283030192122</v>
      </c>
      <c r="CM17" s="29">
        <f t="shared" ca="1" si="130"/>
        <v>14608.703670366867</v>
      </c>
      <c r="CN17" s="29">
        <f t="shared" ca="1" si="131"/>
        <v>14146.016512171016</v>
      </c>
      <c r="CO17" s="29">
        <f t="shared" ca="1" si="132"/>
        <v>14955.288317804989</v>
      </c>
      <c r="CP17" s="29">
        <f t="shared" ca="1" si="133"/>
        <v>14445.137668955427</v>
      </c>
      <c r="CQ17" s="29">
        <f t="shared" ca="1" si="134"/>
        <v>13681.891468498896</v>
      </c>
      <c r="CR17" s="29">
        <f t="shared" ca="1" si="135"/>
        <v>13997.596653618624</v>
      </c>
      <c r="CS17" s="29">
        <f t="shared" ca="1" si="136"/>
        <v>13877.195295988911</v>
      </c>
      <c r="CT17" s="29">
        <f t="shared" ca="1" si="137"/>
        <v>14528.929625679906</v>
      </c>
      <c r="CU17" s="29">
        <f t="shared" ca="1" si="138"/>
        <v>14198.629966282249</v>
      </c>
      <c r="CV17" s="29">
        <f t="shared" ca="1" si="139"/>
        <v>13809.148493834164</v>
      </c>
      <c r="CW17" s="29">
        <f t="shared" ca="1" si="140"/>
        <v>14017.360695426729</v>
      </c>
      <c r="CX17" s="29">
        <f t="shared" ca="1" si="141"/>
        <v>13494.329092863136</v>
      </c>
      <c r="CY17" s="29">
        <f t="shared" ca="1" si="142"/>
        <v>15021.308234389908</v>
      </c>
      <c r="CZ17" s="29">
        <f t="shared" ca="1" si="143"/>
        <v>12906.313916737323</v>
      </c>
      <c r="DA17" s="29">
        <f t="shared" ca="1" si="144"/>
        <v>14849.832699782546</v>
      </c>
      <c r="DB17" s="29">
        <f t="shared" ca="1" si="145"/>
        <v>15703.877123460305</v>
      </c>
      <c r="DC17" s="29">
        <f t="shared" ca="1" si="146"/>
        <v>15051.188283798694</v>
      </c>
      <c r="DD17" s="29">
        <f t="shared" ca="1" si="147"/>
        <v>13506.475274640286</v>
      </c>
      <c r="DE17" s="29">
        <f t="shared" ca="1" si="148"/>
        <v>14308.575938715057</v>
      </c>
      <c r="DF17" s="29">
        <f t="shared" ca="1" si="149"/>
        <v>14285.124510006437</v>
      </c>
      <c r="DG17" s="29">
        <f t="shared" ca="1" si="150"/>
        <v>14415.353444196422</v>
      </c>
      <c r="DH17" s="29">
        <f t="shared" ca="1" si="151"/>
        <v>13629.891236531765</v>
      </c>
      <c r="DI17" s="29">
        <f t="shared" ca="1" si="152"/>
        <v>14892.970149822784</v>
      </c>
      <c r="DJ17" s="29">
        <f t="shared" ca="1" si="153"/>
        <v>15047.876374495396</v>
      </c>
      <c r="DK17" s="29">
        <f t="shared" ca="1" si="154"/>
        <v>13621.057560829478</v>
      </c>
      <c r="DL17" s="29">
        <f t="shared" ca="1" si="155"/>
        <v>14977.365042562169</v>
      </c>
      <c r="DM17" s="29">
        <f t="shared" ca="1" si="156"/>
        <v>14391.183937656318</v>
      </c>
      <c r="DN17" s="29">
        <f t="shared" ca="1" si="157"/>
        <v>15074.77647316438</v>
      </c>
      <c r="DO17" s="29">
        <f t="shared" ca="1" si="158"/>
        <v>13817.094154448754</v>
      </c>
      <c r="DP17" s="29">
        <f t="shared" ca="1" si="159"/>
        <v>14412.218295472732</v>
      </c>
      <c r="DQ17" s="29">
        <f t="shared" ca="1" si="160"/>
        <v>14680.513014825396</v>
      </c>
      <c r="DR17" s="29">
        <f t="shared" ca="1" si="161"/>
        <v>13070.117218403249</v>
      </c>
      <c r="DS17" s="29">
        <f t="shared" ca="1" si="162"/>
        <v>15341.380651119503</v>
      </c>
      <c r="DT17" s="29">
        <f t="shared" ca="1" si="163"/>
        <v>14111.929378883391</v>
      </c>
      <c r="DU17" s="29">
        <f t="shared" ca="1" si="164"/>
        <v>14446.513928260447</v>
      </c>
      <c r="DV17" s="29">
        <f t="shared" ca="1" si="165"/>
        <v>14334.352567277476</v>
      </c>
      <c r="DW17" s="29">
        <f t="shared" ca="1" si="166"/>
        <v>14587.278367511924</v>
      </c>
      <c r="DX17" s="29">
        <f t="shared" ca="1" si="167"/>
        <v>13922.376159038589</v>
      </c>
      <c r="DY17" s="29">
        <f t="shared" ca="1" si="168"/>
        <v>14355.413603345389</v>
      </c>
      <c r="DZ17" s="29">
        <f t="shared" ca="1" si="169"/>
        <v>14493.77935227226</v>
      </c>
      <c r="EA17" s="29">
        <f t="shared" ca="1" si="170"/>
        <v>14016.545313822819</v>
      </c>
      <c r="EB17" s="29">
        <f t="shared" ca="1" si="171"/>
        <v>13341.793217157681</v>
      </c>
      <c r="EC17" s="29">
        <f t="shared" ca="1" si="172"/>
        <v>14675.087160358695</v>
      </c>
      <c r="ED17" s="29">
        <f t="shared" ca="1" si="173"/>
        <v>15665.351008128293</v>
      </c>
      <c r="EE17" s="29">
        <f t="shared" ca="1" si="174"/>
        <v>14234.814204856173</v>
      </c>
      <c r="EF17" s="29">
        <f t="shared" ca="1" si="175"/>
        <v>15057.36686810102</v>
      </c>
      <c r="EG17" s="29">
        <f t="shared" ca="1" si="176"/>
        <v>14908.069112995518</v>
      </c>
      <c r="EH17" s="29">
        <f t="shared" ca="1" si="177"/>
        <v>13799.517466268073</v>
      </c>
      <c r="EI17" s="29">
        <f t="shared" ca="1" si="178"/>
        <v>14213.176482309042</v>
      </c>
      <c r="EJ17" s="29">
        <f t="shared" ca="1" si="179"/>
        <v>14605.334365183409</v>
      </c>
      <c r="EK17" s="29">
        <f t="shared" ca="1" si="180"/>
        <v>14778.053954118313</v>
      </c>
      <c r="EL17" s="29">
        <f t="shared" ca="1" si="181"/>
        <v>14223.568951774469</v>
      </c>
      <c r="EM17" s="29">
        <f t="shared" ca="1" si="182"/>
        <v>14026.8673870164</v>
      </c>
      <c r="EN17" s="29">
        <f t="shared" ca="1" si="183"/>
        <v>14318.51102093788</v>
      </c>
      <c r="EO17" s="29">
        <f t="shared" ca="1" si="184"/>
        <v>14332.805443513338</v>
      </c>
      <c r="EP17" s="29">
        <f t="shared" ca="1" si="185"/>
        <v>14461.238268873525</v>
      </c>
      <c r="EQ17" s="29">
        <f t="shared" ca="1" si="186"/>
        <v>14816.338662420163</v>
      </c>
      <c r="ER17" s="29">
        <f t="shared" ca="1" si="187"/>
        <v>13591.66798379648</v>
      </c>
      <c r="ES17" s="29">
        <f t="shared" ca="1" si="188"/>
        <v>14305.491993193777</v>
      </c>
      <c r="ET17" s="29">
        <f t="shared" ca="1" si="189"/>
        <v>14555.836189901793</v>
      </c>
      <c r="EU17" s="29">
        <f t="shared" ca="1" si="190"/>
        <v>14302.130733983717</v>
      </c>
      <c r="EV17" s="29">
        <f t="shared" ca="1" si="191"/>
        <v>14881.022726388441</v>
      </c>
      <c r="EW17" s="29">
        <f t="shared" ca="1" si="192"/>
        <v>13856.614587807602</v>
      </c>
      <c r="EX17" s="29">
        <f t="shared" ca="1" si="193"/>
        <v>15101.430927158912</v>
      </c>
      <c r="EY17" s="29">
        <f t="shared" ca="1" si="194"/>
        <v>14198.545088906088</v>
      </c>
      <c r="EZ17" s="29">
        <f t="shared" ca="1" si="195"/>
        <v>14671.831385994054</v>
      </c>
      <c r="FA17" s="29">
        <f t="shared" ca="1" si="196"/>
        <v>14497.973385595533</v>
      </c>
      <c r="FB17" s="29">
        <f t="shared" ca="1" si="197"/>
        <v>15520.992888469742</v>
      </c>
      <c r="FC17" s="29">
        <f t="shared" ca="1" si="198"/>
        <v>15214.35108650045</v>
      </c>
      <c r="FD17" s="29">
        <f t="shared" ca="1" si="199"/>
        <v>14104.133551723598</v>
      </c>
      <c r="FE17" s="29">
        <f t="shared" ca="1" si="200"/>
        <v>14926.684517510324</v>
      </c>
      <c r="FF17" s="29">
        <f t="shared" ca="1" si="201"/>
        <v>14586.902158700675</v>
      </c>
      <c r="FG17" s="29">
        <f t="shared" ca="1" si="202"/>
        <v>13623.524891580057</v>
      </c>
      <c r="FH17" s="29">
        <f t="shared" ca="1" si="203"/>
        <v>13703.500734092442</v>
      </c>
      <c r="FI17" s="29">
        <f t="shared" ca="1" si="204"/>
        <v>14127.547473385106</v>
      </c>
      <c r="FJ17" s="29">
        <f t="shared" ca="1" si="205"/>
        <v>14400.699527206452</v>
      </c>
      <c r="FK17" s="29">
        <f t="shared" ca="1" si="206"/>
        <v>14696.227173104355</v>
      </c>
      <c r="FL17" s="29">
        <f t="shared" ca="1" si="207"/>
        <v>14336.367578619402</v>
      </c>
      <c r="FM17" s="29">
        <f t="shared" ca="1" si="208"/>
        <v>14454.323335588691</v>
      </c>
      <c r="FN17" s="29">
        <f t="shared" ca="1" si="209"/>
        <v>13557.176361997386</v>
      </c>
      <c r="FO17" s="29">
        <f t="shared" ca="1" si="210"/>
        <v>14009.130391842476</v>
      </c>
      <c r="FP17" s="29">
        <f t="shared" ca="1" si="211"/>
        <v>13499.689328378332</v>
      </c>
      <c r="FQ17" s="29">
        <f t="shared" ca="1" si="212"/>
        <v>14286.343827633556</v>
      </c>
      <c r="FR17" s="29">
        <f t="shared" ca="1" si="213"/>
        <v>14593.974275714245</v>
      </c>
      <c r="FS17" s="29">
        <f t="shared" ca="1" si="214"/>
        <v>15161.531105575987</v>
      </c>
      <c r="FT17" s="29">
        <f t="shared" ca="1" si="215"/>
        <v>14818.016527601721</v>
      </c>
      <c r="FU17" s="29">
        <f t="shared" ca="1" si="216"/>
        <v>14009.404748941028</v>
      </c>
      <c r="FV17" s="29">
        <f t="shared" ca="1" si="217"/>
        <v>14711.367986187752</v>
      </c>
      <c r="FW17" s="29">
        <f t="shared" ca="1" si="218"/>
        <v>14092.459874501235</v>
      </c>
      <c r="FX17" s="29">
        <f t="shared" ca="1" si="219"/>
        <v>15462.407920422442</v>
      </c>
      <c r="FY17" s="29">
        <f t="shared" ca="1" si="220"/>
        <v>14441.060322171954</v>
      </c>
      <c r="FZ17" s="29">
        <f t="shared" ca="1" si="221"/>
        <v>13703.877009958303</v>
      </c>
      <c r="GA17" s="29">
        <f t="shared" ca="1" si="222"/>
        <v>13763.267944146395</v>
      </c>
      <c r="GB17" s="29">
        <f t="shared" ca="1" si="223"/>
        <v>15856.851862687969</v>
      </c>
      <c r="GC17" s="29">
        <f t="shared" ca="1" si="224"/>
        <v>15001.624128078363</v>
      </c>
      <c r="GD17" s="29">
        <f t="shared" ca="1" si="225"/>
        <v>14977.609417344989</v>
      </c>
      <c r="GE17" s="29">
        <f t="shared" ca="1" si="226"/>
        <v>14651.385993491167</v>
      </c>
      <c r="GF17" s="29">
        <f t="shared" ca="1" si="227"/>
        <v>14762.46096792776</v>
      </c>
      <c r="GG17" s="29">
        <f t="shared" ca="1" si="228"/>
        <v>14398.377640198947</v>
      </c>
      <c r="GH17" s="29">
        <f t="shared" ca="1" si="229"/>
        <v>14482.519769654758</v>
      </c>
      <c r="GI17" s="29">
        <f t="shared" ca="1" si="230"/>
        <v>13994.604122298442</v>
      </c>
      <c r="GJ17" s="29">
        <f t="shared" ca="1" si="231"/>
        <v>14055.400012520928</v>
      </c>
      <c r="GK17" s="29">
        <f t="shared" ca="1" si="232"/>
        <v>14279.638410673635</v>
      </c>
      <c r="GL17" s="29">
        <f t="shared" ca="1" si="233"/>
        <v>13950.524436388243</v>
      </c>
      <c r="GM17" s="29">
        <f t="shared" ca="1" si="234"/>
        <v>14178.08113704382</v>
      </c>
      <c r="GN17" s="29">
        <f t="shared" ca="1" si="235"/>
        <v>13746.936386709929</v>
      </c>
      <c r="GO17" s="29">
        <f t="shared" ca="1" si="236"/>
        <v>13707.972189366241</v>
      </c>
      <c r="GP17" s="29">
        <f t="shared" ca="1" si="237"/>
        <v>15731.176570349688</v>
      </c>
      <c r="GQ17" s="29">
        <f t="shared" ca="1" si="238"/>
        <v>14474.401766554207</v>
      </c>
      <c r="GR17" s="29">
        <f t="shared" ca="1" si="239"/>
        <v>13938.317225805869</v>
      </c>
      <c r="GS17" s="29">
        <f t="shared" ca="1" si="240"/>
        <v>14620.858887008802</v>
      </c>
      <c r="GT17" s="29">
        <f t="shared" ca="1" si="241"/>
        <v>14153.135168524959</v>
      </c>
      <c r="GU17" s="29">
        <f t="shared" ca="1" si="242"/>
        <v>14040.97561489596</v>
      </c>
      <c r="GV17" s="29">
        <f t="shared" ca="1" si="243"/>
        <v>14998.961892705496</v>
      </c>
      <c r="GW17" s="29">
        <f t="shared" ca="1" si="244"/>
        <v>13663.384372858758</v>
      </c>
      <c r="GX17" s="29">
        <f t="shared" ca="1" si="245"/>
        <v>14303.969205261426</v>
      </c>
      <c r="GY17" s="29">
        <f t="shared" ca="1" si="246"/>
        <v>15098.807365783345</v>
      </c>
      <c r="GZ17" s="29">
        <f t="shared" ca="1" si="247"/>
        <v>14533.750605604753</v>
      </c>
      <c r="HA17" s="29">
        <f t="shared" ca="1" si="248"/>
        <v>15334.876461553142</v>
      </c>
      <c r="HB17" s="29">
        <f t="shared" ca="1" si="249"/>
        <v>13904.635600288442</v>
      </c>
      <c r="HC17" s="29">
        <f t="shared" ca="1" si="250"/>
        <v>14959.419256623551</v>
      </c>
      <c r="HD17" s="29">
        <f t="shared" ca="1" si="251"/>
        <v>13667.778443705925</v>
      </c>
      <c r="HE17" s="29">
        <f t="shared" ca="1" si="252"/>
        <v>15361.61364088249</v>
      </c>
      <c r="HF17" s="29">
        <f t="shared" ca="1" si="253"/>
        <v>13946.621426366451</v>
      </c>
      <c r="HG17" s="29">
        <f t="shared" ca="1" si="254"/>
        <v>13975.276105318319</v>
      </c>
      <c r="HH17" s="29">
        <f t="shared" ca="1" si="255"/>
        <v>13086.490076031532</v>
      </c>
      <c r="HI17" s="29">
        <f t="shared" ca="1" si="256"/>
        <v>14152.628823802826</v>
      </c>
      <c r="HJ17" s="29">
        <f t="shared" ca="1" si="257"/>
        <v>14126.529583582822</v>
      </c>
      <c r="HK17" s="29">
        <f t="shared" ca="1" si="258"/>
        <v>15194.380803893684</v>
      </c>
      <c r="HL17" s="29">
        <f t="shared" ca="1" si="259"/>
        <v>15248.201606461062</v>
      </c>
      <c r="HM17" s="29">
        <f t="shared" ca="1" si="260"/>
        <v>13988.284720202855</v>
      </c>
      <c r="HN17" s="29">
        <f t="shared" ca="1" si="261"/>
        <v>13489.535228685025</v>
      </c>
      <c r="HO17" s="29">
        <f t="shared" ca="1" si="262"/>
        <v>15147.792014184291</v>
      </c>
      <c r="HP17" s="29">
        <f t="shared" ca="1" si="263"/>
        <v>13698.669156275164</v>
      </c>
      <c r="HQ17" s="29">
        <f t="shared" ca="1" si="264"/>
        <v>14378.959553207</v>
      </c>
      <c r="HR17" s="29">
        <f t="shared" ca="1" si="265"/>
        <v>15007.615332635387</v>
      </c>
      <c r="HS17" s="29">
        <f t="shared" ca="1" si="266"/>
        <v>14727.032595154798</v>
      </c>
      <c r="HT17" s="29">
        <f t="shared" ca="1" si="267"/>
        <v>14808.532652546794</v>
      </c>
      <c r="HU17" s="29">
        <f t="shared" ca="1" si="268"/>
        <v>14409.679827255275</v>
      </c>
      <c r="HV17" s="29">
        <f t="shared" ca="1" si="269"/>
        <v>14721.809047294602</v>
      </c>
      <c r="HW17" s="29">
        <f t="shared" ca="1" si="270"/>
        <v>14458.579411939971</v>
      </c>
      <c r="HX17" s="29">
        <f t="shared" ca="1" si="271"/>
        <v>14808.902378292147</v>
      </c>
      <c r="HY17" s="29">
        <f t="shared" ca="1" si="272"/>
        <v>14416.819587735301</v>
      </c>
      <c r="HZ17" s="29">
        <f t="shared" ca="1" si="273"/>
        <v>14031.042431531172</v>
      </c>
      <c r="IA17" s="29">
        <f t="shared" ca="1" si="274"/>
        <v>15153.604397972551</v>
      </c>
      <c r="IB17" s="29">
        <f t="shared" ca="1" si="275"/>
        <v>15295.314897792128</v>
      </c>
      <c r="IC17" s="29">
        <f t="shared" ca="1" si="276"/>
        <v>13769.868576390982</v>
      </c>
      <c r="ID17" s="29">
        <f t="shared" ca="1" si="277"/>
        <v>14244.501339101562</v>
      </c>
      <c r="IE17" s="29">
        <f t="shared" ca="1" si="278"/>
        <v>12895.626632695372</v>
      </c>
      <c r="IF17" s="29">
        <f t="shared" ca="1" si="279"/>
        <v>15021.770889198313</v>
      </c>
      <c r="IG17" s="29">
        <f t="shared" ca="1" si="280"/>
        <v>14259.027196411347</v>
      </c>
      <c r="IH17" s="29">
        <f t="shared" ca="1" si="281"/>
        <v>14370.771731252487</v>
      </c>
      <c r="II17" s="29">
        <f t="shared" ca="1" si="282"/>
        <v>15054.690740357195</v>
      </c>
      <c r="IJ17" s="29">
        <f t="shared" ca="1" si="283"/>
        <v>14291.335064235023</v>
      </c>
      <c r="IK17" s="29">
        <f t="shared" ca="1" si="284"/>
        <v>14347.826306798246</v>
      </c>
      <c r="IL17" s="29">
        <f t="shared" ca="1" si="285"/>
        <v>15246.395796012835</v>
      </c>
      <c r="IM17" s="29">
        <f t="shared" ca="1" si="286"/>
        <v>14139.752166087077</v>
      </c>
      <c r="IN17" s="29">
        <f t="shared" ca="1" si="287"/>
        <v>14966.395554507</v>
      </c>
      <c r="IO17" s="29">
        <f t="shared" ca="1" si="288"/>
        <v>14726.215699082968</v>
      </c>
      <c r="IP17" s="29">
        <f t="shared" ca="1" si="289"/>
        <v>14667.316903468756</v>
      </c>
      <c r="IQ17" s="29">
        <f t="shared" ca="1" si="290"/>
        <v>13322.502521218938</v>
      </c>
      <c r="IR17" s="29">
        <f t="shared" ca="1" si="291"/>
        <v>14585.044570489486</v>
      </c>
      <c r="IS17" s="29">
        <f t="shared" ca="1" si="292"/>
        <v>13353.187164421948</v>
      </c>
      <c r="IT17" s="29">
        <f t="shared" ca="1" si="293"/>
        <v>15844.376970492138</v>
      </c>
      <c r="IU17" s="29">
        <f t="shared" ca="1" si="294"/>
        <v>15681.328025940893</v>
      </c>
      <c r="IV17" s="29">
        <f t="shared" ca="1" si="295"/>
        <v>14245.46171794805</v>
      </c>
      <c r="IW17" s="29">
        <f t="shared" ca="1" si="296"/>
        <v>15161.645003761043</v>
      </c>
      <c r="IX17" s="29">
        <f t="shared" ca="1" si="297"/>
        <v>15441.649943258442</v>
      </c>
      <c r="IY17" s="29">
        <f t="shared" ca="1" si="298"/>
        <v>13808.027828523505</v>
      </c>
      <c r="IZ17" s="29">
        <f t="shared" ca="1" si="299"/>
        <v>13754.405282801503</v>
      </c>
      <c r="JA17" s="29">
        <f t="shared" ca="1" si="300"/>
        <v>13702.121996965388</v>
      </c>
      <c r="JB17" s="29">
        <f t="shared" ca="1" si="301"/>
        <v>13962.003363619622</v>
      </c>
      <c r="JC17" s="29">
        <f t="shared" ca="1" si="302"/>
        <v>14562.971934557125</v>
      </c>
      <c r="JD17" s="29">
        <f t="shared" ca="1" si="303"/>
        <v>14003.144084038289</v>
      </c>
      <c r="JE17" s="29">
        <f t="shared" ca="1" si="304"/>
        <v>13504.280033879841</v>
      </c>
      <c r="JF17" s="29">
        <f t="shared" ca="1" si="305"/>
        <v>14394.955487944288</v>
      </c>
      <c r="JG17" s="29">
        <f t="shared" ca="1" si="306"/>
        <v>13512.2694637809</v>
      </c>
      <c r="JH17" s="29">
        <f t="shared" ca="1" si="307"/>
        <v>14410.741889608798</v>
      </c>
      <c r="JI17" s="29">
        <f t="shared" ca="1" si="308"/>
        <v>14170.437983296768</v>
      </c>
      <c r="JJ17" s="29">
        <f t="shared" ca="1" si="309"/>
        <v>14290.522190637503</v>
      </c>
      <c r="JK17" s="29">
        <f t="shared" ca="1" si="310"/>
        <v>14140.308277584596</v>
      </c>
      <c r="JL17" s="29">
        <f t="shared" ca="1" si="311"/>
        <v>14582.647365547313</v>
      </c>
      <c r="JM17" s="29">
        <f t="shared" ca="1" si="312"/>
        <v>13200.947559491246</v>
      </c>
      <c r="JN17" s="29">
        <f t="shared" ca="1" si="313"/>
        <v>14868.438571218911</v>
      </c>
      <c r="JO17" s="29">
        <f t="shared" ca="1" si="314"/>
        <v>14885.975123248403</v>
      </c>
      <c r="JP17" s="29">
        <f t="shared" ca="1" si="315"/>
        <v>14829.587473243873</v>
      </c>
      <c r="JQ17" s="29">
        <f t="shared" ca="1" si="316"/>
        <v>14273.041496988562</v>
      </c>
      <c r="JR17" s="29">
        <f t="shared" ca="1" si="317"/>
        <v>14733.996955682896</v>
      </c>
      <c r="JS17" s="29">
        <f t="shared" ca="1" si="318"/>
        <v>14998.732870481441</v>
      </c>
      <c r="JT17" s="29">
        <f t="shared" ca="1" si="319"/>
        <v>14632.168924520416</v>
      </c>
      <c r="JU17" s="29">
        <f t="shared" ca="1" si="320"/>
        <v>14528.618501439692</v>
      </c>
      <c r="JV17" s="29">
        <f t="shared" ca="1" si="321"/>
        <v>14595.314215392887</v>
      </c>
      <c r="JW17" s="29">
        <f t="shared" ca="1" si="322"/>
        <v>14426.84727335133</v>
      </c>
      <c r="JX17" s="29">
        <f t="shared" ca="1" si="323"/>
        <v>14795.279040035408</v>
      </c>
      <c r="JY17" s="29">
        <f t="shared" ca="1" si="324"/>
        <v>14514.993672718663</v>
      </c>
      <c r="JZ17" s="29">
        <f t="shared" ca="1" si="325"/>
        <v>14906.817815671295</v>
      </c>
      <c r="KA17" s="29">
        <f t="shared" ca="1" si="326"/>
        <v>14369.613841594584</v>
      </c>
      <c r="KB17" s="29">
        <f t="shared" ca="1" si="327"/>
        <v>13586.894002155717</v>
      </c>
      <c r="KC17" s="29">
        <f t="shared" ca="1" si="328"/>
        <v>14252.138981579561</v>
      </c>
      <c r="KD17" s="29">
        <f t="shared" ca="1" si="329"/>
        <v>13984.691553162695</v>
      </c>
      <c r="KE17" s="29">
        <f t="shared" ca="1" si="330"/>
        <v>15784.406947523001</v>
      </c>
      <c r="KF17" s="29">
        <f t="shared" ca="1" si="331"/>
        <v>15071.579791532718</v>
      </c>
      <c r="KG17" s="29">
        <f t="shared" ca="1" si="332"/>
        <v>14300.770745205764</v>
      </c>
      <c r="KH17" s="29">
        <f t="shared" ca="1" si="333"/>
        <v>15031.707020025631</v>
      </c>
      <c r="KI17" s="29">
        <f t="shared" ca="1" si="334"/>
        <v>13608.081796877905</v>
      </c>
      <c r="KJ17" s="29">
        <f t="shared" ca="1" si="335"/>
        <v>14686.701370886518</v>
      </c>
      <c r="KK17" s="29">
        <f t="shared" ca="1" si="336"/>
        <v>13734.997423343284</v>
      </c>
      <c r="KL17" s="29">
        <f t="shared" ca="1" si="337"/>
        <v>14485.450395361449</v>
      </c>
      <c r="KM17" s="29">
        <f t="shared" ca="1" si="338"/>
        <v>15618.509510351638</v>
      </c>
      <c r="KN17" s="29">
        <f t="shared" ca="1" si="339"/>
        <v>14409.611706710939</v>
      </c>
      <c r="KO17" s="29">
        <f t="shared" ca="1" si="340"/>
        <v>14366.614693853202</v>
      </c>
      <c r="KP17" s="29">
        <f t="shared" ca="1" si="341"/>
        <v>14529.267546078981</v>
      </c>
      <c r="KQ17" s="29">
        <f t="shared" ca="1" si="342"/>
        <v>14150.567236029017</v>
      </c>
      <c r="KR17" s="29">
        <f t="shared" ca="1" si="343"/>
        <v>14354.863726219986</v>
      </c>
      <c r="KS17" s="29">
        <f t="shared" ca="1" si="344"/>
        <v>13761.70218240328</v>
      </c>
      <c r="KT17" s="29">
        <f t="shared" ca="1" si="345"/>
        <v>14685.645674453155</v>
      </c>
      <c r="KU17" s="29">
        <f t="shared" ca="1" si="346"/>
        <v>13794.547718494723</v>
      </c>
      <c r="KV17" s="29">
        <f t="shared" ca="1" si="347"/>
        <v>13999.632875638496</v>
      </c>
      <c r="KW17" s="29">
        <f t="shared" ca="1" si="348"/>
        <v>14513.038880241926</v>
      </c>
      <c r="KX17" s="29">
        <f t="shared" ca="1" si="349"/>
        <v>13067.82989833447</v>
      </c>
      <c r="KY17" s="29">
        <f t="shared" ca="1" si="350"/>
        <v>14809.876655554355</v>
      </c>
      <c r="KZ17" s="29">
        <f t="shared" ca="1" si="351"/>
        <v>15254.710561702423</v>
      </c>
      <c r="LA17" s="29">
        <f t="shared" ca="1" si="352"/>
        <v>15272.085715352339</v>
      </c>
      <c r="LB17" s="29">
        <f t="shared" ca="1" si="353"/>
        <v>14205.91845843022</v>
      </c>
      <c r="LC17" s="29">
        <f t="shared" ca="1" si="354"/>
        <v>14091.748764128122</v>
      </c>
      <c r="LD17" s="29">
        <f t="shared" ca="1" si="355"/>
        <v>13677.041660799487</v>
      </c>
      <c r="LE17" s="29">
        <f t="shared" ca="1" si="356"/>
        <v>13705.525214929872</v>
      </c>
      <c r="LF17" s="29">
        <f t="shared" ca="1" si="357"/>
        <v>13824.451456642833</v>
      </c>
      <c r="LG17" s="29">
        <f t="shared" ca="1" si="358"/>
        <v>14482.898137366576</v>
      </c>
      <c r="LH17" s="29">
        <f t="shared" ca="1" si="359"/>
        <v>13292.766981530986</v>
      </c>
      <c r="LI17" s="29">
        <f t="shared" ca="1" si="360"/>
        <v>14518.941945468836</v>
      </c>
      <c r="LJ17" s="29">
        <f t="shared" ca="1" si="361"/>
        <v>14222.332993409636</v>
      </c>
      <c r="LK17" s="29">
        <f t="shared" ca="1" si="362"/>
        <v>14153.737691964463</v>
      </c>
      <c r="LL17" s="29">
        <f t="shared" ca="1" si="363"/>
        <v>14772.647056427501</v>
      </c>
      <c r="LM17" s="29">
        <f t="shared" ca="1" si="364"/>
        <v>14278.948841677517</v>
      </c>
      <c r="LN17" s="29">
        <f t="shared" ca="1" si="365"/>
        <v>14638.227012108702</v>
      </c>
      <c r="LO17" s="29">
        <f t="shared" ca="1" si="366"/>
        <v>14198.785913787862</v>
      </c>
      <c r="LP17" s="29">
        <f t="shared" ca="1" si="367"/>
        <v>14294.976614317391</v>
      </c>
      <c r="LQ17" s="29">
        <f t="shared" ca="1" si="368"/>
        <v>15566.056813188847</v>
      </c>
      <c r="LR17" s="29">
        <f t="shared" ca="1" si="369"/>
        <v>14274.258895585041</v>
      </c>
      <c r="LS17" s="29">
        <f t="shared" ca="1" si="370"/>
        <v>14152.710693822823</v>
      </c>
      <c r="LT17" s="29">
        <f t="shared" ca="1" si="371"/>
        <v>14219.688508264171</v>
      </c>
      <c r="LU17" s="29">
        <f t="shared" ca="1" si="372"/>
        <v>14536.994959811718</v>
      </c>
      <c r="LV17" s="29">
        <f t="shared" ca="1" si="373"/>
        <v>14648.326595175857</v>
      </c>
      <c r="LW17" s="29">
        <f t="shared" ca="1" si="374"/>
        <v>13843.616119402977</v>
      </c>
      <c r="LX17" s="29">
        <f t="shared" ca="1" si="375"/>
        <v>14998.963789050244</v>
      </c>
      <c r="LY17" s="29">
        <f t="shared" ca="1" si="376"/>
        <v>15270.543032227073</v>
      </c>
      <c r="LZ17" s="29">
        <f t="shared" ca="1" si="377"/>
        <v>14491.254071981413</v>
      </c>
      <c r="MA17" s="29">
        <f t="shared" ca="1" si="378"/>
        <v>13765.473891993224</v>
      </c>
      <c r="MB17" s="29">
        <f t="shared" ca="1" si="379"/>
        <v>13872.957329084284</v>
      </c>
      <c r="MC17" s="29">
        <f t="shared" ca="1" si="380"/>
        <v>14449.416051671444</v>
      </c>
      <c r="MD17" s="29">
        <f t="shared" ca="1" si="381"/>
        <v>14558.994018508174</v>
      </c>
      <c r="ME17" s="29">
        <f t="shared" ca="1" si="382"/>
        <v>13365.140070344154</v>
      </c>
      <c r="MF17" s="29">
        <f t="shared" ca="1" si="383"/>
        <v>14224.584857747584</v>
      </c>
      <c r="MG17" s="29">
        <f t="shared" ca="1" si="384"/>
        <v>14147.677290269565</v>
      </c>
      <c r="MH17" s="29">
        <f t="shared" ca="1" si="385"/>
        <v>14042.935976505329</v>
      </c>
      <c r="MI17" s="29">
        <f t="shared" ca="1" si="386"/>
        <v>15260.368379759997</v>
      </c>
      <c r="MJ17" s="29">
        <f t="shared" ca="1" si="387"/>
        <v>15341.687685805753</v>
      </c>
      <c r="MK17" s="29">
        <f t="shared" ca="1" si="388"/>
        <v>14367.850442075718</v>
      </c>
      <c r="ML17" s="29">
        <f t="shared" ca="1" si="389"/>
        <v>15959.103390245102</v>
      </c>
      <c r="MM17" s="29">
        <f t="shared" ca="1" si="390"/>
        <v>15580.362309206164</v>
      </c>
      <c r="MN17" s="29">
        <f t="shared" ca="1" si="391"/>
        <v>14369.548275659368</v>
      </c>
      <c r="MO17" s="29">
        <f t="shared" ca="1" si="392"/>
        <v>13654.112641632761</v>
      </c>
      <c r="MP17" s="29">
        <f t="shared" ca="1" si="393"/>
        <v>14603.959946732572</v>
      </c>
      <c r="MQ17" s="29">
        <f t="shared" ca="1" si="394"/>
        <v>14964.116791017061</v>
      </c>
      <c r="MR17" s="29">
        <f t="shared" ca="1" si="395"/>
        <v>14312.35581277603</v>
      </c>
      <c r="MS17" s="29">
        <f t="shared" ca="1" si="396"/>
        <v>13326.661745886735</v>
      </c>
      <c r="MT17" s="29">
        <f t="shared" ca="1" si="397"/>
        <v>14688.938007895267</v>
      </c>
      <c r="MU17" s="29">
        <f t="shared" ca="1" si="398"/>
        <v>14316.413397240987</v>
      </c>
      <c r="MV17" s="29">
        <f t="shared" ca="1" si="399"/>
        <v>13610.19398875353</v>
      </c>
      <c r="MW17" s="29">
        <f t="shared" ca="1" si="400"/>
        <v>14524.706189536029</v>
      </c>
      <c r="MX17" s="29">
        <f t="shared" ca="1" si="401"/>
        <v>14307.352765462661</v>
      </c>
      <c r="MY17" s="29">
        <f t="shared" ca="1" si="402"/>
        <v>14387.993835851647</v>
      </c>
      <c r="MZ17" s="29">
        <f t="shared" ca="1" si="403"/>
        <v>15591.114618629163</v>
      </c>
      <c r="NA17" s="29">
        <f t="shared" ca="1" si="404"/>
        <v>14589.12782787944</v>
      </c>
      <c r="NB17" s="29">
        <f t="shared" ca="1" si="405"/>
        <v>15580.255831793915</v>
      </c>
      <c r="NC17" s="29">
        <f t="shared" ca="1" si="406"/>
        <v>14153.292089694416</v>
      </c>
      <c r="ND17" s="29">
        <f t="shared" ca="1" si="407"/>
        <v>13929.077735733988</v>
      </c>
      <c r="NE17" s="29">
        <f t="shared" ca="1" si="408"/>
        <v>14839.477452187191</v>
      </c>
      <c r="NF17" s="29">
        <f t="shared" ca="1" si="409"/>
        <v>14581.815850223804</v>
      </c>
      <c r="NG17" s="29">
        <f t="shared" ca="1" si="410"/>
        <v>13306.293726728682</v>
      </c>
      <c r="NH17" s="29">
        <f t="shared" ca="1" si="411"/>
        <v>14409.026100906594</v>
      </c>
      <c r="NI17" s="29">
        <f t="shared" ca="1" si="412"/>
        <v>14777.835357554441</v>
      </c>
      <c r="NJ17" s="29">
        <f t="shared" ca="1" si="413"/>
        <v>14503.479606466921</v>
      </c>
      <c r="NK17" s="29">
        <f t="shared" ca="1" si="414"/>
        <v>14975.865625053922</v>
      </c>
      <c r="NL17" s="29">
        <f t="shared" ca="1" si="415"/>
        <v>13567.407151301457</v>
      </c>
      <c r="NM17" s="29">
        <f t="shared" ca="1" si="416"/>
        <v>14344.67602866505</v>
      </c>
      <c r="NN17" s="29">
        <f t="shared" ca="1" si="417"/>
        <v>14330.364471342325</v>
      </c>
      <c r="NO17" s="29">
        <f t="shared" ca="1" si="418"/>
        <v>14710.10439074725</v>
      </c>
      <c r="NP17" s="29">
        <f t="shared" ca="1" si="419"/>
        <v>13930.15121515216</v>
      </c>
      <c r="NQ17" s="29">
        <f t="shared" ca="1" si="420"/>
        <v>15227.237227146235</v>
      </c>
      <c r="NR17" s="29">
        <f t="shared" ca="1" si="421"/>
        <v>14697.924140319987</v>
      </c>
      <c r="NS17" s="29">
        <f t="shared" ca="1" si="422"/>
        <v>14156.761856105804</v>
      </c>
      <c r="NT17" s="29">
        <f t="shared" ca="1" si="423"/>
        <v>14655.267878032762</v>
      </c>
      <c r="NU17" s="29">
        <f t="shared" ca="1" si="424"/>
        <v>14219.396798140349</v>
      </c>
      <c r="NV17" s="29">
        <f t="shared" ca="1" si="425"/>
        <v>14021.33163133776</v>
      </c>
      <c r="NW17" s="29">
        <f t="shared" ca="1" si="426"/>
        <v>14118.903133017722</v>
      </c>
      <c r="NX17" s="29">
        <f t="shared" ca="1" si="427"/>
        <v>14331.674023280859</v>
      </c>
      <c r="NY17" s="29">
        <f t="shared" ca="1" si="428"/>
        <v>15089.121622355608</v>
      </c>
      <c r="NZ17" s="29">
        <f t="shared" ca="1" si="429"/>
        <v>13982.345988884766</v>
      </c>
      <c r="OA17" s="29">
        <f t="shared" ca="1" si="430"/>
        <v>14196.701148368113</v>
      </c>
      <c r="OB17" s="29">
        <f t="shared" ca="1" si="431"/>
        <v>15179.562594995796</v>
      </c>
      <c r="OC17" s="29">
        <f t="shared" ca="1" si="432"/>
        <v>14676.977315048292</v>
      </c>
      <c r="OD17" s="29">
        <f t="shared" ca="1" si="433"/>
        <v>14883.433060538169</v>
      </c>
      <c r="OE17" s="29">
        <f t="shared" ca="1" si="434"/>
        <v>15265.173240505697</v>
      </c>
      <c r="OF17" s="29">
        <f t="shared" ca="1" si="435"/>
        <v>14230.078996241091</v>
      </c>
      <c r="OG17" s="29">
        <f t="shared" ca="1" si="436"/>
        <v>15108.328604652817</v>
      </c>
      <c r="OH17" s="29">
        <f t="shared" ca="1" si="437"/>
        <v>14972.762657335337</v>
      </c>
      <c r="OI17" s="29">
        <f t="shared" ca="1" si="438"/>
        <v>14509.414558683939</v>
      </c>
      <c r="OJ17" s="29">
        <f t="shared" ca="1" si="439"/>
        <v>14751.086985251695</v>
      </c>
      <c r="OK17" s="29">
        <f t="shared" ca="1" si="440"/>
        <v>13727.743952002636</v>
      </c>
      <c r="OL17" s="29">
        <f t="shared" ca="1" si="441"/>
        <v>14740.104373736593</v>
      </c>
      <c r="OM17" s="29">
        <f t="shared" ca="1" si="442"/>
        <v>13723.131550994398</v>
      </c>
      <c r="ON17" s="29">
        <f t="shared" ca="1" si="443"/>
        <v>15626.407103447464</v>
      </c>
      <c r="OO17" s="29">
        <f t="shared" ca="1" si="444"/>
        <v>14325.184581085659</v>
      </c>
      <c r="OP17" s="29">
        <f t="shared" ca="1" si="445"/>
        <v>15222.665612059629</v>
      </c>
      <c r="OQ17" s="29">
        <f t="shared" ca="1" si="446"/>
        <v>14251.729869329098</v>
      </c>
      <c r="OR17" s="29">
        <f t="shared" ca="1" si="447"/>
        <v>13963.455264203285</v>
      </c>
      <c r="OS17" s="29">
        <f t="shared" ca="1" si="448"/>
        <v>13481.932532184957</v>
      </c>
      <c r="OT17" s="29">
        <f t="shared" ca="1" si="449"/>
        <v>14569.716160960792</v>
      </c>
      <c r="OU17" s="29">
        <f t="shared" ca="1" si="450"/>
        <v>13865.91634760261</v>
      </c>
      <c r="OV17" s="29">
        <f t="shared" ca="1" si="451"/>
        <v>15394.57695276714</v>
      </c>
      <c r="OW17" s="29">
        <f t="shared" ca="1" si="452"/>
        <v>14763.393277447853</v>
      </c>
      <c r="OX17" s="29">
        <f t="shared" ca="1" si="453"/>
        <v>15316.079698756164</v>
      </c>
      <c r="OY17" s="29">
        <f t="shared" ca="1" si="454"/>
        <v>14465.912542244543</v>
      </c>
      <c r="OZ17" s="29">
        <f t="shared" ca="1" si="455"/>
        <v>13926.583315903395</v>
      </c>
      <c r="PA17" s="29">
        <f t="shared" ca="1" si="456"/>
        <v>14585.62885038786</v>
      </c>
      <c r="PB17" s="29">
        <f t="shared" ca="1" si="457"/>
        <v>13929.978125414444</v>
      </c>
      <c r="PC17" s="29">
        <f t="shared" ca="1" si="458"/>
        <v>14533.737918753155</v>
      </c>
      <c r="PD17" s="29">
        <f t="shared" ca="1" si="459"/>
        <v>14576.314745369285</v>
      </c>
      <c r="PE17" s="29">
        <f t="shared" ca="1" si="460"/>
        <v>14739.303315921654</v>
      </c>
      <c r="PF17" s="29">
        <f t="shared" ca="1" si="461"/>
        <v>14122.076370240093</v>
      </c>
      <c r="PG17" s="29">
        <f t="shared" ca="1" si="462"/>
        <v>14580.251330083047</v>
      </c>
      <c r="PH17" s="29">
        <f t="shared" ca="1" si="463"/>
        <v>14781.522117399849</v>
      </c>
      <c r="PI17" s="29">
        <f t="shared" ca="1" si="464"/>
        <v>13570.213221550481</v>
      </c>
      <c r="PJ17" s="29">
        <f t="shared" ca="1" si="465"/>
        <v>14953.920393367242</v>
      </c>
      <c r="PK17" s="29">
        <f t="shared" ca="1" si="466"/>
        <v>14085.733198552982</v>
      </c>
      <c r="PL17" s="29">
        <f t="shared" ca="1" si="467"/>
        <v>13607.196633802654</v>
      </c>
      <c r="PM17" s="29">
        <f t="shared" ca="1" si="468"/>
        <v>14154.860942004985</v>
      </c>
      <c r="PN17" s="29">
        <f t="shared" ca="1" si="469"/>
        <v>13866.235346518317</v>
      </c>
      <c r="PO17" s="29">
        <f t="shared" ca="1" si="470"/>
        <v>15054.684022269115</v>
      </c>
      <c r="PP17" s="29">
        <f t="shared" ca="1" si="471"/>
        <v>14208.230959764158</v>
      </c>
      <c r="PQ17" s="29">
        <f t="shared" ca="1" si="472"/>
        <v>15202.230494254394</v>
      </c>
      <c r="PR17" s="29">
        <f t="shared" ca="1" si="473"/>
        <v>13982.428263291507</v>
      </c>
      <c r="PS17" s="29">
        <f t="shared" ca="1" si="474"/>
        <v>15028.295802405804</v>
      </c>
      <c r="PT17" s="29">
        <f t="shared" ca="1" si="475"/>
        <v>14608.341695770167</v>
      </c>
      <c r="PU17" s="29">
        <f t="shared" ca="1" si="476"/>
        <v>14094.679624389501</v>
      </c>
      <c r="PV17" s="29">
        <f t="shared" ca="1" si="477"/>
        <v>15077.755758117893</v>
      </c>
      <c r="PW17" s="29">
        <f t="shared" ca="1" si="478"/>
        <v>13983.545820334048</v>
      </c>
      <c r="PX17" s="29">
        <f t="shared" ca="1" si="479"/>
        <v>14191.721927606055</v>
      </c>
      <c r="PY17" s="29">
        <f t="shared" ca="1" si="480"/>
        <v>13892.29627539325</v>
      </c>
      <c r="PZ17" s="29">
        <f t="shared" ca="1" si="481"/>
        <v>12859.510419983904</v>
      </c>
      <c r="QA17" s="29">
        <f t="shared" ca="1" si="482"/>
        <v>14953.711974086253</v>
      </c>
      <c r="QB17" s="29">
        <f t="shared" ca="1" si="483"/>
        <v>13931.312571258126</v>
      </c>
      <c r="QC17" s="29">
        <f t="shared" ca="1" si="484"/>
        <v>13837.28858755251</v>
      </c>
      <c r="QD17" s="29">
        <f t="shared" ca="1" si="485"/>
        <v>13704.205986846113</v>
      </c>
      <c r="QE17" s="29">
        <f t="shared" ca="1" si="486"/>
        <v>15370.079159627525</v>
      </c>
      <c r="QF17" s="29">
        <f t="shared" ca="1" si="487"/>
        <v>14763.84475184558</v>
      </c>
      <c r="QG17" s="29">
        <f t="shared" ca="1" si="488"/>
        <v>14784.268776923513</v>
      </c>
      <c r="QH17" s="29">
        <f t="shared" ca="1" si="489"/>
        <v>15298.477548154615</v>
      </c>
      <c r="QI17" s="29">
        <f t="shared" ca="1" si="490"/>
        <v>14687.173943484928</v>
      </c>
      <c r="QJ17" s="29">
        <f t="shared" ca="1" si="491"/>
        <v>14107.313812295602</v>
      </c>
      <c r="QK17" s="29">
        <f t="shared" ca="1" si="492"/>
        <v>14909.12309798042</v>
      </c>
      <c r="QL17" s="29">
        <f t="shared" ca="1" si="493"/>
        <v>14445.528352960482</v>
      </c>
      <c r="QM17" s="29">
        <f t="shared" ca="1" si="494"/>
        <v>13839.78718266061</v>
      </c>
      <c r="QN17" s="29">
        <f t="shared" ca="1" si="495"/>
        <v>15344.234606209668</v>
      </c>
      <c r="QO17" s="29">
        <f t="shared" ca="1" si="496"/>
        <v>14192.28593945863</v>
      </c>
      <c r="QP17" s="29">
        <f t="shared" ca="1" si="497"/>
        <v>14293.983626590105</v>
      </c>
      <c r="QQ17" s="29">
        <f t="shared" ca="1" si="498"/>
        <v>15143.885414058965</v>
      </c>
      <c r="QR17" s="29">
        <f t="shared" ca="1" si="499"/>
        <v>15235.013120400237</v>
      </c>
      <c r="QS17" s="29">
        <f t="shared" ca="1" si="500"/>
        <v>14871.705472780546</v>
      </c>
      <c r="QT17" s="29">
        <f t="shared" ca="1" si="501"/>
        <v>15864.816127559261</v>
      </c>
      <c r="QU17" s="29">
        <f t="shared" ca="1" si="502"/>
        <v>14745.016052149123</v>
      </c>
      <c r="QV17" s="29">
        <f t="shared" ca="1" si="503"/>
        <v>14285.863563159477</v>
      </c>
      <c r="QW17" s="29">
        <f t="shared" ca="1" si="504"/>
        <v>14516.543961932241</v>
      </c>
      <c r="QX17" s="29">
        <f t="shared" ca="1" si="505"/>
        <v>14833.601344220911</v>
      </c>
      <c r="QY17" s="29">
        <f t="shared" ca="1" si="506"/>
        <v>14999.670643421439</v>
      </c>
      <c r="QZ17" s="29">
        <f t="shared" ca="1" si="507"/>
        <v>14239.494569728033</v>
      </c>
      <c r="RA17" s="29">
        <f t="shared" ca="1" si="508"/>
        <v>13896.121745342829</v>
      </c>
      <c r="RB17" s="29">
        <f t="shared" ca="1" si="509"/>
        <v>13294.500955062202</v>
      </c>
      <c r="RC17" s="29">
        <f t="shared" ca="1" si="510"/>
        <v>14096.610470046038</v>
      </c>
      <c r="RD17" s="29">
        <f t="shared" ca="1" si="511"/>
        <v>14747.076124979421</v>
      </c>
      <c r="RE17" s="29">
        <f t="shared" ca="1" si="512"/>
        <v>15017.519211556486</v>
      </c>
      <c r="RF17" s="29">
        <f t="shared" ca="1" si="513"/>
        <v>14919.284771820166</v>
      </c>
      <c r="RG17" s="29">
        <f t="shared" ca="1" si="514"/>
        <v>13991.194666721627</v>
      </c>
      <c r="RH17" s="29">
        <f t="shared" ca="1" si="515"/>
        <v>13879.933528662079</v>
      </c>
      <c r="RI17" s="29">
        <f t="shared" ca="1" si="516"/>
        <v>14670.870620430836</v>
      </c>
      <c r="RJ17" s="29">
        <f t="shared" ca="1" si="517"/>
        <v>14306.520863721154</v>
      </c>
      <c r="RK17" s="29">
        <f t="shared" ca="1" si="518"/>
        <v>13991.033065647996</v>
      </c>
      <c r="RL17" s="29">
        <f t="shared" ca="1" si="519"/>
        <v>14284.733818411618</v>
      </c>
      <c r="RM17" s="29">
        <f t="shared" ca="1" si="520"/>
        <v>14324.228074545241</v>
      </c>
      <c r="RN17" s="29">
        <f t="shared" ca="1" si="521"/>
        <v>13519.158173256603</v>
      </c>
      <c r="RO17" s="29">
        <f t="shared" ca="1" si="522"/>
        <v>14373.681472289911</v>
      </c>
      <c r="RP17" s="29">
        <f t="shared" ca="1" si="523"/>
        <v>14641.420294670143</v>
      </c>
      <c r="RQ17" s="29">
        <f t="shared" ca="1" si="524"/>
        <v>14361.022820568731</v>
      </c>
      <c r="RR17" s="29">
        <f t="shared" ca="1" si="525"/>
        <v>14764.129276536458</v>
      </c>
      <c r="RS17" s="29">
        <f t="shared" ca="1" si="526"/>
        <v>14499.387518968992</v>
      </c>
      <c r="RT17" s="29">
        <f t="shared" ca="1" si="527"/>
        <v>14929.927965001903</v>
      </c>
      <c r="RU17" s="29">
        <f t="shared" ca="1" si="528"/>
        <v>14100.98114365625</v>
      </c>
      <c r="RV17" s="29">
        <f t="shared" ca="1" si="529"/>
        <v>14387.679344645328</v>
      </c>
      <c r="RW17" s="29">
        <f t="shared" ca="1" si="530"/>
        <v>14782.65323149287</v>
      </c>
      <c r="RX17" s="29">
        <f t="shared" ca="1" si="531"/>
        <v>14256.033564619278</v>
      </c>
      <c r="RY17" s="29">
        <f t="shared" ca="1" si="532"/>
        <v>14060.792523112459</v>
      </c>
      <c r="RZ17" s="29">
        <f t="shared" ca="1" si="533"/>
        <v>16197.58436090561</v>
      </c>
      <c r="SA17" s="29">
        <f t="shared" ca="1" si="534"/>
        <v>14257.26756453033</v>
      </c>
      <c r="SB17" s="29">
        <f t="shared" ca="1" si="535"/>
        <v>14158.854433878003</v>
      </c>
      <c r="SC17" s="29">
        <f t="shared" ca="1" si="536"/>
        <v>14422.70313522558</v>
      </c>
      <c r="SD17" s="29">
        <f t="shared" ca="1" si="537"/>
        <v>15138.749576542383</v>
      </c>
      <c r="SE17" s="29">
        <f t="shared" ca="1" si="538"/>
        <v>13523.357386837133</v>
      </c>
      <c r="SF17" s="29">
        <f t="shared" ca="1" si="539"/>
        <v>14354.364027104262</v>
      </c>
      <c r="SG17" s="29">
        <f t="shared" ca="1" si="540"/>
        <v>14829.168885295992</v>
      </c>
      <c r="SH17" s="29">
        <f t="shared" ca="1" si="541"/>
        <v>15032.347447441613</v>
      </c>
      <c r="SI17" s="29">
        <f t="shared" ca="1" si="542"/>
        <v>14084.823969092542</v>
      </c>
      <c r="SJ17" s="29">
        <f t="shared" ca="1" si="543"/>
        <v>13381.847662154356</v>
      </c>
      <c r="SK17" s="29">
        <f t="shared" ca="1" si="544"/>
        <v>14931.054000775723</v>
      </c>
      <c r="SL17" s="29">
        <f t="shared" ca="1" si="545"/>
        <v>14148.351190527019</v>
      </c>
      <c r="SM17" s="29">
        <f t="shared" ca="1" si="546"/>
        <v>14728.441356208938</v>
      </c>
      <c r="SN17" s="29">
        <f t="shared" ca="1" si="547"/>
        <v>14689.899708081517</v>
      </c>
      <c r="SO17" s="29">
        <f t="shared" ca="1" si="548"/>
        <v>14620.646036174805</v>
      </c>
      <c r="SP17" s="29">
        <f t="shared" ca="1" si="549"/>
        <v>15169.808646455724</v>
      </c>
      <c r="SQ17" s="29">
        <f t="shared" ca="1" si="550"/>
        <v>15354.851557078719</v>
      </c>
      <c r="SR17" s="29">
        <f t="shared" ca="1" si="551"/>
        <v>14106.753168451683</v>
      </c>
      <c r="SS17" s="29">
        <f t="shared" ca="1" si="552"/>
        <v>14505.101214669361</v>
      </c>
      <c r="ST17" s="29">
        <f t="shared" ca="1" si="553"/>
        <v>14192.946825930012</v>
      </c>
      <c r="SU17" s="29">
        <f t="shared" ca="1" si="554"/>
        <v>14626.606689930406</v>
      </c>
      <c r="SV17" s="29">
        <f t="shared" ca="1" si="555"/>
        <v>14238.509546445905</v>
      </c>
      <c r="SW17" s="29">
        <f t="shared" ca="1" si="556"/>
        <v>14128.197098839682</v>
      </c>
      <c r="SX17" s="29">
        <f t="shared" ca="1" si="557"/>
        <v>13430.81324840355</v>
      </c>
      <c r="SY17" s="29">
        <f t="shared" ca="1" si="558"/>
        <v>14587.538694609091</v>
      </c>
      <c r="SZ17" s="29">
        <f t="shared" ca="1" si="559"/>
        <v>14956.461590989426</v>
      </c>
      <c r="TA17" s="29">
        <f t="shared" ca="1" si="560"/>
        <v>14538.445058031561</v>
      </c>
      <c r="TB17" s="29">
        <f t="shared" ca="1" si="561"/>
        <v>13869.509503454366</v>
      </c>
      <c r="TC17" s="29">
        <f t="shared" ca="1" si="562"/>
        <v>15058.846689578457</v>
      </c>
      <c r="TD17" s="29">
        <f t="shared" ca="1" si="563"/>
        <v>14424.992761669448</v>
      </c>
      <c r="TE17" s="29">
        <f t="shared" ca="1" si="564"/>
        <v>14230.825307170171</v>
      </c>
      <c r="TF17" s="29">
        <f t="shared" ca="1" si="565"/>
        <v>13992.34692990745</v>
      </c>
      <c r="TG17" s="29">
        <f t="shared" ca="1" si="566"/>
        <v>14826.137927883166</v>
      </c>
      <c r="TH17" s="29">
        <f t="shared" ca="1" si="567"/>
        <v>14357.378107434253</v>
      </c>
      <c r="TI17" s="29">
        <f t="shared" ca="1" si="568"/>
        <v>13795.815570337025</v>
      </c>
      <c r="TJ17" s="29">
        <f t="shared" ca="1" si="569"/>
        <v>15019.543910847753</v>
      </c>
      <c r="TK17" s="29">
        <f t="shared" ca="1" si="570"/>
        <v>14061.98496490041</v>
      </c>
      <c r="TL17" s="29">
        <f t="shared" ca="1" si="571"/>
        <v>14696.415015179446</v>
      </c>
      <c r="TM17" s="29">
        <f t="shared" ca="1" si="572"/>
        <v>14058.243925807346</v>
      </c>
      <c r="TN17" s="29">
        <f t="shared" ca="1" si="573"/>
        <v>13760.170864832346</v>
      </c>
      <c r="TO17" s="29">
        <f t="shared" ca="1" si="574"/>
        <v>14211.575580096667</v>
      </c>
      <c r="TP17" s="29">
        <f t="shared" ca="1" si="575"/>
        <v>15666.396631122676</v>
      </c>
      <c r="TQ17" s="29">
        <f t="shared" ca="1" si="576"/>
        <v>15040.132001447213</v>
      </c>
      <c r="TR17" s="29">
        <f t="shared" ca="1" si="577"/>
        <v>13899.652278766238</v>
      </c>
      <c r="TS17" s="29">
        <f t="shared" ca="1" si="578"/>
        <v>14404.039569257617</v>
      </c>
      <c r="TT17" s="29">
        <f t="shared" ca="1" si="579"/>
        <v>14673.902614561097</v>
      </c>
      <c r="TU17" s="29">
        <f t="shared" ca="1" si="580"/>
        <v>14224.943540454564</v>
      </c>
      <c r="TV17" s="29">
        <f t="shared" ca="1" si="581"/>
        <v>13900.153213532538</v>
      </c>
      <c r="TW17" s="29">
        <f t="shared" ca="1" si="582"/>
        <v>14741.228956224348</v>
      </c>
      <c r="TX17" s="29">
        <f t="shared" ca="1" si="583"/>
        <v>15960.808880218559</v>
      </c>
      <c r="TY17" s="29">
        <f t="shared" ca="1" si="584"/>
        <v>14419.997087170736</v>
      </c>
      <c r="TZ17" s="29">
        <f t="shared" ca="1" si="585"/>
        <v>14866.252216509336</v>
      </c>
      <c r="UA17" s="29">
        <f t="shared" ca="1" si="586"/>
        <v>14266.917355597641</v>
      </c>
      <c r="UB17" s="29">
        <f t="shared" ca="1" si="587"/>
        <v>14283.641189494891</v>
      </c>
      <c r="UC17" s="29">
        <f t="shared" ca="1" si="588"/>
        <v>13415.091970381012</v>
      </c>
      <c r="UD17" s="29">
        <f t="shared" ca="1" si="589"/>
        <v>16386.099767674899</v>
      </c>
      <c r="UE17" s="29">
        <f t="shared" ca="1" si="590"/>
        <v>13412.787426909959</v>
      </c>
      <c r="UF17" s="29">
        <f t="shared" ca="1" si="591"/>
        <v>13699.053781308792</v>
      </c>
      <c r="UG17" s="29">
        <f t="shared" ca="1" si="592"/>
        <v>14520.104894498083</v>
      </c>
      <c r="UH17" s="29">
        <f t="shared" ca="1" si="593"/>
        <v>14180.337270370801</v>
      </c>
      <c r="UI17" s="29">
        <f t="shared" ca="1" si="594"/>
        <v>14983.947696077903</v>
      </c>
      <c r="UJ17" s="29">
        <f t="shared" ca="1" si="595"/>
        <v>14745.393710293849</v>
      </c>
      <c r="UK17" s="29">
        <f t="shared" ca="1" si="596"/>
        <v>14696.222920407119</v>
      </c>
      <c r="UL17" s="29">
        <f t="shared" ca="1" si="597"/>
        <v>15601.687923405205</v>
      </c>
      <c r="UM17" s="29">
        <f t="shared" ca="1" si="598"/>
        <v>13425.768335520743</v>
      </c>
      <c r="UN17" s="29">
        <f t="shared" ca="1" si="599"/>
        <v>13443.816263039011</v>
      </c>
      <c r="UO17" s="29">
        <f t="shared" ca="1" si="600"/>
        <v>15606.328358995697</v>
      </c>
      <c r="UP17" s="29">
        <f t="shared" ca="1" si="601"/>
        <v>13738.095307392552</v>
      </c>
      <c r="UQ17" s="29">
        <f t="shared" ca="1" si="602"/>
        <v>15014.913859687746</v>
      </c>
      <c r="UR17" s="29">
        <f t="shared" ca="1" si="603"/>
        <v>13444.496854073273</v>
      </c>
      <c r="US17" s="29">
        <f t="shared" ca="1" si="604"/>
        <v>14549.447091376274</v>
      </c>
      <c r="UT17" s="29">
        <f t="shared" ca="1" si="605"/>
        <v>14753.644527993634</v>
      </c>
      <c r="UU17" s="29">
        <f t="shared" ca="1" si="606"/>
        <v>13813.245751065391</v>
      </c>
      <c r="UV17" s="29">
        <f t="shared" ca="1" si="607"/>
        <v>14771.125320390842</v>
      </c>
      <c r="UW17" s="29">
        <f t="shared" ca="1" si="608"/>
        <v>14315.584510695593</v>
      </c>
      <c r="UX17" s="29">
        <f t="shared" ca="1" si="609"/>
        <v>14002.899158702756</v>
      </c>
      <c r="UY17" s="29">
        <f t="shared" ca="1" si="610"/>
        <v>14190.65720201271</v>
      </c>
      <c r="UZ17" s="29">
        <f t="shared" ca="1" si="611"/>
        <v>13783.53003334132</v>
      </c>
      <c r="VA17" s="29">
        <f t="shared" ca="1" si="612"/>
        <v>13838.492556284469</v>
      </c>
      <c r="VB17" s="29">
        <f t="shared" ca="1" si="613"/>
        <v>14482.668850327364</v>
      </c>
      <c r="VC17" s="29">
        <f t="shared" ca="1" si="614"/>
        <v>15236.520309014519</v>
      </c>
      <c r="VD17" s="29">
        <f t="shared" ca="1" si="615"/>
        <v>14306.986902117907</v>
      </c>
      <c r="VE17" s="29">
        <f t="shared" ca="1" si="616"/>
        <v>15165.56269795353</v>
      </c>
      <c r="VF17" s="29">
        <f t="shared" ca="1" si="617"/>
        <v>14228.078850922691</v>
      </c>
      <c r="VG17" s="29">
        <f t="shared" ca="1" si="618"/>
        <v>14673.852910161177</v>
      </c>
      <c r="VH17" s="29">
        <f t="shared" ca="1" si="619"/>
        <v>14740.840847394198</v>
      </c>
      <c r="VI17" s="29">
        <f t="shared" ca="1" si="620"/>
        <v>14437.701163958658</v>
      </c>
      <c r="VJ17" s="29">
        <f t="shared" ca="1" si="621"/>
        <v>14020.352683719415</v>
      </c>
      <c r="VK17" s="29">
        <f t="shared" ca="1" si="622"/>
        <v>13388.099209617007</v>
      </c>
      <c r="VL17" s="29">
        <f t="shared" ca="1" si="623"/>
        <v>13971.878947452233</v>
      </c>
      <c r="VM17" s="29">
        <f t="shared" ca="1" si="624"/>
        <v>14424.772537431178</v>
      </c>
      <c r="VN17" s="29">
        <f t="shared" ca="1" si="625"/>
        <v>14314.556421642794</v>
      </c>
      <c r="VO17" s="29">
        <f t="shared" ca="1" si="626"/>
        <v>15906.916191413664</v>
      </c>
      <c r="VP17" s="29">
        <f t="shared" ca="1" si="627"/>
        <v>13972.318244104865</v>
      </c>
      <c r="VQ17" s="29">
        <f t="shared" ca="1" si="628"/>
        <v>14490.39836156721</v>
      </c>
      <c r="VR17" s="29">
        <f t="shared" ca="1" si="629"/>
        <v>13942.288037409764</v>
      </c>
      <c r="VS17" s="29">
        <f t="shared" ca="1" si="630"/>
        <v>13581.357660588345</v>
      </c>
      <c r="VT17" s="29">
        <f t="shared" ca="1" si="631"/>
        <v>14459.603955390328</v>
      </c>
      <c r="VU17" s="29">
        <f t="shared" ca="1" si="632"/>
        <v>14566.019352277768</v>
      </c>
      <c r="VV17" s="29">
        <f t="shared" ca="1" si="633"/>
        <v>14643.163293414871</v>
      </c>
      <c r="VW17" s="29">
        <f t="shared" ca="1" si="634"/>
        <v>13915.842991391048</v>
      </c>
      <c r="VX17" s="29">
        <f t="shared" ca="1" si="635"/>
        <v>14462.272929799088</v>
      </c>
      <c r="VY17" s="29">
        <f t="shared" ca="1" si="636"/>
        <v>14472.816388706802</v>
      </c>
      <c r="VZ17" s="29">
        <f t="shared" ca="1" si="637"/>
        <v>13720.534639186055</v>
      </c>
      <c r="WA17" s="29">
        <f t="shared" ca="1" si="638"/>
        <v>14621.727176904888</v>
      </c>
      <c r="WB17" s="29">
        <f t="shared" ca="1" si="639"/>
        <v>14024.122579336643</v>
      </c>
      <c r="WC17" s="29">
        <f t="shared" ca="1" si="640"/>
        <v>14274.631252640496</v>
      </c>
      <c r="WD17" s="29">
        <f t="shared" ca="1" si="641"/>
        <v>14955.701664127928</v>
      </c>
      <c r="WE17" s="29">
        <f t="shared" ca="1" si="642"/>
        <v>14233.488703292356</v>
      </c>
      <c r="WF17" s="29">
        <f t="shared" ca="1" si="643"/>
        <v>15372.040103325038</v>
      </c>
      <c r="WG17" s="29">
        <f t="shared" ca="1" si="644"/>
        <v>14586.531245277409</v>
      </c>
      <c r="WH17" s="29">
        <f t="shared" ca="1" si="645"/>
        <v>13715.522046704984</v>
      </c>
      <c r="WI17" s="29">
        <f t="shared" ca="1" si="646"/>
        <v>15785.418702403331</v>
      </c>
      <c r="WJ17" s="29">
        <f t="shared" ca="1" si="647"/>
        <v>15947.156902363175</v>
      </c>
      <c r="WK17" s="29">
        <f t="shared" ca="1" si="648"/>
        <v>14510.157062703507</v>
      </c>
      <c r="WL17" s="29">
        <f t="shared" ca="1" si="649"/>
        <v>13476.584194401528</v>
      </c>
      <c r="WM17" s="29">
        <f t="shared" ca="1" si="650"/>
        <v>14329.03009778981</v>
      </c>
      <c r="WN17" s="29">
        <f t="shared" ca="1" si="651"/>
        <v>14783.761833569295</v>
      </c>
      <c r="WO17" s="29">
        <f t="shared" ca="1" si="652"/>
        <v>15556.537820432675</v>
      </c>
      <c r="WP17" s="29">
        <f t="shared" ca="1" si="653"/>
        <v>13723.803046966226</v>
      </c>
      <c r="WQ17" s="29">
        <f t="shared" ca="1" si="654"/>
        <v>13893.890078279366</v>
      </c>
      <c r="WR17" s="29">
        <f t="shared" ca="1" si="655"/>
        <v>14324.712357331277</v>
      </c>
      <c r="WS17" s="29">
        <f t="shared" ca="1" si="656"/>
        <v>14936.685637867917</v>
      </c>
      <c r="WT17" s="29">
        <f t="shared" ca="1" si="657"/>
        <v>14445.48228994503</v>
      </c>
      <c r="WU17" s="29">
        <f t="shared" ca="1" si="658"/>
        <v>14325.91732622237</v>
      </c>
      <c r="WV17" s="29">
        <f t="shared" ca="1" si="659"/>
        <v>14805.256473897003</v>
      </c>
      <c r="WW17" s="29">
        <f t="shared" ca="1" si="660"/>
        <v>13957.988404392561</v>
      </c>
      <c r="WX17" s="29">
        <f t="shared" ca="1" si="661"/>
        <v>15119.801446909845</v>
      </c>
      <c r="WY17" s="29">
        <f t="shared" ca="1" si="662"/>
        <v>15044.93916813541</v>
      </c>
      <c r="WZ17" s="29">
        <f t="shared" ca="1" si="663"/>
        <v>15199.745917271974</v>
      </c>
      <c r="XA17" s="29">
        <f t="shared" ca="1" si="664"/>
        <v>14604.047355503042</v>
      </c>
      <c r="XB17" s="29">
        <f t="shared" ca="1" si="665"/>
        <v>14829.917141893566</v>
      </c>
      <c r="XC17" s="29">
        <f t="shared" ca="1" si="666"/>
        <v>14520.432593512198</v>
      </c>
      <c r="XD17" s="29">
        <f t="shared" ca="1" si="667"/>
        <v>13926.578730858044</v>
      </c>
      <c r="XE17" s="29">
        <f t="shared" ca="1" si="668"/>
        <v>14019.814708426713</v>
      </c>
      <c r="XF17" s="29">
        <f t="shared" ca="1" si="669"/>
        <v>14575.991504563881</v>
      </c>
      <c r="XG17" s="29">
        <f t="shared" ca="1" si="670"/>
        <v>14184.035446160828</v>
      </c>
      <c r="XH17" s="29">
        <f t="shared" ca="1" si="671"/>
        <v>14302.335547633391</v>
      </c>
      <c r="XI17" s="29">
        <f t="shared" ca="1" si="672"/>
        <v>14920.353823422629</v>
      </c>
      <c r="XJ17" s="29">
        <f t="shared" ca="1" si="673"/>
        <v>14693.071408376347</v>
      </c>
      <c r="XK17" s="29">
        <f t="shared" ca="1" si="674"/>
        <v>13747.295387925555</v>
      </c>
      <c r="XL17" s="29">
        <f t="shared" ca="1" si="675"/>
        <v>13929.712670980671</v>
      </c>
      <c r="XM17" s="29">
        <f t="shared" ca="1" si="676"/>
        <v>14163.471674400724</v>
      </c>
      <c r="XN17" s="29">
        <f t="shared" ca="1" si="677"/>
        <v>14250.169871859882</v>
      </c>
      <c r="XO17" s="29">
        <f t="shared" ca="1" si="678"/>
        <v>15250.269827845244</v>
      </c>
      <c r="XP17" s="29">
        <f t="shared" ca="1" si="679"/>
        <v>14779.821442997398</v>
      </c>
      <c r="XQ17" s="29">
        <f t="shared" ca="1" si="680"/>
        <v>13820.528223177287</v>
      </c>
      <c r="XR17" s="29">
        <f t="shared" ca="1" si="681"/>
        <v>14405.64383057351</v>
      </c>
      <c r="XS17" s="29">
        <f t="shared" ca="1" si="682"/>
        <v>13874.884169371669</v>
      </c>
      <c r="XT17" s="29">
        <f t="shared" ca="1" si="683"/>
        <v>14969.164697526458</v>
      </c>
      <c r="XU17" s="29">
        <f t="shared" ca="1" si="684"/>
        <v>15487.098268369215</v>
      </c>
      <c r="XV17" s="29">
        <f t="shared" ca="1" si="685"/>
        <v>14669.76743406796</v>
      </c>
      <c r="XW17" s="29">
        <f t="shared" ca="1" si="686"/>
        <v>14327.326558274766</v>
      </c>
      <c r="XX17" s="29">
        <f t="shared" ca="1" si="687"/>
        <v>14846.838921451968</v>
      </c>
      <c r="XY17" s="29">
        <f t="shared" ca="1" si="688"/>
        <v>14012.709509727352</v>
      </c>
      <c r="XZ17" s="29">
        <f t="shared" ca="1" si="689"/>
        <v>14420.701263847688</v>
      </c>
      <c r="YA17" s="29">
        <f t="shared" ca="1" si="690"/>
        <v>14888.085110428177</v>
      </c>
      <c r="YB17" s="29">
        <f t="shared" ca="1" si="691"/>
        <v>15086.309622083258</v>
      </c>
      <c r="YC17" s="29">
        <f t="shared" ca="1" si="692"/>
        <v>15518.578279965917</v>
      </c>
      <c r="YD17" s="29">
        <f t="shared" ca="1" si="693"/>
        <v>13546.769839146229</v>
      </c>
      <c r="YE17" s="29">
        <f t="shared" ca="1" si="694"/>
        <v>14678.53960375922</v>
      </c>
      <c r="YF17" s="29">
        <f t="shared" ca="1" si="695"/>
        <v>14300.724921479272</v>
      </c>
      <c r="YG17" s="29">
        <f t="shared" ca="1" si="696"/>
        <v>14895.862139509762</v>
      </c>
      <c r="YH17" s="29">
        <f t="shared" ca="1" si="697"/>
        <v>13648.812276497727</v>
      </c>
      <c r="YI17" s="29">
        <f t="shared" ca="1" si="698"/>
        <v>13232.570802694418</v>
      </c>
      <c r="YJ17" s="29">
        <f t="shared" ca="1" si="699"/>
        <v>14303.640334335218</v>
      </c>
      <c r="YK17" s="29">
        <f t="shared" ca="1" si="700"/>
        <v>14270.071721730914</v>
      </c>
      <c r="YL17" s="29">
        <f t="shared" ca="1" si="701"/>
        <v>13713.804989384926</v>
      </c>
      <c r="YM17" s="29">
        <f t="shared" ca="1" si="702"/>
        <v>14538.875095926778</v>
      </c>
      <c r="YN17" s="29">
        <f t="shared" ca="1" si="703"/>
        <v>14578.144549505601</v>
      </c>
      <c r="YO17" s="29">
        <f t="shared" ca="1" si="704"/>
        <v>13207.91968970125</v>
      </c>
      <c r="YP17" s="29">
        <f t="shared" ca="1" si="705"/>
        <v>15441.715400366636</v>
      </c>
      <c r="YQ17" s="29">
        <f t="shared" ca="1" si="706"/>
        <v>13823.962892990354</v>
      </c>
      <c r="YR17" s="29">
        <f t="shared" ca="1" si="707"/>
        <v>13999.049288197841</v>
      </c>
      <c r="YS17" s="29">
        <f t="shared" ca="1" si="708"/>
        <v>15118.545758975593</v>
      </c>
      <c r="YT17" s="29">
        <f t="shared" ca="1" si="709"/>
        <v>15138.47701559861</v>
      </c>
      <c r="YU17" s="29">
        <f t="shared" ca="1" si="710"/>
        <v>14788.664244689671</v>
      </c>
      <c r="YV17" s="29">
        <f t="shared" ca="1" si="711"/>
        <v>14051.180924424169</v>
      </c>
      <c r="YW17" s="29">
        <f t="shared" ca="1" si="712"/>
        <v>14302.059859295869</v>
      </c>
      <c r="YX17" s="29">
        <f t="shared" ca="1" si="713"/>
        <v>14797.425395894808</v>
      </c>
      <c r="YY17" s="29">
        <f t="shared" ca="1" si="714"/>
        <v>14125.812414624153</v>
      </c>
      <c r="YZ17" s="29">
        <f t="shared" ca="1" si="715"/>
        <v>14316.166779400961</v>
      </c>
      <c r="ZA17" s="29">
        <f t="shared" ca="1" si="716"/>
        <v>14382.34701961843</v>
      </c>
      <c r="ZB17" s="29">
        <f t="shared" ca="1" si="717"/>
        <v>15048.78799875772</v>
      </c>
      <c r="ZC17" s="29">
        <f t="shared" ca="1" si="718"/>
        <v>14945.487207209651</v>
      </c>
      <c r="ZD17" s="29">
        <f t="shared" ca="1" si="719"/>
        <v>14404.316687772618</v>
      </c>
      <c r="ZE17" s="29">
        <f t="shared" ca="1" si="720"/>
        <v>13851.566474269363</v>
      </c>
      <c r="ZF17" s="29">
        <f t="shared" ca="1" si="721"/>
        <v>13906.429756825313</v>
      </c>
      <c r="ZG17" s="29">
        <f t="shared" ca="1" si="722"/>
        <v>13078.827776284515</v>
      </c>
      <c r="ZH17" s="29">
        <f t="shared" ca="1" si="723"/>
        <v>14159.94280695021</v>
      </c>
      <c r="ZI17" s="29">
        <f t="shared" ca="1" si="724"/>
        <v>13542.741215501888</v>
      </c>
      <c r="ZJ17" s="29">
        <f t="shared" ca="1" si="725"/>
        <v>14564.522799251139</v>
      </c>
      <c r="ZK17" s="29">
        <f t="shared" ca="1" si="726"/>
        <v>13821.274324497566</v>
      </c>
      <c r="ZL17" s="29">
        <f t="shared" ca="1" si="727"/>
        <v>13850.597104967308</v>
      </c>
      <c r="ZM17" s="29">
        <f t="shared" ca="1" si="728"/>
        <v>13150.162789457348</v>
      </c>
      <c r="ZN17" s="29">
        <f t="shared" ca="1" si="729"/>
        <v>14519.612003229293</v>
      </c>
      <c r="ZO17" s="29">
        <f t="shared" ca="1" si="730"/>
        <v>14512.575116663276</v>
      </c>
      <c r="ZP17" s="29">
        <f t="shared" ca="1" si="731"/>
        <v>14388.616637996336</v>
      </c>
      <c r="ZQ17" s="29">
        <f t="shared" ca="1" si="732"/>
        <v>14327.201543673931</v>
      </c>
      <c r="ZR17" s="29">
        <f t="shared" ca="1" si="733"/>
        <v>14926.843919926943</v>
      </c>
      <c r="ZS17" s="29">
        <f t="shared" ca="1" si="734"/>
        <v>14474.529390428075</v>
      </c>
      <c r="ZT17" s="29">
        <f t="shared" ca="1" si="735"/>
        <v>14362.778402172285</v>
      </c>
      <c r="ZU17" s="29">
        <f t="shared" ca="1" si="736"/>
        <v>14308.904572213516</v>
      </c>
      <c r="ZV17" s="29">
        <f t="shared" ca="1" si="737"/>
        <v>14226.298484171553</v>
      </c>
      <c r="ZW17" s="29">
        <f t="shared" ca="1" si="738"/>
        <v>14023.667427911007</v>
      </c>
      <c r="ZX17" s="29">
        <f t="shared" ca="1" si="739"/>
        <v>14603.859405049599</v>
      </c>
      <c r="ZY17" s="29">
        <f t="shared" ca="1" si="740"/>
        <v>14253.849390360281</v>
      </c>
      <c r="ZZ17" s="29">
        <f t="shared" ca="1" si="741"/>
        <v>13815.686488602372</v>
      </c>
      <c r="AAA17" s="29">
        <f t="shared" ca="1" si="742"/>
        <v>15240.741739244302</v>
      </c>
      <c r="AAB17" s="29">
        <f t="shared" ca="1" si="743"/>
        <v>15508.814957641749</v>
      </c>
      <c r="AAC17" s="29">
        <f t="shared" ca="1" si="744"/>
        <v>14545.812985461211</v>
      </c>
      <c r="AAD17" s="29">
        <f t="shared" ca="1" si="745"/>
        <v>13431.434443236221</v>
      </c>
      <c r="AAE17" s="29">
        <f t="shared" ca="1" si="746"/>
        <v>13599.622599961871</v>
      </c>
      <c r="AAF17" s="29">
        <f t="shared" ca="1" si="747"/>
        <v>15297.916103825652</v>
      </c>
      <c r="AAG17" s="29">
        <f t="shared" ca="1" si="748"/>
        <v>15642.163499395372</v>
      </c>
      <c r="AAH17" s="29">
        <f t="shared" ca="1" si="749"/>
        <v>15069.636126990841</v>
      </c>
      <c r="AAI17" s="29">
        <f t="shared" ca="1" si="750"/>
        <v>14003.463212968327</v>
      </c>
      <c r="AAJ17" s="29">
        <f t="shared" ca="1" si="751"/>
        <v>14814.303659697709</v>
      </c>
      <c r="AAK17" s="29">
        <f t="shared" ca="1" si="752"/>
        <v>14764.805490726441</v>
      </c>
      <c r="AAL17" s="29">
        <f t="shared" ca="1" si="753"/>
        <v>14395.97551630869</v>
      </c>
      <c r="AAM17" s="29">
        <f t="shared" ca="1" si="754"/>
        <v>14626.850305259914</v>
      </c>
      <c r="AAN17" s="29">
        <f t="shared" ca="1" si="755"/>
        <v>15725.581529280804</v>
      </c>
      <c r="AAO17" s="29">
        <f t="shared" ca="1" si="756"/>
        <v>14448.803903387234</v>
      </c>
      <c r="AAP17" s="29">
        <f t="shared" ca="1" si="757"/>
        <v>15545.628828841873</v>
      </c>
      <c r="AAQ17" s="29">
        <f t="shared" ca="1" si="758"/>
        <v>14642.972702001034</v>
      </c>
      <c r="AAR17" s="29">
        <f t="shared" ca="1" si="759"/>
        <v>15935.90506185706</v>
      </c>
      <c r="AAS17" s="29">
        <f t="shared" ca="1" si="760"/>
        <v>14071.083799101018</v>
      </c>
      <c r="AAT17" s="29">
        <f t="shared" ca="1" si="761"/>
        <v>14871.298639453707</v>
      </c>
      <c r="AAU17" s="29">
        <f t="shared" ca="1" si="762"/>
        <v>15409.037713594487</v>
      </c>
      <c r="AAV17" s="29">
        <f t="shared" ca="1" si="763"/>
        <v>13589.506287137787</v>
      </c>
      <c r="AAW17" s="29">
        <f t="shared" ca="1" si="764"/>
        <v>14312.582290058323</v>
      </c>
      <c r="AAX17" s="29">
        <f t="shared" ca="1" si="765"/>
        <v>14601.986836289241</v>
      </c>
      <c r="AAY17" s="29">
        <f t="shared" ca="1" si="766"/>
        <v>14235.639307970285</v>
      </c>
      <c r="AAZ17" s="29">
        <f t="shared" ca="1" si="767"/>
        <v>14655.573101383572</v>
      </c>
      <c r="ABA17" s="29">
        <f t="shared" ca="1" si="768"/>
        <v>14660.082220220118</v>
      </c>
      <c r="ABB17" s="29">
        <f t="shared" ca="1" si="769"/>
        <v>14943.414403121074</v>
      </c>
      <c r="ABC17" s="29">
        <f t="shared" ca="1" si="770"/>
        <v>14454.495597595182</v>
      </c>
      <c r="ABD17" s="29">
        <f t="shared" ca="1" si="771"/>
        <v>14413.424458951455</v>
      </c>
      <c r="ABE17" s="29">
        <f t="shared" ca="1" si="772"/>
        <v>12669.480267375699</v>
      </c>
      <c r="ABF17" s="29">
        <f t="shared" ca="1" si="773"/>
        <v>14063.389405798127</v>
      </c>
      <c r="ABG17" s="29">
        <f t="shared" ca="1" si="774"/>
        <v>14338.646687769642</v>
      </c>
      <c r="ABH17" s="29">
        <f t="shared" ca="1" si="775"/>
        <v>14552.364468747481</v>
      </c>
      <c r="ABI17" s="29">
        <f t="shared" ca="1" si="776"/>
        <v>14214.862892060322</v>
      </c>
      <c r="ABJ17" s="29">
        <f t="shared" ca="1" si="777"/>
        <v>14769.958432078289</v>
      </c>
      <c r="ABK17" s="29">
        <f t="shared" ca="1" si="778"/>
        <v>15214.244659556331</v>
      </c>
      <c r="ABL17" s="29">
        <f t="shared" ca="1" si="779"/>
        <v>14772.102690756365</v>
      </c>
      <c r="ABM17" s="29">
        <f t="shared" ca="1" si="780"/>
        <v>14485.737194668867</v>
      </c>
      <c r="ABN17" s="29">
        <f t="shared" ca="1" si="781"/>
        <v>14047.006557134011</v>
      </c>
      <c r="ABO17" s="29">
        <f t="shared" ca="1" si="782"/>
        <v>15066.901327746182</v>
      </c>
      <c r="ABP17" s="29">
        <f t="shared" ca="1" si="783"/>
        <v>13956.280434073413</v>
      </c>
      <c r="ABQ17" s="29">
        <f t="shared" ca="1" si="784"/>
        <v>12926.82366904415</v>
      </c>
      <c r="ABR17" s="29">
        <f t="shared" ca="1" si="785"/>
        <v>13331.887080591145</v>
      </c>
      <c r="ABS17" s="29">
        <f t="shared" ca="1" si="786"/>
        <v>13782.630770951446</v>
      </c>
      <c r="ABT17" s="29">
        <f t="shared" ca="1" si="787"/>
        <v>14361.358829309287</v>
      </c>
      <c r="ABU17" s="29">
        <f t="shared" ca="1" si="788"/>
        <v>14494.464213520008</v>
      </c>
      <c r="ABV17" s="29">
        <f t="shared" ca="1" si="789"/>
        <v>15414.410612029418</v>
      </c>
      <c r="ABW17" s="29">
        <f t="shared" ca="1" si="790"/>
        <v>14870.721772177658</v>
      </c>
      <c r="ABX17" s="29">
        <f t="shared" ca="1" si="791"/>
        <v>15022.170975974115</v>
      </c>
      <c r="ABY17" s="29">
        <f t="shared" ca="1" si="792"/>
        <v>14785.859142021145</v>
      </c>
      <c r="ABZ17" s="29">
        <f t="shared" ca="1" si="793"/>
        <v>14486.430893302282</v>
      </c>
      <c r="ACA17" s="29">
        <f t="shared" ca="1" si="794"/>
        <v>15218.411360537657</v>
      </c>
      <c r="ACB17" s="29">
        <f t="shared" ca="1" si="795"/>
        <v>15283.934790513247</v>
      </c>
      <c r="ACC17" s="29">
        <f t="shared" ca="1" si="796"/>
        <v>14360.844056962753</v>
      </c>
      <c r="ACD17" s="29">
        <f t="shared" ca="1" si="797"/>
        <v>14685.998639795562</v>
      </c>
      <c r="ACE17" s="29">
        <f t="shared" ca="1" si="798"/>
        <v>14987.176945277204</v>
      </c>
      <c r="ACF17" s="29">
        <f t="shared" ca="1" si="799"/>
        <v>14477.618910456151</v>
      </c>
      <c r="ACG17" s="29">
        <f t="shared" ca="1" si="800"/>
        <v>13759.232798468987</v>
      </c>
      <c r="ACH17" s="29">
        <f t="shared" ca="1" si="801"/>
        <v>15117.060896310661</v>
      </c>
      <c r="ACI17" s="29">
        <f t="shared" ca="1" si="802"/>
        <v>13985.84162537999</v>
      </c>
      <c r="ACJ17" s="29">
        <f t="shared" ca="1" si="803"/>
        <v>15165.83713816407</v>
      </c>
      <c r="ACK17" s="29">
        <f t="shared" ca="1" si="804"/>
        <v>13740.303453102291</v>
      </c>
      <c r="ACL17" s="29">
        <f t="shared" ca="1" si="805"/>
        <v>13732.267566048928</v>
      </c>
      <c r="ACM17" s="29">
        <f t="shared" ca="1" si="806"/>
        <v>14924.539678791589</v>
      </c>
      <c r="ACN17" s="29">
        <f t="shared" ca="1" si="807"/>
        <v>14939.632301833224</v>
      </c>
      <c r="ACO17" s="29">
        <f t="shared" ca="1" si="808"/>
        <v>16333.043799704456</v>
      </c>
      <c r="ACP17" s="29">
        <f t="shared" ca="1" si="809"/>
        <v>14306.875362736509</v>
      </c>
      <c r="ACQ17" s="29">
        <f t="shared" ca="1" si="810"/>
        <v>14826.725453873789</v>
      </c>
      <c r="ACR17" s="29">
        <f t="shared" ca="1" si="811"/>
        <v>14873.410356622582</v>
      </c>
      <c r="ACS17" s="29">
        <f t="shared" ca="1" si="812"/>
        <v>13959.064006222354</v>
      </c>
      <c r="ACT17" s="29">
        <f t="shared" ca="1" si="813"/>
        <v>14501.026350195469</v>
      </c>
      <c r="ACU17" s="29">
        <f t="shared" ca="1" si="814"/>
        <v>13887.080775232193</v>
      </c>
      <c r="ACV17" s="29">
        <f t="shared" ca="1" si="815"/>
        <v>14328.153943503687</v>
      </c>
      <c r="ACW17" s="29">
        <f t="shared" ca="1" si="816"/>
        <v>14798.896779723345</v>
      </c>
      <c r="ACX17" s="29">
        <f t="shared" ca="1" si="817"/>
        <v>14269.537212306323</v>
      </c>
      <c r="ACY17" s="29">
        <f t="shared" ca="1" si="818"/>
        <v>14290.634027163349</v>
      </c>
      <c r="ACZ17" s="29">
        <f t="shared" ca="1" si="819"/>
        <v>14048.030248878409</v>
      </c>
      <c r="ADA17" s="29">
        <f t="shared" ca="1" si="820"/>
        <v>14769.688808222878</v>
      </c>
      <c r="ADB17" s="29">
        <f t="shared" ca="1" si="821"/>
        <v>13859.616846130804</v>
      </c>
      <c r="ADC17" s="29">
        <f t="shared" ca="1" si="822"/>
        <v>13995.237311226378</v>
      </c>
      <c r="ADD17" s="29">
        <f t="shared" ca="1" si="823"/>
        <v>14647.876903673676</v>
      </c>
      <c r="ADE17" s="29">
        <f t="shared" ca="1" si="824"/>
        <v>14356.750606095897</v>
      </c>
      <c r="ADF17" s="29">
        <f t="shared" ca="1" si="825"/>
        <v>13734.603257762037</v>
      </c>
      <c r="ADG17" s="29">
        <f t="shared" ca="1" si="826"/>
        <v>14550.257427424373</v>
      </c>
      <c r="ADH17" s="29">
        <f t="shared" ca="1" si="827"/>
        <v>15092.661200964494</v>
      </c>
      <c r="ADI17" s="29">
        <f t="shared" ca="1" si="828"/>
        <v>14603.430848914115</v>
      </c>
      <c r="ADJ17" s="29">
        <f t="shared" ca="1" si="829"/>
        <v>14893.317321657703</v>
      </c>
      <c r="ADK17" s="29">
        <f t="shared" ca="1" si="830"/>
        <v>14750.435688266429</v>
      </c>
      <c r="ADL17" s="29">
        <f t="shared" ca="1" si="831"/>
        <v>14556.690885469592</v>
      </c>
      <c r="ADM17" s="29">
        <f t="shared" ca="1" si="832"/>
        <v>14434.994206065607</v>
      </c>
      <c r="ADN17" s="29">
        <f t="shared" ca="1" si="833"/>
        <v>13971.643164130157</v>
      </c>
      <c r="ADO17" s="29">
        <f t="shared" ca="1" si="834"/>
        <v>14759.837871694186</v>
      </c>
      <c r="ADP17" s="29">
        <f t="shared" ca="1" si="835"/>
        <v>14868.561179948691</v>
      </c>
      <c r="ADQ17" s="29">
        <f t="shared" ca="1" si="836"/>
        <v>16452.651419836613</v>
      </c>
      <c r="ADR17" s="29">
        <f t="shared" ca="1" si="837"/>
        <v>14611.640270685753</v>
      </c>
      <c r="ADS17" s="29">
        <f t="shared" ca="1" si="838"/>
        <v>14507.241627442563</v>
      </c>
      <c r="ADT17" s="29">
        <f t="shared" ca="1" si="839"/>
        <v>13552.327873247894</v>
      </c>
      <c r="ADU17" s="29">
        <f t="shared" ca="1" si="840"/>
        <v>15264.844932005179</v>
      </c>
      <c r="ADV17" s="29">
        <f t="shared" ca="1" si="841"/>
        <v>14796.242529954181</v>
      </c>
      <c r="ADW17" s="29">
        <f t="shared" ca="1" si="842"/>
        <v>15096.117885366826</v>
      </c>
      <c r="ADX17" s="29">
        <f t="shared" ca="1" si="843"/>
        <v>13791.932396403001</v>
      </c>
      <c r="ADY17" s="29">
        <f t="shared" ca="1" si="844"/>
        <v>15721.007256953228</v>
      </c>
      <c r="ADZ17" s="29">
        <f t="shared" ca="1" si="845"/>
        <v>13953.770034978497</v>
      </c>
      <c r="AEA17" s="29">
        <f t="shared" ca="1" si="846"/>
        <v>14527.032177395902</v>
      </c>
      <c r="AEB17" s="29">
        <f t="shared" ca="1" si="847"/>
        <v>13335.326148807522</v>
      </c>
      <c r="AEC17" s="29">
        <f t="shared" ca="1" si="848"/>
        <v>14885.871732117805</v>
      </c>
      <c r="AED17" s="29">
        <f t="shared" ca="1" si="849"/>
        <v>14511.828648577444</v>
      </c>
      <c r="AEE17" s="29">
        <f t="shared" ca="1" si="850"/>
        <v>15050.14014253558</v>
      </c>
      <c r="AEF17" s="29">
        <f t="shared" ca="1" si="851"/>
        <v>14029.850680419317</v>
      </c>
      <c r="AEG17" s="29">
        <f t="shared" ca="1" si="852"/>
        <v>15743.623532455527</v>
      </c>
      <c r="AEH17" s="29">
        <f t="shared" ca="1" si="853"/>
        <v>14077.60504896205</v>
      </c>
      <c r="AEI17" s="29">
        <f t="shared" ca="1" si="854"/>
        <v>14914.03035952987</v>
      </c>
      <c r="AEJ17" s="29">
        <f t="shared" ca="1" si="855"/>
        <v>13992.445866259201</v>
      </c>
      <c r="AEK17" s="29">
        <f t="shared" ca="1" si="856"/>
        <v>14763.116439821564</v>
      </c>
      <c r="AEL17" s="29">
        <f t="shared" ca="1" si="857"/>
        <v>14213.712708211395</v>
      </c>
      <c r="AEM17" s="29">
        <f t="shared" ca="1" si="858"/>
        <v>14612.586082684846</v>
      </c>
      <c r="AEN17" s="29">
        <f t="shared" ca="1" si="859"/>
        <v>14958.963712255329</v>
      </c>
      <c r="AEO17" s="29">
        <f t="shared" ca="1" si="860"/>
        <v>14368.122216725093</v>
      </c>
      <c r="AEP17" s="29">
        <f t="shared" ca="1" si="861"/>
        <v>15259.421806735561</v>
      </c>
      <c r="AEQ17" s="29">
        <f t="shared" ca="1" si="862"/>
        <v>15086.610321714024</v>
      </c>
      <c r="AER17" s="29">
        <f t="shared" ca="1" si="863"/>
        <v>14815.010551299085</v>
      </c>
      <c r="AES17" s="29">
        <f t="shared" ca="1" si="864"/>
        <v>13586.089548447759</v>
      </c>
      <c r="AET17" s="29">
        <f t="shared" ca="1" si="865"/>
        <v>14947.867107467353</v>
      </c>
      <c r="AEU17" s="29">
        <f t="shared" ca="1" si="866"/>
        <v>13986.062679849079</v>
      </c>
      <c r="AEV17" s="29">
        <f t="shared" ca="1" si="867"/>
        <v>15818.187737424019</v>
      </c>
      <c r="AEW17" s="29">
        <f t="shared" ca="1" si="868"/>
        <v>13983.251726034623</v>
      </c>
      <c r="AEX17" s="29">
        <f t="shared" ca="1" si="869"/>
        <v>13850.427047391038</v>
      </c>
      <c r="AEY17" s="29">
        <f t="shared" ca="1" si="870"/>
        <v>13238.457570526556</v>
      </c>
      <c r="AEZ17" s="29">
        <f t="shared" ca="1" si="871"/>
        <v>13820.678868950215</v>
      </c>
      <c r="AFA17" s="29">
        <f t="shared" ca="1" si="872"/>
        <v>14924.454094961528</v>
      </c>
      <c r="AFB17" s="29">
        <f t="shared" ca="1" si="873"/>
        <v>14217.891869121857</v>
      </c>
      <c r="AFC17" s="29">
        <f t="shared" ca="1" si="874"/>
        <v>14048.977226596682</v>
      </c>
      <c r="AFD17" s="29">
        <f t="shared" ca="1" si="875"/>
        <v>15040.158104480335</v>
      </c>
      <c r="AFE17" s="29">
        <f t="shared" ca="1" si="876"/>
        <v>14899.997291401432</v>
      </c>
      <c r="AFF17" s="29">
        <f t="shared" ca="1" si="877"/>
        <v>14085.374701442066</v>
      </c>
      <c r="AFG17" s="29">
        <f t="shared" ca="1" si="878"/>
        <v>15125.517233926865</v>
      </c>
      <c r="AFH17" s="29">
        <f t="shared" ca="1" si="879"/>
        <v>15497.726530146199</v>
      </c>
      <c r="AFI17" s="29">
        <f t="shared" ca="1" si="880"/>
        <v>14607.993552101143</v>
      </c>
      <c r="AFJ17" s="29">
        <f t="shared" ca="1" si="881"/>
        <v>13984.369910249536</v>
      </c>
      <c r="AFK17" s="29">
        <f t="shared" ca="1" si="882"/>
        <v>14185.661140190568</v>
      </c>
      <c r="AFL17" s="29">
        <f t="shared" ca="1" si="883"/>
        <v>14306.148865667215</v>
      </c>
      <c r="AFM17" s="29">
        <f t="shared" ca="1" si="884"/>
        <v>13941.811816822405</v>
      </c>
      <c r="AFN17" s="29">
        <f t="shared" ca="1" si="885"/>
        <v>14629.958404349247</v>
      </c>
      <c r="AFO17" s="29">
        <f t="shared" ca="1" si="886"/>
        <v>14919.503082465344</v>
      </c>
      <c r="AFP17" s="29">
        <f t="shared" ca="1" si="887"/>
        <v>14675.16361805282</v>
      </c>
      <c r="AFQ17" s="29">
        <f t="shared" ca="1" si="888"/>
        <v>13983.869607604096</v>
      </c>
      <c r="AFR17" s="29">
        <f t="shared" ca="1" si="889"/>
        <v>14861.275341021041</v>
      </c>
      <c r="AFS17" s="29">
        <f t="shared" ca="1" si="890"/>
        <v>14478.779709707538</v>
      </c>
      <c r="AFT17" s="29">
        <f t="shared" ca="1" si="891"/>
        <v>14472.528938014488</v>
      </c>
      <c r="AFU17" s="29">
        <f t="shared" ca="1" si="892"/>
        <v>13999.269272213214</v>
      </c>
      <c r="AFV17" s="29">
        <f t="shared" ca="1" si="893"/>
        <v>14720.463824003127</v>
      </c>
      <c r="AFW17" s="29">
        <f t="shared" ca="1" si="894"/>
        <v>14460.264459492173</v>
      </c>
      <c r="AFX17" s="29">
        <f t="shared" ca="1" si="895"/>
        <v>15253.726841992901</v>
      </c>
      <c r="AFY17" s="29">
        <f t="shared" ca="1" si="896"/>
        <v>14833.79238263277</v>
      </c>
      <c r="AFZ17" s="29">
        <f t="shared" ca="1" si="897"/>
        <v>14400.942962511645</v>
      </c>
      <c r="AGA17" s="29">
        <f t="shared" ca="1" si="898"/>
        <v>14817.117780445249</v>
      </c>
      <c r="AGB17" s="29">
        <f t="shared" ca="1" si="899"/>
        <v>14577.605526924157</v>
      </c>
      <c r="AGC17" s="29">
        <f t="shared" ca="1" si="900"/>
        <v>13845.927657285987</v>
      </c>
      <c r="AGD17" s="29">
        <f t="shared" ca="1" si="901"/>
        <v>15024.819085713818</v>
      </c>
      <c r="AGE17" s="29">
        <f t="shared" ca="1" si="902"/>
        <v>14243.60983216549</v>
      </c>
      <c r="AGF17" s="29">
        <f t="shared" ca="1" si="903"/>
        <v>14465.430884599858</v>
      </c>
      <c r="AGG17" s="29">
        <f t="shared" ca="1" si="904"/>
        <v>13730.277526753984</v>
      </c>
      <c r="AGH17" s="29">
        <f t="shared" ca="1" si="905"/>
        <v>14605.688798655709</v>
      </c>
      <c r="AGI17" s="29">
        <f t="shared" ca="1" si="906"/>
        <v>13794.653829702374</v>
      </c>
      <c r="AGJ17" s="29">
        <f t="shared" ca="1" si="907"/>
        <v>14835.183297749534</v>
      </c>
      <c r="AGK17" s="29">
        <f t="shared" ca="1" si="908"/>
        <v>14922.226763545124</v>
      </c>
      <c r="AGL17" s="29">
        <f t="shared" ca="1" si="909"/>
        <v>14347.941851402764</v>
      </c>
      <c r="AGM17" s="29">
        <f t="shared" ca="1" si="910"/>
        <v>13872.874575914147</v>
      </c>
      <c r="AGN17" s="29">
        <f t="shared" ca="1" si="911"/>
        <v>13966.6627752981</v>
      </c>
      <c r="AGO17" s="29">
        <f t="shared" ca="1" si="912"/>
        <v>15151.864135989465</v>
      </c>
      <c r="AGP17" s="29">
        <f t="shared" ca="1" si="913"/>
        <v>14187.396698223107</v>
      </c>
      <c r="AGQ17" s="29">
        <f t="shared" ca="1" si="914"/>
        <v>14703.482602796072</v>
      </c>
      <c r="AGR17" s="29">
        <f t="shared" ca="1" si="915"/>
        <v>13879.873447514965</v>
      </c>
      <c r="AGS17" s="29">
        <f t="shared" ca="1" si="916"/>
        <v>14723.344698090215</v>
      </c>
      <c r="AGT17" s="29">
        <f t="shared" ca="1" si="917"/>
        <v>13754.171156895547</v>
      </c>
      <c r="AGU17" s="29">
        <f t="shared" ca="1" si="918"/>
        <v>14617.494094610773</v>
      </c>
      <c r="AGV17" s="29">
        <f t="shared" ca="1" si="919"/>
        <v>14807.994865699502</v>
      </c>
      <c r="AGW17" s="29">
        <f t="shared" ca="1" si="920"/>
        <v>14993.845595706633</v>
      </c>
      <c r="AGX17" s="29">
        <f t="shared" ca="1" si="921"/>
        <v>15134.735616616954</v>
      </c>
      <c r="AGY17" s="29">
        <f t="shared" ca="1" si="922"/>
        <v>14358.638584786937</v>
      </c>
      <c r="AGZ17" s="29">
        <f t="shared" ca="1" si="923"/>
        <v>13681.613736634656</v>
      </c>
      <c r="AHA17" s="29">
        <f t="shared" ca="1" si="924"/>
        <v>13600.350071139659</v>
      </c>
      <c r="AHB17" s="29">
        <f t="shared" ca="1" si="925"/>
        <v>13444.074249537804</v>
      </c>
      <c r="AHC17" s="29">
        <f t="shared" ca="1" si="926"/>
        <v>15231.813625264989</v>
      </c>
      <c r="AHD17" s="29">
        <f t="shared" ca="1" si="927"/>
        <v>14484.963600432426</v>
      </c>
      <c r="AHE17" s="29">
        <f t="shared" ca="1" si="928"/>
        <v>14989.980267277208</v>
      </c>
      <c r="AHF17" s="29">
        <f t="shared" ca="1" si="929"/>
        <v>15525.736182051338</v>
      </c>
      <c r="AHG17" s="29">
        <f t="shared" ca="1" si="930"/>
        <v>15460.69868427996</v>
      </c>
      <c r="AHH17" s="29">
        <f t="shared" ca="1" si="931"/>
        <v>15681.895697878315</v>
      </c>
      <c r="AHI17" s="29">
        <f t="shared" ca="1" si="932"/>
        <v>14427.758466588577</v>
      </c>
      <c r="AHJ17" s="29">
        <f t="shared" ca="1" si="933"/>
        <v>13884.278483622111</v>
      </c>
      <c r="AHK17" s="29">
        <f t="shared" ca="1" si="934"/>
        <v>15587.856488030417</v>
      </c>
      <c r="AHL17" s="29">
        <f t="shared" ca="1" si="935"/>
        <v>14826.601980077523</v>
      </c>
      <c r="AHM17" s="29">
        <f t="shared" ca="1" si="936"/>
        <v>15742.684323659501</v>
      </c>
      <c r="AHN17" s="29">
        <f t="shared" ca="1" si="937"/>
        <v>14085.381864781923</v>
      </c>
      <c r="AHO17" s="29">
        <f t="shared" ca="1" si="938"/>
        <v>14789.181705130943</v>
      </c>
      <c r="AHP17" s="29">
        <f t="shared" ca="1" si="939"/>
        <v>14459.949100128713</v>
      </c>
      <c r="AHQ17" s="29">
        <f t="shared" ca="1" si="940"/>
        <v>14994.069303509252</v>
      </c>
      <c r="AHR17" s="29">
        <f t="shared" ca="1" si="941"/>
        <v>14499.992075857861</v>
      </c>
      <c r="AHS17" s="29">
        <f t="shared" ca="1" si="942"/>
        <v>14403.673741539485</v>
      </c>
      <c r="AHT17" s="29">
        <f t="shared" ca="1" si="943"/>
        <v>14724.21240020551</v>
      </c>
      <c r="AHU17" s="29">
        <f t="shared" ca="1" si="944"/>
        <v>14548.765865238498</v>
      </c>
      <c r="AHV17" s="29">
        <f t="shared" ca="1" si="945"/>
        <v>14779.675633070003</v>
      </c>
      <c r="AHW17" s="29">
        <f t="shared" ca="1" si="946"/>
        <v>15279.88089561764</v>
      </c>
      <c r="AHX17" s="29">
        <f t="shared" ca="1" si="947"/>
        <v>15270.037491231333</v>
      </c>
      <c r="AHY17" s="29">
        <f t="shared" ca="1" si="948"/>
        <v>14261.406007728801</v>
      </c>
      <c r="AHZ17" s="29">
        <f t="shared" ca="1" si="949"/>
        <v>13435.237785362195</v>
      </c>
      <c r="AIA17" s="29">
        <f t="shared" ca="1" si="950"/>
        <v>15169.137320180809</v>
      </c>
      <c r="AIB17" s="29">
        <f t="shared" ca="1" si="951"/>
        <v>14433.264789106634</v>
      </c>
      <c r="AIC17" s="29">
        <f t="shared" ca="1" si="952"/>
        <v>14470.987184009144</v>
      </c>
      <c r="AID17" s="29">
        <f t="shared" ca="1" si="953"/>
        <v>14629.599204994043</v>
      </c>
      <c r="AIE17" s="29">
        <f t="shared" ca="1" si="954"/>
        <v>14375.948103086243</v>
      </c>
      <c r="AIF17" s="29">
        <f t="shared" ca="1" si="955"/>
        <v>14366.892677200172</v>
      </c>
      <c r="AIG17" s="29">
        <f t="shared" ca="1" si="956"/>
        <v>15166.877928601671</v>
      </c>
      <c r="AIH17" s="29">
        <f t="shared" ca="1" si="957"/>
        <v>14668.382507557657</v>
      </c>
      <c r="AII17" s="29">
        <f t="shared" ca="1" si="958"/>
        <v>13999.298992241404</v>
      </c>
      <c r="AIJ17" s="29">
        <f t="shared" ca="1" si="959"/>
        <v>13386.07809839453</v>
      </c>
      <c r="AIK17" s="29">
        <f t="shared" ca="1" si="960"/>
        <v>14648.304986655541</v>
      </c>
      <c r="AIL17" s="29">
        <f t="shared" ca="1" si="961"/>
        <v>14050.151448790348</v>
      </c>
      <c r="AIM17" s="29">
        <f t="shared" ca="1" si="962"/>
        <v>14283.550044441155</v>
      </c>
      <c r="AIN17" s="29">
        <f t="shared" ca="1" si="963"/>
        <v>14382.647278067885</v>
      </c>
      <c r="AIO17" s="29">
        <f t="shared" ca="1" si="964"/>
        <v>13610.175759999473</v>
      </c>
      <c r="AIP17" s="29">
        <f t="shared" ca="1" si="965"/>
        <v>14187.31081142849</v>
      </c>
      <c r="AIQ17" s="29">
        <f t="shared" ca="1" si="966"/>
        <v>12938.237870038696</v>
      </c>
      <c r="AIR17" s="29">
        <f t="shared" ca="1" si="967"/>
        <v>13686.494771056367</v>
      </c>
      <c r="AIS17" s="29">
        <f t="shared" ca="1" si="968"/>
        <v>14349.916069825198</v>
      </c>
      <c r="AIT17" s="29">
        <f t="shared" ca="1" si="969"/>
        <v>14199.990925158738</v>
      </c>
      <c r="AIU17" s="29">
        <f t="shared" ca="1" si="970"/>
        <v>13769.511781814785</v>
      </c>
      <c r="AIV17" s="29">
        <f t="shared" ca="1" si="971"/>
        <v>14153.340758171576</v>
      </c>
      <c r="AIW17" s="29">
        <f t="shared" ca="1" si="972"/>
        <v>13808.871041490265</v>
      </c>
      <c r="AIX17" s="29">
        <f t="shared" ca="1" si="973"/>
        <v>15138.833281239064</v>
      </c>
      <c r="AIY17" s="29">
        <f t="shared" ca="1" si="974"/>
        <v>14644.095284697685</v>
      </c>
      <c r="AIZ17" s="29">
        <f t="shared" ca="1" si="975"/>
        <v>15104.362921419071</v>
      </c>
      <c r="AJA17" s="29">
        <f t="shared" ca="1" si="976"/>
        <v>13878.020117101229</v>
      </c>
      <c r="AJB17" s="29">
        <f t="shared" ca="1" si="977"/>
        <v>14217.523346503116</v>
      </c>
      <c r="AJC17" s="29">
        <f t="shared" ca="1" si="978"/>
        <v>14595.544034787878</v>
      </c>
      <c r="AJD17" s="29">
        <f t="shared" ca="1" si="979"/>
        <v>14128.167129688998</v>
      </c>
      <c r="AJE17" s="29">
        <f t="shared" ca="1" si="980"/>
        <v>15321.912267151038</v>
      </c>
      <c r="AJF17" s="29">
        <f t="shared" ca="1" si="981"/>
        <v>14560.965632919597</v>
      </c>
      <c r="AJG17" s="29">
        <f t="shared" ca="1" si="982"/>
        <v>14763.643577027628</v>
      </c>
      <c r="AJH17" s="29">
        <f t="shared" ca="1" si="983"/>
        <v>14276.193655852327</v>
      </c>
      <c r="AJI17" s="29">
        <f t="shared" ca="1" si="984"/>
        <v>14791.576162143205</v>
      </c>
      <c r="AJJ17" s="29">
        <f t="shared" ca="1" si="985"/>
        <v>15075.730700292756</v>
      </c>
      <c r="AJK17" s="29">
        <f t="shared" ca="1" si="986"/>
        <v>14446.101452693245</v>
      </c>
      <c r="AJL17" s="29">
        <f t="shared" ca="1" si="987"/>
        <v>15221.45244386595</v>
      </c>
      <c r="AJM17" s="29">
        <f t="shared" ca="1" si="988"/>
        <v>14204.76157736904</v>
      </c>
      <c r="AJN17" s="29">
        <f t="shared" ca="1" si="989"/>
        <v>14158.84666790176</v>
      </c>
      <c r="AJO17" s="29">
        <f t="shared" ca="1" si="990"/>
        <v>14646.836300875699</v>
      </c>
      <c r="AJP17" s="29">
        <f t="shared" ca="1" si="991"/>
        <v>15531.547400535164</v>
      </c>
      <c r="AJQ17" s="29">
        <f t="shared" ca="1" si="992"/>
        <v>14618.592207851472</v>
      </c>
      <c r="AJR17" s="29">
        <f t="shared" ca="1" si="993"/>
        <v>15047.982355387989</v>
      </c>
      <c r="AJS17" s="29">
        <f t="shared" ca="1" si="994"/>
        <v>14783.859950696877</v>
      </c>
      <c r="AJT17" s="29">
        <f t="shared" ca="1" si="995"/>
        <v>14753.459423942093</v>
      </c>
      <c r="AJU17" s="29">
        <f t="shared" ca="1" si="996"/>
        <v>13397.846727011449</v>
      </c>
      <c r="AJV17" s="29">
        <f t="shared" ca="1" si="997"/>
        <v>13838.150061407498</v>
      </c>
      <c r="AJW17" s="29">
        <f t="shared" ca="1" si="998"/>
        <v>14160.041173683849</v>
      </c>
      <c r="AJX17" s="29">
        <f t="shared" ca="1" si="999"/>
        <v>14801.184266654322</v>
      </c>
      <c r="AJY17" s="29">
        <f t="shared" ca="1" si="1000"/>
        <v>13927.668572381079</v>
      </c>
      <c r="AJZ17" s="29">
        <f t="shared" ca="1" si="1001"/>
        <v>14837.183636616037</v>
      </c>
      <c r="AKA17" s="29">
        <f t="shared" ca="1" si="1002"/>
        <v>14824.055811792752</v>
      </c>
      <c r="AKB17" s="29">
        <f t="shared" ca="1" si="1003"/>
        <v>14010.427521186179</v>
      </c>
      <c r="AKC17" s="29">
        <f t="shared" ca="1" si="1004"/>
        <v>13834.751496555666</v>
      </c>
      <c r="AKD17" s="29">
        <f t="shared" ca="1" si="1005"/>
        <v>14880.865412983452</v>
      </c>
      <c r="AKE17" s="29">
        <f t="shared" ca="1" si="1006"/>
        <v>13533.935838306341</v>
      </c>
      <c r="AKF17" s="29">
        <f t="shared" ca="1" si="1007"/>
        <v>15463.568365388519</v>
      </c>
      <c r="AKG17" s="29">
        <f t="shared" ca="1" si="1008"/>
        <v>14132.072629490289</v>
      </c>
      <c r="AKH17" s="29">
        <f t="shared" ca="1" si="1009"/>
        <v>14237.102237486444</v>
      </c>
      <c r="AKI17" s="29">
        <f t="shared" ca="1" si="1010"/>
        <v>14703.544443946555</v>
      </c>
      <c r="AKJ17" s="29">
        <f t="shared" ca="1" si="1011"/>
        <v>13714.952568551043</v>
      </c>
      <c r="AKK17" s="29">
        <f t="shared" ca="1" si="1012"/>
        <v>15965.643455922973</v>
      </c>
      <c r="AKL17" s="29">
        <f t="shared" ca="1" si="1013"/>
        <v>14928.522037264504</v>
      </c>
      <c r="AKM17" s="29">
        <f t="shared" ca="1" si="1014"/>
        <v>14472.53636269536</v>
      </c>
      <c r="AKN17" s="29">
        <f t="shared" ca="1" si="1015"/>
        <v>14930.259309016441</v>
      </c>
      <c r="AKO17" s="29">
        <f t="shared" ca="1" si="1016"/>
        <v>14340.058464390329</v>
      </c>
      <c r="AKP17" s="29">
        <f t="shared" ca="1" si="1017"/>
        <v>15651.129149786128</v>
      </c>
      <c r="AKQ17" s="29">
        <f t="shared" ca="1" si="1018"/>
        <v>13291.128371041408</v>
      </c>
      <c r="AKR17" s="29">
        <f t="shared" ca="1" si="1019"/>
        <v>14421.228639225679</v>
      </c>
      <c r="AKS17" s="29">
        <f t="shared" ca="1" si="1020"/>
        <v>15230.202578843835</v>
      </c>
      <c r="AKT17" s="29">
        <f t="shared" ca="1" si="1021"/>
        <v>15130.810908540388</v>
      </c>
      <c r="AKU17" s="29">
        <f t="shared" ca="1" si="1022"/>
        <v>14372.532972080857</v>
      </c>
      <c r="AKV17" s="29">
        <f t="shared" ca="1" si="1023"/>
        <v>12770.00855023471</v>
      </c>
      <c r="AKW17" s="29">
        <f t="shared" ca="1" si="1024"/>
        <v>14157.140540243605</v>
      </c>
      <c r="AKX17" s="29">
        <f t="shared" ca="1" si="1025"/>
        <v>15014.613300234856</v>
      </c>
      <c r="AKY17" s="29">
        <f t="shared" ca="1" si="1026"/>
        <v>14430.933584728011</v>
      </c>
      <c r="AKZ17" s="29">
        <f t="shared" ca="1" si="1027"/>
        <v>14285.754477647222</v>
      </c>
      <c r="ALA17" s="29">
        <f t="shared" ca="1" si="1028"/>
        <v>13998.202960195418</v>
      </c>
      <c r="ALB17" s="29">
        <f t="shared" ca="1" si="1029"/>
        <v>15294.821752951164</v>
      </c>
      <c r="ALC17" s="29">
        <f t="shared" ca="1" si="1030"/>
        <v>14360.614362251023</v>
      </c>
      <c r="ALD17" s="29">
        <f t="shared" ca="1" si="1031"/>
        <v>15604.460708829603</v>
      </c>
      <c r="ALE17" s="29">
        <f t="shared" ca="1" si="1032"/>
        <v>13919.71179566578</v>
      </c>
      <c r="ALF17" s="29">
        <f t="shared" ca="1" si="1033"/>
        <v>13247.587282311104</v>
      </c>
      <c r="ALG17" s="29">
        <f t="shared" ca="1" si="1034"/>
        <v>14726.619990629868</v>
      </c>
      <c r="ALH17" s="29">
        <f t="shared" ca="1" si="1035"/>
        <v>14360.275414062489</v>
      </c>
      <c r="ALI17" s="29">
        <f t="shared" ca="1" si="1036"/>
        <v>14210.67409063896</v>
      </c>
      <c r="ALJ17" s="29">
        <f t="shared" ca="1" si="1037"/>
        <v>14900.279478063247</v>
      </c>
      <c r="ALK17" s="29">
        <f t="shared" ca="1" si="1038"/>
        <v>14705.194631533221</v>
      </c>
      <c r="ALL17" s="29">
        <f t="shared" ca="1" si="1039"/>
        <v>14472.407969590211</v>
      </c>
      <c r="ALM17" s="29">
        <f t="shared" ca="1" si="1040"/>
        <v>13372.480031497524</v>
      </c>
      <c r="ALN17" s="29">
        <f t="shared" ca="1" si="1041"/>
        <v>14068.70795185785</v>
      </c>
      <c r="ALO17" s="29">
        <f t="shared" ca="1" si="1042"/>
        <v>13815.850209088934</v>
      </c>
      <c r="ALP17" s="29">
        <f t="shared" ca="1" si="1043"/>
        <v>14424.389922250344</v>
      </c>
      <c r="ALQ17" s="29">
        <f t="shared" ca="1" si="1044"/>
        <v>15172.284023578459</v>
      </c>
      <c r="ALR17" s="29">
        <f t="shared" ca="1" si="1045"/>
        <v>14343.213250855553</v>
      </c>
      <c r="ALS17" s="29">
        <f t="shared" ca="1" si="1046"/>
        <v>14192.817385113894</v>
      </c>
      <c r="ALT17" s="29">
        <f t="shared" ca="1" si="1047"/>
        <v>14349.208911389891</v>
      </c>
      <c r="ALU17" s="29">
        <f t="shared" ca="1" si="1048"/>
        <v>14518.199810108183</v>
      </c>
      <c r="ALV17" s="29">
        <f t="shared" ca="1" si="1049"/>
        <v>14088.265048857756</v>
      </c>
    </row>
    <row r="18" spans="1:1010" x14ac:dyDescent="0.25">
      <c r="A18" s="1">
        <v>40500</v>
      </c>
      <c r="B18" s="2">
        <v>5998.7998049999997</v>
      </c>
      <c r="C18" s="16">
        <f t="shared" si="32"/>
        <v>1.685023964906038E-3</v>
      </c>
      <c r="J18" s="29">
        <f t="shared" si="49"/>
        <v>15</v>
      </c>
      <c r="K18" s="29">
        <f t="shared" ca="1" si="50"/>
        <v>14711.002754991041</v>
      </c>
      <c r="L18" s="29">
        <f t="shared" ca="1" si="51"/>
        <v>13786.83272909691</v>
      </c>
      <c r="M18" s="29">
        <f t="shared" ca="1" si="52"/>
        <v>14853.850039333623</v>
      </c>
      <c r="N18" s="29">
        <f t="shared" ca="1" si="53"/>
        <v>13546.932066223764</v>
      </c>
      <c r="O18" s="29">
        <f t="shared" ca="1" si="54"/>
        <v>14738.432384833648</v>
      </c>
      <c r="P18" s="29">
        <f t="shared" ca="1" si="55"/>
        <v>14950.021266470774</v>
      </c>
      <c r="Q18" s="29">
        <f t="shared" ca="1" si="56"/>
        <v>13254.595117923431</v>
      </c>
      <c r="R18" s="29">
        <f t="shared" ca="1" si="57"/>
        <v>14100.729044384158</v>
      </c>
      <c r="S18" s="29">
        <f t="shared" ca="1" si="58"/>
        <v>14271.709566661846</v>
      </c>
      <c r="T18" s="29">
        <f t="shared" ca="1" si="59"/>
        <v>15505.410959219878</v>
      </c>
      <c r="U18" s="29">
        <f t="shared" ca="1" si="60"/>
        <v>14842.061295477182</v>
      </c>
      <c r="V18" s="29">
        <f t="shared" ca="1" si="61"/>
        <v>14167.52885966089</v>
      </c>
      <c r="W18" s="29">
        <f t="shared" ca="1" si="62"/>
        <v>14155.198821133328</v>
      </c>
      <c r="X18" s="29">
        <f t="shared" ca="1" si="63"/>
        <v>15398.092140654309</v>
      </c>
      <c r="Y18" s="29">
        <f t="shared" ca="1" si="64"/>
        <v>14535.892243647884</v>
      </c>
      <c r="Z18" s="29">
        <f t="shared" ca="1" si="65"/>
        <v>13952.976254751122</v>
      </c>
      <c r="AA18" s="29">
        <f t="shared" ca="1" si="66"/>
        <v>14876.848618174206</v>
      </c>
      <c r="AB18" s="29">
        <f t="shared" ca="1" si="67"/>
        <v>15618.297822442686</v>
      </c>
      <c r="AC18" s="29">
        <f t="shared" ca="1" si="68"/>
        <v>15752.927717654235</v>
      </c>
      <c r="AD18" s="29">
        <f t="shared" ca="1" si="69"/>
        <v>14591.976438794811</v>
      </c>
      <c r="AE18" s="29">
        <f t="shared" ca="1" si="70"/>
        <v>15309.384926570387</v>
      </c>
      <c r="AF18" s="29">
        <f t="shared" ca="1" si="71"/>
        <v>14884.0881761442</v>
      </c>
      <c r="AG18" s="29">
        <f t="shared" ca="1" si="72"/>
        <v>13761.662793489404</v>
      </c>
      <c r="AH18" s="29">
        <f t="shared" ca="1" si="73"/>
        <v>14766.344513382171</v>
      </c>
      <c r="AI18" s="29">
        <f t="shared" ca="1" si="74"/>
        <v>14312.766992778264</v>
      </c>
      <c r="AJ18" s="29">
        <f t="shared" ca="1" si="75"/>
        <v>14720.363996619113</v>
      </c>
      <c r="AK18" s="29">
        <f t="shared" ca="1" si="76"/>
        <v>13560.439809883002</v>
      </c>
      <c r="AL18" s="29">
        <f t="shared" ca="1" si="77"/>
        <v>14659.946027096927</v>
      </c>
      <c r="AM18" s="29">
        <f t="shared" ca="1" si="78"/>
        <v>14950.562235192841</v>
      </c>
      <c r="AN18" s="29">
        <f t="shared" ca="1" si="79"/>
        <v>14555.733891229735</v>
      </c>
      <c r="AO18" s="29">
        <f t="shared" ca="1" si="80"/>
        <v>14613.429018153924</v>
      </c>
      <c r="AP18" s="29">
        <f t="shared" ca="1" si="81"/>
        <v>14519.208320825202</v>
      </c>
      <c r="AQ18" s="29">
        <f t="shared" ca="1" si="82"/>
        <v>15476.476847915535</v>
      </c>
      <c r="AR18" s="29">
        <f t="shared" ca="1" si="83"/>
        <v>14147.592253189861</v>
      </c>
      <c r="AS18" s="29">
        <f t="shared" ca="1" si="84"/>
        <v>13130.191441865938</v>
      </c>
      <c r="AT18" s="29">
        <f t="shared" ca="1" si="85"/>
        <v>14691.700942098731</v>
      </c>
      <c r="AU18" s="29">
        <f t="shared" ca="1" si="86"/>
        <v>14180.067189386096</v>
      </c>
      <c r="AV18" s="29">
        <f t="shared" ca="1" si="87"/>
        <v>14672.40551037443</v>
      </c>
      <c r="AW18" s="29">
        <f t="shared" ca="1" si="88"/>
        <v>15464.288651262721</v>
      </c>
      <c r="AX18" s="29">
        <f t="shared" ca="1" si="89"/>
        <v>13801.108451174963</v>
      </c>
      <c r="AY18" s="29">
        <f t="shared" ca="1" si="90"/>
        <v>13898.058580969631</v>
      </c>
      <c r="AZ18" s="29">
        <f t="shared" ca="1" si="91"/>
        <v>14295.532658263366</v>
      </c>
      <c r="BA18" s="29">
        <f t="shared" ca="1" si="92"/>
        <v>14735.067241006745</v>
      </c>
      <c r="BB18" s="29">
        <f t="shared" ca="1" si="93"/>
        <v>13536.826816279792</v>
      </c>
      <c r="BC18" s="29">
        <f t="shared" ca="1" si="94"/>
        <v>13333.15514371033</v>
      </c>
      <c r="BD18" s="29">
        <f t="shared" ca="1" si="95"/>
        <v>14120.757032038564</v>
      </c>
      <c r="BE18" s="29">
        <f t="shared" ca="1" si="96"/>
        <v>15504.946249649733</v>
      </c>
      <c r="BF18" s="29">
        <f t="shared" ca="1" si="97"/>
        <v>15563.618360124232</v>
      </c>
      <c r="BG18" s="29">
        <f t="shared" ca="1" si="98"/>
        <v>13623.985968584448</v>
      </c>
      <c r="BH18" s="29">
        <f t="shared" ca="1" si="99"/>
        <v>15189.518463481358</v>
      </c>
      <c r="BI18" s="29">
        <f t="shared" ca="1" si="100"/>
        <v>14263.442677878624</v>
      </c>
      <c r="BJ18" s="29">
        <f t="shared" ca="1" si="101"/>
        <v>13823.381564235729</v>
      </c>
      <c r="BK18" s="29">
        <f t="shared" ca="1" si="102"/>
        <v>13784.738327012057</v>
      </c>
      <c r="BL18" s="29">
        <f t="shared" ca="1" si="103"/>
        <v>14259.339223695075</v>
      </c>
      <c r="BM18" s="29">
        <f t="shared" ca="1" si="104"/>
        <v>14656.65929870139</v>
      </c>
      <c r="BN18" s="29">
        <f t="shared" ca="1" si="105"/>
        <v>14824.614737591997</v>
      </c>
      <c r="BO18" s="29">
        <f t="shared" ca="1" si="106"/>
        <v>14848.288592544441</v>
      </c>
      <c r="BP18" s="29">
        <f t="shared" ca="1" si="107"/>
        <v>14728.248694551061</v>
      </c>
      <c r="BQ18" s="29">
        <f t="shared" ca="1" si="108"/>
        <v>14393.242909906756</v>
      </c>
      <c r="BR18" s="29">
        <f t="shared" ca="1" si="109"/>
        <v>13129.046993625134</v>
      </c>
      <c r="BS18" s="29">
        <f t="shared" ca="1" si="110"/>
        <v>15059.162177207842</v>
      </c>
      <c r="BT18" s="29">
        <f t="shared" ca="1" si="111"/>
        <v>14402.460021280258</v>
      </c>
      <c r="BU18" s="29">
        <f t="shared" ca="1" si="112"/>
        <v>13840.781021325145</v>
      </c>
      <c r="BV18" s="29">
        <f t="shared" ca="1" si="113"/>
        <v>15897.59067671935</v>
      </c>
      <c r="BW18" s="29">
        <f t="shared" ca="1" si="114"/>
        <v>14505.514581823752</v>
      </c>
      <c r="BX18" s="29">
        <f t="shared" ca="1" si="115"/>
        <v>14843.840317575909</v>
      </c>
      <c r="BY18" s="29">
        <f t="shared" ca="1" si="116"/>
        <v>14549.59616468491</v>
      </c>
      <c r="BZ18" s="29">
        <f t="shared" ca="1" si="117"/>
        <v>13735.200100161084</v>
      </c>
      <c r="CA18" s="29">
        <f t="shared" ca="1" si="118"/>
        <v>14662.853168000605</v>
      </c>
      <c r="CB18" s="29">
        <f t="shared" ca="1" si="119"/>
        <v>16007.586467570789</v>
      </c>
      <c r="CC18" s="29">
        <f t="shared" ca="1" si="120"/>
        <v>13414.170110794503</v>
      </c>
      <c r="CD18" s="29">
        <f t="shared" ca="1" si="121"/>
        <v>14945.209587795387</v>
      </c>
      <c r="CE18" s="29">
        <f t="shared" ca="1" si="122"/>
        <v>16140.437008548935</v>
      </c>
      <c r="CF18" s="29">
        <f t="shared" ca="1" si="123"/>
        <v>15178.359566509207</v>
      </c>
      <c r="CG18" s="29">
        <f t="shared" ca="1" si="124"/>
        <v>14570.431061876789</v>
      </c>
      <c r="CH18" s="29">
        <f t="shared" ca="1" si="125"/>
        <v>15192.756121051616</v>
      </c>
      <c r="CI18" s="29">
        <f t="shared" ca="1" si="126"/>
        <v>14926.877410541316</v>
      </c>
      <c r="CJ18" s="29">
        <f t="shared" ca="1" si="127"/>
        <v>14352.808773253864</v>
      </c>
      <c r="CK18" s="29">
        <f t="shared" ca="1" si="128"/>
        <v>14121.761378938552</v>
      </c>
      <c r="CL18" s="29">
        <f t="shared" ca="1" si="129"/>
        <v>14585.053027448956</v>
      </c>
      <c r="CM18" s="29">
        <f t="shared" ca="1" si="130"/>
        <v>14511.642155385365</v>
      </c>
      <c r="CN18" s="29">
        <f t="shared" ca="1" si="131"/>
        <v>14318.116600813464</v>
      </c>
      <c r="CO18" s="29">
        <f t="shared" ca="1" si="132"/>
        <v>15081.066247360888</v>
      </c>
      <c r="CP18" s="29">
        <f t="shared" ca="1" si="133"/>
        <v>14277.87105160447</v>
      </c>
      <c r="CQ18" s="29">
        <f t="shared" ca="1" si="134"/>
        <v>13579.504655657065</v>
      </c>
      <c r="CR18" s="29">
        <f t="shared" ca="1" si="135"/>
        <v>14338.647373357806</v>
      </c>
      <c r="CS18" s="29">
        <f t="shared" ca="1" si="136"/>
        <v>13800.556400623902</v>
      </c>
      <c r="CT18" s="29">
        <f t="shared" ca="1" si="137"/>
        <v>14427.247691253722</v>
      </c>
      <c r="CU18" s="29">
        <f t="shared" ca="1" si="138"/>
        <v>14210.864527633532</v>
      </c>
      <c r="CV18" s="29">
        <f t="shared" ca="1" si="139"/>
        <v>13835.972902195939</v>
      </c>
      <c r="CW18" s="29">
        <f t="shared" ca="1" si="140"/>
        <v>13846.141518616085</v>
      </c>
      <c r="CX18" s="29">
        <f t="shared" ca="1" si="141"/>
        <v>13344.944095363753</v>
      </c>
      <c r="CY18" s="29">
        <f t="shared" ca="1" si="142"/>
        <v>14912.085827879657</v>
      </c>
      <c r="CZ18" s="29">
        <f t="shared" ca="1" si="143"/>
        <v>12831.128073260546</v>
      </c>
      <c r="DA18" s="29">
        <f t="shared" ca="1" si="144"/>
        <v>14939.637996503958</v>
      </c>
      <c r="DB18" s="29">
        <f t="shared" ca="1" si="145"/>
        <v>15648.982321099555</v>
      </c>
      <c r="DC18" s="29">
        <f t="shared" ca="1" si="146"/>
        <v>15315.174732626116</v>
      </c>
      <c r="DD18" s="29">
        <f t="shared" ca="1" si="147"/>
        <v>13830.801365099403</v>
      </c>
      <c r="DE18" s="29">
        <f t="shared" ca="1" si="148"/>
        <v>14345.28533606889</v>
      </c>
      <c r="DF18" s="29">
        <f t="shared" ca="1" si="149"/>
        <v>14210.388640135941</v>
      </c>
      <c r="DG18" s="29">
        <f t="shared" ca="1" si="150"/>
        <v>14339.847372195201</v>
      </c>
      <c r="DH18" s="29">
        <f t="shared" ca="1" si="151"/>
        <v>13889.265219352557</v>
      </c>
      <c r="DI18" s="29">
        <f t="shared" ca="1" si="152"/>
        <v>15076.37233163296</v>
      </c>
      <c r="DJ18" s="29">
        <f t="shared" ca="1" si="153"/>
        <v>15206.37599613529</v>
      </c>
      <c r="DK18" s="29">
        <f t="shared" ca="1" si="154"/>
        <v>13690.219288871087</v>
      </c>
      <c r="DL18" s="29">
        <f t="shared" ca="1" si="155"/>
        <v>15204.000603029672</v>
      </c>
      <c r="DM18" s="29">
        <f t="shared" ca="1" si="156"/>
        <v>14241.115480129929</v>
      </c>
      <c r="DN18" s="29">
        <f t="shared" ca="1" si="157"/>
        <v>14825.707816829838</v>
      </c>
      <c r="DO18" s="29">
        <f t="shared" ca="1" si="158"/>
        <v>13692.675506302858</v>
      </c>
      <c r="DP18" s="29">
        <f t="shared" ca="1" si="159"/>
        <v>14460.437187108966</v>
      </c>
      <c r="DQ18" s="29">
        <f t="shared" ca="1" si="160"/>
        <v>14629.371059501555</v>
      </c>
      <c r="DR18" s="29">
        <f t="shared" ca="1" si="161"/>
        <v>13043.260266617699</v>
      </c>
      <c r="DS18" s="29">
        <f t="shared" ca="1" si="162"/>
        <v>15182.906672997735</v>
      </c>
      <c r="DT18" s="29">
        <f t="shared" ca="1" si="163"/>
        <v>14167.840834863986</v>
      </c>
      <c r="DU18" s="29">
        <f t="shared" ca="1" si="164"/>
        <v>14338.141021142847</v>
      </c>
      <c r="DV18" s="29">
        <f t="shared" ca="1" si="165"/>
        <v>14188.477734034714</v>
      </c>
      <c r="DW18" s="29">
        <f t="shared" ca="1" si="166"/>
        <v>14394.813394984132</v>
      </c>
      <c r="DX18" s="29">
        <f t="shared" ca="1" si="167"/>
        <v>13669.079665329387</v>
      </c>
      <c r="DY18" s="29">
        <f t="shared" ca="1" si="168"/>
        <v>14175.45091624049</v>
      </c>
      <c r="DZ18" s="29">
        <f t="shared" ca="1" si="169"/>
        <v>14517.917831105988</v>
      </c>
      <c r="EA18" s="29">
        <f t="shared" ca="1" si="170"/>
        <v>14242.033186171602</v>
      </c>
      <c r="EB18" s="29">
        <f t="shared" ca="1" si="171"/>
        <v>13425.630622858647</v>
      </c>
      <c r="EC18" s="29">
        <f t="shared" ca="1" si="172"/>
        <v>14740.055811842087</v>
      </c>
      <c r="ED18" s="29">
        <f t="shared" ca="1" si="173"/>
        <v>15521.763403675384</v>
      </c>
      <c r="EE18" s="29">
        <f t="shared" ca="1" si="174"/>
        <v>14133.035498458734</v>
      </c>
      <c r="EF18" s="29">
        <f t="shared" ca="1" si="175"/>
        <v>15039.849317730122</v>
      </c>
      <c r="EG18" s="29">
        <f t="shared" ca="1" si="176"/>
        <v>14777.788135026658</v>
      </c>
      <c r="EH18" s="29">
        <f t="shared" ca="1" si="177"/>
        <v>13809.760787966132</v>
      </c>
      <c r="EI18" s="29">
        <f t="shared" ca="1" si="178"/>
        <v>13983.61356627145</v>
      </c>
      <c r="EJ18" s="29">
        <f t="shared" ca="1" si="179"/>
        <v>14780.754999887082</v>
      </c>
      <c r="EK18" s="29">
        <f t="shared" ca="1" si="180"/>
        <v>14617.780913222838</v>
      </c>
      <c r="EL18" s="29">
        <f t="shared" ca="1" si="181"/>
        <v>14351.629420738094</v>
      </c>
      <c r="EM18" s="29">
        <f t="shared" ca="1" si="182"/>
        <v>14267.667263326604</v>
      </c>
      <c r="EN18" s="29">
        <f t="shared" ca="1" si="183"/>
        <v>14230.009814713148</v>
      </c>
      <c r="EO18" s="29">
        <f t="shared" ca="1" si="184"/>
        <v>14388.439283894939</v>
      </c>
      <c r="EP18" s="29">
        <f t="shared" ca="1" si="185"/>
        <v>14289.415776504718</v>
      </c>
      <c r="EQ18" s="29">
        <f t="shared" ca="1" si="186"/>
        <v>15048.640613510115</v>
      </c>
      <c r="ER18" s="29">
        <f t="shared" ca="1" si="187"/>
        <v>13892.563900428959</v>
      </c>
      <c r="ES18" s="29">
        <f t="shared" ca="1" si="188"/>
        <v>14336.206118188406</v>
      </c>
      <c r="ET18" s="29">
        <f t="shared" ca="1" si="189"/>
        <v>14550.697881289614</v>
      </c>
      <c r="EU18" s="29">
        <f t="shared" ca="1" si="190"/>
        <v>14465.841901827187</v>
      </c>
      <c r="EV18" s="29">
        <f t="shared" ca="1" si="191"/>
        <v>15088.814118814196</v>
      </c>
      <c r="EW18" s="29">
        <f t="shared" ca="1" si="192"/>
        <v>13881.360390227735</v>
      </c>
      <c r="EX18" s="29">
        <f t="shared" ca="1" si="193"/>
        <v>14916.199471330496</v>
      </c>
      <c r="EY18" s="29">
        <f t="shared" ca="1" si="194"/>
        <v>14375.738524180637</v>
      </c>
      <c r="EZ18" s="29">
        <f t="shared" ca="1" si="195"/>
        <v>14538.480895730809</v>
      </c>
      <c r="FA18" s="29">
        <f t="shared" ca="1" si="196"/>
        <v>14475.315784707109</v>
      </c>
      <c r="FB18" s="29">
        <f t="shared" ca="1" si="197"/>
        <v>15379.079166375028</v>
      </c>
      <c r="FC18" s="29">
        <f t="shared" ca="1" si="198"/>
        <v>15001.04925511152</v>
      </c>
      <c r="FD18" s="29">
        <f t="shared" ca="1" si="199"/>
        <v>14173.541255651829</v>
      </c>
      <c r="FE18" s="29">
        <f t="shared" ca="1" si="200"/>
        <v>15289.739656650268</v>
      </c>
      <c r="FF18" s="29">
        <f t="shared" ca="1" si="201"/>
        <v>14846.11226348285</v>
      </c>
      <c r="FG18" s="29">
        <f t="shared" ca="1" si="202"/>
        <v>13621.227881993947</v>
      </c>
      <c r="FH18" s="29">
        <f t="shared" ca="1" si="203"/>
        <v>13591.953732798091</v>
      </c>
      <c r="FI18" s="29">
        <f t="shared" ca="1" si="204"/>
        <v>14084.61108046234</v>
      </c>
      <c r="FJ18" s="29">
        <f t="shared" ca="1" si="205"/>
        <v>14557.134533458413</v>
      </c>
      <c r="FK18" s="29">
        <f t="shared" ca="1" si="206"/>
        <v>15061.028155435575</v>
      </c>
      <c r="FL18" s="29">
        <f t="shared" ca="1" si="207"/>
        <v>14444.655287293159</v>
      </c>
      <c r="FM18" s="29">
        <f t="shared" ca="1" si="208"/>
        <v>14351.391258542799</v>
      </c>
      <c r="FN18" s="29">
        <f t="shared" ca="1" si="209"/>
        <v>13707.272816586024</v>
      </c>
      <c r="FO18" s="29">
        <f t="shared" ca="1" si="210"/>
        <v>14002.444252375401</v>
      </c>
      <c r="FP18" s="29">
        <f t="shared" ca="1" si="211"/>
        <v>13499.14463172829</v>
      </c>
      <c r="FQ18" s="29">
        <f t="shared" ca="1" si="212"/>
        <v>14326.814141676708</v>
      </c>
      <c r="FR18" s="29">
        <f t="shared" ca="1" si="213"/>
        <v>14553.164540310197</v>
      </c>
      <c r="FS18" s="29">
        <f t="shared" ca="1" si="214"/>
        <v>15350.199859919387</v>
      </c>
      <c r="FT18" s="29">
        <f t="shared" ca="1" si="215"/>
        <v>14836.792316685656</v>
      </c>
      <c r="FU18" s="29">
        <f t="shared" ca="1" si="216"/>
        <v>13976.111462390947</v>
      </c>
      <c r="FV18" s="29">
        <f t="shared" ca="1" si="217"/>
        <v>14934.292715104404</v>
      </c>
      <c r="FW18" s="29">
        <f t="shared" ca="1" si="218"/>
        <v>14186.681084001179</v>
      </c>
      <c r="FX18" s="29">
        <f t="shared" ca="1" si="219"/>
        <v>15281.343923428643</v>
      </c>
      <c r="FY18" s="29">
        <f t="shared" ca="1" si="220"/>
        <v>14245.851382197125</v>
      </c>
      <c r="FZ18" s="29">
        <f t="shared" ca="1" si="221"/>
        <v>13808.762952830006</v>
      </c>
      <c r="GA18" s="29">
        <f t="shared" ca="1" si="222"/>
        <v>13786.74268834503</v>
      </c>
      <c r="GB18" s="29">
        <f t="shared" ca="1" si="223"/>
        <v>15972.904323860501</v>
      </c>
      <c r="GC18" s="29">
        <f t="shared" ca="1" si="224"/>
        <v>15452.22774382243</v>
      </c>
      <c r="GD18" s="29">
        <f t="shared" ca="1" si="225"/>
        <v>14827.3212087013</v>
      </c>
      <c r="GE18" s="29">
        <f t="shared" ca="1" si="226"/>
        <v>14423.470167044463</v>
      </c>
      <c r="GF18" s="29">
        <f t="shared" ca="1" si="227"/>
        <v>14608.704781285234</v>
      </c>
      <c r="GG18" s="29">
        <f t="shared" ca="1" si="228"/>
        <v>14666.807124896482</v>
      </c>
      <c r="GH18" s="29">
        <f t="shared" ca="1" si="229"/>
        <v>14277.143225960668</v>
      </c>
      <c r="GI18" s="29">
        <f t="shared" ca="1" si="230"/>
        <v>14128.805765900775</v>
      </c>
      <c r="GJ18" s="29">
        <f t="shared" ca="1" si="231"/>
        <v>14368.897856737834</v>
      </c>
      <c r="GK18" s="29">
        <f t="shared" ca="1" si="232"/>
        <v>14062.703436934626</v>
      </c>
      <c r="GL18" s="29">
        <f t="shared" ca="1" si="233"/>
        <v>13952.178632460726</v>
      </c>
      <c r="GM18" s="29">
        <f t="shared" ca="1" si="234"/>
        <v>14208.140230865183</v>
      </c>
      <c r="GN18" s="29">
        <f t="shared" ca="1" si="235"/>
        <v>13894.68056220244</v>
      </c>
      <c r="GO18" s="29">
        <f t="shared" ca="1" si="236"/>
        <v>13642.107518919091</v>
      </c>
      <c r="GP18" s="29">
        <f t="shared" ca="1" si="237"/>
        <v>15566.19453871676</v>
      </c>
      <c r="GQ18" s="29">
        <f t="shared" ca="1" si="238"/>
        <v>14475.032632335309</v>
      </c>
      <c r="GR18" s="29">
        <f t="shared" ca="1" si="239"/>
        <v>14052.426786641618</v>
      </c>
      <c r="GS18" s="29">
        <f t="shared" ca="1" si="240"/>
        <v>14750.314240209012</v>
      </c>
      <c r="GT18" s="29">
        <f t="shared" ca="1" si="241"/>
        <v>14235.004533360294</v>
      </c>
      <c r="GU18" s="29">
        <f t="shared" ca="1" si="242"/>
        <v>14097.681221103212</v>
      </c>
      <c r="GV18" s="29">
        <f t="shared" ca="1" si="243"/>
        <v>15179.085558880888</v>
      </c>
      <c r="GW18" s="29">
        <f t="shared" ca="1" si="244"/>
        <v>13392.03286019553</v>
      </c>
      <c r="GX18" s="29">
        <f t="shared" ca="1" si="245"/>
        <v>14237.929829656168</v>
      </c>
      <c r="GY18" s="29">
        <f t="shared" ca="1" si="246"/>
        <v>15230.399746434179</v>
      </c>
      <c r="GZ18" s="29">
        <f t="shared" ca="1" si="247"/>
        <v>14675.678283872858</v>
      </c>
      <c r="HA18" s="29">
        <f t="shared" ca="1" si="248"/>
        <v>15144.352541370745</v>
      </c>
      <c r="HB18" s="29">
        <f t="shared" ca="1" si="249"/>
        <v>14077.057944502803</v>
      </c>
      <c r="HC18" s="29">
        <f t="shared" ca="1" si="250"/>
        <v>15113.149071485634</v>
      </c>
      <c r="HD18" s="29">
        <f t="shared" ca="1" si="251"/>
        <v>13669.647307894853</v>
      </c>
      <c r="HE18" s="29">
        <f t="shared" ca="1" si="252"/>
        <v>15371.147776729596</v>
      </c>
      <c r="HF18" s="29">
        <f t="shared" ca="1" si="253"/>
        <v>14259.651245422827</v>
      </c>
      <c r="HG18" s="29">
        <f t="shared" ca="1" si="254"/>
        <v>13888.050189473193</v>
      </c>
      <c r="HH18" s="29">
        <f t="shared" ca="1" si="255"/>
        <v>13332.192138755487</v>
      </c>
      <c r="HI18" s="29">
        <f t="shared" ca="1" si="256"/>
        <v>13997.011270983505</v>
      </c>
      <c r="HJ18" s="29">
        <f t="shared" ca="1" si="257"/>
        <v>14212.367334498411</v>
      </c>
      <c r="HK18" s="29">
        <f t="shared" ca="1" si="258"/>
        <v>15361.677772824043</v>
      </c>
      <c r="HL18" s="29">
        <f t="shared" ca="1" si="259"/>
        <v>15592.304951501575</v>
      </c>
      <c r="HM18" s="29">
        <f t="shared" ca="1" si="260"/>
        <v>13902.201718877988</v>
      </c>
      <c r="HN18" s="29">
        <f t="shared" ca="1" si="261"/>
        <v>13289.33173315513</v>
      </c>
      <c r="HO18" s="29">
        <f t="shared" ca="1" si="262"/>
        <v>15126.939469333682</v>
      </c>
      <c r="HP18" s="29">
        <f t="shared" ca="1" si="263"/>
        <v>13898.058918643206</v>
      </c>
      <c r="HQ18" s="29">
        <f t="shared" ca="1" si="264"/>
        <v>14203.19166866989</v>
      </c>
      <c r="HR18" s="29">
        <f t="shared" ca="1" si="265"/>
        <v>14853.262938806902</v>
      </c>
      <c r="HS18" s="29">
        <f t="shared" ca="1" si="266"/>
        <v>14346.799565512738</v>
      </c>
      <c r="HT18" s="29">
        <f t="shared" ca="1" si="267"/>
        <v>14801.206670532705</v>
      </c>
      <c r="HU18" s="29">
        <f t="shared" ca="1" si="268"/>
        <v>14048.9735644749</v>
      </c>
      <c r="HV18" s="29">
        <f t="shared" ca="1" si="269"/>
        <v>14903.745004346891</v>
      </c>
      <c r="HW18" s="29">
        <f t="shared" ca="1" si="270"/>
        <v>14596.349058935115</v>
      </c>
      <c r="HX18" s="29">
        <f t="shared" ca="1" si="271"/>
        <v>14813.534097204869</v>
      </c>
      <c r="HY18" s="29">
        <f t="shared" ca="1" si="272"/>
        <v>14537.808239982771</v>
      </c>
      <c r="HZ18" s="29">
        <f t="shared" ca="1" si="273"/>
        <v>14080.447518218418</v>
      </c>
      <c r="IA18" s="29">
        <f t="shared" ca="1" si="274"/>
        <v>15067.119992055961</v>
      </c>
      <c r="IB18" s="29">
        <f t="shared" ca="1" si="275"/>
        <v>15289.316740301427</v>
      </c>
      <c r="IC18" s="29">
        <f t="shared" ca="1" si="276"/>
        <v>13584.75661230673</v>
      </c>
      <c r="ID18" s="29">
        <f t="shared" ca="1" si="277"/>
        <v>14398.200824606012</v>
      </c>
      <c r="IE18" s="29">
        <f t="shared" ca="1" si="278"/>
        <v>12996.992562963665</v>
      </c>
      <c r="IF18" s="29">
        <f t="shared" ca="1" si="279"/>
        <v>15209.588209865868</v>
      </c>
      <c r="IG18" s="29">
        <f t="shared" ca="1" si="280"/>
        <v>14072.806963146446</v>
      </c>
      <c r="IH18" s="29">
        <f t="shared" ca="1" si="281"/>
        <v>14412.927195805767</v>
      </c>
      <c r="II18" s="29">
        <f t="shared" ca="1" si="282"/>
        <v>15069.181819657038</v>
      </c>
      <c r="IJ18" s="29">
        <f t="shared" ca="1" si="283"/>
        <v>14469.854661133993</v>
      </c>
      <c r="IK18" s="29">
        <f t="shared" ca="1" si="284"/>
        <v>14405.094869231523</v>
      </c>
      <c r="IL18" s="29">
        <f t="shared" ca="1" si="285"/>
        <v>15487.638099214069</v>
      </c>
      <c r="IM18" s="29">
        <f t="shared" ca="1" si="286"/>
        <v>14032.933514515098</v>
      </c>
      <c r="IN18" s="29">
        <f t="shared" ca="1" si="287"/>
        <v>15099.014692432607</v>
      </c>
      <c r="IO18" s="29">
        <f t="shared" ca="1" si="288"/>
        <v>14816.253418693192</v>
      </c>
      <c r="IP18" s="29">
        <f t="shared" ca="1" si="289"/>
        <v>14615.480226668906</v>
      </c>
      <c r="IQ18" s="29">
        <f t="shared" ca="1" si="290"/>
        <v>13425.578423041281</v>
      </c>
      <c r="IR18" s="29">
        <f t="shared" ca="1" si="291"/>
        <v>14370.887968091853</v>
      </c>
      <c r="IS18" s="29">
        <f t="shared" ca="1" si="292"/>
        <v>13287.915458893311</v>
      </c>
      <c r="IT18" s="29">
        <f t="shared" ca="1" si="293"/>
        <v>15672.071669437672</v>
      </c>
      <c r="IU18" s="29">
        <f t="shared" ca="1" si="294"/>
        <v>15660.9845609244</v>
      </c>
      <c r="IV18" s="29">
        <f t="shared" ca="1" si="295"/>
        <v>14165.624651441185</v>
      </c>
      <c r="IW18" s="29">
        <f t="shared" ca="1" si="296"/>
        <v>15272.993781757381</v>
      </c>
      <c r="IX18" s="29">
        <f t="shared" ca="1" si="297"/>
        <v>15576.425903700911</v>
      </c>
      <c r="IY18" s="29">
        <f t="shared" ca="1" si="298"/>
        <v>14041.990409300355</v>
      </c>
      <c r="IZ18" s="29">
        <f t="shared" ca="1" si="299"/>
        <v>13899.824403072445</v>
      </c>
      <c r="JA18" s="29">
        <f t="shared" ca="1" si="300"/>
        <v>13743.79622340891</v>
      </c>
      <c r="JB18" s="29">
        <f t="shared" ca="1" si="301"/>
        <v>13755.62412120258</v>
      </c>
      <c r="JC18" s="29">
        <f t="shared" ca="1" si="302"/>
        <v>14642.174463496196</v>
      </c>
      <c r="JD18" s="29">
        <f t="shared" ca="1" si="303"/>
        <v>14231.90315230586</v>
      </c>
      <c r="JE18" s="29">
        <f t="shared" ca="1" si="304"/>
        <v>13343.096303267996</v>
      </c>
      <c r="JF18" s="29">
        <f t="shared" ca="1" si="305"/>
        <v>14324.363516231782</v>
      </c>
      <c r="JG18" s="29">
        <f t="shared" ca="1" si="306"/>
        <v>13595.940264714176</v>
      </c>
      <c r="JH18" s="29">
        <f t="shared" ca="1" si="307"/>
        <v>14361.654479745717</v>
      </c>
      <c r="JI18" s="29">
        <f t="shared" ca="1" si="308"/>
        <v>14246.106311878946</v>
      </c>
      <c r="JJ18" s="29">
        <f t="shared" ca="1" si="309"/>
        <v>14460.564313411247</v>
      </c>
      <c r="JK18" s="29">
        <f t="shared" ca="1" si="310"/>
        <v>14296.034990583787</v>
      </c>
      <c r="JL18" s="29">
        <f t="shared" ca="1" si="311"/>
        <v>14548.878638265298</v>
      </c>
      <c r="JM18" s="29">
        <f t="shared" ca="1" si="312"/>
        <v>13191.039992294427</v>
      </c>
      <c r="JN18" s="29">
        <f t="shared" ca="1" si="313"/>
        <v>14810.408976597602</v>
      </c>
      <c r="JO18" s="29">
        <f t="shared" ca="1" si="314"/>
        <v>15095.078300752433</v>
      </c>
      <c r="JP18" s="29">
        <f t="shared" ca="1" si="315"/>
        <v>14569.714068321957</v>
      </c>
      <c r="JQ18" s="29">
        <f t="shared" ca="1" si="316"/>
        <v>14089.014312969808</v>
      </c>
      <c r="JR18" s="29">
        <f t="shared" ca="1" si="317"/>
        <v>14615.653125441153</v>
      </c>
      <c r="JS18" s="29">
        <f t="shared" ca="1" si="318"/>
        <v>15141.164052210695</v>
      </c>
      <c r="JT18" s="29">
        <f t="shared" ca="1" si="319"/>
        <v>14729.043923096644</v>
      </c>
      <c r="JU18" s="29">
        <f t="shared" ca="1" si="320"/>
        <v>14580.584438068257</v>
      </c>
      <c r="JV18" s="29">
        <f t="shared" ca="1" si="321"/>
        <v>14443.108041013476</v>
      </c>
      <c r="JW18" s="29">
        <f t="shared" ca="1" si="322"/>
        <v>14364.203031628289</v>
      </c>
      <c r="JX18" s="29">
        <f t="shared" ca="1" si="323"/>
        <v>15116.610851904703</v>
      </c>
      <c r="JY18" s="29">
        <f t="shared" ca="1" si="324"/>
        <v>14299.926270195207</v>
      </c>
      <c r="JZ18" s="29">
        <f t="shared" ca="1" si="325"/>
        <v>14759.194024140252</v>
      </c>
      <c r="KA18" s="29">
        <f t="shared" ca="1" si="326"/>
        <v>14343.078709413463</v>
      </c>
      <c r="KB18" s="29">
        <f t="shared" ca="1" si="327"/>
        <v>13530.079057286797</v>
      </c>
      <c r="KC18" s="29">
        <f t="shared" ca="1" si="328"/>
        <v>14293.62938758155</v>
      </c>
      <c r="KD18" s="29">
        <f t="shared" ca="1" si="329"/>
        <v>14003.929385383924</v>
      </c>
      <c r="KE18" s="29">
        <f t="shared" ca="1" si="330"/>
        <v>15998.456212688207</v>
      </c>
      <c r="KF18" s="29">
        <f t="shared" ca="1" si="331"/>
        <v>15065.101885551245</v>
      </c>
      <c r="KG18" s="29">
        <f t="shared" ca="1" si="332"/>
        <v>14321.837417426479</v>
      </c>
      <c r="KH18" s="29">
        <f t="shared" ca="1" si="333"/>
        <v>14734.885275286199</v>
      </c>
      <c r="KI18" s="29">
        <f t="shared" ca="1" si="334"/>
        <v>13648.301153871551</v>
      </c>
      <c r="KJ18" s="29">
        <f t="shared" ca="1" si="335"/>
        <v>14743.983679781924</v>
      </c>
      <c r="KK18" s="29">
        <f t="shared" ca="1" si="336"/>
        <v>13754.204926193102</v>
      </c>
      <c r="KL18" s="29">
        <f t="shared" ca="1" si="337"/>
        <v>14618.526123661124</v>
      </c>
      <c r="KM18" s="29">
        <f t="shared" ca="1" si="338"/>
        <v>15429.236951500563</v>
      </c>
      <c r="KN18" s="29">
        <f t="shared" ca="1" si="339"/>
        <v>13992.226119013483</v>
      </c>
      <c r="KO18" s="29">
        <f t="shared" ca="1" si="340"/>
        <v>14316.102769361201</v>
      </c>
      <c r="KP18" s="29">
        <f t="shared" ca="1" si="341"/>
        <v>14425.331332247595</v>
      </c>
      <c r="KQ18" s="29">
        <f t="shared" ca="1" si="342"/>
        <v>13907.979085698707</v>
      </c>
      <c r="KR18" s="29">
        <f t="shared" ca="1" si="343"/>
        <v>14373.280752071185</v>
      </c>
      <c r="KS18" s="29">
        <f t="shared" ca="1" si="344"/>
        <v>13583.630322473302</v>
      </c>
      <c r="KT18" s="29">
        <f t="shared" ca="1" si="345"/>
        <v>14569.226324106199</v>
      </c>
      <c r="KU18" s="29">
        <f t="shared" ca="1" si="346"/>
        <v>13651.712812123254</v>
      </c>
      <c r="KV18" s="29">
        <f t="shared" ca="1" si="347"/>
        <v>14096.033423492605</v>
      </c>
      <c r="KW18" s="29">
        <f t="shared" ca="1" si="348"/>
        <v>14269.898783356859</v>
      </c>
      <c r="KX18" s="29">
        <f t="shared" ca="1" si="349"/>
        <v>13386.309103285208</v>
      </c>
      <c r="KY18" s="29">
        <f t="shared" ca="1" si="350"/>
        <v>14656.20078158624</v>
      </c>
      <c r="KZ18" s="29">
        <f t="shared" ca="1" si="351"/>
        <v>15282.090192176216</v>
      </c>
      <c r="LA18" s="29">
        <f t="shared" ca="1" si="352"/>
        <v>15127.385116942281</v>
      </c>
      <c r="LB18" s="29">
        <f t="shared" ca="1" si="353"/>
        <v>14194.441908686977</v>
      </c>
      <c r="LC18" s="29">
        <f t="shared" ca="1" si="354"/>
        <v>14028.667742556188</v>
      </c>
      <c r="LD18" s="29">
        <f t="shared" ca="1" si="355"/>
        <v>13795.15194036968</v>
      </c>
      <c r="LE18" s="29">
        <f t="shared" ca="1" si="356"/>
        <v>13912.712438948996</v>
      </c>
      <c r="LF18" s="29">
        <f t="shared" ca="1" si="357"/>
        <v>13877.395321480359</v>
      </c>
      <c r="LG18" s="29">
        <f t="shared" ca="1" si="358"/>
        <v>14334.923585991191</v>
      </c>
      <c r="LH18" s="29">
        <f t="shared" ca="1" si="359"/>
        <v>13331.471516941243</v>
      </c>
      <c r="LI18" s="29">
        <f t="shared" ca="1" si="360"/>
        <v>14396.305010512699</v>
      </c>
      <c r="LJ18" s="29">
        <f t="shared" ca="1" si="361"/>
        <v>14288.94210420695</v>
      </c>
      <c r="LK18" s="29">
        <f t="shared" ca="1" si="362"/>
        <v>14372.094597854026</v>
      </c>
      <c r="LL18" s="29">
        <f t="shared" ca="1" si="363"/>
        <v>15076.346052597881</v>
      </c>
      <c r="LM18" s="29">
        <f t="shared" ca="1" si="364"/>
        <v>14610.851645502607</v>
      </c>
      <c r="LN18" s="29">
        <f t="shared" ca="1" si="365"/>
        <v>14730.889736838779</v>
      </c>
      <c r="LO18" s="29">
        <f t="shared" ca="1" si="366"/>
        <v>14375.59523319405</v>
      </c>
      <c r="LP18" s="29">
        <f t="shared" ca="1" si="367"/>
        <v>14257.476935664143</v>
      </c>
      <c r="LQ18" s="29">
        <f t="shared" ca="1" si="368"/>
        <v>15740.800631082217</v>
      </c>
      <c r="LR18" s="29">
        <f t="shared" ca="1" si="369"/>
        <v>14296.996831960172</v>
      </c>
      <c r="LS18" s="29">
        <f t="shared" ca="1" si="370"/>
        <v>14274.193955669007</v>
      </c>
      <c r="LT18" s="29">
        <f t="shared" ca="1" si="371"/>
        <v>14236.871079924676</v>
      </c>
      <c r="LU18" s="29">
        <f t="shared" ca="1" si="372"/>
        <v>14342.105289183984</v>
      </c>
      <c r="LV18" s="29">
        <f t="shared" ca="1" si="373"/>
        <v>14666.637045810294</v>
      </c>
      <c r="LW18" s="29">
        <f t="shared" ca="1" si="374"/>
        <v>13863.15344224358</v>
      </c>
      <c r="LX18" s="29">
        <f t="shared" ca="1" si="375"/>
        <v>15204.947467066741</v>
      </c>
      <c r="LY18" s="29">
        <f t="shared" ca="1" si="376"/>
        <v>15594.396267418628</v>
      </c>
      <c r="LZ18" s="29">
        <f t="shared" ca="1" si="377"/>
        <v>14681.500048430096</v>
      </c>
      <c r="MA18" s="29">
        <f t="shared" ca="1" si="378"/>
        <v>13696.129882677378</v>
      </c>
      <c r="MB18" s="29">
        <f t="shared" ca="1" si="379"/>
        <v>13866.492121866178</v>
      </c>
      <c r="MC18" s="29">
        <f t="shared" ca="1" si="380"/>
        <v>14450.69784940474</v>
      </c>
      <c r="MD18" s="29">
        <f t="shared" ca="1" si="381"/>
        <v>14573.773370263949</v>
      </c>
      <c r="ME18" s="29">
        <f t="shared" ca="1" si="382"/>
        <v>13290.133469782735</v>
      </c>
      <c r="MF18" s="29">
        <f t="shared" ca="1" si="383"/>
        <v>14495.157038349787</v>
      </c>
      <c r="MG18" s="29">
        <f t="shared" ca="1" si="384"/>
        <v>14194.539882927807</v>
      </c>
      <c r="MH18" s="29">
        <f t="shared" ca="1" si="385"/>
        <v>14029.899897690733</v>
      </c>
      <c r="MI18" s="29">
        <f t="shared" ca="1" si="386"/>
        <v>15565.650798989613</v>
      </c>
      <c r="MJ18" s="29">
        <f t="shared" ca="1" si="387"/>
        <v>15420.087929262911</v>
      </c>
      <c r="MK18" s="29">
        <f t="shared" ca="1" si="388"/>
        <v>14629.226332625463</v>
      </c>
      <c r="ML18" s="29">
        <f t="shared" ca="1" si="389"/>
        <v>16188.648596660632</v>
      </c>
      <c r="MM18" s="29">
        <f t="shared" ca="1" si="390"/>
        <v>15735.529330313479</v>
      </c>
      <c r="MN18" s="29">
        <f t="shared" ca="1" si="391"/>
        <v>14144.522334853311</v>
      </c>
      <c r="MO18" s="29">
        <f t="shared" ca="1" si="392"/>
        <v>13655.305743896603</v>
      </c>
      <c r="MP18" s="29">
        <f t="shared" ca="1" si="393"/>
        <v>14645.117531468259</v>
      </c>
      <c r="MQ18" s="29">
        <f t="shared" ca="1" si="394"/>
        <v>15012.703109650856</v>
      </c>
      <c r="MR18" s="29">
        <f t="shared" ca="1" si="395"/>
        <v>14155.156247806268</v>
      </c>
      <c r="MS18" s="29">
        <f t="shared" ca="1" si="396"/>
        <v>13466.241157350179</v>
      </c>
      <c r="MT18" s="29">
        <f t="shared" ca="1" si="397"/>
        <v>14685.874434537471</v>
      </c>
      <c r="MU18" s="29">
        <f t="shared" ca="1" si="398"/>
        <v>14449.262973983487</v>
      </c>
      <c r="MV18" s="29">
        <f t="shared" ca="1" si="399"/>
        <v>13749.565224767197</v>
      </c>
      <c r="MW18" s="29">
        <f t="shared" ca="1" si="400"/>
        <v>14744.174155584768</v>
      </c>
      <c r="MX18" s="29">
        <f t="shared" ca="1" si="401"/>
        <v>14419.330113790196</v>
      </c>
      <c r="MY18" s="29">
        <f t="shared" ca="1" si="402"/>
        <v>14635.954682785972</v>
      </c>
      <c r="MZ18" s="29">
        <f t="shared" ca="1" si="403"/>
        <v>15477.481611222562</v>
      </c>
      <c r="NA18" s="29">
        <f t="shared" ca="1" si="404"/>
        <v>14592.042299115661</v>
      </c>
      <c r="NB18" s="29">
        <f t="shared" ca="1" si="405"/>
        <v>15662.137800333832</v>
      </c>
      <c r="NC18" s="29">
        <f t="shared" ca="1" si="406"/>
        <v>13751.207093436735</v>
      </c>
      <c r="ND18" s="29">
        <f t="shared" ca="1" si="407"/>
        <v>13988.64720163534</v>
      </c>
      <c r="NE18" s="29">
        <f t="shared" ca="1" si="408"/>
        <v>15034.6539204401</v>
      </c>
      <c r="NF18" s="29">
        <f t="shared" ca="1" si="409"/>
        <v>14592.658757868865</v>
      </c>
      <c r="NG18" s="29">
        <f t="shared" ca="1" si="410"/>
        <v>13335.631913033925</v>
      </c>
      <c r="NH18" s="29">
        <f t="shared" ca="1" si="411"/>
        <v>14450.406790891584</v>
      </c>
      <c r="NI18" s="29">
        <f t="shared" ca="1" si="412"/>
        <v>14796.841470010264</v>
      </c>
      <c r="NJ18" s="29">
        <f t="shared" ca="1" si="413"/>
        <v>14822.700547401906</v>
      </c>
      <c r="NK18" s="29">
        <f t="shared" ca="1" si="414"/>
        <v>14688.047482933544</v>
      </c>
      <c r="NL18" s="29">
        <f t="shared" ca="1" si="415"/>
        <v>13623.590879480964</v>
      </c>
      <c r="NM18" s="29">
        <f t="shared" ca="1" si="416"/>
        <v>14392.152905100909</v>
      </c>
      <c r="NN18" s="29">
        <f t="shared" ca="1" si="417"/>
        <v>14365.298016109915</v>
      </c>
      <c r="NO18" s="29">
        <f t="shared" ca="1" si="418"/>
        <v>14721.600893293127</v>
      </c>
      <c r="NP18" s="29">
        <f t="shared" ca="1" si="419"/>
        <v>13834.772231615016</v>
      </c>
      <c r="NQ18" s="29">
        <f t="shared" ca="1" si="420"/>
        <v>15546.379361921321</v>
      </c>
      <c r="NR18" s="29">
        <f t="shared" ca="1" si="421"/>
        <v>14894.972354794781</v>
      </c>
      <c r="NS18" s="29">
        <f t="shared" ca="1" si="422"/>
        <v>14112.71359558425</v>
      </c>
      <c r="NT18" s="29">
        <f t="shared" ca="1" si="423"/>
        <v>14685.770303010346</v>
      </c>
      <c r="NU18" s="29">
        <f t="shared" ca="1" si="424"/>
        <v>14373.526026785319</v>
      </c>
      <c r="NV18" s="29">
        <f t="shared" ca="1" si="425"/>
        <v>14141.130106206816</v>
      </c>
      <c r="NW18" s="29">
        <f t="shared" ca="1" si="426"/>
        <v>14032.488410515363</v>
      </c>
      <c r="NX18" s="29">
        <f t="shared" ca="1" si="427"/>
        <v>14136.804834822766</v>
      </c>
      <c r="NY18" s="29">
        <f t="shared" ca="1" si="428"/>
        <v>14928.932735433562</v>
      </c>
      <c r="NZ18" s="29">
        <f t="shared" ca="1" si="429"/>
        <v>13916.861246730588</v>
      </c>
      <c r="OA18" s="29">
        <f t="shared" ca="1" si="430"/>
        <v>14103.371177562361</v>
      </c>
      <c r="OB18" s="29">
        <f t="shared" ca="1" si="431"/>
        <v>15175.678268939313</v>
      </c>
      <c r="OC18" s="29">
        <f t="shared" ca="1" si="432"/>
        <v>14685.415645231245</v>
      </c>
      <c r="OD18" s="29">
        <f t="shared" ca="1" si="433"/>
        <v>15082.43863978859</v>
      </c>
      <c r="OE18" s="29">
        <f t="shared" ca="1" si="434"/>
        <v>15242.122499323345</v>
      </c>
      <c r="OF18" s="29">
        <f t="shared" ca="1" si="435"/>
        <v>14014.001589426962</v>
      </c>
      <c r="OG18" s="29">
        <f t="shared" ca="1" si="436"/>
        <v>15021.623226183961</v>
      </c>
      <c r="OH18" s="29">
        <f t="shared" ca="1" si="437"/>
        <v>15256.282187137058</v>
      </c>
      <c r="OI18" s="29">
        <f t="shared" ca="1" si="438"/>
        <v>14572.101817286368</v>
      </c>
      <c r="OJ18" s="29">
        <f t="shared" ca="1" si="439"/>
        <v>14704.339626915335</v>
      </c>
      <c r="OK18" s="29">
        <f t="shared" ca="1" si="440"/>
        <v>13895.656912730692</v>
      </c>
      <c r="OL18" s="29">
        <f t="shared" ca="1" si="441"/>
        <v>14786.917167252725</v>
      </c>
      <c r="OM18" s="29">
        <f t="shared" ca="1" si="442"/>
        <v>13586.124771947409</v>
      </c>
      <c r="ON18" s="29">
        <f t="shared" ca="1" si="443"/>
        <v>15733.808097490595</v>
      </c>
      <c r="OO18" s="29">
        <f t="shared" ca="1" si="444"/>
        <v>14183.236962646548</v>
      </c>
      <c r="OP18" s="29">
        <f t="shared" ca="1" si="445"/>
        <v>15185.168818281923</v>
      </c>
      <c r="OQ18" s="29">
        <f t="shared" ca="1" si="446"/>
        <v>14149.966483353106</v>
      </c>
      <c r="OR18" s="29">
        <f t="shared" ca="1" si="447"/>
        <v>14005.292367408476</v>
      </c>
      <c r="OS18" s="29">
        <f t="shared" ca="1" si="448"/>
        <v>13324.332690614829</v>
      </c>
      <c r="OT18" s="29">
        <f t="shared" ca="1" si="449"/>
        <v>14612.087863576442</v>
      </c>
      <c r="OU18" s="29">
        <f t="shared" ca="1" si="450"/>
        <v>14007.846146396629</v>
      </c>
      <c r="OV18" s="29">
        <f t="shared" ca="1" si="451"/>
        <v>15505.55491232896</v>
      </c>
      <c r="OW18" s="29">
        <f t="shared" ca="1" si="452"/>
        <v>14890.7108543293</v>
      </c>
      <c r="OX18" s="29">
        <f t="shared" ca="1" si="453"/>
        <v>15256.619788986769</v>
      </c>
      <c r="OY18" s="29">
        <f t="shared" ca="1" si="454"/>
        <v>14606.288619080644</v>
      </c>
      <c r="OZ18" s="29">
        <f t="shared" ca="1" si="455"/>
        <v>14107.494845671017</v>
      </c>
      <c r="PA18" s="29">
        <f t="shared" ca="1" si="456"/>
        <v>14776.967004261978</v>
      </c>
      <c r="PB18" s="29">
        <f t="shared" ca="1" si="457"/>
        <v>14145.356803373999</v>
      </c>
      <c r="PC18" s="29">
        <f t="shared" ca="1" si="458"/>
        <v>14216.816950262855</v>
      </c>
      <c r="PD18" s="29">
        <f t="shared" ca="1" si="459"/>
        <v>14558.389293972541</v>
      </c>
      <c r="PE18" s="29">
        <f t="shared" ca="1" si="460"/>
        <v>14717.728826184288</v>
      </c>
      <c r="PF18" s="29">
        <f t="shared" ca="1" si="461"/>
        <v>14271.877077654002</v>
      </c>
      <c r="PG18" s="29">
        <f t="shared" ca="1" si="462"/>
        <v>14679.376339657021</v>
      </c>
      <c r="PH18" s="29">
        <f t="shared" ca="1" si="463"/>
        <v>14940.354905113456</v>
      </c>
      <c r="PI18" s="29">
        <f t="shared" ca="1" si="464"/>
        <v>13381.739659862389</v>
      </c>
      <c r="PJ18" s="29">
        <f t="shared" ca="1" si="465"/>
        <v>14963.187307263979</v>
      </c>
      <c r="PK18" s="29">
        <f t="shared" ca="1" si="466"/>
        <v>13964.156202139306</v>
      </c>
      <c r="PL18" s="29">
        <f t="shared" ca="1" si="467"/>
        <v>13268.190304885495</v>
      </c>
      <c r="PM18" s="29">
        <f t="shared" ca="1" si="468"/>
        <v>13868.522380154978</v>
      </c>
      <c r="PN18" s="29">
        <f t="shared" ca="1" si="469"/>
        <v>13735.115053768375</v>
      </c>
      <c r="PO18" s="29">
        <f t="shared" ca="1" si="470"/>
        <v>15158.924397769038</v>
      </c>
      <c r="PP18" s="29">
        <f t="shared" ca="1" si="471"/>
        <v>13996.34402344214</v>
      </c>
      <c r="PQ18" s="29">
        <f t="shared" ca="1" si="472"/>
        <v>15191.189498461976</v>
      </c>
      <c r="PR18" s="29">
        <f t="shared" ca="1" si="473"/>
        <v>13922.393366410019</v>
      </c>
      <c r="PS18" s="29">
        <f t="shared" ca="1" si="474"/>
        <v>15236.631393841031</v>
      </c>
      <c r="PT18" s="29">
        <f t="shared" ca="1" si="475"/>
        <v>14597.876059918974</v>
      </c>
      <c r="PU18" s="29">
        <f t="shared" ca="1" si="476"/>
        <v>14147.339957811479</v>
      </c>
      <c r="PV18" s="29">
        <f t="shared" ca="1" si="477"/>
        <v>15233.351884571923</v>
      </c>
      <c r="PW18" s="29">
        <f t="shared" ca="1" si="478"/>
        <v>13793.31085216782</v>
      </c>
      <c r="PX18" s="29">
        <f t="shared" ca="1" si="479"/>
        <v>14198.441521413042</v>
      </c>
      <c r="PY18" s="29">
        <f t="shared" ca="1" si="480"/>
        <v>14112.677867540739</v>
      </c>
      <c r="PZ18" s="29">
        <f t="shared" ca="1" si="481"/>
        <v>12877.917897831177</v>
      </c>
      <c r="QA18" s="29">
        <f t="shared" ca="1" si="482"/>
        <v>14633.768166413618</v>
      </c>
      <c r="QB18" s="29">
        <f t="shared" ca="1" si="483"/>
        <v>13911.410102671845</v>
      </c>
      <c r="QC18" s="29">
        <f t="shared" ca="1" si="484"/>
        <v>13646.906639347952</v>
      </c>
      <c r="QD18" s="29">
        <f t="shared" ca="1" si="485"/>
        <v>13742.797798453361</v>
      </c>
      <c r="QE18" s="29">
        <f t="shared" ca="1" si="486"/>
        <v>15198.239182054014</v>
      </c>
      <c r="QF18" s="29">
        <f t="shared" ca="1" si="487"/>
        <v>14834.785141215023</v>
      </c>
      <c r="QG18" s="29">
        <f t="shared" ca="1" si="488"/>
        <v>14619.720974221096</v>
      </c>
      <c r="QH18" s="29">
        <f t="shared" ca="1" si="489"/>
        <v>15398.445806937536</v>
      </c>
      <c r="QI18" s="29">
        <f t="shared" ca="1" si="490"/>
        <v>14842.275375762376</v>
      </c>
      <c r="QJ18" s="29">
        <f t="shared" ca="1" si="491"/>
        <v>14074.445062703742</v>
      </c>
      <c r="QK18" s="29">
        <f t="shared" ca="1" si="492"/>
        <v>14765.252818487566</v>
      </c>
      <c r="QL18" s="29">
        <f t="shared" ca="1" si="493"/>
        <v>14297.511981503676</v>
      </c>
      <c r="QM18" s="29">
        <f t="shared" ca="1" si="494"/>
        <v>13835.161319938101</v>
      </c>
      <c r="QN18" s="29">
        <f t="shared" ca="1" si="495"/>
        <v>14901.46318642456</v>
      </c>
      <c r="QO18" s="29">
        <f t="shared" ca="1" si="496"/>
        <v>14351.758522617214</v>
      </c>
      <c r="QP18" s="29">
        <f t="shared" ca="1" si="497"/>
        <v>14277.808407557613</v>
      </c>
      <c r="QQ18" s="29">
        <f t="shared" ca="1" si="498"/>
        <v>15017.922955355196</v>
      </c>
      <c r="QR18" s="29">
        <f t="shared" ca="1" si="499"/>
        <v>15126.153407451355</v>
      </c>
      <c r="QS18" s="29">
        <f t="shared" ca="1" si="500"/>
        <v>14406.487150730025</v>
      </c>
      <c r="QT18" s="29">
        <f t="shared" ca="1" si="501"/>
        <v>15754.09595633668</v>
      </c>
      <c r="QU18" s="29">
        <f t="shared" ca="1" si="502"/>
        <v>14812.600055268264</v>
      </c>
      <c r="QV18" s="29">
        <f t="shared" ca="1" si="503"/>
        <v>14365.230725915222</v>
      </c>
      <c r="QW18" s="29">
        <f t="shared" ca="1" si="504"/>
        <v>14663.177153019964</v>
      </c>
      <c r="QX18" s="29">
        <f t="shared" ca="1" si="505"/>
        <v>14552.39015064964</v>
      </c>
      <c r="QY18" s="29">
        <f t="shared" ca="1" si="506"/>
        <v>14909.743799795368</v>
      </c>
      <c r="QZ18" s="29">
        <f t="shared" ca="1" si="507"/>
        <v>14354.932520992937</v>
      </c>
      <c r="RA18" s="29">
        <f t="shared" ca="1" si="508"/>
        <v>13978.654813511546</v>
      </c>
      <c r="RB18" s="29">
        <f t="shared" ca="1" si="509"/>
        <v>13355.215275333403</v>
      </c>
      <c r="RC18" s="29">
        <f t="shared" ca="1" si="510"/>
        <v>14208.892110489462</v>
      </c>
      <c r="RD18" s="29">
        <f t="shared" ca="1" si="511"/>
        <v>14763.085494513045</v>
      </c>
      <c r="RE18" s="29">
        <f t="shared" ca="1" si="512"/>
        <v>14964.570044693095</v>
      </c>
      <c r="RF18" s="29">
        <f t="shared" ca="1" si="513"/>
        <v>15121.151042327512</v>
      </c>
      <c r="RG18" s="29">
        <f t="shared" ca="1" si="514"/>
        <v>14124.569930954976</v>
      </c>
      <c r="RH18" s="29">
        <f t="shared" ca="1" si="515"/>
        <v>13985.886668341976</v>
      </c>
      <c r="RI18" s="29">
        <f t="shared" ca="1" si="516"/>
        <v>14544.082333891105</v>
      </c>
      <c r="RJ18" s="29">
        <f t="shared" ca="1" si="517"/>
        <v>14254.91879553615</v>
      </c>
      <c r="RK18" s="29">
        <f t="shared" ca="1" si="518"/>
        <v>13872.845656196136</v>
      </c>
      <c r="RL18" s="29">
        <f t="shared" ca="1" si="519"/>
        <v>13980.642327550226</v>
      </c>
      <c r="RM18" s="29">
        <f t="shared" ca="1" si="520"/>
        <v>14415.417893634807</v>
      </c>
      <c r="RN18" s="29">
        <f t="shared" ca="1" si="521"/>
        <v>13691.917777035893</v>
      </c>
      <c r="RO18" s="29">
        <f t="shared" ca="1" si="522"/>
        <v>14568.177888222795</v>
      </c>
      <c r="RP18" s="29">
        <f t="shared" ca="1" si="523"/>
        <v>14896.614237163043</v>
      </c>
      <c r="RQ18" s="29">
        <f t="shared" ca="1" si="524"/>
        <v>14298.934027516294</v>
      </c>
      <c r="RR18" s="29">
        <f t="shared" ca="1" si="525"/>
        <v>14628.539486803671</v>
      </c>
      <c r="RS18" s="29">
        <f t="shared" ca="1" si="526"/>
        <v>14568.377993533326</v>
      </c>
      <c r="RT18" s="29">
        <f t="shared" ca="1" si="527"/>
        <v>15027.384014250567</v>
      </c>
      <c r="RU18" s="29">
        <f t="shared" ca="1" si="528"/>
        <v>14334.463282114337</v>
      </c>
      <c r="RV18" s="29">
        <f t="shared" ca="1" si="529"/>
        <v>14173.783327199397</v>
      </c>
      <c r="RW18" s="29">
        <f t="shared" ca="1" si="530"/>
        <v>14752.414345169193</v>
      </c>
      <c r="RX18" s="29">
        <f t="shared" ca="1" si="531"/>
        <v>14319.076577985008</v>
      </c>
      <c r="RY18" s="29">
        <f t="shared" ca="1" si="532"/>
        <v>14120.939783137994</v>
      </c>
      <c r="RZ18" s="29">
        <f t="shared" ca="1" si="533"/>
        <v>16395.883291766058</v>
      </c>
      <c r="SA18" s="29">
        <f t="shared" ca="1" si="534"/>
        <v>14328.530289084305</v>
      </c>
      <c r="SB18" s="29">
        <f t="shared" ca="1" si="535"/>
        <v>14117.936428051635</v>
      </c>
      <c r="SC18" s="29">
        <f t="shared" ca="1" si="536"/>
        <v>14165.096494961614</v>
      </c>
      <c r="SD18" s="29">
        <f t="shared" ca="1" si="537"/>
        <v>15190.235336236465</v>
      </c>
      <c r="SE18" s="29">
        <f t="shared" ca="1" si="538"/>
        <v>13674.951878592528</v>
      </c>
      <c r="SF18" s="29">
        <f t="shared" ca="1" si="539"/>
        <v>14520.404082716723</v>
      </c>
      <c r="SG18" s="29">
        <f t="shared" ca="1" si="540"/>
        <v>14672.156106073622</v>
      </c>
      <c r="SH18" s="29">
        <f t="shared" ca="1" si="541"/>
        <v>15002.968505586601</v>
      </c>
      <c r="SI18" s="29">
        <f t="shared" ca="1" si="542"/>
        <v>13923.62774882944</v>
      </c>
      <c r="SJ18" s="29">
        <f t="shared" ca="1" si="543"/>
        <v>13357.939496330653</v>
      </c>
      <c r="SK18" s="29">
        <f t="shared" ca="1" si="544"/>
        <v>14937.019970652809</v>
      </c>
      <c r="SL18" s="29">
        <f t="shared" ca="1" si="545"/>
        <v>14013.219912682807</v>
      </c>
      <c r="SM18" s="29">
        <f t="shared" ca="1" si="546"/>
        <v>14633.912511135393</v>
      </c>
      <c r="SN18" s="29">
        <f t="shared" ca="1" si="547"/>
        <v>14670.412643039408</v>
      </c>
      <c r="SO18" s="29">
        <f t="shared" ca="1" si="548"/>
        <v>14672.703335367683</v>
      </c>
      <c r="SP18" s="29">
        <f t="shared" ca="1" si="549"/>
        <v>15156.279365408149</v>
      </c>
      <c r="SQ18" s="29">
        <f t="shared" ca="1" si="550"/>
        <v>15431.843140834411</v>
      </c>
      <c r="SR18" s="29">
        <f t="shared" ca="1" si="551"/>
        <v>14182.80915841314</v>
      </c>
      <c r="SS18" s="29">
        <f t="shared" ca="1" si="552"/>
        <v>14491.719843690656</v>
      </c>
      <c r="ST18" s="29">
        <f t="shared" ca="1" si="553"/>
        <v>14324.955796193097</v>
      </c>
      <c r="SU18" s="29">
        <f t="shared" ca="1" si="554"/>
        <v>14391.887741121833</v>
      </c>
      <c r="SV18" s="29">
        <f t="shared" ca="1" si="555"/>
        <v>14305.609790146145</v>
      </c>
      <c r="SW18" s="29">
        <f t="shared" ca="1" si="556"/>
        <v>14143.934832717263</v>
      </c>
      <c r="SX18" s="29">
        <f t="shared" ca="1" si="557"/>
        <v>13567.168445814712</v>
      </c>
      <c r="SY18" s="29">
        <f t="shared" ca="1" si="558"/>
        <v>14539.926184096195</v>
      </c>
      <c r="SZ18" s="29">
        <f t="shared" ca="1" si="559"/>
        <v>15124.445395294761</v>
      </c>
      <c r="TA18" s="29">
        <f t="shared" ca="1" si="560"/>
        <v>14664.609567604837</v>
      </c>
      <c r="TB18" s="29">
        <f t="shared" ca="1" si="561"/>
        <v>13847.773260475105</v>
      </c>
      <c r="TC18" s="29">
        <f t="shared" ca="1" si="562"/>
        <v>15050.241318828088</v>
      </c>
      <c r="TD18" s="29">
        <f t="shared" ca="1" si="563"/>
        <v>14247.429329083989</v>
      </c>
      <c r="TE18" s="29">
        <f t="shared" ca="1" si="564"/>
        <v>14427.649651034782</v>
      </c>
      <c r="TF18" s="29">
        <f t="shared" ca="1" si="565"/>
        <v>14001.324841804517</v>
      </c>
      <c r="TG18" s="29">
        <f t="shared" ca="1" si="566"/>
        <v>14725.251164976842</v>
      </c>
      <c r="TH18" s="29">
        <f t="shared" ca="1" si="567"/>
        <v>14464.988418721343</v>
      </c>
      <c r="TI18" s="29">
        <f t="shared" ca="1" si="568"/>
        <v>13699.84012880157</v>
      </c>
      <c r="TJ18" s="29">
        <f t="shared" ca="1" si="569"/>
        <v>15039.460332000788</v>
      </c>
      <c r="TK18" s="29">
        <f t="shared" ca="1" si="570"/>
        <v>14315.51436538935</v>
      </c>
      <c r="TL18" s="29">
        <f t="shared" ca="1" si="571"/>
        <v>14595.171367863826</v>
      </c>
      <c r="TM18" s="29">
        <f t="shared" ca="1" si="572"/>
        <v>14101.917817397749</v>
      </c>
      <c r="TN18" s="29">
        <f t="shared" ca="1" si="573"/>
        <v>13717.036552463982</v>
      </c>
      <c r="TO18" s="29">
        <f t="shared" ca="1" si="574"/>
        <v>14342.656320513373</v>
      </c>
      <c r="TP18" s="29">
        <f t="shared" ca="1" si="575"/>
        <v>15671.757600293089</v>
      </c>
      <c r="TQ18" s="29">
        <f t="shared" ca="1" si="576"/>
        <v>15338.476900443678</v>
      </c>
      <c r="TR18" s="29">
        <f t="shared" ca="1" si="577"/>
        <v>13810.511851597817</v>
      </c>
      <c r="TS18" s="29">
        <f t="shared" ca="1" si="578"/>
        <v>14288.5183454995</v>
      </c>
      <c r="TT18" s="29">
        <f t="shared" ca="1" si="579"/>
        <v>14650.126648945707</v>
      </c>
      <c r="TU18" s="29">
        <f t="shared" ca="1" si="580"/>
        <v>13978.218678565503</v>
      </c>
      <c r="TV18" s="29">
        <f t="shared" ca="1" si="581"/>
        <v>13940.656363223545</v>
      </c>
      <c r="TW18" s="29">
        <f t="shared" ca="1" si="582"/>
        <v>14648.708796396773</v>
      </c>
      <c r="TX18" s="29">
        <f t="shared" ca="1" si="583"/>
        <v>15964.689192231024</v>
      </c>
      <c r="TY18" s="29">
        <f t="shared" ca="1" si="584"/>
        <v>14479.845427548158</v>
      </c>
      <c r="TZ18" s="29">
        <f t="shared" ca="1" si="585"/>
        <v>14842.638527467543</v>
      </c>
      <c r="UA18" s="29">
        <f t="shared" ca="1" si="586"/>
        <v>14257.900675554345</v>
      </c>
      <c r="UB18" s="29">
        <f t="shared" ca="1" si="587"/>
        <v>14483.024828460579</v>
      </c>
      <c r="UC18" s="29">
        <f t="shared" ca="1" si="588"/>
        <v>13679.513542545656</v>
      </c>
      <c r="UD18" s="29">
        <f t="shared" ca="1" si="589"/>
        <v>16262.546535969981</v>
      </c>
      <c r="UE18" s="29">
        <f t="shared" ca="1" si="590"/>
        <v>13158.55798593283</v>
      </c>
      <c r="UF18" s="29">
        <f t="shared" ca="1" si="591"/>
        <v>13689.902497916462</v>
      </c>
      <c r="UG18" s="29">
        <f t="shared" ca="1" si="592"/>
        <v>14687.003680299013</v>
      </c>
      <c r="UH18" s="29">
        <f t="shared" ca="1" si="593"/>
        <v>14339.81121268664</v>
      </c>
      <c r="UI18" s="29">
        <f t="shared" ca="1" si="594"/>
        <v>15043.510434432215</v>
      </c>
      <c r="UJ18" s="29">
        <f t="shared" ca="1" si="595"/>
        <v>14718.508727735158</v>
      </c>
      <c r="UK18" s="29">
        <f t="shared" ca="1" si="596"/>
        <v>14586.251941187729</v>
      </c>
      <c r="UL18" s="29">
        <f t="shared" ca="1" si="597"/>
        <v>15605.418781445258</v>
      </c>
      <c r="UM18" s="29">
        <f t="shared" ca="1" si="598"/>
        <v>13252.929258434364</v>
      </c>
      <c r="UN18" s="29">
        <f t="shared" ca="1" si="599"/>
        <v>13350.795904445924</v>
      </c>
      <c r="UO18" s="29">
        <f t="shared" ca="1" si="600"/>
        <v>15772.804676176553</v>
      </c>
      <c r="UP18" s="29">
        <f t="shared" ca="1" si="601"/>
        <v>13808.735366610288</v>
      </c>
      <c r="UQ18" s="29">
        <f t="shared" ca="1" si="602"/>
        <v>15000.425213804692</v>
      </c>
      <c r="UR18" s="29">
        <f t="shared" ca="1" si="603"/>
        <v>13615.397706077631</v>
      </c>
      <c r="US18" s="29">
        <f t="shared" ca="1" si="604"/>
        <v>14804.874495521792</v>
      </c>
      <c r="UT18" s="29">
        <f t="shared" ca="1" si="605"/>
        <v>14469.627211666755</v>
      </c>
      <c r="UU18" s="29">
        <f t="shared" ca="1" si="606"/>
        <v>13783.470256484106</v>
      </c>
      <c r="UV18" s="29">
        <f t="shared" ca="1" si="607"/>
        <v>14762.465975816804</v>
      </c>
      <c r="UW18" s="29">
        <f t="shared" ca="1" si="608"/>
        <v>14349.144063034508</v>
      </c>
      <c r="UX18" s="29">
        <f t="shared" ca="1" si="609"/>
        <v>14247.008199504628</v>
      </c>
      <c r="UY18" s="29">
        <f t="shared" ca="1" si="610"/>
        <v>14553.184453595637</v>
      </c>
      <c r="UZ18" s="29">
        <f t="shared" ca="1" si="611"/>
        <v>13760.577756457144</v>
      </c>
      <c r="VA18" s="29">
        <f t="shared" ca="1" si="612"/>
        <v>13439.455381476711</v>
      </c>
      <c r="VB18" s="29">
        <f t="shared" ca="1" si="613"/>
        <v>14696.398587033444</v>
      </c>
      <c r="VC18" s="29">
        <f t="shared" ca="1" si="614"/>
        <v>15048.389654076733</v>
      </c>
      <c r="VD18" s="29">
        <f t="shared" ca="1" si="615"/>
        <v>14435.742464819215</v>
      </c>
      <c r="VE18" s="29">
        <f t="shared" ca="1" si="616"/>
        <v>15261.798740309108</v>
      </c>
      <c r="VF18" s="29">
        <f t="shared" ca="1" si="617"/>
        <v>14078.677559556623</v>
      </c>
      <c r="VG18" s="29">
        <f t="shared" ca="1" si="618"/>
        <v>14552.091699633464</v>
      </c>
      <c r="VH18" s="29">
        <f t="shared" ca="1" si="619"/>
        <v>14896.312407205494</v>
      </c>
      <c r="VI18" s="29">
        <f t="shared" ca="1" si="620"/>
        <v>14341.47299511116</v>
      </c>
      <c r="VJ18" s="29">
        <f t="shared" ca="1" si="621"/>
        <v>14007.939831623435</v>
      </c>
      <c r="VK18" s="29">
        <f t="shared" ca="1" si="622"/>
        <v>13426.299850722495</v>
      </c>
      <c r="VL18" s="29">
        <f t="shared" ca="1" si="623"/>
        <v>14097.68567395112</v>
      </c>
      <c r="VM18" s="29">
        <f t="shared" ca="1" si="624"/>
        <v>14542.046947312625</v>
      </c>
      <c r="VN18" s="29">
        <f t="shared" ca="1" si="625"/>
        <v>14616.546451636024</v>
      </c>
      <c r="VO18" s="29">
        <f t="shared" ca="1" si="626"/>
        <v>15949.69080080869</v>
      </c>
      <c r="VP18" s="29">
        <f t="shared" ca="1" si="627"/>
        <v>13699.304447186569</v>
      </c>
      <c r="VQ18" s="29">
        <f t="shared" ca="1" si="628"/>
        <v>14376.829215954574</v>
      </c>
      <c r="VR18" s="29">
        <f t="shared" ca="1" si="629"/>
        <v>13974.164462578414</v>
      </c>
      <c r="VS18" s="29">
        <f t="shared" ca="1" si="630"/>
        <v>13830.570249116226</v>
      </c>
      <c r="VT18" s="29">
        <f t="shared" ca="1" si="631"/>
        <v>14574.032859267274</v>
      </c>
      <c r="VU18" s="29">
        <f t="shared" ca="1" si="632"/>
        <v>14471.30841685731</v>
      </c>
      <c r="VV18" s="29">
        <f t="shared" ca="1" si="633"/>
        <v>14589.734483656895</v>
      </c>
      <c r="VW18" s="29">
        <f t="shared" ca="1" si="634"/>
        <v>13872.984277969545</v>
      </c>
      <c r="VX18" s="29">
        <f t="shared" ca="1" si="635"/>
        <v>14366.408769587801</v>
      </c>
      <c r="VY18" s="29">
        <f t="shared" ca="1" si="636"/>
        <v>14169.266477803469</v>
      </c>
      <c r="VZ18" s="29">
        <f t="shared" ca="1" si="637"/>
        <v>13547.995895088729</v>
      </c>
      <c r="WA18" s="29">
        <f t="shared" ca="1" si="638"/>
        <v>14598.67837716535</v>
      </c>
      <c r="WB18" s="29">
        <f t="shared" ca="1" si="639"/>
        <v>13977.139123559911</v>
      </c>
      <c r="WC18" s="29">
        <f t="shared" ca="1" si="640"/>
        <v>13981.677871872998</v>
      </c>
      <c r="WD18" s="29">
        <f t="shared" ca="1" si="641"/>
        <v>15013.169666072228</v>
      </c>
      <c r="WE18" s="29">
        <f t="shared" ca="1" si="642"/>
        <v>14182.815157615119</v>
      </c>
      <c r="WF18" s="29">
        <f t="shared" ca="1" si="643"/>
        <v>15626.94640260577</v>
      </c>
      <c r="WG18" s="29">
        <f t="shared" ca="1" si="644"/>
        <v>14521.215868180558</v>
      </c>
      <c r="WH18" s="29">
        <f t="shared" ca="1" si="645"/>
        <v>13781.476283198721</v>
      </c>
      <c r="WI18" s="29">
        <f t="shared" ca="1" si="646"/>
        <v>15810.127058871431</v>
      </c>
      <c r="WJ18" s="29">
        <f t="shared" ca="1" si="647"/>
        <v>15830.851637014424</v>
      </c>
      <c r="WK18" s="29">
        <f t="shared" ca="1" si="648"/>
        <v>14726.041206560791</v>
      </c>
      <c r="WL18" s="29">
        <f t="shared" ca="1" si="649"/>
        <v>13678.021591412797</v>
      </c>
      <c r="WM18" s="29">
        <f t="shared" ca="1" si="650"/>
        <v>14356.552206057879</v>
      </c>
      <c r="WN18" s="29">
        <f t="shared" ca="1" si="651"/>
        <v>14948.85150788232</v>
      </c>
      <c r="WO18" s="29">
        <f t="shared" ca="1" si="652"/>
        <v>15603.384186550211</v>
      </c>
      <c r="WP18" s="29">
        <f t="shared" ca="1" si="653"/>
        <v>14011.011482801418</v>
      </c>
      <c r="WQ18" s="29">
        <f t="shared" ca="1" si="654"/>
        <v>13897.144718882993</v>
      </c>
      <c r="WR18" s="29">
        <f t="shared" ca="1" si="655"/>
        <v>14606.079537850468</v>
      </c>
      <c r="WS18" s="29">
        <f t="shared" ca="1" si="656"/>
        <v>15036.572324240125</v>
      </c>
      <c r="WT18" s="29">
        <f t="shared" ca="1" si="657"/>
        <v>14343.047510276398</v>
      </c>
      <c r="WU18" s="29">
        <f t="shared" ca="1" si="658"/>
        <v>14394.297585348728</v>
      </c>
      <c r="WV18" s="29">
        <f t="shared" ca="1" si="659"/>
        <v>15036.296768145514</v>
      </c>
      <c r="WW18" s="29">
        <f t="shared" ca="1" si="660"/>
        <v>13939.044364280349</v>
      </c>
      <c r="WX18" s="29">
        <f t="shared" ca="1" si="661"/>
        <v>15255.39363377556</v>
      </c>
      <c r="WY18" s="29">
        <f t="shared" ca="1" si="662"/>
        <v>15201.342801779572</v>
      </c>
      <c r="WZ18" s="29">
        <f t="shared" ca="1" si="663"/>
        <v>15037.568604065058</v>
      </c>
      <c r="XA18" s="29">
        <f t="shared" ca="1" si="664"/>
        <v>14439.202340001586</v>
      </c>
      <c r="XB18" s="29">
        <f t="shared" ca="1" si="665"/>
        <v>14918.695930115391</v>
      </c>
      <c r="XC18" s="29">
        <f t="shared" ca="1" si="666"/>
        <v>14632.072012408793</v>
      </c>
      <c r="XD18" s="29">
        <f t="shared" ca="1" si="667"/>
        <v>13665.429810034329</v>
      </c>
      <c r="XE18" s="29">
        <f t="shared" ca="1" si="668"/>
        <v>14091.888723015607</v>
      </c>
      <c r="XF18" s="29">
        <f t="shared" ca="1" si="669"/>
        <v>14424.67788400457</v>
      </c>
      <c r="XG18" s="29">
        <f t="shared" ca="1" si="670"/>
        <v>14176.888726951587</v>
      </c>
      <c r="XH18" s="29">
        <f t="shared" ca="1" si="671"/>
        <v>14616.382756392626</v>
      </c>
      <c r="XI18" s="29">
        <f t="shared" ca="1" si="672"/>
        <v>15082.794140704316</v>
      </c>
      <c r="XJ18" s="29">
        <f t="shared" ca="1" si="673"/>
        <v>14825.101099343947</v>
      </c>
      <c r="XK18" s="29">
        <f t="shared" ca="1" si="674"/>
        <v>13844.099243905261</v>
      </c>
      <c r="XL18" s="29">
        <f t="shared" ca="1" si="675"/>
        <v>14141.82011523724</v>
      </c>
      <c r="XM18" s="29">
        <f t="shared" ca="1" si="676"/>
        <v>14272.984584295118</v>
      </c>
      <c r="XN18" s="29">
        <f t="shared" ca="1" si="677"/>
        <v>14137.220090066914</v>
      </c>
      <c r="XO18" s="29">
        <f t="shared" ca="1" si="678"/>
        <v>15558.948560041801</v>
      </c>
      <c r="XP18" s="29">
        <f t="shared" ca="1" si="679"/>
        <v>14494.435004001991</v>
      </c>
      <c r="XQ18" s="29">
        <f t="shared" ca="1" si="680"/>
        <v>13890.663441403325</v>
      </c>
      <c r="XR18" s="29">
        <f t="shared" ca="1" si="681"/>
        <v>14209.651230037518</v>
      </c>
      <c r="XS18" s="29">
        <f t="shared" ca="1" si="682"/>
        <v>13834.569449785478</v>
      </c>
      <c r="XT18" s="29">
        <f t="shared" ca="1" si="683"/>
        <v>14716.675043843337</v>
      </c>
      <c r="XU18" s="29">
        <f t="shared" ca="1" si="684"/>
        <v>15329.536736117016</v>
      </c>
      <c r="XV18" s="29">
        <f t="shared" ca="1" si="685"/>
        <v>14811.138350858379</v>
      </c>
      <c r="XW18" s="29">
        <f t="shared" ca="1" si="686"/>
        <v>14211.4495392267</v>
      </c>
      <c r="XX18" s="29">
        <f t="shared" ca="1" si="687"/>
        <v>14807.612986311078</v>
      </c>
      <c r="XY18" s="29">
        <f t="shared" ca="1" si="688"/>
        <v>14018.835223159749</v>
      </c>
      <c r="XZ18" s="29">
        <f t="shared" ca="1" si="689"/>
        <v>14539.540195131598</v>
      </c>
      <c r="YA18" s="29">
        <f t="shared" ca="1" si="690"/>
        <v>14864.668997040157</v>
      </c>
      <c r="YB18" s="29">
        <f t="shared" ca="1" si="691"/>
        <v>15270.548834043306</v>
      </c>
      <c r="YC18" s="29">
        <f t="shared" ca="1" si="692"/>
        <v>15372.293376915097</v>
      </c>
      <c r="YD18" s="29">
        <f t="shared" ca="1" si="693"/>
        <v>13353.34819659869</v>
      </c>
      <c r="YE18" s="29">
        <f t="shared" ca="1" si="694"/>
        <v>14541.438114654873</v>
      </c>
      <c r="YF18" s="29">
        <f t="shared" ca="1" si="695"/>
        <v>14125.836533450634</v>
      </c>
      <c r="YG18" s="29">
        <f t="shared" ca="1" si="696"/>
        <v>15101.250358274612</v>
      </c>
      <c r="YH18" s="29">
        <f t="shared" ca="1" si="697"/>
        <v>13979.695699167445</v>
      </c>
      <c r="YI18" s="29">
        <f t="shared" ca="1" si="698"/>
        <v>13289.36017795827</v>
      </c>
      <c r="YJ18" s="29">
        <f t="shared" ca="1" si="699"/>
        <v>14074.298531831091</v>
      </c>
      <c r="YK18" s="29">
        <f t="shared" ca="1" si="700"/>
        <v>14342.748768655812</v>
      </c>
      <c r="YL18" s="29">
        <f t="shared" ca="1" si="701"/>
        <v>13742.699211868852</v>
      </c>
      <c r="YM18" s="29">
        <f t="shared" ca="1" si="702"/>
        <v>14632.038024293117</v>
      </c>
      <c r="YN18" s="29">
        <f t="shared" ca="1" si="703"/>
        <v>14777.952770122918</v>
      </c>
      <c r="YO18" s="29">
        <f t="shared" ca="1" si="704"/>
        <v>13370.228013503236</v>
      </c>
      <c r="YP18" s="29">
        <f t="shared" ca="1" si="705"/>
        <v>15243.397964906768</v>
      </c>
      <c r="YQ18" s="29">
        <f t="shared" ca="1" si="706"/>
        <v>13895.518957466473</v>
      </c>
      <c r="YR18" s="29">
        <f t="shared" ca="1" si="707"/>
        <v>14091.13091933328</v>
      </c>
      <c r="YS18" s="29">
        <f t="shared" ca="1" si="708"/>
        <v>15164.468961446026</v>
      </c>
      <c r="YT18" s="29">
        <f t="shared" ca="1" si="709"/>
        <v>15102.466663756259</v>
      </c>
      <c r="YU18" s="29">
        <f t="shared" ca="1" si="710"/>
        <v>14678.476028211888</v>
      </c>
      <c r="YV18" s="29">
        <f t="shared" ca="1" si="711"/>
        <v>14035.471461355992</v>
      </c>
      <c r="YW18" s="29">
        <f t="shared" ca="1" si="712"/>
        <v>14155.5011596968</v>
      </c>
      <c r="YX18" s="29">
        <f t="shared" ca="1" si="713"/>
        <v>14453.244367573929</v>
      </c>
      <c r="YY18" s="29">
        <f t="shared" ca="1" si="714"/>
        <v>14140.946666300015</v>
      </c>
      <c r="YZ18" s="29">
        <f t="shared" ca="1" si="715"/>
        <v>14294.132427116752</v>
      </c>
      <c r="ZA18" s="29">
        <f t="shared" ca="1" si="716"/>
        <v>14157.381318836493</v>
      </c>
      <c r="ZB18" s="29">
        <f t="shared" ca="1" si="717"/>
        <v>15188.932175215812</v>
      </c>
      <c r="ZC18" s="29">
        <f t="shared" ca="1" si="718"/>
        <v>15100.465682665592</v>
      </c>
      <c r="ZD18" s="29">
        <f t="shared" ca="1" si="719"/>
        <v>14380.253800417477</v>
      </c>
      <c r="ZE18" s="29">
        <f t="shared" ca="1" si="720"/>
        <v>13749.898017299054</v>
      </c>
      <c r="ZF18" s="29">
        <f t="shared" ca="1" si="721"/>
        <v>14062.474451416785</v>
      </c>
      <c r="ZG18" s="29">
        <f t="shared" ca="1" si="722"/>
        <v>12987.74229968213</v>
      </c>
      <c r="ZH18" s="29">
        <f t="shared" ca="1" si="723"/>
        <v>14066.929500653969</v>
      </c>
      <c r="ZI18" s="29">
        <f t="shared" ca="1" si="724"/>
        <v>13472.261666797163</v>
      </c>
      <c r="ZJ18" s="29">
        <f t="shared" ca="1" si="725"/>
        <v>14540.208002821571</v>
      </c>
      <c r="ZK18" s="29">
        <f t="shared" ca="1" si="726"/>
        <v>13733.519059527447</v>
      </c>
      <c r="ZL18" s="29">
        <f t="shared" ca="1" si="727"/>
        <v>13988.827108240805</v>
      </c>
      <c r="ZM18" s="29">
        <f t="shared" ca="1" si="728"/>
        <v>13119.8615188238</v>
      </c>
      <c r="ZN18" s="29">
        <f t="shared" ca="1" si="729"/>
        <v>14595.639355986921</v>
      </c>
      <c r="ZO18" s="29">
        <f t="shared" ca="1" si="730"/>
        <v>14369.522104805475</v>
      </c>
      <c r="ZP18" s="29">
        <f t="shared" ca="1" si="731"/>
        <v>14477.042831948413</v>
      </c>
      <c r="ZQ18" s="29">
        <f t="shared" ca="1" si="732"/>
        <v>14168.753945793072</v>
      </c>
      <c r="ZR18" s="29">
        <f t="shared" ca="1" si="733"/>
        <v>14743.881737983305</v>
      </c>
      <c r="ZS18" s="29">
        <f t="shared" ca="1" si="734"/>
        <v>14517.033180702809</v>
      </c>
      <c r="ZT18" s="29">
        <f t="shared" ca="1" si="735"/>
        <v>14475.082958581701</v>
      </c>
      <c r="ZU18" s="29">
        <f t="shared" ca="1" si="736"/>
        <v>14329.158320581546</v>
      </c>
      <c r="ZV18" s="29">
        <f t="shared" ca="1" si="737"/>
        <v>14212.767369762649</v>
      </c>
      <c r="ZW18" s="29">
        <f t="shared" ca="1" si="738"/>
        <v>13967.590687442567</v>
      </c>
      <c r="ZX18" s="29">
        <f t="shared" ca="1" si="739"/>
        <v>14618.034005285317</v>
      </c>
      <c r="ZY18" s="29">
        <f t="shared" ca="1" si="740"/>
        <v>14316.871239339258</v>
      </c>
      <c r="ZZ18" s="29">
        <f t="shared" ca="1" si="741"/>
        <v>13674.933565958328</v>
      </c>
      <c r="AAA18" s="29">
        <f t="shared" ca="1" si="742"/>
        <v>15025.973598566186</v>
      </c>
      <c r="AAB18" s="29">
        <f t="shared" ca="1" si="743"/>
        <v>15534.314687572312</v>
      </c>
      <c r="AAC18" s="29">
        <f t="shared" ca="1" si="744"/>
        <v>14380.229072922757</v>
      </c>
      <c r="AAD18" s="29">
        <f t="shared" ca="1" si="745"/>
        <v>13591.913691297206</v>
      </c>
      <c r="AAE18" s="29">
        <f t="shared" ca="1" si="746"/>
        <v>13394.41890893173</v>
      </c>
      <c r="AAF18" s="29">
        <f t="shared" ca="1" si="747"/>
        <v>15563.477369421535</v>
      </c>
      <c r="AAG18" s="29">
        <f t="shared" ca="1" si="748"/>
        <v>15475.279554845341</v>
      </c>
      <c r="AAH18" s="29">
        <f t="shared" ca="1" si="749"/>
        <v>15260.154780193261</v>
      </c>
      <c r="AAI18" s="29">
        <f t="shared" ca="1" si="750"/>
        <v>14226.554116863854</v>
      </c>
      <c r="AAJ18" s="29">
        <f t="shared" ca="1" si="751"/>
        <v>15004.113904390593</v>
      </c>
      <c r="AAK18" s="29">
        <f t="shared" ca="1" si="752"/>
        <v>14596.665372537558</v>
      </c>
      <c r="AAL18" s="29">
        <f t="shared" ca="1" si="753"/>
        <v>14221.933623782876</v>
      </c>
      <c r="AAM18" s="29">
        <f t="shared" ca="1" si="754"/>
        <v>14547.099792043025</v>
      </c>
      <c r="AAN18" s="29">
        <f t="shared" ca="1" si="755"/>
        <v>16129.231181566933</v>
      </c>
      <c r="AAO18" s="29">
        <f t="shared" ca="1" si="756"/>
        <v>14499.562845225084</v>
      </c>
      <c r="AAP18" s="29">
        <f t="shared" ca="1" si="757"/>
        <v>15829.854015576186</v>
      </c>
      <c r="AAQ18" s="29">
        <f t="shared" ca="1" si="758"/>
        <v>14606.889928261406</v>
      </c>
      <c r="AAR18" s="29">
        <f t="shared" ca="1" si="759"/>
        <v>15826.409837188734</v>
      </c>
      <c r="AAS18" s="29">
        <f t="shared" ca="1" si="760"/>
        <v>14011.245710397092</v>
      </c>
      <c r="AAT18" s="29">
        <f t="shared" ca="1" si="761"/>
        <v>14743.448261585923</v>
      </c>
      <c r="AAU18" s="29">
        <f t="shared" ca="1" si="762"/>
        <v>15081.534468704447</v>
      </c>
      <c r="AAV18" s="29">
        <f t="shared" ca="1" si="763"/>
        <v>13776.100630134408</v>
      </c>
      <c r="AAW18" s="29">
        <f t="shared" ca="1" si="764"/>
        <v>14092.69937110502</v>
      </c>
      <c r="AAX18" s="29">
        <f t="shared" ca="1" si="765"/>
        <v>14551.942550185195</v>
      </c>
      <c r="AAY18" s="29">
        <f t="shared" ca="1" si="766"/>
        <v>14122.232698422233</v>
      </c>
      <c r="AAZ18" s="29">
        <f t="shared" ca="1" si="767"/>
        <v>14625.125394894714</v>
      </c>
      <c r="ABA18" s="29">
        <f t="shared" ca="1" si="768"/>
        <v>14608.766113912865</v>
      </c>
      <c r="ABB18" s="29">
        <f t="shared" ca="1" si="769"/>
        <v>14926.687543296242</v>
      </c>
      <c r="ABC18" s="29">
        <f t="shared" ca="1" si="770"/>
        <v>14599.952666034409</v>
      </c>
      <c r="ABD18" s="29">
        <f t="shared" ca="1" si="771"/>
        <v>14192.202922062295</v>
      </c>
      <c r="ABE18" s="29">
        <f t="shared" ca="1" si="772"/>
        <v>12707.91000320783</v>
      </c>
      <c r="ABF18" s="29">
        <f t="shared" ca="1" si="773"/>
        <v>13965.553014623596</v>
      </c>
      <c r="ABG18" s="29">
        <f t="shared" ca="1" si="774"/>
        <v>14654.411782951045</v>
      </c>
      <c r="ABH18" s="29">
        <f t="shared" ca="1" si="775"/>
        <v>14363.226695231815</v>
      </c>
      <c r="ABI18" s="29">
        <f t="shared" ca="1" si="776"/>
        <v>14130.607655642345</v>
      </c>
      <c r="ABJ18" s="29">
        <f t="shared" ca="1" si="777"/>
        <v>14963.912078798721</v>
      </c>
      <c r="ABK18" s="29">
        <f t="shared" ca="1" si="778"/>
        <v>15423.182128393428</v>
      </c>
      <c r="ABL18" s="29">
        <f t="shared" ca="1" si="779"/>
        <v>14807.591101354899</v>
      </c>
      <c r="ABM18" s="29">
        <f t="shared" ca="1" si="780"/>
        <v>14881.796510827002</v>
      </c>
      <c r="ABN18" s="29">
        <f t="shared" ca="1" si="781"/>
        <v>14048.950444220915</v>
      </c>
      <c r="ABO18" s="29">
        <f t="shared" ca="1" si="782"/>
        <v>14891.411886039506</v>
      </c>
      <c r="ABP18" s="29">
        <f t="shared" ca="1" si="783"/>
        <v>14078.153346334731</v>
      </c>
      <c r="ABQ18" s="29">
        <f t="shared" ca="1" si="784"/>
        <v>13031.842651018394</v>
      </c>
      <c r="ABR18" s="29">
        <f t="shared" ca="1" si="785"/>
        <v>13285.630140547126</v>
      </c>
      <c r="ABS18" s="29">
        <f t="shared" ca="1" si="786"/>
        <v>13754.125802580533</v>
      </c>
      <c r="ABT18" s="29">
        <f t="shared" ca="1" si="787"/>
        <v>14172.596499787371</v>
      </c>
      <c r="ABU18" s="29">
        <f t="shared" ca="1" si="788"/>
        <v>14547.281060774705</v>
      </c>
      <c r="ABV18" s="29">
        <f t="shared" ca="1" si="789"/>
        <v>15218.683754298354</v>
      </c>
      <c r="ABW18" s="29">
        <f t="shared" ca="1" si="790"/>
        <v>14897.09240685668</v>
      </c>
      <c r="ABX18" s="29">
        <f t="shared" ca="1" si="791"/>
        <v>14963.683423019074</v>
      </c>
      <c r="ABY18" s="29">
        <f t="shared" ca="1" si="792"/>
        <v>14751.608735604779</v>
      </c>
      <c r="ABZ18" s="29">
        <f t="shared" ca="1" si="793"/>
        <v>14513.142149564888</v>
      </c>
      <c r="ACA18" s="29">
        <f t="shared" ca="1" si="794"/>
        <v>15046.458600783686</v>
      </c>
      <c r="ACB18" s="29">
        <f t="shared" ca="1" si="795"/>
        <v>15200.672615203366</v>
      </c>
      <c r="ACC18" s="29">
        <f t="shared" ca="1" si="796"/>
        <v>14252.220100846303</v>
      </c>
      <c r="ACD18" s="29">
        <f t="shared" ca="1" si="797"/>
        <v>14748.335979020885</v>
      </c>
      <c r="ACE18" s="29">
        <f t="shared" ca="1" si="798"/>
        <v>15103.505427723196</v>
      </c>
      <c r="ACF18" s="29">
        <f t="shared" ca="1" si="799"/>
        <v>14466.020531288072</v>
      </c>
      <c r="ACG18" s="29">
        <f t="shared" ca="1" si="800"/>
        <v>13977.748200996974</v>
      </c>
      <c r="ACH18" s="29">
        <f t="shared" ca="1" si="801"/>
        <v>15161.548104553753</v>
      </c>
      <c r="ACI18" s="29">
        <f t="shared" ca="1" si="802"/>
        <v>13861.167886103003</v>
      </c>
      <c r="ACJ18" s="29">
        <f t="shared" ca="1" si="803"/>
        <v>14957.722632073872</v>
      </c>
      <c r="ACK18" s="29">
        <f t="shared" ca="1" si="804"/>
        <v>14120.677722201954</v>
      </c>
      <c r="ACL18" s="29">
        <f t="shared" ca="1" si="805"/>
        <v>13806.585446914945</v>
      </c>
      <c r="ACM18" s="29">
        <f t="shared" ca="1" si="806"/>
        <v>14745.980223751048</v>
      </c>
      <c r="ACN18" s="29">
        <f t="shared" ca="1" si="807"/>
        <v>14735.016850490398</v>
      </c>
      <c r="ACO18" s="29">
        <f t="shared" ca="1" si="808"/>
        <v>16495.221440151654</v>
      </c>
      <c r="ACP18" s="29">
        <f t="shared" ca="1" si="809"/>
        <v>14144.44182229238</v>
      </c>
      <c r="ACQ18" s="29">
        <f t="shared" ca="1" si="810"/>
        <v>14964.038367915224</v>
      </c>
      <c r="ACR18" s="29">
        <f t="shared" ca="1" si="811"/>
        <v>14792.10696756586</v>
      </c>
      <c r="ACS18" s="29">
        <f t="shared" ca="1" si="812"/>
        <v>13841.829158965627</v>
      </c>
      <c r="ACT18" s="29">
        <f t="shared" ca="1" si="813"/>
        <v>14668.470891669316</v>
      </c>
      <c r="ACU18" s="29">
        <f t="shared" ca="1" si="814"/>
        <v>13856.588617198489</v>
      </c>
      <c r="ACV18" s="29">
        <f t="shared" ca="1" si="815"/>
        <v>14337.811959951568</v>
      </c>
      <c r="ACW18" s="29">
        <f t="shared" ca="1" si="816"/>
        <v>15303.184357500661</v>
      </c>
      <c r="ACX18" s="29">
        <f t="shared" ca="1" si="817"/>
        <v>14516.358092670258</v>
      </c>
      <c r="ACY18" s="29">
        <f t="shared" ca="1" si="818"/>
        <v>14263.513245605793</v>
      </c>
      <c r="ACZ18" s="29">
        <f t="shared" ca="1" si="819"/>
        <v>13882.386495004037</v>
      </c>
      <c r="ADA18" s="29">
        <f t="shared" ca="1" si="820"/>
        <v>15109.907101761482</v>
      </c>
      <c r="ADB18" s="29">
        <f t="shared" ca="1" si="821"/>
        <v>13953.359213049704</v>
      </c>
      <c r="ADC18" s="29">
        <f t="shared" ca="1" si="822"/>
        <v>13943.33942275869</v>
      </c>
      <c r="ADD18" s="29">
        <f t="shared" ca="1" si="823"/>
        <v>14576.284041220109</v>
      </c>
      <c r="ADE18" s="29">
        <f t="shared" ca="1" si="824"/>
        <v>14342.379777092056</v>
      </c>
      <c r="ADF18" s="29">
        <f t="shared" ca="1" si="825"/>
        <v>13690.763435999486</v>
      </c>
      <c r="ADG18" s="29">
        <f t="shared" ca="1" si="826"/>
        <v>14613.958714418086</v>
      </c>
      <c r="ADH18" s="29">
        <f t="shared" ca="1" si="827"/>
        <v>15203.999563370526</v>
      </c>
      <c r="ADI18" s="29">
        <f t="shared" ca="1" si="828"/>
        <v>14364.074446588404</v>
      </c>
      <c r="ADJ18" s="29">
        <f t="shared" ca="1" si="829"/>
        <v>15397.77377523135</v>
      </c>
      <c r="ADK18" s="29">
        <f t="shared" ca="1" si="830"/>
        <v>15054.542283515111</v>
      </c>
      <c r="ADL18" s="29">
        <f t="shared" ca="1" si="831"/>
        <v>14483.149633546367</v>
      </c>
      <c r="ADM18" s="29">
        <f t="shared" ca="1" si="832"/>
        <v>14600.407009634264</v>
      </c>
      <c r="ADN18" s="29">
        <f t="shared" ca="1" si="833"/>
        <v>14143.706803304485</v>
      </c>
      <c r="ADO18" s="29">
        <f t="shared" ca="1" si="834"/>
        <v>14468.708826208387</v>
      </c>
      <c r="ADP18" s="29">
        <f t="shared" ca="1" si="835"/>
        <v>14910.735192619833</v>
      </c>
      <c r="ADQ18" s="29">
        <f t="shared" ca="1" si="836"/>
        <v>16406.158058882058</v>
      </c>
      <c r="ADR18" s="29">
        <f t="shared" ca="1" si="837"/>
        <v>14510.277211645012</v>
      </c>
      <c r="ADS18" s="29">
        <f t="shared" ca="1" si="838"/>
        <v>14861.838663052884</v>
      </c>
      <c r="ADT18" s="29">
        <f t="shared" ca="1" si="839"/>
        <v>13837.774897701893</v>
      </c>
      <c r="ADU18" s="29">
        <f t="shared" ca="1" si="840"/>
        <v>15258.165066907612</v>
      </c>
      <c r="ADV18" s="29">
        <f t="shared" ca="1" si="841"/>
        <v>14815.515139972322</v>
      </c>
      <c r="ADW18" s="29">
        <f t="shared" ca="1" si="842"/>
        <v>15416.02717664382</v>
      </c>
      <c r="ADX18" s="29">
        <f t="shared" ca="1" si="843"/>
        <v>13898.99434096738</v>
      </c>
      <c r="ADY18" s="29">
        <f t="shared" ca="1" si="844"/>
        <v>15686.654594527645</v>
      </c>
      <c r="ADZ18" s="29">
        <f t="shared" ca="1" si="845"/>
        <v>13862.550836456636</v>
      </c>
      <c r="AEA18" s="29">
        <f t="shared" ca="1" si="846"/>
        <v>14424.393245706442</v>
      </c>
      <c r="AEB18" s="29">
        <f t="shared" ca="1" si="847"/>
        <v>13242.139897841704</v>
      </c>
      <c r="AEC18" s="29">
        <f t="shared" ca="1" si="848"/>
        <v>14866.604386712119</v>
      </c>
      <c r="AED18" s="29">
        <f t="shared" ca="1" si="849"/>
        <v>14392.405872734907</v>
      </c>
      <c r="AEE18" s="29">
        <f t="shared" ca="1" si="850"/>
        <v>15015.335084303575</v>
      </c>
      <c r="AEF18" s="29">
        <f t="shared" ca="1" si="851"/>
        <v>13966.148360747697</v>
      </c>
      <c r="AEG18" s="29">
        <f t="shared" ca="1" si="852"/>
        <v>15857.158340672617</v>
      </c>
      <c r="AEH18" s="29">
        <f t="shared" ca="1" si="853"/>
        <v>14083.208954080152</v>
      </c>
      <c r="AEI18" s="29">
        <f t="shared" ca="1" si="854"/>
        <v>14666.413885290685</v>
      </c>
      <c r="AEJ18" s="29">
        <f t="shared" ca="1" si="855"/>
        <v>14285.667975256387</v>
      </c>
      <c r="AEK18" s="29">
        <f t="shared" ca="1" si="856"/>
        <v>14854.775894711334</v>
      </c>
      <c r="AEL18" s="29">
        <f t="shared" ca="1" si="857"/>
        <v>14390.47327375416</v>
      </c>
      <c r="AEM18" s="29">
        <f t="shared" ca="1" si="858"/>
        <v>14612.77739151943</v>
      </c>
      <c r="AEN18" s="29">
        <f t="shared" ca="1" si="859"/>
        <v>14893.943351501606</v>
      </c>
      <c r="AEO18" s="29">
        <f t="shared" ca="1" si="860"/>
        <v>14425.884113142522</v>
      </c>
      <c r="AEP18" s="29">
        <f t="shared" ca="1" si="861"/>
        <v>15424.595776786477</v>
      </c>
      <c r="AEQ18" s="29">
        <f t="shared" ca="1" si="862"/>
        <v>15048.71432391101</v>
      </c>
      <c r="AER18" s="29">
        <f t="shared" ca="1" si="863"/>
        <v>14956.076293303691</v>
      </c>
      <c r="AES18" s="29">
        <f t="shared" ca="1" si="864"/>
        <v>13546.626997578069</v>
      </c>
      <c r="AET18" s="29">
        <f t="shared" ca="1" si="865"/>
        <v>15018.107546780082</v>
      </c>
      <c r="AEU18" s="29">
        <f t="shared" ca="1" si="866"/>
        <v>13904.172313712355</v>
      </c>
      <c r="AEV18" s="29">
        <f t="shared" ca="1" si="867"/>
        <v>15954.773468535353</v>
      </c>
      <c r="AEW18" s="29">
        <f t="shared" ca="1" si="868"/>
        <v>14033.160553899534</v>
      </c>
      <c r="AEX18" s="29">
        <f t="shared" ca="1" si="869"/>
        <v>13955.114037497146</v>
      </c>
      <c r="AEY18" s="29">
        <f t="shared" ca="1" si="870"/>
        <v>13282.764574029552</v>
      </c>
      <c r="AEZ18" s="29">
        <f t="shared" ca="1" si="871"/>
        <v>13619.933256772045</v>
      </c>
      <c r="AFA18" s="29">
        <f t="shared" ca="1" si="872"/>
        <v>15155.623257687022</v>
      </c>
      <c r="AFB18" s="29">
        <f t="shared" ca="1" si="873"/>
        <v>14135.547778086593</v>
      </c>
      <c r="AFC18" s="29">
        <f t="shared" ca="1" si="874"/>
        <v>13861.433809833046</v>
      </c>
      <c r="AFD18" s="29">
        <f t="shared" ca="1" si="875"/>
        <v>14851.923598834013</v>
      </c>
      <c r="AFE18" s="29">
        <f t="shared" ca="1" si="876"/>
        <v>14891.723427933031</v>
      </c>
      <c r="AFF18" s="29">
        <f t="shared" ca="1" si="877"/>
        <v>14194.433920013484</v>
      </c>
      <c r="AFG18" s="29">
        <f t="shared" ca="1" si="878"/>
        <v>15162.18875508101</v>
      </c>
      <c r="AFH18" s="29">
        <f t="shared" ca="1" si="879"/>
        <v>15558.88695279975</v>
      </c>
      <c r="AFI18" s="29">
        <f t="shared" ca="1" si="880"/>
        <v>14770.332528869949</v>
      </c>
      <c r="AFJ18" s="29">
        <f t="shared" ca="1" si="881"/>
        <v>13978.949657499743</v>
      </c>
      <c r="AFK18" s="29">
        <f t="shared" ca="1" si="882"/>
        <v>14164.004577798232</v>
      </c>
      <c r="AFL18" s="29">
        <f t="shared" ca="1" si="883"/>
        <v>14311.507458341592</v>
      </c>
      <c r="AFM18" s="29">
        <f t="shared" ca="1" si="884"/>
        <v>14114.502067644031</v>
      </c>
      <c r="AFN18" s="29">
        <f t="shared" ca="1" si="885"/>
        <v>14516.192899345217</v>
      </c>
      <c r="AFO18" s="29">
        <f t="shared" ca="1" si="886"/>
        <v>14821.090230419641</v>
      </c>
      <c r="AFP18" s="29">
        <f t="shared" ca="1" si="887"/>
        <v>14803.28379116195</v>
      </c>
      <c r="AFQ18" s="29">
        <f t="shared" ca="1" si="888"/>
        <v>13751.497919727519</v>
      </c>
      <c r="AFR18" s="29">
        <f t="shared" ca="1" si="889"/>
        <v>14990.897521740084</v>
      </c>
      <c r="AFS18" s="29">
        <f t="shared" ca="1" si="890"/>
        <v>14267.526646538254</v>
      </c>
      <c r="AFT18" s="29">
        <f t="shared" ca="1" si="891"/>
        <v>14470.652051711433</v>
      </c>
      <c r="AFU18" s="29">
        <f t="shared" ca="1" si="892"/>
        <v>14067.622650102421</v>
      </c>
      <c r="AFV18" s="29">
        <f t="shared" ca="1" si="893"/>
        <v>14641.077097924701</v>
      </c>
      <c r="AFW18" s="29">
        <f t="shared" ca="1" si="894"/>
        <v>14417.563586649643</v>
      </c>
      <c r="AFX18" s="29">
        <f t="shared" ca="1" si="895"/>
        <v>15394.95224361235</v>
      </c>
      <c r="AFY18" s="29">
        <f t="shared" ca="1" si="896"/>
        <v>15135.968733111911</v>
      </c>
      <c r="AFZ18" s="29">
        <f t="shared" ca="1" si="897"/>
        <v>14368.112983091072</v>
      </c>
      <c r="AGA18" s="29">
        <f t="shared" ca="1" si="898"/>
        <v>14773.871951732566</v>
      </c>
      <c r="AGB18" s="29">
        <f t="shared" ca="1" si="899"/>
        <v>14609.271943965225</v>
      </c>
      <c r="AGC18" s="29">
        <f t="shared" ca="1" si="900"/>
        <v>13904.259734079629</v>
      </c>
      <c r="AGD18" s="29">
        <f t="shared" ca="1" si="901"/>
        <v>15227.291441704296</v>
      </c>
      <c r="AGE18" s="29">
        <f t="shared" ca="1" si="902"/>
        <v>14322.405546116965</v>
      </c>
      <c r="AGF18" s="29">
        <f t="shared" ca="1" si="903"/>
        <v>14612.712435864376</v>
      </c>
      <c r="AGG18" s="29">
        <f t="shared" ca="1" si="904"/>
        <v>13893.775050764976</v>
      </c>
      <c r="AGH18" s="29">
        <f t="shared" ca="1" si="905"/>
        <v>15038.710363760027</v>
      </c>
      <c r="AGI18" s="29">
        <f t="shared" ca="1" si="906"/>
        <v>14088.850480790537</v>
      </c>
      <c r="AGJ18" s="29">
        <f t="shared" ca="1" si="907"/>
        <v>14611.826877633785</v>
      </c>
      <c r="AGK18" s="29">
        <f t="shared" ca="1" si="908"/>
        <v>15011.018584435044</v>
      </c>
      <c r="AGL18" s="29">
        <f t="shared" ca="1" si="909"/>
        <v>14602.177006956506</v>
      </c>
      <c r="AGM18" s="29">
        <f t="shared" ca="1" si="910"/>
        <v>14095.255519815893</v>
      </c>
      <c r="AGN18" s="29">
        <f t="shared" ca="1" si="911"/>
        <v>14193.580936874409</v>
      </c>
      <c r="AGO18" s="29">
        <f t="shared" ca="1" si="912"/>
        <v>15172.339367794993</v>
      </c>
      <c r="AGP18" s="29">
        <f t="shared" ca="1" si="913"/>
        <v>14140.241430218624</v>
      </c>
      <c r="AGQ18" s="29">
        <f t="shared" ca="1" si="914"/>
        <v>14621.682037873663</v>
      </c>
      <c r="AGR18" s="29">
        <f t="shared" ca="1" si="915"/>
        <v>13726.084635280366</v>
      </c>
      <c r="AGS18" s="29">
        <f t="shared" ca="1" si="916"/>
        <v>14989.70053748747</v>
      </c>
      <c r="AGT18" s="29">
        <f t="shared" ca="1" si="917"/>
        <v>13703.759045273104</v>
      </c>
      <c r="AGU18" s="29">
        <f t="shared" ca="1" si="918"/>
        <v>14579.742844818655</v>
      </c>
      <c r="AGV18" s="29">
        <f t="shared" ca="1" si="919"/>
        <v>14765.890786795975</v>
      </c>
      <c r="AGW18" s="29">
        <f t="shared" ca="1" si="920"/>
        <v>15074.680554799907</v>
      </c>
      <c r="AGX18" s="29">
        <f t="shared" ca="1" si="921"/>
        <v>15243.873186324616</v>
      </c>
      <c r="AGY18" s="29">
        <f t="shared" ca="1" si="922"/>
        <v>14432.728397402965</v>
      </c>
      <c r="AGZ18" s="29">
        <f t="shared" ca="1" si="923"/>
        <v>13393.070578393394</v>
      </c>
      <c r="AHA18" s="29">
        <f t="shared" ca="1" si="924"/>
        <v>13521.820895929241</v>
      </c>
      <c r="AHB18" s="29">
        <f t="shared" ca="1" si="925"/>
        <v>13242.439927610127</v>
      </c>
      <c r="AHC18" s="29">
        <f t="shared" ca="1" si="926"/>
        <v>15320.155182864557</v>
      </c>
      <c r="AHD18" s="29">
        <f t="shared" ca="1" si="927"/>
        <v>14452.533493998102</v>
      </c>
      <c r="AHE18" s="29">
        <f t="shared" ca="1" si="928"/>
        <v>14777.680759213623</v>
      </c>
      <c r="AHF18" s="29">
        <f t="shared" ca="1" si="929"/>
        <v>15834.153049468461</v>
      </c>
      <c r="AHG18" s="29">
        <f t="shared" ca="1" si="930"/>
        <v>15547.031400288961</v>
      </c>
      <c r="AHH18" s="29">
        <f t="shared" ca="1" si="931"/>
        <v>15461.675791223177</v>
      </c>
      <c r="AHI18" s="29">
        <f t="shared" ca="1" si="932"/>
        <v>14723.588787924364</v>
      </c>
      <c r="AHJ18" s="29">
        <f t="shared" ca="1" si="933"/>
        <v>13714.486475130834</v>
      </c>
      <c r="AHK18" s="29">
        <f t="shared" ca="1" si="934"/>
        <v>15487.994912356091</v>
      </c>
      <c r="AHL18" s="29">
        <f t="shared" ca="1" si="935"/>
        <v>14988.194424876499</v>
      </c>
      <c r="AHM18" s="29">
        <f t="shared" ca="1" si="936"/>
        <v>16009.06669179462</v>
      </c>
      <c r="AHN18" s="29">
        <f t="shared" ca="1" si="937"/>
        <v>13889.554013786381</v>
      </c>
      <c r="AHO18" s="29">
        <f t="shared" ca="1" si="938"/>
        <v>14712.361796802086</v>
      </c>
      <c r="AHP18" s="29">
        <f t="shared" ca="1" si="939"/>
        <v>14651.09090242021</v>
      </c>
      <c r="AHQ18" s="29">
        <f t="shared" ca="1" si="940"/>
        <v>14918.311195369008</v>
      </c>
      <c r="AHR18" s="29">
        <f t="shared" ca="1" si="941"/>
        <v>14412.120016094572</v>
      </c>
      <c r="AHS18" s="29">
        <f t="shared" ca="1" si="942"/>
        <v>14334.93145414695</v>
      </c>
      <c r="AHT18" s="29">
        <f t="shared" ca="1" si="943"/>
        <v>14460.267940850499</v>
      </c>
      <c r="AHU18" s="29">
        <f t="shared" ca="1" si="944"/>
        <v>14683.65857698826</v>
      </c>
      <c r="AHV18" s="29">
        <f t="shared" ca="1" si="945"/>
        <v>14845.397281168976</v>
      </c>
      <c r="AHW18" s="29">
        <f t="shared" ca="1" si="946"/>
        <v>15311.698318675139</v>
      </c>
      <c r="AHX18" s="29">
        <f t="shared" ca="1" si="947"/>
        <v>15195.370331187522</v>
      </c>
      <c r="AHY18" s="29">
        <f t="shared" ca="1" si="948"/>
        <v>14584.006040637389</v>
      </c>
      <c r="AHZ18" s="29">
        <f t="shared" ca="1" si="949"/>
        <v>13516.123726809761</v>
      </c>
      <c r="AIA18" s="29">
        <f t="shared" ca="1" si="950"/>
        <v>14956.224310849395</v>
      </c>
      <c r="AIB18" s="29">
        <f t="shared" ca="1" si="951"/>
        <v>14791.458417830861</v>
      </c>
      <c r="AIC18" s="29">
        <f t="shared" ca="1" si="952"/>
        <v>14333.500045156345</v>
      </c>
      <c r="AID18" s="29">
        <f t="shared" ca="1" si="953"/>
        <v>14685.285260910794</v>
      </c>
      <c r="AIE18" s="29">
        <f t="shared" ca="1" si="954"/>
        <v>14478.553360418344</v>
      </c>
      <c r="AIF18" s="29">
        <f t="shared" ca="1" si="955"/>
        <v>14321.263910226475</v>
      </c>
      <c r="AIG18" s="29">
        <f t="shared" ca="1" si="956"/>
        <v>15043.139208164928</v>
      </c>
      <c r="AIH18" s="29">
        <f t="shared" ca="1" si="957"/>
        <v>14597.384151745586</v>
      </c>
      <c r="AII18" s="29">
        <f t="shared" ca="1" si="958"/>
        <v>14011.572883782444</v>
      </c>
      <c r="AIJ18" s="29">
        <f t="shared" ca="1" si="959"/>
        <v>13544.25502772775</v>
      </c>
      <c r="AIK18" s="29">
        <f t="shared" ca="1" si="960"/>
        <v>14728.951663652719</v>
      </c>
      <c r="AIL18" s="29">
        <f t="shared" ca="1" si="961"/>
        <v>14025.046060094513</v>
      </c>
      <c r="AIM18" s="29">
        <f t="shared" ca="1" si="962"/>
        <v>14416.527454833724</v>
      </c>
      <c r="AIN18" s="29">
        <f t="shared" ca="1" si="963"/>
        <v>14602.698326793072</v>
      </c>
      <c r="AIO18" s="29">
        <f t="shared" ca="1" si="964"/>
        <v>13496.567894907812</v>
      </c>
      <c r="AIP18" s="29">
        <f t="shared" ca="1" si="965"/>
        <v>14154.077758019626</v>
      </c>
      <c r="AIQ18" s="29">
        <f t="shared" ca="1" si="966"/>
        <v>13222.187259743758</v>
      </c>
      <c r="AIR18" s="29">
        <f t="shared" ca="1" si="967"/>
        <v>13903.683733692453</v>
      </c>
      <c r="AIS18" s="29">
        <f t="shared" ca="1" si="968"/>
        <v>14244.489544171538</v>
      </c>
      <c r="AIT18" s="29">
        <f t="shared" ca="1" si="969"/>
        <v>14169.863003993649</v>
      </c>
      <c r="AIU18" s="29">
        <f t="shared" ca="1" si="970"/>
        <v>13792.738106190194</v>
      </c>
      <c r="AIV18" s="29">
        <f t="shared" ca="1" si="971"/>
        <v>14129.114426540289</v>
      </c>
      <c r="AIW18" s="29">
        <f t="shared" ca="1" si="972"/>
        <v>13808.201183410414</v>
      </c>
      <c r="AIX18" s="29">
        <f t="shared" ca="1" si="973"/>
        <v>15152.349254618586</v>
      </c>
      <c r="AIY18" s="29">
        <f t="shared" ca="1" si="974"/>
        <v>14627.725909287756</v>
      </c>
      <c r="AIZ18" s="29">
        <f t="shared" ca="1" si="975"/>
        <v>15353.340905786004</v>
      </c>
      <c r="AJA18" s="29">
        <f t="shared" ca="1" si="976"/>
        <v>13823.467456638948</v>
      </c>
      <c r="AJB18" s="29">
        <f t="shared" ca="1" si="977"/>
        <v>14206.567510506384</v>
      </c>
      <c r="AJC18" s="29">
        <f t="shared" ca="1" si="978"/>
        <v>14973.629047344455</v>
      </c>
      <c r="AJD18" s="29">
        <f t="shared" ca="1" si="979"/>
        <v>14313.717579420358</v>
      </c>
      <c r="AJE18" s="29">
        <f t="shared" ca="1" si="980"/>
        <v>15438.550105269158</v>
      </c>
      <c r="AJF18" s="29">
        <f t="shared" ca="1" si="981"/>
        <v>14711.432417590659</v>
      </c>
      <c r="AJG18" s="29">
        <f t="shared" ca="1" si="982"/>
        <v>14606.735653027705</v>
      </c>
      <c r="AJH18" s="29">
        <f t="shared" ca="1" si="983"/>
        <v>13919.601742388379</v>
      </c>
      <c r="AJI18" s="29">
        <f t="shared" ca="1" si="984"/>
        <v>14742.05181343846</v>
      </c>
      <c r="AJJ18" s="29">
        <f t="shared" ca="1" si="985"/>
        <v>14997.535655076188</v>
      </c>
      <c r="AJK18" s="29">
        <f t="shared" ca="1" si="986"/>
        <v>14669.76475368812</v>
      </c>
      <c r="AJL18" s="29">
        <f t="shared" ca="1" si="987"/>
        <v>14870.100067686133</v>
      </c>
      <c r="AJM18" s="29">
        <f t="shared" ca="1" si="988"/>
        <v>14087.2398843665</v>
      </c>
      <c r="AJN18" s="29">
        <f t="shared" ca="1" si="989"/>
        <v>14154.10455254839</v>
      </c>
      <c r="AJO18" s="29">
        <f t="shared" ca="1" si="990"/>
        <v>14823.755208615639</v>
      </c>
      <c r="AJP18" s="29">
        <f t="shared" ca="1" si="991"/>
        <v>15349.742165482068</v>
      </c>
      <c r="AJQ18" s="29">
        <f t="shared" ca="1" si="992"/>
        <v>14424.900648063252</v>
      </c>
      <c r="AJR18" s="29">
        <f t="shared" ca="1" si="993"/>
        <v>14994.526864620839</v>
      </c>
      <c r="AJS18" s="29">
        <f t="shared" ca="1" si="994"/>
        <v>14553.948128827647</v>
      </c>
      <c r="AJT18" s="29">
        <f t="shared" ca="1" si="995"/>
        <v>14807.907865308624</v>
      </c>
      <c r="AJU18" s="29">
        <f t="shared" ca="1" si="996"/>
        <v>13403.328407217225</v>
      </c>
      <c r="AJV18" s="29">
        <f t="shared" ca="1" si="997"/>
        <v>14140.766259276115</v>
      </c>
      <c r="AJW18" s="29">
        <f t="shared" ca="1" si="998"/>
        <v>14161.676993139659</v>
      </c>
      <c r="AJX18" s="29">
        <f t="shared" ca="1" si="999"/>
        <v>14860.626720891169</v>
      </c>
      <c r="AJY18" s="29">
        <f t="shared" ca="1" si="1000"/>
        <v>13773.096593461911</v>
      </c>
      <c r="AJZ18" s="29">
        <f t="shared" ca="1" si="1001"/>
        <v>15087.019518510473</v>
      </c>
      <c r="AKA18" s="29">
        <f t="shared" ca="1" si="1002"/>
        <v>14855.204495322683</v>
      </c>
      <c r="AKB18" s="29">
        <f t="shared" ca="1" si="1003"/>
        <v>13997.147049139869</v>
      </c>
      <c r="AKC18" s="29">
        <f t="shared" ca="1" si="1004"/>
        <v>13868.322026331807</v>
      </c>
      <c r="AKD18" s="29">
        <f t="shared" ca="1" si="1005"/>
        <v>15256.183756294591</v>
      </c>
      <c r="AKE18" s="29">
        <f t="shared" ca="1" si="1006"/>
        <v>13464.372083421753</v>
      </c>
      <c r="AKF18" s="29">
        <f t="shared" ca="1" si="1007"/>
        <v>15627.098067713119</v>
      </c>
      <c r="AKG18" s="29">
        <f t="shared" ca="1" si="1008"/>
        <v>14038.907101621464</v>
      </c>
      <c r="AKH18" s="29">
        <f t="shared" ca="1" si="1009"/>
        <v>14007.373568719402</v>
      </c>
      <c r="AKI18" s="29">
        <f t="shared" ca="1" si="1010"/>
        <v>14866.42527557719</v>
      </c>
      <c r="AKJ18" s="29">
        <f t="shared" ca="1" si="1011"/>
        <v>13461.929810620486</v>
      </c>
      <c r="AKK18" s="29">
        <f t="shared" ca="1" si="1012"/>
        <v>16001.925513289809</v>
      </c>
      <c r="AKL18" s="29">
        <f t="shared" ca="1" si="1013"/>
        <v>14662.506582677592</v>
      </c>
      <c r="AKM18" s="29">
        <f t="shared" ca="1" si="1014"/>
        <v>14113.844761652386</v>
      </c>
      <c r="AKN18" s="29">
        <f t="shared" ca="1" si="1015"/>
        <v>15069.3856574123</v>
      </c>
      <c r="AKO18" s="29">
        <f t="shared" ca="1" si="1016"/>
        <v>14401.230706542925</v>
      </c>
      <c r="AKP18" s="29">
        <f t="shared" ca="1" si="1017"/>
        <v>15732.434068083356</v>
      </c>
      <c r="AKQ18" s="29">
        <f t="shared" ca="1" si="1018"/>
        <v>13560.672986768568</v>
      </c>
      <c r="AKR18" s="29">
        <f t="shared" ca="1" si="1019"/>
        <v>14524.02648785259</v>
      </c>
      <c r="AKS18" s="29">
        <f t="shared" ca="1" si="1020"/>
        <v>15281.485179024558</v>
      </c>
      <c r="AKT18" s="29">
        <f t="shared" ca="1" si="1021"/>
        <v>14927.903118964206</v>
      </c>
      <c r="AKU18" s="29">
        <f t="shared" ca="1" si="1022"/>
        <v>14024.48338272748</v>
      </c>
      <c r="AKV18" s="29">
        <f t="shared" ca="1" si="1023"/>
        <v>12773.401849355532</v>
      </c>
      <c r="AKW18" s="29">
        <f t="shared" ca="1" si="1024"/>
        <v>14078.155601938024</v>
      </c>
      <c r="AKX18" s="29">
        <f t="shared" ca="1" si="1025"/>
        <v>14925.244579651853</v>
      </c>
      <c r="AKY18" s="29">
        <f t="shared" ca="1" si="1026"/>
        <v>14184.777137011251</v>
      </c>
      <c r="AKZ18" s="29">
        <f t="shared" ca="1" si="1027"/>
        <v>14301.737534292017</v>
      </c>
      <c r="ALA18" s="29">
        <f t="shared" ca="1" si="1028"/>
        <v>13774.625279025864</v>
      </c>
      <c r="ALB18" s="29">
        <f t="shared" ca="1" si="1029"/>
        <v>15442.07329198665</v>
      </c>
      <c r="ALC18" s="29">
        <f t="shared" ca="1" si="1030"/>
        <v>14188.615103749185</v>
      </c>
      <c r="ALD18" s="29">
        <f t="shared" ca="1" si="1031"/>
        <v>15772.763719980334</v>
      </c>
      <c r="ALE18" s="29">
        <f t="shared" ca="1" si="1032"/>
        <v>13943.167038243748</v>
      </c>
      <c r="ALF18" s="29">
        <f t="shared" ca="1" si="1033"/>
        <v>13418.204558856485</v>
      </c>
      <c r="ALG18" s="29">
        <f t="shared" ca="1" si="1034"/>
        <v>14813.150157279326</v>
      </c>
      <c r="ALH18" s="29">
        <f t="shared" ca="1" si="1035"/>
        <v>14719.602837788283</v>
      </c>
      <c r="ALI18" s="29">
        <f t="shared" ca="1" si="1036"/>
        <v>14373.68544982333</v>
      </c>
      <c r="ALJ18" s="29">
        <f t="shared" ca="1" si="1037"/>
        <v>14921.827941879899</v>
      </c>
      <c r="ALK18" s="29">
        <f t="shared" ca="1" si="1038"/>
        <v>14759.607497218096</v>
      </c>
      <c r="ALL18" s="29">
        <f t="shared" ca="1" si="1039"/>
        <v>14391.009609798568</v>
      </c>
      <c r="ALM18" s="29">
        <f t="shared" ca="1" si="1040"/>
        <v>13499.293704257963</v>
      </c>
      <c r="ALN18" s="29">
        <f t="shared" ca="1" si="1041"/>
        <v>13913.53113842024</v>
      </c>
      <c r="ALO18" s="29">
        <f t="shared" ca="1" si="1042"/>
        <v>13724.72050423323</v>
      </c>
      <c r="ALP18" s="29">
        <f t="shared" ca="1" si="1043"/>
        <v>14476.815426627503</v>
      </c>
      <c r="ALQ18" s="29">
        <f t="shared" ca="1" si="1044"/>
        <v>14818.684146957745</v>
      </c>
      <c r="ALR18" s="29">
        <f t="shared" ca="1" si="1045"/>
        <v>14592.859183770735</v>
      </c>
      <c r="ALS18" s="29">
        <f t="shared" ca="1" si="1046"/>
        <v>14187.140387021411</v>
      </c>
      <c r="ALT18" s="29">
        <f t="shared" ca="1" si="1047"/>
        <v>14092.642016658359</v>
      </c>
      <c r="ALU18" s="29">
        <f t="shared" ca="1" si="1048"/>
        <v>14729.812800409814</v>
      </c>
      <c r="ALV18" s="29">
        <f t="shared" ca="1" si="1049"/>
        <v>14431.390465403832</v>
      </c>
    </row>
    <row r="19" spans="1:1010" x14ac:dyDescent="0.25">
      <c r="A19" s="1">
        <v>40501</v>
      </c>
      <c r="B19" s="2">
        <v>5890.2998049999997</v>
      </c>
      <c r="C19" s="16">
        <f t="shared" si="32"/>
        <v>-1.8252519671669267E-2</v>
      </c>
      <c r="E19" s="35" t="s">
        <v>65</v>
      </c>
      <c r="J19" s="29">
        <f t="shared" si="49"/>
        <v>16</v>
      </c>
      <c r="K19" s="29">
        <f t="shared" ca="1" si="50"/>
        <v>14948.622757496512</v>
      </c>
      <c r="L19" s="29">
        <f t="shared" ca="1" si="51"/>
        <v>13737.09008876955</v>
      </c>
      <c r="M19" s="29">
        <f t="shared" ca="1" si="52"/>
        <v>14875.067329718891</v>
      </c>
      <c r="N19" s="29">
        <f t="shared" ca="1" si="53"/>
        <v>13368.77490497257</v>
      </c>
      <c r="O19" s="29">
        <f t="shared" ca="1" si="54"/>
        <v>15139.177642839</v>
      </c>
      <c r="P19" s="29">
        <f t="shared" ca="1" si="55"/>
        <v>15102.020540625655</v>
      </c>
      <c r="Q19" s="29">
        <f t="shared" ca="1" si="56"/>
        <v>13031.740392994016</v>
      </c>
      <c r="R19" s="29">
        <f t="shared" ca="1" si="57"/>
        <v>14202.280704571234</v>
      </c>
      <c r="S19" s="29">
        <f t="shared" ca="1" si="58"/>
        <v>14302.428937226134</v>
      </c>
      <c r="T19" s="29">
        <f t="shared" ca="1" si="59"/>
        <v>15596.036197165335</v>
      </c>
      <c r="U19" s="29">
        <f t="shared" ca="1" si="60"/>
        <v>14989.078968262973</v>
      </c>
      <c r="V19" s="29">
        <f t="shared" ca="1" si="61"/>
        <v>14057.480757624062</v>
      </c>
      <c r="W19" s="29">
        <f t="shared" ca="1" si="62"/>
        <v>14033.947364104768</v>
      </c>
      <c r="X19" s="29">
        <f t="shared" ca="1" si="63"/>
        <v>15585.884546049136</v>
      </c>
      <c r="Y19" s="29">
        <f t="shared" ca="1" si="64"/>
        <v>14456.182174645815</v>
      </c>
      <c r="Z19" s="29">
        <f t="shared" ca="1" si="65"/>
        <v>14115.098224279165</v>
      </c>
      <c r="AA19" s="29">
        <f t="shared" ca="1" si="66"/>
        <v>15318.834333899764</v>
      </c>
      <c r="AB19" s="29">
        <f t="shared" ca="1" si="67"/>
        <v>15945.325795092322</v>
      </c>
      <c r="AC19" s="29">
        <f t="shared" ca="1" si="68"/>
        <v>15580.69401344399</v>
      </c>
      <c r="AD19" s="29">
        <f t="shared" ca="1" si="69"/>
        <v>14415.435652937609</v>
      </c>
      <c r="AE19" s="29">
        <f t="shared" ca="1" si="70"/>
        <v>15480.004814474269</v>
      </c>
      <c r="AF19" s="29">
        <f t="shared" ca="1" si="71"/>
        <v>14572.199954743583</v>
      </c>
      <c r="AG19" s="29">
        <f t="shared" ca="1" si="72"/>
        <v>13573.088142933702</v>
      </c>
      <c r="AH19" s="29">
        <f t="shared" ca="1" si="73"/>
        <v>14742.744532538458</v>
      </c>
      <c r="AI19" s="29">
        <f t="shared" ca="1" si="74"/>
        <v>14140.492920671741</v>
      </c>
      <c r="AJ19" s="29">
        <f t="shared" ca="1" si="75"/>
        <v>14802.341592235585</v>
      </c>
      <c r="AK19" s="29">
        <f t="shared" ca="1" si="76"/>
        <v>13670.817514438433</v>
      </c>
      <c r="AL19" s="29">
        <f t="shared" ca="1" si="77"/>
        <v>14518.114365850133</v>
      </c>
      <c r="AM19" s="29">
        <f t="shared" ca="1" si="78"/>
        <v>15023.997067105256</v>
      </c>
      <c r="AN19" s="29">
        <f t="shared" ca="1" si="79"/>
        <v>14594.967379083571</v>
      </c>
      <c r="AO19" s="29">
        <f t="shared" ca="1" si="80"/>
        <v>14139.54855886712</v>
      </c>
      <c r="AP19" s="29">
        <f t="shared" ca="1" si="81"/>
        <v>14533.230582308501</v>
      </c>
      <c r="AQ19" s="29">
        <f t="shared" ca="1" si="82"/>
        <v>15335.99846225387</v>
      </c>
      <c r="AR19" s="29">
        <f t="shared" ca="1" si="83"/>
        <v>14111.211802771904</v>
      </c>
      <c r="AS19" s="29">
        <f t="shared" ca="1" si="84"/>
        <v>13182.91129333203</v>
      </c>
      <c r="AT19" s="29">
        <f t="shared" ca="1" si="85"/>
        <v>14811.966747811257</v>
      </c>
      <c r="AU19" s="29">
        <f t="shared" ca="1" si="86"/>
        <v>14187.128622892329</v>
      </c>
      <c r="AV19" s="29">
        <f t="shared" ca="1" si="87"/>
        <v>14511.920266096995</v>
      </c>
      <c r="AW19" s="29">
        <f t="shared" ca="1" si="88"/>
        <v>15722.072095593026</v>
      </c>
      <c r="AX19" s="29">
        <f t="shared" ca="1" si="89"/>
        <v>13805.903601870777</v>
      </c>
      <c r="AY19" s="29">
        <f t="shared" ca="1" si="90"/>
        <v>13733.396273802386</v>
      </c>
      <c r="AZ19" s="29">
        <f t="shared" ca="1" si="91"/>
        <v>14160.50557299954</v>
      </c>
      <c r="BA19" s="29">
        <f t="shared" ca="1" si="92"/>
        <v>14820.165910594696</v>
      </c>
      <c r="BB19" s="29">
        <f t="shared" ca="1" si="93"/>
        <v>13586.648336524991</v>
      </c>
      <c r="BC19" s="29">
        <f t="shared" ca="1" si="94"/>
        <v>13344.339382726364</v>
      </c>
      <c r="BD19" s="29">
        <f t="shared" ca="1" si="95"/>
        <v>14129.713086024261</v>
      </c>
      <c r="BE19" s="29">
        <f t="shared" ca="1" si="96"/>
        <v>15720.311402552026</v>
      </c>
      <c r="BF19" s="29">
        <f t="shared" ca="1" si="97"/>
        <v>15482.369223494572</v>
      </c>
      <c r="BG19" s="29">
        <f t="shared" ca="1" si="98"/>
        <v>13961.125030764733</v>
      </c>
      <c r="BH19" s="29">
        <f t="shared" ca="1" si="99"/>
        <v>15001.474198760256</v>
      </c>
      <c r="BI19" s="29">
        <f t="shared" ca="1" si="100"/>
        <v>14163.39774778054</v>
      </c>
      <c r="BJ19" s="29">
        <f t="shared" ca="1" si="101"/>
        <v>13894.267383310345</v>
      </c>
      <c r="BK19" s="29">
        <f t="shared" ca="1" si="102"/>
        <v>13690.220780886779</v>
      </c>
      <c r="BL19" s="29">
        <f t="shared" ca="1" si="103"/>
        <v>14250.210999143075</v>
      </c>
      <c r="BM19" s="29">
        <f t="shared" ca="1" si="104"/>
        <v>14845.908348262368</v>
      </c>
      <c r="BN19" s="29">
        <f t="shared" ca="1" si="105"/>
        <v>14699.513377123281</v>
      </c>
      <c r="BO19" s="29">
        <f t="shared" ca="1" si="106"/>
        <v>15208.550406086972</v>
      </c>
      <c r="BP19" s="29">
        <f t="shared" ca="1" si="107"/>
        <v>14799.796171016169</v>
      </c>
      <c r="BQ19" s="29">
        <f t="shared" ca="1" si="108"/>
        <v>14602.196953725075</v>
      </c>
      <c r="BR19" s="29">
        <f t="shared" ca="1" si="109"/>
        <v>13243.440237576302</v>
      </c>
      <c r="BS19" s="29">
        <f t="shared" ca="1" si="110"/>
        <v>15019.698486937104</v>
      </c>
      <c r="BT19" s="29">
        <f t="shared" ca="1" si="111"/>
        <v>14672.647119984269</v>
      </c>
      <c r="BU19" s="29">
        <f t="shared" ca="1" si="112"/>
        <v>13808.121916952461</v>
      </c>
      <c r="BV19" s="29">
        <f t="shared" ca="1" si="113"/>
        <v>15910.877281717345</v>
      </c>
      <c r="BW19" s="29">
        <f t="shared" ca="1" si="114"/>
        <v>14375.232050958899</v>
      </c>
      <c r="BX19" s="29">
        <f t="shared" ca="1" si="115"/>
        <v>14700.391970694734</v>
      </c>
      <c r="BY19" s="29">
        <f t="shared" ca="1" si="116"/>
        <v>14851.054347561012</v>
      </c>
      <c r="BZ19" s="29">
        <f t="shared" ca="1" si="117"/>
        <v>13634.25501090422</v>
      </c>
      <c r="CA19" s="29">
        <f t="shared" ca="1" si="118"/>
        <v>14613.702043824316</v>
      </c>
      <c r="CB19" s="29">
        <f t="shared" ca="1" si="119"/>
        <v>15747.42208646369</v>
      </c>
      <c r="CC19" s="29">
        <f t="shared" ca="1" si="120"/>
        <v>13616.447828377362</v>
      </c>
      <c r="CD19" s="29">
        <f t="shared" ca="1" si="121"/>
        <v>14586.778066902167</v>
      </c>
      <c r="CE19" s="29">
        <f t="shared" ca="1" si="122"/>
        <v>16246.986164213358</v>
      </c>
      <c r="CF19" s="29">
        <f t="shared" ca="1" si="123"/>
        <v>15177.315153812859</v>
      </c>
      <c r="CG19" s="29">
        <f t="shared" ca="1" si="124"/>
        <v>14660.883191380535</v>
      </c>
      <c r="CH19" s="29">
        <f t="shared" ca="1" si="125"/>
        <v>15403.409183659163</v>
      </c>
      <c r="CI19" s="29">
        <f t="shared" ca="1" si="126"/>
        <v>15093.083688781155</v>
      </c>
      <c r="CJ19" s="29">
        <f t="shared" ca="1" si="127"/>
        <v>14421.836040859784</v>
      </c>
      <c r="CK19" s="29">
        <f t="shared" ca="1" si="128"/>
        <v>13964.677473331545</v>
      </c>
      <c r="CL19" s="29">
        <f t="shared" ca="1" si="129"/>
        <v>14692.566756332917</v>
      </c>
      <c r="CM19" s="29">
        <f t="shared" ca="1" si="130"/>
        <v>14545.818365034394</v>
      </c>
      <c r="CN19" s="29">
        <f t="shared" ca="1" si="131"/>
        <v>14272.419008215154</v>
      </c>
      <c r="CO19" s="29">
        <f t="shared" ca="1" si="132"/>
        <v>15282.406230642342</v>
      </c>
      <c r="CP19" s="29">
        <f t="shared" ca="1" si="133"/>
        <v>14064.542636876828</v>
      </c>
      <c r="CQ19" s="29">
        <f t="shared" ca="1" si="134"/>
        <v>13484.02701997769</v>
      </c>
      <c r="CR19" s="29">
        <f t="shared" ca="1" si="135"/>
        <v>14334.928681533916</v>
      </c>
      <c r="CS19" s="29">
        <f t="shared" ca="1" si="136"/>
        <v>13592.681957763014</v>
      </c>
      <c r="CT19" s="29">
        <f t="shared" ca="1" si="137"/>
        <v>14414.267391048115</v>
      </c>
      <c r="CU19" s="29">
        <f t="shared" ca="1" si="138"/>
        <v>14199.172267659611</v>
      </c>
      <c r="CV19" s="29">
        <f t="shared" ca="1" si="139"/>
        <v>13897.787889088109</v>
      </c>
      <c r="CW19" s="29">
        <f t="shared" ca="1" si="140"/>
        <v>13591.062932139053</v>
      </c>
      <c r="CX19" s="29">
        <f t="shared" ca="1" si="141"/>
        <v>13396.709173211941</v>
      </c>
      <c r="CY19" s="29">
        <f t="shared" ca="1" si="142"/>
        <v>14650.127162939467</v>
      </c>
      <c r="CZ19" s="29">
        <f t="shared" ca="1" si="143"/>
        <v>12601.000846436147</v>
      </c>
      <c r="DA19" s="29">
        <f t="shared" ca="1" si="144"/>
        <v>15011.626038674984</v>
      </c>
      <c r="DB19" s="29">
        <f t="shared" ca="1" si="145"/>
        <v>15781.798856954745</v>
      </c>
      <c r="DC19" s="29">
        <f t="shared" ca="1" si="146"/>
        <v>15480.723231941223</v>
      </c>
      <c r="DD19" s="29">
        <f t="shared" ca="1" si="147"/>
        <v>13486.986874628588</v>
      </c>
      <c r="DE19" s="29">
        <f t="shared" ca="1" si="148"/>
        <v>14497.531963029218</v>
      </c>
      <c r="DF19" s="29">
        <f t="shared" ca="1" si="149"/>
        <v>14090.735921834314</v>
      </c>
      <c r="DG19" s="29">
        <f t="shared" ca="1" si="150"/>
        <v>14676.191742531948</v>
      </c>
      <c r="DH19" s="29">
        <f t="shared" ca="1" si="151"/>
        <v>13946.423993633674</v>
      </c>
      <c r="DI19" s="29">
        <f t="shared" ca="1" si="152"/>
        <v>14718.651956555113</v>
      </c>
      <c r="DJ19" s="29">
        <f t="shared" ca="1" si="153"/>
        <v>15524.837573342826</v>
      </c>
      <c r="DK19" s="29">
        <f t="shared" ca="1" si="154"/>
        <v>13443.204974576531</v>
      </c>
      <c r="DL19" s="29">
        <f t="shared" ca="1" si="155"/>
        <v>14986.678066387172</v>
      </c>
      <c r="DM19" s="29">
        <f t="shared" ca="1" si="156"/>
        <v>14183.360229375354</v>
      </c>
      <c r="DN19" s="29">
        <f t="shared" ca="1" si="157"/>
        <v>14815.671248545796</v>
      </c>
      <c r="DO19" s="29">
        <f t="shared" ca="1" si="158"/>
        <v>13555.430961208309</v>
      </c>
      <c r="DP19" s="29">
        <f t="shared" ca="1" si="159"/>
        <v>14434.732813203547</v>
      </c>
      <c r="DQ19" s="29">
        <f t="shared" ca="1" si="160"/>
        <v>14891.740006449327</v>
      </c>
      <c r="DR19" s="29">
        <f t="shared" ca="1" si="161"/>
        <v>13173.72639971084</v>
      </c>
      <c r="DS19" s="29">
        <f t="shared" ca="1" si="162"/>
        <v>15132.575116787148</v>
      </c>
      <c r="DT19" s="29">
        <f t="shared" ca="1" si="163"/>
        <v>14325.400119984699</v>
      </c>
      <c r="DU19" s="29">
        <f t="shared" ca="1" si="164"/>
        <v>14462.154256988029</v>
      </c>
      <c r="DV19" s="29">
        <f t="shared" ca="1" si="165"/>
        <v>14347.259124579145</v>
      </c>
      <c r="DW19" s="29">
        <f t="shared" ca="1" si="166"/>
        <v>14326.886462055338</v>
      </c>
      <c r="DX19" s="29">
        <f t="shared" ca="1" si="167"/>
        <v>13684.484417751921</v>
      </c>
      <c r="DY19" s="29">
        <f t="shared" ca="1" si="168"/>
        <v>14120.618988469974</v>
      </c>
      <c r="DZ19" s="29">
        <f t="shared" ca="1" si="169"/>
        <v>14491.854485992726</v>
      </c>
      <c r="EA19" s="29">
        <f t="shared" ca="1" si="170"/>
        <v>14184.412080400443</v>
      </c>
      <c r="EB19" s="29">
        <f t="shared" ca="1" si="171"/>
        <v>13775.236693691064</v>
      </c>
      <c r="EC19" s="29">
        <f t="shared" ca="1" si="172"/>
        <v>14751.419039381452</v>
      </c>
      <c r="ED19" s="29">
        <f t="shared" ca="1" si="173"/>
        <v>15483.790009317525</v>
      </c>
      <c r="EE19" s="29">
        <f t="shared" ca="1" si="174"/>
        <v>13967.675994733341</v>
      </c>
      <c r="EF19" s="29">
        <f t="shared" ca="1" si="175"/>
        <v>15186.963027641341</v>
      </c>
      <c r="EG19" s="29">
        <f t="shared" ca="1" si="176"/>
        <v>14748.712313446016</v>
      </c>
      <c r="EH19" s="29">
        <f t="shared" ca="1" si="177"/>
        <v>13750.21862649829</v>
      </c>
      <c r="EI19" s="29">
        <f t="shared" ca="1" si="178"/>
        <v>14025.695766681374</v>
      </c>
      <c r="EJ19" s="29">
        <f t="shared" ca="1" si="179"/>
        <v>14472.588905383695</v>
      </c>
      <c r="EK19" s="29">
        <f t="shared" ca="1" si="180"/>
        <v>14605.999765847198</v>
      </c>
      <c r="EL19" s="29">
        <f t="shared" ca="1" si="181"/>
        <v>14396.584228312659</v>
      </c>
      <c r="EM19" s="29">
        <f t="shared" ca="1" si="182"/>
        <v>14163.981620223352</v>
      </c>
      <c r="EN19" s="29">
        <f t="shared" ca="1" si="183"/>
        <v>14355.645955384818</v>
      </c>
      <c r="EO19" s="29">
        <f t="shared" ca="1" si="184"/>
        <v>14301.611061950918</v>
      </c>
      <c r="EP19" s="29">
        <f t="shared" ca="1" si="185"/>
        <v>14187.439116910389</v>
      </c>
      <c r="EQ19" s="29">
        <f t="shared" ca="1" si="186"/>
        <v>15133.324204937264</v>
      </c>
      <c r="ER19" s="29">
        <f t="shared" ca="1" si="187"/>
        <v>13774.132412791281</v>
      </c>
      <c r="ES19" s="29">
        <f t="shared" ca="1" si="188"/>
        <v>14481.019565293007</v>
      </c>
      <c r="ET19" s="29">
        <f t="shared" ca="1" si="189"/>
        <v>14561.154081333507</v>
      </c>
      <c r="EU19" s="29">
        <f t="shared" ca="1" si="190"/>
        <v>14586.192856713576</v>
      </c>
      <c r="EV19" s="29">
        <f t="shared" ca="1" si="191"/>
        <v>15293.367667340699</v>
      </c>
      <c r="EW19" s="29">
        <f t="shared" ca="1" si="192"/>
        <v>13884.11423123347</v>
      </c>
      <c r="EX19" s="29">
        <f t="shared" ca="1" si="193"/>
        <v>15062.564452888137</v>
      </c>
      <c r="EY19" s="29">
        <f t="shared" ca="1" si="194"/>
        <v>14379.287330745659</v>
      </c>
      <c r="EZ19" s="29">
        <f t="shared" ca="1" si="195"/>
        <v>14611.249146922926</v>
      </c>
      <c r="FA19" s="29">
        <f t="shared" ca="1" si="196"/>
        <v>14624.524972876248</v>
      </c>
      <c r="FB19" s="29">
        <f t="shared" ca="1" si="197"/>
        <v>15383.311297163298</v>
      </c>
      <c r="FC19" s="29">
        <f t="shared" ca="1" si="198"/>
        <v>15371.278802831612</v>
      </c>
      <c r="FD19" s="29">
        <f t="shared" ca="1" si="199"/>
        <v>14308.187710143035</v>
      </c>
      <c r="FE19" s="29">
        <f t="shared" ca="1" si="200"/>
        <v>15197.540367952863</v>
      </c>
      <c r="FF19" s="29">
        <f t="shared" ca="1" si="201"/>
        <v>14928.242834027247</v>
      </c>
      <c r="FG19" s="29">
        <f t="shared" ca="1" si="202"/>
        <v>13903.50283814431</v>
      </c>
      <c r="FH19" s="29">
        <f t="shared" ca="1" si="203"/>
        <v>13564.612734178521</v>
      </c>
      <c r="FI19" s="29">
        <f t="shared" ca="1" si="204"/>
        <v>14208.580585355514</v>
      </c>
      <c r="FJ19" s="29">
        <f t="shared" ca="1" si="205"/>
        <v>14629.157818072623</v>
      </c>
      <c r="FK19" s="29">
        <f t="shared" ca="1" si="206"/>
        <v>15194.89959945764</v>
      </c>
      <c r="FL19" s="29">
        <f t="shared" ca="1" si="207"/>
        <v>14190.935452940716</v>
      </c>
      <c r="FM19" s="29">
        <f t="shared" ca="1" si="208"/>
        <v>14383.766618001178</v>
      </c>
      <c r="FN19" s="29">
        <f t="shared" ca="1" si="209"/>
        <v>13592.595270970231</v>
      </c>
      <c r="FO19" s="29">
        <f t="shared" ca="1" si="210"/>
        <v>14027.530000533625</v>
      </c>
      <c r="FP19" s="29">
        <f t="shared" ca="1" si="211"/>
        <v>13603.434355839214</v>
      </c>
      <c r="FQ19" s="29">
        <f t="shared" ca="1" si="212"/>
        <v>14445.451129423158</v>
      </c>
      <c r="FR19" s="29">
        <f t="shared" ca="1" si="213"/>
        <v>14635.524106942223</v>
      </c>
      <c r="FS19" s="29">
        <f t="shared" ca="1" si="214"/>
        <v>15076.583041064558</v>
      </c>
      <c r="FT19" s="29">
        <f t="shared" ca="1" si="215"/>
        <v>14712.019888929908</v>
      </c>
      <c r="FU19" s="29">
        <f t="shared" ca="1" si="216"/>
        <v>13923.870180991358</v>
      </c>
      <c r="FV19" s="29">
        <f t="shared" ca="1" si="217"/>
        <v>15072.055814403177</v>
      </c>
      <c r="FW19" s="29">
        <f t="shared" ca="1" si="218"/>
        <v>14253.922756822969</v>
      </c>
      <c r="FX19" s="29">
        <f t="shared" ca="1" si="219"/>
        <v>15283.95096816309</v>
      </c>
      <c r="FY19" s="29">
        <f t="shared" ca="1" si="220"/>
        <v>14479.310332035093</v>
      </c>
      <c r="FZ19" s="29">
        <f t="shared" ca="1" si="221"/>
        <v>13778.870768615421</v>
      </c>
      <c r="GA19" s="29">
        <f t="shared" ca="1" si="222"/>
        <v>13625.193705580301</v>
      </c>
      <c r="GB19" s="29">
        <f t="shared" ca="1" si="223"/>
        <v>15783.211502774839</v>
      </c>
      <c r="GC19" s="29">
        <f t="shared" ca="1" si="224"/>
        <v>15455.458468612613</v>
      </c>
      <c r="GD19" s="29">
        <f t="shared" ca="1" si="225"/>
        <v>14706.574941000103</v>
      </c>
      <c r="GE19" s="29">
        <f t="shared" ca="1" si="226"/>
        <v>14477.366414079515</v>
      </c>
      <c r="GF19" s="29">
        <f t="shared" ca="1" si="227"/>
        <v>14503.196454651235</v>
      </c>
      <c r="GG19" s="29">
        <f t="shared" ca="1" si="228"/>
        <v>14886.037325128145</v>
      </c>
      <c r="GH19" s="29">
        <f t="shared" ca="1" si="229"/>
        <v>14230.147945081582</v>
      </c>
      <c r="GI19" s="29">
        <f t="shared" ca="1" si="230"/>
        <v>14378.08162310103</v>
      </c>
      <c r="GJ19" s="29">
        <f t="shared" ca="1" si="231"/>
        <v>14247.036604639185</v>
      </c>
      <c r="GK19" s="29">
        <f t="shared" ca="1" si="232"/>
        <v>14110.464342688512</v>
      </c>
      <c r="GL19" s="29">
        <f t="shared" ca="1" si="233"/>
        <v>13903.398771861126</v>
      </c>
      <c r="GM19" s="29">
        <f t="shared" ca="1" si="234"/>
        <v>14201.401089444798</v>
      </c>
      <c r="GN19" s="29">
        <f t="shared" ca="1" si="235"/>
        <v>13675.36985251795</v>
      </c>
      <c r="GO19" s="29">
        <f t="shared" ca="1" si="236"/>
        <v>13505.942725932769</v>
      </c>
      <c r="GP19" s="29">
        <f t="shared" ca="1" si="237"/>
        <v>15703.634768170401</v>
      </c>
      <c r="GQ19" s="29">
        <f t="shared" ca="1" si="238"/>
        <v>14339.331102807051</v>
      </c>
      <c r="GR19" s="29">
        <f t="shared" ca="1" si="239"/>
        <v>14013.197569330296</v>
      </c>
      <c r="GS19" s="29">
        <f t="shared" ca="1" si="240"/>
        <v>14739.977027573394</v>
      </c>
      <c r="GT19" s="29">
        <f t="shared" ca="1" si="241"/>
        <v>14198.334338252436</v>
      </c>
      <c r="GU19" s="29">
        <f t="shared" ca="1" si="242"/>
        <v>14271.046617101239</v>
      </c>
      <c r="GV19" s="29">
        <f t="shared" ca="1" si="243"/>
        <v>15157.642873602272</v>
      </c>
      <c r="GW19" s="29">
        <f t="shared" ca="1" si="244"/>
        <v>13508.225710911032</v>
      </c>
      <c r="GX19" s="29">
        <f t="shared" ca="1" si="245"/>
        <v>14459.742196747113</v>
      </c>
      <c r="GY19" s="29">
        <f t="shared" ca="1" si="246"/>
        <v>15100.647854766596</v>
      </c>
      <c r="GZ19" s="29">
        <f t="shared" ca="1" si="247"/>
        <v>14891.780886494797</v>
      </c>
      <c r="HA19" s="29">
        <f t="shared" ca="1" si="248"/>
        <v>15292.301350457281</v>
      </c>
      <c r="HB19" s="29">
        <f t="shared" ca="1" si="249"/>
        <v>14114.59089803891</v>
      </c>
      <c r="HC19" s="29">
        <f t="shared" ca="1" si="250"/>
        <v>14758.507110769244</v>
      </c>
      <c r="HD19" s="29">
        <f t="shared" ca="1" si="251"/>
        <v>13362.899933419358</v>
      </c>
      <c r="HE19" s="29">
        <f t="shared" ca="1" si="252"/>
        <v>15157.640040269518</v>
      </c>
      <c r="HF19" s="29">
        <f t="shared" ca="1" si="253"/>
        <v>13867.242304337364</v>
      </c>
      <c r="HG19" s="29">
        <f t="shared" ca="1" si="254"/>
        <v>13829.490518941655</v>
      </c>
      <c r="HH19" s="29">
        <f t="shared" ca="1" si="255"/>
        <v>13516.895599068877</v>
      </c>
      <c r="HI19" s="29">
        <f t="shared" ca="1" si="256"/>
        <v>13896.49966477514</v>
      </c>
      <c r="HJ19" s="29">
        <f t="shared" ca="1" si="257"/>
        <v>13813.127460877764</v>
      </c>
      <c r="HK19" s="29">
        <f t="shared" ca="1" si="258"/>
        <v>15228.658644587456</v>
      </c>
      <c r="HL19" s="29">
        <f t="shared" ca="1" si="259"/>
        <v>15610.819085750813</v>
      </c>
      <c r="HM19" s="29">
        <f t="shared" ca="1" si="260"/>
        <v>13863.609947885554</v>
      </c>
      <c r="HN19" s="29">
        <f t="shared" ca="1" si="261"/>
        <v>13411.141534172613</v>
      </c>
      <c r="HO19" s="29">
        <f t="shared" ca="1" si="262"/>
        <v>14957.754126202291</v>
      </c>
      <c r="HP19" s="29">
        <f t="shared" ca="1" si="263"/>
        <v>13586.552044350663</v>
      </c>
      <c r="HQ19" s="29">
        <f t="shared" ca="1" si="264"/>
        <v>14164.055391202393</v>
      </c>
      <c r="HR19" s="29">
        <f t="shared" ca="1" si="265"/>
        <v>14992.967908599643</v>
      </c>
      <c r="HS19" s="29">
        <f t="shared" ca="1" si="266"/>
        <v>14558.564071282755</v>
      </c>
      <c r="HT19" s="29">
        <f t="shared" ca="1" si="267"/>
        <v>14725.686075913709</v>
      </c>
      <c r="HU19" s="29">
        <f t="shared" ca="1" si="268"/>
        <v>14251.045372861541</v>
      </c>
      <c r="HV19" s="29">
        <f t="shared" ca="1" si="269"/>
        <v>14748.741793438665</v>
      </c>
      <c r="HW19" s="29">
        <f t="shared" ca="1" si="270"/>
        <v>14597.415552686829</v>
      </c>
      <c r="HX19" s="29">
        <f t="shared" ca="1" si="271"/>
        <v>14805.452090315548</v>
      </c>
      <c r="HY19" s="29">
        <f t="shared" ca="1" si="272"/>
        <v>14711.432684531213</v>
      </c>
      <c r="HZ19" s="29">
        <f t="shared" ca="1" si="273"/>
        <v>13814.137362126612</v>
      </c>
      <c r="IA19" s="29">
        <f t="shared" ca="1" si="274"/>
        <v>14780.602891784432</v>
      </c>
      <c r="IB19" s="29">
        <f t="shared" ca="1" si="275"/>
        <v>15261.399660087103</v>
      </c>
      <c r="IC19" s="29">
        <f t="shared" ca="1" si="276"/>
        <v>13476.287276762898</v>
      </c>
      <c r="ID19" s="29">
        <f t="shared" ca="1" si="277"/>
        <v>14373.515564932752</v>
      </c>
      <c r="IE19" s="29">
        <f t="shared" ca="1" si="278"/>
        <v>13090.179733005358</v>
      </c>
      <c r="IF19" s="29">
        <f t="shared" ca="1" si="279"/>
        <v>15292.388172112858</v>
      </c>
      <c r="IG19" s="29">
        <f t="shared" ca="1" si="280"/>
        <v>14027.824314035348</v>
      </c>
      <c r="IH19" s="29">
        <f t="shared" ca="1" si="281"/>
        <v>14423.573083765761</v>
      </c>
      <c r="II19" s="29">
        <f t="shared" ca="1" si="282"/>
        <v>15074.681421200057</v>
      </c>
      <c r="IJ19" s="29">
        <f t="shared" ca="1" si="283"/>
        <v>14445.301103127413</v>
      </c>
      <c r="IK19" s="29">
        <f t="shared" ca="1" si="284"/>
        <v>14353.574673963933</v>
      </c>
      <c r="IL19" s="29">
        <f t="shared" ca="1" si="285"/>
        <v>16073.278936621562</v>
      </c>
      <c r="IM19" s="29">
        <f t="shared" ca="1" si="286"/>
        <v>13716.607603978167</v>
      </c>
      <c r="IN19" s="29">
        <f t="shared" ca="1" si="287"/>
        <v>15123.764430075291</v>
      </c>
      <c r="IO19" s="29">
        <f t="shared" ca="1" si="288"/>
        <v>14881.244673685873</v>
      </c>
      <c r="IP19" s="29">
        <f t="shared" ca="1" si="289"/>
        <v>14796.428807988794</v>
      </c>
      <c r="IQ19" s="29">
        <f t="shared" ca="1" si="290"/>
        <v>13656.194321493364</v>
      </c>
      <c r="IR19" s="29">
        <f t="shared" ca="1" si="291"/>
        <v>14422.106966067609</v>
      </c>
      <c r="IS19" s="29">
        <f t="shared" ca="1" si="292"/>
        <v>13214.420825630104</v>
      </c>
      <c r="IT19" s="29">
        <f t="shared" ca="1" si="293"/>
        <v>15798.297633427308</v>
      </c>
      <c r="IU19" s="29">
        <f t="shared" ca="1" si="294"/>
        <v>15578.22905123258</v>
      </c>
      <c r="IV19" s="29">
        <f t="shared" ca="1" si="295"/>
        <v>14196.435718031295</v>
      </c>
      <c r="IW19" s="29">
        <f t="shared" ca="1" si="296"/>
        <v>15286.836978828887</v>
      </c>
      <c r="IX19" s="29">
        <f t="shared" ca="1" si="297"/>
        <v>15152.08432245969</v>
      </c>
      <c r="IY19" s="29">
        <f t="shared" ca="1" si="298"/>
        <v>14014.417349188119</v>
      </c>
      <c r="IZ19" s="29">
        <f t="shared" ca="1" si="299"/>
        <v>13964.055579165124</v>
      </c>
      <c r="JA19" s="29">
        <f t="shared" ca="1" si="300"/>
        <v>13839.88882027796</v>
      </c>
      <c r="JB19" s="29">
        <f t="shared" ca="1" si="301"/>
        <v>13832.705309053128</v>
      </c>
      <c r="JC19" s="29">
        <f t="shared" ca="1" si="302"/>
        <v>14632.609919922495</v>
      </c>
      <c r="JD19" s="29">
        <f t="shared" ca="1" si="303"/>
        <v>14113.794325891504</v>
      </c>
      <c r="JE19" s="29">
        <f t="shared" ca="1" si="304"/>
        <v>13255.341160777962</v>
      </c>
      <c r="JF19" s="29">
        <f t="shared" ca="1" si="305"/>
        <v>14445.267465924897</v>
      </c>
      <c r="JG19" s="29">
        <f t="shared" ca="1" si="306"/>
        <v>13693.400702458801</v>
      </c>
      <c r="JH19" s="29">
        <f t="shared" ca="1" si="307"/>
        <v>14525.605975887493</v>
      </c>
      <c r="JI19" s="29">
        <f t="shared" ca="1" si="308"/>
        <v>14267.418794629768</v>
      </c>
      <c r="JJ19" s="29">
        <f t="shared" ca="1" si="309"/>
        <v>14531.726853427572</v>
      </c>
      <c r="JK19" s="29">
        <f t="shared" ca="1" si="310"/>
        <v>14389.942143227527</v>
      </c>
      <c r="JL19" s="29">
        <f t="shared" ca="1" si="311"/>
        <v>14880.240640152315</v>
      </c>
      <c r="JM19" s="29">
        <f t="shared" ca="1" si="312"/>
        <v>13104.778063724882</v>
      </c>
      <c r="JN19" s="29">
        <f t="shared" ca="1" si="313"/>
        <v>14917.923214785706</v>
      </c>
      <c r="JO19" s="29">
        <f t="shared" ca="1" si="314"/>
        <v>15250.359399957197</v>
      </c>
      <c r="JP19" s="29">
        <f t="shared" ca="1" si="315"/>
        <v>14434.701695362215</v>
      </c>
      <c r="JQ19" s="29">
        <f t="shared" ca="1" si="316"/>
        <v>13832.714233646288</v>
      </c>
      <c r="JR19" s="29">
        <f t="shared" ca="1" si="317"/>
        <v>14613.368061627118</v>
      </c>
      <c r="JS19" s="29">
        <f t="shared" ca="1" si="318"/>
        <v>15530.974571219946</v>
      </c>
      <c r="JT19" s="29">
        <f t="shared" ca="1" si="319"/>
        <v>14529.664404743751</v>
      </c>
      <c r="JU19" s="29">
        <f t="shared" ca="1" si="320"/>
        <v>14555.553104523673</v>
      </c>
      <c r="JV19" s="29">
        <f t="shared" ca="1" si="321"/>
        <v>14405.024377610793</v>
      </c>
      <c r="JW19" s="29">
        <f t="shared" ca="1" si="322"/>
        <v>14534.235242498751</v>
      </c>
      <c r="JX19" s="29">
        <f t="shared" ca="1" si="323"/>
        <v>14785.564216404518</v>
      </c>
      <c r="JY19" s="29">
        <f t="shared" ca="1" si="324"/>
        <v>14091.427920815579</v>
      </c>
      <c r="JZ19" s="29">
        <f t="shared" ca="1" si="325"/>
        <v>14830.204505462407</v>
      </c>
      <c r="KA19" s="29">
        <f t="shared" ca="1" si="326"/>
        <v>14422.270271763842</v>
      </c>
      <c r="KB19" s="29">
        <f t="shared" ca="1" si="327"/>
        <v>13431.909179925951</v>
      </c>
      <c r="KC19" s="29">
        <f t="shared" ca="1" si="328"/>
        <v>14394.504346907996</v>
      </c>
      <c r="KD19" s="29">
        <f t="shared" ca="1" si="329"/>
        <v>13797.423528630479</v>
      </c>
      <c r="KE19" s="29">
        <f t="shared" ca="1" si="330"/>
        <v>16302.969434004104</v>
      </c>
      <c r="KF19" s="29">
        <f t="shared" ca="1" si="331"/>
        <v>14923.609686591628</v>
      </c>
      <c r="KG19" s="29">
        <f t="shared" ca="1" si="332"/>
        <v>14201.443270277077</v>
      </c>
      <c r="KH19" s="29">
        <f t="shared" ca="1" si="333"/>
        <v>14690.493371562136</v>
      </c>
      <c r="KI19" s="29">
        <f t="shared" ca="1" si="334"/>
        <v>13693.861676537874</v>
      </c>
      <c r="KJ19" s="29">
        <f t="shared" ca="1" si="335"/>
        <v>14757.858105056876</v>
      </c>
      <c r="KK19" s="29">
        <f t="shared" ca="1" si="336"/>
        <v>13857.531482620123</v>
      </c>
      <c r="KL19" s="29">
        <f t="shared" ca="1" si="337"/>
        <v>14660.624394839904</v>
      </c>
      <c r="KM19" s="29">
        <f t="shared" ca="1" si="338"/>
        <v>15581.760889236548</v>
      </c>
      <c r="KN19" s="29">
        <f t="shared" ca="1" si="339"/>
        <v>13882.575197635262</v>
      </c>
      <c r="KO19" s="29">
        <f t="shared" ca="1" si="340"/>
        <v>14403.549938899168</v>
      </c>
      <c r="KP19" s="29">
        <f t="shared" ca="1" si="341"/>
        <v>14351.651876552258</v>
      </c>
      <c r="KQ19" s="29">
        <f t="shared" ca="1" si="342"/>
        <v>13876.979537582883</v>
      </c>
      <c r="KR19" s="29">
        <f t="shared" ca="1" si="343"/>
        <v>14065.217981439489</v>
      </c>
      <c r="KS19" s="29">
        <f t="shared" ca="1" si="344"/>
        <v>13350.562372991793</v>
      </c>
      <c r="KT19" s="29">
        <f t="shared" ca="1" si="345"/>
        <v>14299.932137146605</v>
      </c>
      <c r="KU19" s="29">
        <f t="shared" ca="1" si="346"/>
        <v>13739.432214253689</v>
      </c>
      <c r="KV19" s="29">
        <f t="shared" ca="1" si="347"/>
        <v>14076.899063838235</v>
      </c>
      <c r="KW19" s="29">
        <f t="shared" ca="1" si="348"/>
        <v>14396.761388262603</v>
      </c>
      <c r="KX19" s="29">
        <f t="shared" ca="1" si="349"/>
        <v>13156.029241567925</v>
      </c>
      <c r="KY19" s="29">
        <f t="shared" ca="1" si="350"/>
        <v>14626.766405432929</v>
      </c>
      <c r="KZ19" s="29">
        <f t="shared" ca="1" si="351"/>
        <v>15305.690827503029</v>
      </c>
      <c r="LA19" s="29">
        <f t="shared" ca="1" si="352"/>
        <v>14941.049374453696</v>
      </c>
      <c r="LB19" s="29">
        <f t="shared" ca="1" si="353"/>
        <v>13878.76408825786</v>
      </c>
      <c r="LC19" s="29">
        <f t="shared" ca="1" si="354"/>
        <v>13940.259631871995</v>
      </c>
      <c r="LD19" s="29">
        <f t="shared" ca="1" si="355"/>
        <v>13798.463612663358</v>
      </c>
      <c r="LE19" s="29">
        <f t="shared" ca="1" si="356"/>
        <v>13987.761515675731</v>
      </c>
      <c r="LF19" s="29">
        <f t="shared" ca="1" si="357"/>
        <v>14104.116071254279</v>
      </c>
      <c r="LG19" s="29">
        <f t="shared" ca="1" si="358"/>
        <v>14338.518271999194</v>
      </c>
      <c r="LH19" s="29">
        <f t="shared" ca="1" si="359"/>
        <v>13491.366770556177</v>
      </c>
      <c r="LI19" s="29">
        <f t="shared" ca="1" si="360"/>
        <v>14251.671703467793</v>
      </c>
      <c r="LJ19" s="29">
        <f t="shared" ca="1" si="361"/>
        <v>14560.593857232598</v>
      </c>
      <c r="LK19" s="29">
        <f t="shared" ca="1" si="362"/>
        <v>14123.187320776517</v>
      </c>
      <c r="LL19" s="29">
        <f t="shared" ca="1" si="363"/>
        <v>15101.919845762952</v>
      </c>
      <c r="LM19" s="29">
        <f t="shared" ca="1" si="364"/>
        <v>14471.18772298062</v>
      </c>
      <c r="LN19" s="29">
        <f t="shared" ca="1" si="365"/>
        <v>14811.679763449196</v>
      </c>
      <c r="LO19" s="29">
        <f t="shared" ca="1" si="366"/>
        <v>14512.842288879739</v>
      </c>
      <c r="LP19" s="29">
        <f t="shared" ca="1" si="367"/>
        <v>14458.692131776052</v>
      </c>
      <c r="LQ19" s="29">
        <f t="shared" ca="1" si="368"/>
        <v>15699.570820462885</v>
      </c>
      <c r="LR19" s="29">
        <f t="shared" ca="1" si="369"/>
        <v>14414.383498259009</v>
      </c>
      <c r="LS19" s="29">
        <f t="shared" ca="1" si="370"/>
        <v>14112.434269991527</v>
      </c>
      <c r="LT19" s="29">
        <f t="shared" ca="1" si="371"/>
        <v>14504.246900928594</v>
      </c>
      <c r="LU19" s="29">
        <f t="shared" ca="1" si="372"/>
        <v>14283.715441211705</v>
      </c>
      <c r="LV19" s="29">
        <f t="shared" ca="1" si="373"/>
        <v>14576.090157117071</v>
      </c>
      <c r="LW19" s="29">
        <f t="shared" ca="1" si="374"/>
        <v>13980.157424180376</v>
      </c>
      <c r="LX19" s="29">
        <f t="shared" ca="1" si="375"/>
        <v>15131.663035551479</v>
      </c>
      <c r="LY19" s="29">
        <f t="shared" ca="1" si="376"/>
        <v>15463.839526776839</v>
      </c>
      <c r="LZ19" s="29">
        <f t="shared" ca="1" si="377"/>
        <v>14336.410772906034</v>
      </c>
      <c r="MA19" s="29">
        <f t="shared" ca="1" si="378"/>
        <v>13760.328317945537</v>
      </c>
      <c r="MB19" s="29">
        <f t="shared" ca="1" si="379"/>
        <v>13963.664483290046</v>
      </c>
      <c r="MC19" s="29">
        <f t="shared" ca="1" si="380"/>
        <v>14646.337068623307</v>
      </c>
      <c r="MD19" s="29">
        <f t="shared" ca="1" si="381"/>
        <v>14605.878362906704</v>
      </c>
      <c r="ME19" s="29">
        <f t="shared" ca="1" si="382"/>
        <v>13186.195892108515</v>
      </c>
      <c r="MF19" s="29">
        <f t="shared" ca="1" si="383"/>
        <v>14661.435149034865</v>
      </c>
      <c r="MG19" s="29">
        <f t="shared" ca="1" si="384"/>
        <v>14036.677366253256</v>
      </c>
      <c r="MH19" s="29">
        <f t="shared" ca="1" si="385"/>
        <v>14179.628470123123</v>
      </c>
      <c r="MI19" s="29">
        <f t="shared" ca="1" si="386"/>
        <v>15791.241265160737</v>
      </c>
      <c r="MJ19" s="29">
        <f t="shared" ca="1" si="387"/>
        <v>15696.891780318514</v>
      </c>
      <c r="MK19" s="29">
        <f t="shared" ca="1" si="388"/>
        <v>14413.1487247804</v>
      </c>
      <c r="ML19" s="29">
        <f t="shared" ca="1" si="389"/>
        <v>16173.790935303583</v>
      </c>
      <c r="MM19" s="29">
        <f t="shared" ca="1" si="390"/>
        <v>15790.194305495123</v>
      </c>
      <c r="MN19" s="29">
        <f t="shared" ca="1" si="391"/>
        <v>13837.027392705306</v>
      </c>
      <c r="MO19" s="29">
        <f t="shared" ca="1" si="392"/>
        <v>13597.632698130836</v>
      </c>
      <c r="MP19" s="29">
        <f t="shared" ca="1" si="393"/>
        <v>14560.911656654886</v>
      </c>
      <c r="MQ19" s="29">
        <f t="shared" ca="1" si="394"/>
        <v>14876.497301580275</v>
      </c>
      <c r="MR19" s="29">
        <f t="shared" ca="1" si="395"/>
        <v>14027.085479308196</v>
      </c>
      <c r="MS19" s="29">
        <f t="shared" ca="1" si="396"/>
        <v>13410.770528872763</v>
      </c>
      <c r="MT19" s="29">
        <f t="shared" ca="1" si="397"/>
        <v>14694.104847101644</v>
      </c>
      <c r="MU19" s="29">
        <f t="shared" ca="1" si="398"/>
        <v>14493.37394090499</v>
      </c>
      <c r="MV19" s="29">
        <f t="shared" ca="1" si="399"/>
        <v>13955.264862606764</v>
      </c>
      <c r="MW19" s="29">
        <f t="shared" ca="1" si="400"/>
        <v>14907.288607447193</v>
      </c>
      <c r="MX19" s="29">
        <f t="shared" ca="1" si="401"/>
        <v>14669.192998491393</v>
      </c>
      <c r="MY19" s="29">
        <f t="shared" ca="1" si="402"/>
        <v>14635.497644083503</v>
      </c>
      <c r="MZ19" s="29">
        <f t="shared" ca="1" si="403"/>
        <v>15511.550994300849</v>
      </c>
      <c r="NA19" s="29">
        <f t="shared" ca="1" si="404"/>
        <v>14708.771089182123</v>
      </c>
      <c r="NB19" s="29">
        <f t="shared" ca="1" si="405"/>
        <v>15556.907819808119</v>
      </c>
      <c r="NC19" s="29">
        <f t="shared" ca="1" si="406"/>
        <v>13513.75511295224</v>
      </c>
      <c r="ND19" s="29">
        <f t="shared" ca="1" si="407"/>
        <v>13843.621629414083</v>
      </c>
      <c r="NE19" s="29">
        <f t="shared" ca="1" si="408"/>
        <v>14691.974751295269</v>
      </c>
      <c r="NF19" s="29">
        <f t="shared" ca="1" si="409"/>
        <v>14353.724603423567</v>
      </c>
      <c r="NG19" s="29">
        <f t="shared" ca="1" si="410"/>
        <v>13450.271315782897</v>
      </c>
      <c r="NH19" s="29">
        <f t="shared" ca="1" si="411"/>
        <v>14263.598478036758</v>
      </c>
      <c r="NI19" s="29">
        <f t="shared" ca="1" si="412"/>
        <v>14582.13072553768</v>
      </c>
      <c r="NJ19" s="29">
        <f t="shared" ca="1" si="413"/>
        <v>14478.434255845072</v>
      </c>
      <c r="NK19" s="29">
        <f t="shared" ca="1" si="414"/>
        <v>14523.375603515105</v>
      </c>
      <c r="NL19" s="29">
        <f t="shared" ca="1" si="415"/>
        <v>13639.122141650643</v>
      </c>
      <c r="NM19" s="29">
        <f t="shared" ca="1" si="416"/>
        <v>14355.67205637406</v>
      </c>
      <c r="NN19" s="29">
        <f t="shared" ca="1" si="417"/>
        <v>14212.375977880713</v>
      </c>
      <c r="NO19" s="29">
        <f t="shared" ca="1" si="418"/>
        <v>14693.155246751565</v>
      </c>
      <c r="NP19" s="29">
        <f t="shared" ca="1" si="419"/>
        <v>13756.023619933763</v>
      </c>
      <c r="NQ19" s="29">
        <f t="shared" ca="1" si="420"/>
        <v>15907.38648388506</v>
      </c>
      <c r="NR19" s="29">
        <f t="shared" ca="1" si="421"/>
        <v>14935.310877414895</v>
      </c>
      <c r="NS19" s="29">
        <f t="shared" ca="1" si="422"/>
        <v>13900.714103196575</v>
      </c>
      <c r="NT19" s="29">
        <f t="shared" ca="1" si="423"/>
        <v>14562.138452567675</v>
      </c>
      <c r="NU19" s="29">
        <f t="shared" ca="1" si="424"/>
        <v>14452.120808482498</v>
      </c>
      <c r="NV19" s="29">
        <f t="shared" ca="1" si="425"/>
        <v>14067.393849085049</v>
      </c>
      <c r="NW19" s="29">
        <f t="shared" ca="1" si="426"/>
        <v>14277.934161441914</v>
      </c>
      <c r="NX19" s="29">
        <f t="shared" ca="1" si="427"/>
        <v>14225.77698138855</v>
      </c>
      <c r="NY19" s="29">
        <f t="shared" ca="1" si="428"/>
        <v>15129.629113994844</v>
      </c>
      <c r="NZ19" s="29">
        <f t="shared" ca="1" si="429"/>
        <v>13911.183131758105</v>
      </c>
      <c r="OA19" s="29">
        <f t="shared" ca="1" si="430"/>
        <v>14114.853597156536</v>
      </c>
      <c r="OB19" s="29">
        <f t="shared" ca="1" si="431"/>
        <v>15138.061942792312</v>
      </c>
      <c r="OC19" s="29">
        <f t="shared" ca="1" si="432"/>
        <v>14799.8022319541</v>
      </c>
      <c r="OD19" s="29">
        <f t="shared" ca="1" si="433"/>
        <v>14949.211865266885</v>
      </c>
      <c r="OE19" s="29">
        <f t="shared" ca="1" si="434"/>
        <v>14816.020121627975</v>
      </c>
      <c r="OF19" s="29">
        <f t="shared" ca="1" si="435"/>
        <v>14108.310465027193</v>
      </c>
      <c r="OG19" s="29">
        <f t="shared" ca="1" si="436"/>
        <v>15153.733538494729</v>
      </c>
      <c r="OH19" s="29">
        <f t="shared" ca="1" si="437"/>
        <v>15673.979861101598</v>
      </c>
      <c r="OI19" s="29">
        <f t="shared" ca="1" si="438"/>
        <v>14607.997187948828</v>
      </c>
      <c r="OJ19" s="29">
        <f t="shared" ca="1" si="439"/>
        <v>14709.826148903283</v>
      </c>
      <c r="OK19" s="29">
        <f t="shared" ca="1" si="440"/>
        <v>13944.954383139609</v>
      </c>
      <c r="OL19" s="29">
        <f t="shared" ca="1" si="441"/>
        <v>14825.039354688144</v>
      </c>
      <c r="OM19" s="29">
        <f t="shared" ca="1" si="442"/>
        <v>13472.781252987323</v>
      </c>
      <c r="ON19" s="29">
        <f t="shared" ca="1" si="443"/>
        <v>15371.042141707447</v>
      </c>
      <c r="OO19" s="29">
        <f t="shared" ca="1" si="444"/>
        <v>13975.853031565781</v>
      </c>
      <c r="OP19" s="29">
        <f t="shared" ca="1" si="445"/>
        <v>15445.718200752905</v>
      </c>
      <c r="OQ19" s="29">
        <f t="shared" ca="1" si="446"/>
        <v>14296.138430205137</v>
      </c>
      <c r="OR19" s="29">
        <f t="shared" ca="1" si="447"/>
        <v>14072.499199664906</v>
      </c>
      <c r="OS19" s="29">
        <f t="shared" ca="1" si="448"/>
        <v>13143.64534747481</v>
      </c>
      <c r="OT19" s="29">
        <f t="shared" ca="1" si="449"/>
        <v>14353.480305966894</v>
      </c>
      <c r="OU19" s="29">
        <f t="shared" ca="1" si="450"/>
        <v>14007.629159585051</v>
      </c>
      <c r="OV19" s="29">
        <f t="shared" ca="1" si="451"/>
        <v>15380.468379644222</v>
      </c>
      <c r="OW19" s="29">
        <f t="shared" ca="1" si="452"/>
        <v>15286.293923393629</v>
      </c>
      <c r="OX19" s="29">
        <f t="shared" ca="1" si="453"/>
        <v>15321.207896015996</v>
      </c>
      <c r="OY19" s="29">
        <f t="shared" ca="1" si="454"/>
        <v>14612.359479650195</v>
      </c>
      <c r="OZ19" s="29">
        <f t="shared" ca="1" si="455"/>
        <v>13905.968891361697</v>
      </c>
      <c r="PA19" s="29">
        <f t="shared" ca="1" si="456"/>
        <v>15045.777595315099</v>
      </c>
      <c r="PB19" s="29">
        <f t="shared" ca="1" si="457"/>
        <v>14338.020338893486</v>
      </c>
      <c r="PC19" s="29">
        <f t="shared" ca="1" si="458"/>
        <v>14401.672062818108</v>
      </c>
      <c r="PD19" s="29">
        <f t="shared" ca="1" si="459"/>
        <v>14321.579898630678</v>
      </c>
      <c r="PE19" s="29">
        <f t="shared" ca="1" si="460"/>
        <v>14500.107803664783</v>
      </c>
      <c r="PF19" s="29">
        <f t="shared" ca="1" si="461"/>
        <v>14224.659098064198</v>
      </c>
      <c r="PG19" s="29">
        <f t="shared" ca="1" si="462"/>
        <v>14527.654274873734</v>
      </c>
      <c r="PH19" s="29">
        <f t="shared" ca="1" si="463"/>
        <v>15026.935918913079</v>
      </c>
      <c r="PI19" s="29">
        <f t="shared" ca="1" si="464"/>
        <v>13308.155251519363</v>
      </c>
      <c r="PJ19" s="29">
        <f t="shared" ca="1" si="465"/>
        <v>14899.207698981925</v>
      </c>
      <c r="PK19" s="29">
        <f t="shared" ca="1" si="466"/>
        <v>13780.255058094219</v>
      </c>
      <c r="PL19" s="29">
        <f t="shared" ca="1" si="467"/>
        <v>13296.518167121521</v>
      </c>
      <c r="PM19" s="29">
        <f t="shared" ca="1" si="468"/>
        <v>13593.50708022284</v>
      </c>
      <c r="PN19" s="29">
        <f t="shared" ca="1" si="469"/>
        <v>13638.307671256338</v>
      </c>
      <c r="PO19" s="29">
        <f t="shared" ca="1" si="470"/>
        <v>15205.237661795249</v>
      </c>
      <c r="PP19" s="29">
        <f t="shared" ca="1" si="471"/>
        <v>14009.747468384412</v>
      </c>
      <c r="PQ19" s="29">
        <f t="shared" ca="1" si="472"/>
        <v>15291.159368903269</v>
      </c>
      <c r="PR19" s="29">
        <f t="shared" ca="1" si="473"/>
        <v>13956.381207708539</v>
      </c>
      <c r="PS19" s="29">
        <f t="shared" ca="1" si="474"/>
        <v>15164.197149650037</v>
      </c>
      <c r="PT19" s="29">
        <f t="shared" ca="1" si="475"/>
        <v>14619.07804717476</v>
      </c>
      <c r="PU19" s="29">
        <f t="shared" ca="1" si="476"/>
        <v>14282.008758360964</v>
      </c>
      <c r="PV19" s="29">
        <f t="shared" ca="1" si="477"/>
        <v>15091.378757065972</v>
      </c>
      <c r="PW19" s="29">
        <f t="shared" ca="1" si="478"/>
        <v>13769.150901431358</v>
      </c>
      <c r="PX19" s="29">
        <f t="shared" ca="1" si="479"/>
        <v>13985.460344073053</v>
      </c>
      <c r="PY19" s="29">
        <f t="shared" ca="1" si="480"/>
        <v>13837.805185113957</v>
      </c>
      <c r="PZ19" s="29">
        <f t="shared" ca="1" si="481"/>
        <v>12626.305849851751</v>
      </c>
      <c r="QA19" s="29">
        <f t="shared" ca="1" si="482"/>
        <v>14411.076003959266</v>
      </c>
      <c r="QB19" s="29">
        <f t="shared" ca="1" si="483"/>
        <v>13859.337287248414</v>
      </c>
      <c r="QC19" s="29">
        <f t="shared" ca="1" si="484"/>
        <v>13825.112158038115</v>
      </c>
      <c r="QD19" s="29">
        <f t="shared" ca="1" si="485"/>
        <v>13851.420069754447</v>
      </c>
      <c r="QE19" s="29">
        <f t="shared" ca="1" si="486"/>
        <v>15070.506968351347</v>
      </c>
      <c r="QF19" s="29">
        <f t="shared" ca="1" si="487"/>
        <v>14630.383772087995</v>
      </c>
      <c r="QG19" s="29">
        <f t="shared" ca="1" si="488"/>
        <v>14599.344956768506</v>
      </c>
      <c r="QH19" s="29">
        <f t="shared" ca="1" si="489"/>
        <v>15614.574779548006</v>
      </c>
      <c r="QI19" s="29">
        <f t="shared" ca="1" si="490"/>
        <v>14891.615290743284</v>
      </c>
      <c r="QJ19" s="29">
        <f t="shared" ca="1" si="491"/>
        <v>14301.852082676574</v>
      </c>
      <c r="QK19" s="29">
        <f t="shared" ca="1" si="492"/>
        <v>15133.705417379137</v>
      </c>
      <c r="QL19" s="29">
        <f t="shared" ca="1" si="493"/>
        <v>14256.867527821823</v>
      </c>
      <c r="QM19" s="29">
        <f t="shared" ca="1" si="494"/>
        <v>13859.684527686739</v>
      </c>
      <c r="QN19" s="29">
        <f t="shared" ca="1" si="495"/>
        <v>14998.18587786402</v>
      </c>
      <c r="QO19" s="29">
        <f t="shared" ca="1" si="496"/>
        <v>14434.995872872098</v>
      </c>
      <c r="QP19" s="29">
        <f t="shared" ca="1" si="497"/>
        <v>14161.75175747189</v>
      </c>
      <c r="QQ19" s="29">
        <f t="shared" ca="1" si="498"/>
        <v>15009.883783746991</v>
      </c>
      <c r="QR19" s="29">
        <f t="shared" ca="1" si="499"/>
        <v>15043.288299006032</v>
      </c>
      <c r="QS19" s="29">
        <f t="shared" ca="1" si="500"/>
        <v>14211.403992479723</v>
      </c>
      <c r="QT19" s="29">
        <f t="shared" ca="1" si="501"/>
        <v>15984.365137008414</v>
      </c>
      <c r="QU19" s="29">
        <f t="shared" ca="1" si="502"/>
        <v>14994.290401632037</v>
      </c>
      <c r="QV19" s="29">
        <f t="shared" ca="1" si="503"/>
        <v>13964.752926101404</v>
      </c>
      <c r="QW19" s="29">
        <f t="shared" ca="1" si="504"/>
        <v>14725.434399770889</v>
      </c>
      <c r="QX19" s="29">
        <f t="shared" ca="1" si="505"/>
        <v>14519.683751412453</v>
      </c>
      <c r="QY19" s="29">
        <f t="shared" ca="1" si="506"/>
        <v>14907.582823442057</v>
      </c>
      <c r="QZ19" s="29">
        <f t="shared" ca="1" si="507"/>
        <v>14241.782966788327</v>
      </c>
      <c r="RA19" s="29">
        <f t="shared" ca="1" si="508"/>
        <v>13830.137805810547</v>
      </c>
      <c r="RB19" s="29">
        <f t="shared" ca="1" si="509"/>
        <v>13461.330368911553</v>
      </c>
      <c r="RC19" s="29">
        <f t="shared" ca="1" si="510"/>
        <v>14153.489673349672</v>
      </c>
      <c r="RD19" s="29">
        <f t="shared" ca="1" si="511"/>
        <v>14269.314351742081</v>
      </c>
      <c r="RE19" s="29">
        <f t="shared" ca="1" si="512"/>
        <v>15124.148889528951</v>
      </c>
      <c r="RF19" s="29">
        <f t="shared" ca="1" si="513"/>
        <v>15021.597694571587</v>
      </c>
      <c r="RG19" s="29">
        <f t="shared" ca="1" si="514"/>
        <v>13928.190619898854</v>
      </c>
      <c r="RH19" s="29">
        <f t="shared" ca="1" si="515"/>
        <v>14232.271745931197</v>
      </c>
      <c r="RI19" s="29">
        <f t="shared" ca="1" si="516"/>
        <v>14610.120045365906</v>
      </c>
      <c r="RJ19" s="29">
        <f t="shared" ca="1" si="517"/>
        <v>14273.367535101073</v>
      </c>
      <c r="RK19" s="29">
        <f t="shared" ca="1" si="518"/>
        <v>13939.979144626348</v>
      </c>
      <c r="RL19" s="29">
        <f t="shared" ca="1" si="519"/>
        <v>14208.368922855283</v>
      </c>
      <c r="RM19" s="29">
        <f t="shared" ca="1" si="520"/>
        <v>14494.159016496948</v>
      </c>
      <c r="RN19" s="29">
        <f t="shared" ca="1" si="521"/>
        <v>13780.218485762667</v>
      </c>
      <c r="RO19" s="29">
        <f t="shared" ca="1" si="522"/>
        <v>14436.166880313383</v>
      </c>
      <c r="RP19" s="29">
        <f t="shared" ca="1" si="523"/>
        <v>14841.517637499761</v>
      </c>
      <c r="RQ19" s="29">
        <f t="shared" ca="1" si="524"/>
        <v>14126.242881567814</v>
      </c>
      <c r="RR19" s="29">
        <f t="shared" ca="1" si="525"/>
        <v>14705.158354332321</v>
      </c>
      <c r="RS19" s="29">
        <f t="shared" ca="1" si="526"/>
        <v>14294.299857622267</v>
      </c>
      <c r="RT19" s="29">
        <f t="shared" ca="1" si="527"/>
        <v>14759.503200107814</v>
      </c>
      <c r="RU19" s="29">
        <f t="shared" ca="1" si="528"/>
        <v>14468.174067171945</v>
      </c>
      <c r="RV19" s="29">
        <f t="shared" ca="1" si="529"/>
        <v>14066.486584582581</v>
      </c>
      <c r="RW19" s="29">
        <f t="shared" ca="1" si="530"/>
        <v>14909.896363078251</v>
      </c>
      <c r="RX19" s="29">
        <f t="shared" ca="1" si="531"/>
        <v>14418.198145354083</v>
      </c>
      <c r="RY19" s="29">
        <f t="shared" ca="1" si="532"/>
        <v>14034.105495277805</v>
      </c>
      <c r="RZ19" s="29">
        <f t="shared" ca="1" si="533"/>
        <v>16283.154885857361</v>
      </c>
      <c r="SA19" s="29">
        <f t="shared" ca="1" si="534"/>
        <v>14603.803689084689</v>
      </c>
      <c r="SB19" s="29">
        <f t="shared" ca="1" si="535"/>
        <v>14021.400850128208</v>
      </c>
      <c r="SC19" s="29">
        <f t="shared" ca="1" si="536"/>
        <v>14313.299061060166</v>
      </c>
      <c r="SD19" s="29">
        <f t="shared" ca="1" si="537"/>
        <v>15042.634335367644</v>
      </c>
      <c r="SE19" s="29">
        <f t="shared" ca="1" si="538"/>
        <v>13429.032402818963</v>
      </c>
      <c r="SF19" s="29">
        <f t="shared" ca="1" si="539"/>
        <v>14725.150379429129</v>
      </c>
      <c r="SG19" s="29">
        <f t="shared" ca="1" si="540"/>
        <v>14663.671764925261</v>
      </c>
      <c r="SH19" s="29">
        <f t="shared" ca="1" si="541"/>
        <v>14883.624483982838</v>
      </c>
      <c r="SI19" s="29">
        <f t="shared" ca="1" si="542"/>
        <v>13903.668657044109</v>
      </c>
      <c r="SJ19" s="29">
        <f t="shared" ca="1" si="543"/>
        <v>13333.483312572085</v>
      </c>
      <c r="SK19" s="29">
        <f t="shared" ca="1" si="544"/>
        <v>14845.44045963182</v>
      </c>
      <c r="SL19" s="29">
        <f t="shared" ca="1" si="545"/>
        <v>14230.777969161638</v>
      </c>
      <c r="SM19" s="29">
        <f t="shared" ca="1" si="546"/>
        <v>14334.564765634344</v>
      </c>
      <c r="SN19" s="29">
        <f t="shared" ca="1" si="547"/>
        <v>14575.296737476425</v>
      </c>
      <c r="SO19" s="29">
        <f t="shared" ca="1" si="548"/>
        <v>14548.932727960297</v>
      </c>
      <c r="SP19" s="29">
        <f t="shared" ca="1" si="549"/>
        <v>15418.395277685122</v>
      </c>
      <c r="SQ19" s="29">
        <f t="shared" ca="1" si="550"/>
        <v>15528.25795070843</v>
      </c>
      <c r="SR19" s="29">
        <f t="shared" ca="1" si="551"/>
        <v>13891.321660016645</v>
      </c>
      <c r="SS19" s="29">
        <f t="shared" ca="1" si="552"/>
        <v>14683.30303763335</v>
      </c>
      <c r="ST19" s="29">
        <f t="shared" ca="1" si="553"/>
        <v>14195.241699908938</v>
      </c>
      <c r="SU19" s="29">
        <f t="shared" ca="1" si="554"/>
        <v>14033.020227824871</v>
      </c>
      <c r="SV19" s="29">
        <f t="shared" ca="1" si="555"/>
        <v>14466.389102715344</v>
      </c>
      <c r="SW19" s="29">
        <f t="shared" ca="1" si="556"/>
        <v>14197.301457997513</v>
      </c>
      <c r="SX19" s="29">
        <f t="shared" ca="1" si="557"/>
        <v>13543.496053444842</v>
      </c>
      <c r="SY19" s="29">
        <f t="shared" ca="1" si="558"/>
        <v>14809.040425230151</v>
      </c>
      <c r="SZ19" s="29">
        <f t="shared" ca="1" si="559"/>
        <v>15249.560216913653</v>
      </c>
      <c r="TA19" s="29">
        <f t="shared" ca="1" si="560"/>
        <v>14788.61108379046</v>
      </c>
      <c r="TB19" s="29">
        <f t="shared" ca="1" si="561"/>
        <v>13954.426550233466</v>
      </c>
      <c r="TC19" s="29">
        <f t="shared" ca="1" si="562"/>
        <v>15268.848531886048</v>
      </c>
      <c r="TD19" s="29">
        <f t="shared" ca="1" si="563"/>
        <v>14443.953528331391</v>
      </c>
      <c r="TE19" s="29">
        <f t="shared" ca="1" si="564"/>
        <v>14389.592184323743</v>
      </c>
      <c r="TF19" s="29">
        <f t="shared" ca="1" si="565"/>
        <v>13858.823275125596</v>
      </c>
      <c r="TG19" s="29">
        <f t="shared" ca="1" si="566"/>
        <v>14734.15467845921</v>
      </c>
      <c r="TH19" s="29">
        <f t="shared" ca="1" si="567"/>
        <v>14286.856492306531</v>
      </c>
      <c r="TI19" s="29">
        <f t="shared" ca="1" si="568"/>
        <v>13870.801438885223</v>
      </c>
      <c r="TJ19" s="29">
        <f t="shared" ca="1" si="569"/>
        <v>15116.991365560843</v>
      </c>
      <c r="TK19" s="29">
        <f t="shared" ca="1" si="570"/>
        <v>14364.953770565862</v>
      </c>
      <c r="TL19" s="29">
        <f t="shared" ca="1" si="571"/>
        <v>14448.301365431507</v>
      </c>
      <c r="TM19" s="29">
        <f t="shared" ca="1" si="572"/>
        <v>13760.291724298319</v>
      </c>
      <c r="TN19" s="29">
        <f t="shared" ca="1" si="573"/>
        <v>13713.498379683597</v>
      </c>
      <c r="TO19" s="29">
        <f t="shared" ca="1" si="574"/>
        <v>14190.100847500447</v>
      </c>
      <c r="TP19" s="29">
        <f t="shared" ca="1" si="575"/>
        <v>15528.920983815444</v>
      </c>
      <c r="TQ19" s="29">
        <f t="shared" ca="1" si="576"/>
        <v>15515.484497447562</v>
      </c>
      <c r="TR19" s="29">
        <f t="shared" ca="1" si="577"/>
        <v>13930.426021039935</v>
      </c>
      <c r="TS19" s="29">
        <f t="shared" ca="1" si="578"/>
        <v>14354.488400803442</v>
      </c>
      <c r="TT19" s="29">
        <f t="shared" ca="1" si="579"/>
        <v>14809.284718775953</v>
      </c>
      <c r="TU19" s="29">
        <f t="shared" ca="1" si="580"/>
        <v>13945.628862766876</v>
      </c>
      <c r="TV19" s="29">
        <f t="shared" ca="1" si="581"/>
        <v>13897.210907119843</v>
      </c>
      <c r="TW19" s="29">
        <f t="shared" ca="1" si="582"/>
        <v>14913.007656114283</v>
      </c>
      <c r="TX19" s="29">
        <f t="shared" ca="1" si="583"/>
        <v>15775.297728418293</v>
      </c>
      <c r="TY19" s="29">
        <f t="shared" ca="1" si="584"/>
        <v>14482.611425570671</v>
      </c>
      <c r="TZ19" s="29">
        <f t="shared" ca="1" si="585"/>
        <v>14816.838336602168</v>
      </c>
      <c r="UA19" s="29">
        <f t="shared" ca="1" si="586"/>
        <v>14266.088178064052</v>
      </c>
      <c r="UB19" s="29">
        <f t="shared" ca="1" si="587"/>
        <v>14771.880989794337</v>
      </c>
      <c r="UC19" s="29">
        <f t="shared" ca="1" si="588"/>
        <v>13672.027989524791</v>
      </c>
      <c r="UD19" s="29">
        <f t="shared" ca="1" si="589"/>
        <v>15986.811280452572</v>
      </c>
      <c r="UE19" s="29">
        <f t="shared" ca="1" si="590"/>
        <v>13191.006523607684</v>
      </c>
      <c r="UF19" s="29">
        <f t="shared" ca="1" si="591"/>
        <v>13808.466797336803</v>
      </c>
      <c r="UG19" s="29">
        <f t="shared" ca="1" si="592"/>
        <v>15076.349416025534</v>
      </c>
      <c r="UH19" s="29">
        <f t="shared" ca="1" si="593"/>
        <v>14518.731513735052</v>
      </c>
      <c r="UI19" s="29">
        <f t="shared" ca="1" si="594"/>
        <v>15271.688340091008</v>
      </c>
      <c r="UJ19" s="29">
        <f t="shared" ca="1" si="595"/>
        <v>14726.270693037934</v>
      </c>
      <c r="UK19" s="29">
        <f t="shared" ca="1" si="596"/>
        <v>14628.222309962091</v>
      </c>
      <c r="UL19" s="29">
        <f t="shared" ca="1" si="597"/>
        <v>15346.718220306931</v>
      </c>
      <c r="UM19" s="29">
        <f t="shared" ca="1" si="598"/>
        <v>13123.33363154916</v>
      </c>
      <c r="UN19" s="29">
        <f t="shared" ca="1" si="599"/>
        <v>13365.498965549816</v>
      </c>
      <c r="UO19" s="29">
        <f t="shared" ca="1" si="600"/>
        <v>15753.45163047495</v>
      </c>
      <c r="UP19" s="29">
        <f t="shared" ca="1" si="601"/>
        <v>13945.612875104156</v>
      </c>
      <c r="UQ19" s="29">
        <f t="shared" ca="1" si="602"/>
        <v>14994.709597841382</v>
      </c>
      <c r="UR19" s="29">
        <f t="shared" ca="1" si="603"/>
        <v>13590.01549846639</v>
      </c>
      <c r="US19" s="29">
        <f t="shared" ca="1" si="604"/>
        <v>14979.035819792909</v>
      </c>
      <c r="UT19" s="29">
        <f t="shared" ca="1" si="605"/>
        <v>14829.152808044011</v>
      </c>
      <c r="UU19" s="29">
        <f t="shared" ca="1" si="606"/>
        <v>13797.078831630133</v>
      </c>
      <c r="UV19" s="29">
        <f t="shared" ca="1" si="607"/>
        <v>14736.075386662276</v>
      </c>
      <c r="UW19" s="29">
        <f t="shared" ca="1" si="608"/>
        <v>14298.643772890891</v>
      </c>
      <c r="UX19" s="29">
        <f t="shared" ca="1" si="609"/>
        <v>14190.801856047548</v>
      </c>
      <c r="UY19" s="29">
        <f t="shared" ca="1" si="610"/>
        <v>14265.622133357163</v>
      </c>
      <c r="UZ19" s="29">
        <f t="shared" ca="1" si="611"/>
        <v>13946.122265884409</v>
      </c>
      <c r="VA19" s="29">
        <f t="shared" ca="1" si="612"/>
        <v>13627.520709385599</v>
      </c>
      <c r="VB19" s="29">
        <f t="shared" ca="1" si="613"/>
        <v>14681.849100618592</v>
      </c>
      <c r="VC19" s="29">
        <f t="shared" ca="1" si="614"/>
        <v>15071.088402700967</v>
      </c>
      <c r="VD19" s="29">
        <f t="shared" ca="1" si="615"/>
        <v>14173.284612336014</v>
      </c>
      <c r="VE19" s="29">
        <f t="shared" ca="1" si="616"/>
        <v>15206.186138359521</v>
      </c>
      <c r="VF19" s="29">
        <f t="shared" ca="1" si="617"/>
        <v>13922.022364836685</v>
      </c>
      <c r="VG19" s="29">
        <f t="shared" ca="1" si="618"/>
        <v>14336.84660256914</v>
      </c>
      <c r="VH19" s="29">
        <f t="shared" ca="1" si="619"/>
        <v>15261.550861941105</v>
      </c>
      <c r="VI19" s="29">
        <f t="shared" ca="1" si="620"/>
        <v>14493.458748963478</v>
      </c>
      <c r="VJ19" s="29">
        <f t="shared" ca="1" si="621"/>
        <v>13964.163842697784</v>
      </c>
      <c r="VK19" s="29">
        <f t="shared" ca="1" si="622"/>
        <v>13406.044103571212</v>
      </c>
      <c r="VL19" s="29">
        <f t="shared" ca="1" si="623"/>
        <v>14217.169272455789</v>
      </c>
      <c r="VM19" s="29">
        <f t="shared" ca="1" si="624"/>
        <v>14535.635529998684</v>
      </c>
      <c r="VN19" s="29">
        <f t="shared" ca="1" si="625"/>
        <v>14765.588550236802</v>
      </c>
      <c r="VO19" s="29">
        <f t="shared" ca="1" si="626"/>
        <v>16005.978991844342</v>
      </c>
      <c r="VP19" s="29">
        <f t="shared" ca="1" si="627"/>
        <v>13629.324332769014</v>
      </c>
      <c r="VQ19" s="29">
        <f t="shared" ca="1" si="628"/>
        <v>14342.710030501872</v>
      </c>
      <c r="VR19" s="29">
        <f t="shared" ca="1" si="629"/>
        <v>14104.652015947866</v>
      </c>
      <c r="VS19" s="29">
        <f t="shared" ca="1" si="630"/>
        <v>14139.53268886779</v>
      </c>
      <c r="VT19" s="29">
        <f t="shared" ca="1" si="631"/>
        <v>14532.555910707586</v>
      </c>
      <c r="VU19" s="29">
        <f t="shared" ca="1" si="632"/>
        <v>14479.708821078186</v>
      </c>
      <c r="VV19" s="29">
        <f t="shared" ca="1" si="633"/>
        <v>14699.763170995009</v>
      </c>
      <c r="VW19" s="29">
        <f t="shared" ca="1" si="634"/>
        <v>13792.541204191302</v>
      </c>
      <c r="VX19" s="29">
        <f t="shared" ca="1" si="635"/>
        <v>14295.372022786236</v>
      </c>
      <c r="VY19" s="29">
        <f t="shared" ca="1" si="636"/>
        <v>14305.945474672979</v>
      </c>
      <c r="VZ19" s="29">
        <f t="shared" ca="1" si="637"/>
        <v>13420.334274106854</v>
      </c>
      <c r="WA19" s="29">
        <f t="shared" ca="1" si="638"/>
        <v>14317.295491349694</v>
      </c>
      <c r="WB19" s="29">
        <f t="shared" ca="1" si="639"/>
        <v>14113.123381954527</v>
      </c>
      <c r="WC19" s="29">
        <f t="shared" ca="1" si="640"/>
        <v>14239.200636412674</v>
      </c>
      <c r="WD19" s="29">
        <f t="shared" ca="1" si="641"/>
        <v>14864.154476398862</v>
      </c>
      <c r="WE19" s="29">
        <f t="shared" ca="1" si="642"/>
        <v>14184.250862717456</v>
      </c>
      <c r="WF19" s="29">
        <f t="shared" ca="1" si="643"/>
        <v>15470.193754869062</v>
      </c>
      <c r="WG19" s="29">
        <f t="shared" ca="1" si="644"/>
        <v>14415.964532040207</v>
      </c>
      <c r="WH19" s="29">
        <f t="shared" ca="1" si="645"/>
        <v>13911.452133382993</v>
      </c>
      <c r="WI19" s="29">
        <f t="shared" ca="1" si="646"/>
        <v>15826.604087040876</v>
      </c>
      <c r="WJ19" s="29">
        <f t="shared" ca="1" si="647"/>
        <v>15722.327416385413</v>
      </c>
      <c r="WK19" s="29">
        <f t="shared" ca="1" si="648"/>
        <v>14457.49325339909</v>
      </c>
      <c r="WL19" s="29">
        <f t="shared" ca="1" si="649"/>
        <v>14027.957175289685</v>
      </c>
      <c r="WM19" s="29">
        <f t="shared" ca="1" si="650"/>
        <v>14198.913498907006</v>
      </c>
      <c r="WN19" s="29">
        <f t="shared" ca="1" si="651"/>
        <v>14833.28147999688</v>
      </c>
      <c r="WO19" s="29">
        <f t="shared" ca="1" si="652"/>
        <v>15719.400583618841</v>
      </c>
      <c r="WP19" s="29">
        <f t="shared" ca="1" si="653"/>
        <v>14007.975319907884</v>
      </c>
      <c r="WQ19" s="29">
        <f t="shared" ca="1" si="654"/>
        <v>13675.31231985018</v>
      </c>
      <c r="WR19" s="29">
        <f t="shared" ca="1" si="655"/>
        <v>14524.088466366698</v>
      </c>
      <c r="WS19" s="29">
        <f t="shared" ca="1" si="656"/>
        <v>14945.645880140211</v>
      </c>
      <c r="WT19" s="29">
        <f t="shared" ca="1" si="657"/>
        <v>14359.753055854826</v>
      </c>
      <c r="WU19" s="29">
        <f t="shared" ca="1" si="658"/>
        <v>14707.324728546353</v>
      </c>
      <c r="WV19" s="29">
        <f t="shared" ca="1" si="659"/>
        <v>15146.100433817355</v>
      </c>
      <c r="WW19" s="29">
        <f t="shared" ca="1" si="660"/>
        <v>14078.588375738764</v>
      </c>
      <c r="WX19" s="29">
        <f t="shared" ca="1" si="661"/>
        <v>15365.596405252452</v>
      </c>
      <c r="WY19" s="29">
        <f t="shared" ca="1" si="662"/>
        <v>15227.753489075019</v>
      </c>
      <c r="WZ19" s="29">
        <f t="shared" ca="1" si="663"/>
        <v>14714.754607094459</v>
      </c>
      <c r="XA19" s="29">
        <f t="shared" ca="1" si="664"/>
        <v>14676.033748123367</v>
      </c>
      <c r="XB19" s="29">
        <f t="shared" ca="1" si="665"/>
        <v>14908.92046659118</v>
      </c>
      <c r="XC19" s="29">
        <f t="shared" ca="1" si="666"/>
        <v>14259.35994280627</v>
      </c>
      <c r="XD19" s="29">
        <f t="shared" ca="1" si="667"/>
        <v>13655.971450016681</v>
      </c>
      <c r="XE19" s="29">
        <f t="shared" ca="1" si="668"/>
        <v>13833.29467500777</v>
      </c>
      <c r="XF19" s="29">
        <f t="shared" ca="1" si="669"/>
        <v>14596.422071396368</v>
      </c>
      <c r="XG19" s="29">
        <f t="shared" ca="1" si="670"/>
        <v>14062.183979086814</v>
      </c>
      <c r="XH19" s="29">
        <f t="shared" ca="1" si="671"/>
        <v>14786.814970077863</v>
      </c>
      <c r="XI19" s="29">
        <f t="shared" ca="1" si="672"/>
        <v>15069.279085815529</v>
      </c>
      <c r="XJ19" s="29">
        <f t="shared" ca="1" si="673"/>
        <v>15090.870237657415</v>
      </c>
      <c r="XK19" s="29">
        <f t="shared" ca="1" si="674"/>
        <v>13551.239501777882</v>
      </c>
      <c r="XL19" s="29">
        <f t="shared" ca="1" si="675"/>
        <v>14350.894350125312</v>
      </c>
      <c r="XM19" s="29">
        <f t="shared" ca="1" si="676"/>
        <v>14474.26549197844</v>
      </c>
      <c r="XN19" s="29">
        <f t="shared" ca="1" si="677"/>
        <v>14127.466637637155</v>
      </c>
      <c r="XO19" s="29">
        <f t="shared" ca="1" si="678"/>
        <v>15547.162020323525</v>
      </c>
      <c r="XP19" s="29">
        <f t="shared" ca="1" si="679"/>
        <v>14290.352019127771</v>
      </c>
      <c r="XQ19" s="29">
        <f t="shared" ca="1" si="680"/>
        <v>13867.110374340242</v>
      </c>
      <c r="XR19" s="29">
        <f t="shared" ca="1" si="681"/>
        <v>14191.969569432693</v>
      </c>
      <c r="XS19" s="29">
        <f t="shared" ca="1" si="682"/>
        <v>13793.251818258714</v>
      </c>
      <c r="XT19" s="29">
        <f t="shared" ca="1" si="683"/>
        <v>14860.56126338982</v>
      </c>
      <c r="XU19" s="29">
        <f t="shared" ca="1" si="684"/>
        <v>15225.058986706863</v>
      </c>
      <c r="XV19" s="29">
        <f t="shared" ca="1" si="685"/>
        <v>15207.116079211641</v>
      </c>
      <c r="XW19" s="29">
        <f t="shared" ca="1" si="686"/>
        <v>14219.144381417207</v>
      </c>
      <c r="XX19" s="29">
        <f t="shared" ca="1" si="687"/>
        <v>15112.986993682725</v>
      </c>
      <c r="XY19" s="29">
        <f t="shared" ca="1" si="688"/>
        <v>14082.956530449384</v>
      </c>
      <c r="XZ19" s="29">
        <f t="shared" ca="1" si="689"/>
        <v>14592.872676044373</v>
      </c>
      <c r="YA19" s="29">
        <f t="shared" ca="1" si="690"/>
        <v>14952.33460885203</v>
      </c>
      <c r="YB19" s="29">
        <f t="shared" ca="1" si="691"/>
        <v>14790.373624223006</v>
      </c>
      <c r="YC19" s="29">
        <f t="shared" ca="1" si="692"/>
        <v>15376.382202065137</v>
      </c>
      <c r="YD19" s="29">
        <f t="shared" ca="1" si="693"/>
        <v>13255.557362794207</v>
      </c>
      <c r="YE19" s="29">
        <f t="shared" ca="1" si="694"/>
        <v>14670.43991751596</v>
      </c>
      <c r="YF19" s="29">
        <f t="shared" ca="1" si="695"/>
        <v>13733.709701545969</v>
      </c>
      <c r="YG19" s="29">
        <f t="shared" ca="1" si="696"/>
        <v>15277.075229895765</v>
      </c>
      <c r="YH19" s="29">
        <f t="shared" ca="1" si="697"/>
        <v>14110.007734854107</v>
      </c>
      <c r="YI19" s="29">
        <f t="shared" ca="1" si="698"/>
        <v>13394.474339702027</v>
      </c>
      <c r="YJ19" s="29">
        <f t="shared" ca="1" si="699"/>
        <v>13918.116505595975</v>
      </c>
      <c r="YK19" s="29">
        <f t="shared" ca="1" si="700"/>
        <v>14121.128040249647</v>
      </c>
      <c r="YL19" s="29">
        <f t="shared" ca="1" si="701"/>
        <v>13738.078543110551</v>
      </c>
      <c r="YM19" s="29">
        <f t="shared" ca="1" si="702"/>
        <v>14864.955861289212</v>
      </c>
      <c r="YN19" s="29">
        <f t="shared" ca="1" si="703"/>
        <v>14918.411474896488</v>
      </c>
      <c r="YO19" s="29">
        <f t="shared" ca="1" si="704"/>
        <v>13168.534280433129</v>
      </c>
      <c r="YP19" s="29">
        <f t="shared" ca="1" si="705"/>
        <v>15275.142061126984</v>
      </c>
      <c r="YQ19" s="29">
        <f t="shared" ca="1" si="706"/>
        <v>13831.36668419261</v>
      </c>
      <c r="YR19" s="29">
        <f t="shared" ca="1" si="707"/>
        <v>13754.017336812951</v>
      </c>
      <c r="YS19" s="29">
        <f t="shared" ca="1" si="708"/>
        <v>15043.75586197856</v>
      </c>
      <c r="YT19" s="29">
        <f t="shared" ca="1" si="709"/>
        <v>15306.532202628532</v>
      </c>
      <c r="YU19" s="29">
        <f t="shared" ca="1" si="710"/>
        <v>14531.549120829737</v>
      </c>
      <c r="YV19" s="29">
        <f t="shared" ca="1" si="711"/>
        <v>14126.696619667695</v>
      </c>
      <c r="YW19" s="29">
        <f t="shared" ca="1" si="712"/>
        <v>13907.499620412163</v>
      </c>
      <c r="YX19" s="29">
        <f t="shared" ca="1" si="713"/>
        <v>14550.624670528023</v>
      </c>
      <c r="YY19" s="29">
        <f t="shared" ca="1" si="714"/>
        <v>14330.483742123448</v>
      </c>
      <c r="YZ19" s="29">
        <f t="shared" ca="1" si="715"/>
        <v>13971.646801942372</v>
      </c>
      <c r="ZA19" s="29">
        <f t="shared" ca="1" si="716"/>
        <v>14065.802022326929</v>
      </c>
      <c r="ZB19" s="29">
        <f t="shared" ca="1" si="717"/>
        <v>15332.094809410153</v>
      </c>
      <c r="ZC19" s="29">
        <f t="shared" ca="1" si="718"/>
        <v>15155.567069254566</v>
      </c>
      <c r="ZD19" s="29">
        <f t="shared" ca="1" si="719"/>
        <v>14523.839541072202</v>
      </c>
      <c r="ZE19" s="29">
        <f t="shared" ca="1" si="720"/>
        <v>13523.45425501701</v>
      </c>
      <c r="ZF19" s="29">
        <f t="shared" ca="1" si="721"/>
        <v>14109.824155240127</v>
      </c>
      <c r="ZG19" s="29">
        <f t="shared" ca="1" si="722"/>
        <v>12866.691079679274</v>
      </c>
      <c r="ZH19" s="29">
        <f t="shared" ca="1" si="723"/>
        <v>14040.363685632165</v>
      </c>
      <c r="ZI19" s="29">
        <f t="shared" ca="1" si="724"/>
        <v>13472.663820250747</v>
      </c>
      <c r="ZJ19" s="29">
        <f t="shared" ca="1" si="725"/>
        <v>14350.111974767171</v>
      </c>
      <c r="ZK19" s="29">
        <f t="shared" ca="1" si="726"/>
        <v>13885.498606518644</v>
      </c>
      <c r="ZL19" s="29">
        <f t="shared" ca="1" si="727"/>
        <v>14118.101146891084</v>
      </c>
      <c r="ZM19" s="29">
        <f t="shared" ca="1" si="728"/>
        <v>12943.952266293585</v>
      </c>
      <c r="ZN19" s="29">
        <f t="shared" ca="1" si="729"/>
        <v>14447.399304675433</v>
      </c>
      <c r="ZO19" s="29">
        <f t="shared" ca="1" si="730"/>
        <v>14270.98914004662</v>
      </c>
      <c r="ZP19" s="29">
        <f t="shared" ca="1" si="731"/>
        <v>14240.348459567766</v>
      </c>
      <c r="ZQ19" s="29">
        <f t="shared" ca="1" si="732"/>
        <v>14142.684691213812</v>
      </c>
      <c r="ZR19" s="29">
        <f t="shared" ca="1" si="733"/>
        <v>14680.327338071516</v>
      </c>
      <c r="ZS19" s="29">
        <f t="shared" ca="1" si="734"/>
        <v>14476.093169396085</v>
      </c>
      <c r="ZT19" s="29">
        <f t="shared" ca="1" si="735"/>
        <v>14217.488655985198</v>
      </c>
      <c r="ZU19" s="29">
        <f t="shared" ca="1" si="736"/>
        <v>14254.602819799949</v>
      </c>
      <c r="ZV19" s="29">
        <f t="shared" ca="1" si="737"/>
        <v>14213.484641754756</v>
      </c>
      <c r="ZW19" s="29">
        <f t="shared" ca="1" si="738"/>
        <v>13671.259498406458</v>
      </c>
      <c r="ZX19" s="29">
        <f t="shared" ca="1" si="739"/>
        <v>14813.944628512814</v>
      </c>
      <c r="ZY19" s="29">
        <f t="shared" ca="1" si="740"/>
        <v>14285.956298678553</v>
      </c>
      <c r="ZZ19" s="29">
        <f t="shared" ca="1" si="741"/>
        <v>13782.817318209985</v>
      </c>
      <c r="AAA19" s="29">
        <f t="shared" ca="1" si="742"/>
        <v>15120.539139055714</v>
      </c>
      <c r="AAB19" s="29">
        <f t="shared" ca="1" si="743"/>
        <v>15561.698320593008</v>
      </c>
      <c r="AAC19" s="29">
        <f t="shared" ca="1" si="744"/>
        <v>14481.272375646584</v>
      </c>
      <c r="AAD19" s="29">
        <f t="shared" ca="1" si="745"/>
        <v>13611.208638507997</v>
      </c>
      <c r="AAE19" s="29">
        <f t="shared" ca="1" si="746"/>
        <v>13438.321938399386</v>
      </c>
      <c r="AAF19" s="29">
        <f t="shared" ca="1" si="747"/>
        <v>15739.322077166158</v>
      </c>
      <c r="AAG19" s="29">
        <f t="shared" ca="1" si="748"/>
        <v>15253.243196684323</v>
      </c>
      <c r="AAH19" s="29">
        <f t="shared" ca="1" si="749"/>
        <v>15239.501407913795</v>
      </c>
      <c r="AAI19" s="29">
        <f t="shared" ca="1" si="750"/>
        <v>14496.062171262887</v>
      </c>
      <c r="AAJ19" s="29">
        <f t="shared" ca="1" si="751"/>
        <v>15098.359764473102</v>
      </c>
      <c r="AAK19" s="29">
        <f t="shared" ca="1" si="752"/>
        <v>14365.360030289428</v>
      </c>
      <c r="AAL19" s="29">
        <f t="shared" ca="1" si="753"/>
        <v>14239.559346021808</v>
      </c>
      <c r="AAM19" s="29">
        <f t="shared" ca="1" si="754"/>
        <v>14664.996411587834</v>
      </c>
      <c r="AAN19" s="29">
        <f t="shared" ca="1" si="755"/>
        <v>16189.770464245947</v>
      </c>
      <c r="AAO19" s="29">
        <f t="shared" ca="1" si="756"/>
        <v>14323.482274481885</v>
      </c>
      <c r="AAP19" s="29">
        <f t="shared" ca="1" si="757"/>
        <v>15460.368626104606</v>
      </c>
      <c r="AAQ19" s="29">
        <f t="shared" ca="1" si="758"/>
        <v>14444.233772061496</v>
      </c>
      <c r="AAR19" s="29">
        <f t="shared" ca="1" si="759"/>
        <v>15907.115252999551</v>
      </c>
      <c r="AAS19" s="29">
        <f t="shared" ca="1" si="760"/>
        <v>13878.163647766671</v>
      </c>
      <c r="AAT19" s="29">
        <f t="shared" ca="1" si="761"/>
        <v>14732.415724922541</v>
      </c>
      <c r="AAU19" s="29">
        <f t="shared" ca="1" si="762"/>
        <v>15135.143496885281</v>
      </c>
      <c r="AAV19" s="29">
        <f t="shared" ca="1" si="763"/>
        <v>13776.494199935152</v>
      </c>
      <c r="AAW19" s="29">
        <f t="shared" ca="1" si="764"/>
        <v>14217.52632915938</v>
      </c>
      <c r="AAX19" s="29">
        <f t="shared" ca="1" si="765"/>
        <v>14438.518126016481</v>
      </c>
      <c r="AAY19" s="29">
        <f t="shared" ca="1" si="766"/>
        <v>14130.296356947985</v>
      </c>
      <c r="AAZ19" s="29">
        <f t="shared" ca="1" si="767"/>
        <v>14434.858862572748</v>
      </c>
      <c r="ABA19" s="29">
        <f t="shared" ca="1" si="768"/>
        <v>14805.930311072967</v>
      </c>
      <c r="ABB19" s="29">
        <f t="shared" ca="1" si="769"/>
        <v>14696.641992741508</v>
      </c>
      <c r="ABC19" s="29">
        <f t="shared" ca="1" si="770"/>
        <v>14692.721074133109</v>
      </c>
      <c r="ABD19" s="29">
        <f t="shared" ca="1" si="771"/>
        <v>14164.588436349108</v>
      </c>
      <c r="ABE19" s="29">
        <f t="shared" ca="1" si="772"/>
        <v>12761.62436795014</v>
      </c>
      <c r="ABF19" s="29">
        <f t="shared" ca="1" si="773"/>
        <v>13814.443062968709</v>
      </c>
      <c r="ABG19" s="29">
        <f t="shared" ca="1" si="774"/>
        <v>14723.950168656955</v>
      </c>
      <c r="ABH19" s="29">
        <f t="shared" ca="1" si="775"/>
        <v>14387.981872261993</v>
      </c>
      <c r="ABI19" s="29">
        <f t="shared" ca="1" si="776"/>
        <v>13830.475635466953</v>
      </c>
      <c r="ABJ19" s="29">
        <f t="shared" ca="1" si="777"/>
        <v>14922.122344068608</v>
      </c>
      <c r="ABK19" s="29">
        <f t="shared" ca="1" si="778"/>
        <v>15152.978109116058</v>
      </c>
      <c r="ABL19" s="29">
        <f t="shared" ca="1" si="779"/>
        <v>14835.325659577582</v>
      </c>
      <c r="ABM19" s="29">
        <f t="shared" ca="1" si="780"/>
        <v>14706.305098345465</v>
      </c>
      <c r="ABN19" s="29">
        <f t="shared" ca="1" si="781"/>
        <v>14214.604215297424</v>
      </c>
      <c r="ABO19" s="29">
        <f t="shared" ca="1" si="782"/>
        <v>14948.857298013569</v>
      </c>
      <c r="ABP19" s="29">
        <f t="shared" ca="1" si="783"/>
        <v>13798.017086464632</v>
      </c>
      <c r="ABQ19" s="29">
        <f t="shared" ca="1" si="784"/>
        <v>13103.876513078889</v>
      </c>
      <c r="ABR19" s="29">
        <f t="shared" ca="1" si="785"/>
        <v>13272.363140784226</v>
      </c>
      <c r="ABS19" s="29">
        <f t="shared" ca="1" si="786"/>
        <v>13659.330371893919</v>
      </c>
      <c r="ABT19" s="29">
        <f t="shared" ca="1" si="787"/>
        <v>14229.490388232423</v>
      </c>
      <c r="ABU19" s="29">
        <f t="shared" ca="1" si="788"/>
        <v>14428.935420997766</v>
      </c>
      <c r="ABV19" s="29">
        <f t="shared" ca="1" si="789"/>
        <v>15358.056598400672</v>
      </c>
      <c r="ABW19" s="29">
        <f t="shared" ca="1" si="790"/>
        <v>14938.074367414922</v>
      </c>
      <c r="ABX19" s="29">
        <f t="shared" ca="1" si="791"/>
        <v>14802.474378241655</v>
      </c>
      <c r="ABY19" s="29">
        <f t="shared" ca="1" si="792"/>
        <v>15007.962139350471</v>
      </c>
      <c r="ABZ19" s="29">
        <f t="shared" ca="1" si="793"/>
        <v>14552.146387739747</v>
      </c>
      <c r="ACA19" s="29">
        <f t="shared" ca="1" si="794"/>
        <v>14932.419902983427</v>
      </c>
      <c r="ACB19" s="29">
        <f t="shared" ca="1" si="795"/>
        <v>15159.982322231765</v>
      </c>
      <c r="ACC19" s="29">
        <f t="shared" ca="1" si="796"/>
        <v>13995.558651233014</v>
      </c>
      <c r="ACD19" s="29">
        <f t="shared" ca="1" si="797"/>
        <v>14693.302287402559</v>
      </c>
      <c r="ACE19" s="29">
        <f t="shared" ca="1" si="798"/>
        <v>15055.142888114557</v>
      </c>
      <c r="ACF19" s="29">
        <f t="shared" ca="1" si="799"/>
        <v>14555.052003457646</v>
      </c>
      <c r="ACG19" s="29">
        <f t="shared" ca="1" si="800"/>
        <v>14071.580851252607</v>
      </c>
      <c r="ACH19" s="29">
        <f t="shared" ca="1" si="801"/>
        <v>15402.51331106213</v>
      </c>
      <c r="ACI19" s="29">
        <f t="shared" ca="1" si="802"/>
        <v>13896.726480186644</v>
      </c>
      <c r="ACJ19" s="29">
        <f t="shared" ca="1" si="803"/>
        <v>14709.998674494542</v>
      </c>
      <c r="ACK19" s="29">
        <f t="shared" ca="1" si="804"/>
        <v>14238.688216535009</v>
      </c>
      <c r="ACL19" s="29">
        <f t="shared" ca="1" si="805"/>
        <v>13642.947396308062</v>
      </c>
      <c r="ACM19" s="29">
        <f t="shared" ca="1" si="806"/>
        <v>14785.60945866084</v>
      </c>
      <c r="ACN19" s="29">
        <f t="shared" ca="1" si="807"/>
        <v>14604.957145675076</v>
      </c>
      <c r="ACO19" s="29">
        <f t="shared" ca="1" si="808"/>
        <v>16399.124851575856</v>
      </c>
      <c r="ACP19" s="29">
        <f t="shared" ca="1" si="809"/>
        <v>14213.635181993213</v>
      </c>
      <c r="ACQ19" s="29">
        <f t="shared" ca="1" si="810"/>
        <v>14987.833404501</v>
      </c>
      <c r="ACR19" s="29">
        <f t="shared" ca="1" si="811"/>
        <v>14897.616731082129</v>
      </c>
      <c r="ACS19" s="29">
        <f t="shared" ca="1" si="812"/>
        <v>13791.519753785693</v>
      </c>
      <c r="ACT19" s="29">
        <f t="shared" ca="1" si="813"/>
        <v>14774.047396633707</v>
      </c>
      <c r="ACU19" s="29">
        <f t="shared" ca="1" si="814"/>
        <v>13943.718481948208</v>
      </c>
      <c r="ACV19" s="29">
        <f t="shared" ca="1" si="815"/>
        <v>14500.342255343045</v>
      </c>
      <c r="ACW19" s="29">
        <f t="shared" ca="1" si="816"/>
        <v>15174.82650619501</v>
      </c>
      <c r="ACX19" s="29">
        <f t="shared" ca="1" si="817"/>
        <v>14637.193843384774</v>
      </c>
      <c r="ACY19" s="29">
        <f t="shared" ca="1" si="818"/>
        <v>14209.477708426728</v>
      </c>
      <c r="ACZ19" s="29">
        <f t="shared" ca="1" si="819"/>
        <v>13931.285730372269</v>
      </c>
      <c r="ADA19" s="29">
        <f t="shared" ca="1" si="820"/>
        <v>15378.565684365072</v>
      </c>
      <c r="ADB19" s="29">
        <f t="shared" ca="1" si="821"/>
        <v>13948.476403293353</v>
      </c>
      <c r="ADC19" s="29">
        <f t="shared" ca="1" si="822"/>
        <v>14079.887036121747</v>
      </c>
      <c r="ADD19" s="29">
        <f t="shared" ca="1" si="823"/>
        <v>14815.49030206448</v>
      </c>
      <c r="ADE19" s="29">
        <f t="shared" ca="1" si="824"/>
        <v>14487.509731672446</v>
      </c>
      <c r="ADF19" s="29">
        <f t="shared" ca="1" si="825"/>
        <v>13941.492608671972</v>
      </c>
      <c r="ADG19" s="29">
        <f t="shared" ca="1" si="826"/>
        <v>14827.416020821298</v>
      </c>
      <c r="ADH19" s="29">
        <f t="shared" ca="1" si="827"/>
        <v>15281.524898255</v>
      </c>
      <c r="ADI19" s="29">
        <f t="shared" ca="1" si="828"/>
        <v>14281.849681395643</v>
      </c>
      <c r="ADJ19" s="29">
        <f t="shared" ca="1" si="829"/>
        <v>15395.4809411388</v>
      </c>
      <c r="ADK19" s="29">
        <f t="shared" ca="1" si="830"/>
        <v>15172.055462761422</v>
      </c>
      <c r="ADL19" s="29">
        <f t="shared" ca="1" si="831"/>
        <v>14560.068620406379</v>
      </c>
      <c r="ADM19" s="29">
        <f t="shared" ca="1" si="832"/>
        <v>14268.288252706236</v>
      </c>
      <c r="ADN19" s="29">
        <f t="shared" ca="1" si="833"/>
        <v>13971.546476442632</v>
      </c>
      <c r="ADO19" s="29">
        <f t="shared" ca="1" si="834"/>
        <v>14607.527037371838</v>
      </c>
      <c r="ADP19" s="29">
        <f t="shared" ca="1" si="835"/>
        <v>15000.19079289884</v>
      </c>
      <c r="ADQ19" s="29">
        <f t="shared" ca="1" si="836"/>
        <v>16621.369826695383</v>
      </c>
      <c r="ADR19" s="29">
        <f t="shared" ca="1" si="837"/>
        <v>14550.432571092641</v>
      </c>
      <c r="ADS19" s="29">
        <f t="shared" ca="1" si="838"/>
        <v>14942.396658783882</v>
      </c>
      <c r="ADT19" s="29">
        <f t="shared" ca="1" si="839"/>
        <v>13843.766919469841</v>
      </c>
      <c r="ADU19" s="29">
        <f t="shared" ca="1" si="840"/>
        <v>15282.855162544138</v>
      </c>
      <c r="ADV19" s="29">
        <f t="shared" ca="1" si="841"/>
        <v>14694.543187971896</v>
      </c>
      <c r="ADW19" s="29">
        <f t="shared" ca="1" si="842"/>
        <v>15450.578228380549</v>
      </c>
      <c r="ADX19" s="29">
        <f t="shared" ca="1" si="843"/>
        <v>13789.027910217746</v>
      </c>
      <c r="ADY19" s="29">
        <f t="shared" ca="1" si="844"/>
        <v>15860.726439849079</v>
      </c>
      <c r="ADZ19" s="29">
        <f t="shared" ca="1" si="845"/>
        <v>13906.402325086699</v>
      </c>
      <c r="AEA19" s="29">
        <f t="shared" ca="1" si="846"/>
        <v>14491.299349989185</v>
      </c>
      <c r="AEB19" s="29">
        <f t="shared" ca="1" si="847"/>
        <v>13072.19996671531</v>
      </c>
      <c r="AEC19" s="29">
        <f t="shared" ca="1" si="848"/>
        <v>14608.243076741017</v>
      </c>
      <c r="AED19" s="29">
        <f t="shared" ca="1" si="849"/>
        <v>14755.170067407833</v>
      </c>
      <c r="AEE19" s="29">
        <f t="shared" ca="1" si="850"/>
        <v>14798.359108810151</v>
      </c>
      <c r="AEF19" s="29">
        <f t="shared" ca="1" si="851"/>
        <v>14044.361380047731</v>
      </c>
      <c r="AEG19" s="29">
        <f t="shared" ca="1" si="852"/>
        <v>15833.940349934172</v>
      </c>
      <c r="AEH19" s="29">
        <f t="shared" ca="1" si="853"/>
        <v>13970.352122388922</v>
      </c>
      <c r="AEI19" s="29">
        <f t="shared" ca="1" si="854"/>
        <v>14970.327747939102</v>
      </c>
      <c r="AEJ19" s="29">
        <f t="shared" ca="1" si="855"/>
        <v>14126.175797154956</v>
      </c>
      <c r="AEK19" s="29">
        <f t="shared" ca="1" si="856"/>
        <v>14878.04159052252</v>
      </c>
      <c r="AEL19" s="29">
        <f t="shared" ca="1" si="857"/>
        <v>14282.377248682515</v>
      </c>
      <c r="AEM19" s="29">
        <f t="shared" ca="1" si="858"/>
        <v>14751.120159876595</v>
      </c>
      <c r="AEN19" s="29">
        <f t="shared" ca="1" si="859"/>
        <v>15043.390948161998</v>
      </c>
      <c r="AEO19" s="29">
        <f t="shared" ca="1" si="860"/>
        <v>14740.509115445822</v>
      </c>
      <c r="AEP19" s="29">
        <f t="shared" ca="1" si="861"/>
        <v>14911.744145499077</v>
      </c>
      <c r="AEQ19" s="29">
        <f t="shared" ca="1" si="862"/>
        <v>15080.0451160086</v>
      </c>
      <c r="AER19" s="29">
        <f t="shared" ca="1" si="863"/>
        <v>15107.115918836602</v>
      </c>
      <c r="AES19" s="29">
        <f t="shared" ca="1" si="864"/>
        <v>13616.748213380331</v>
      </c>
      <c r="AET19" s="29">
        <f t="shared" ca="1" si="865"/>
        <v>14964.021770583153</v>
      </c>
      <c r="AEU19" s="29">
        <f t="shared" ca="1" si="866"/>
        <v>13968.831933965243</v>
      </c>
      <c r="AEV19" s="29">
        <f t="shared" ca="1" si="867"/>
        <v>15975.495443532374</v>
      </c>
      <c r="AEW19" s="29">
        <f t="shared" ca="1" si="868"/>
        <v>13985.968654344608</v>
      </c>
      <c r="AEX19" s="29">
        <f t="shared" ca="1" si="869"/>
        <v>13979.750884273682</v>
      </c>
      <c r="AEY19" s="29">
        <f t="shared" ca="1" si="870"/>
        <v>13168.887047002183</v>
      </c>
      <c r="AEZ19" s="29">
        <f t="shared" ca="1" si="871"/>
        <v>13749.292662770684</v>
      </c>
      <c r="AFA19" s="29">
        <f t="shared" ca="1" si="872"/>
        <v>15279.706358753114</v>
      </c>
      <c r="AFB19" s="29">
        <f t="shared" ca="1" si="873"/>
        <v>14285.715856063516</v>
      </c>
      <c r="AFC19" s="29">
        <f t="shared" ca="1" si="874"/>
        <v>13866.564089991556</v>
      </c>
      <c r="AFD19" s="29">
        <f t="shared" ca="1" si="875"/>
        <v>15041.026928724275</v>
      </c>
      <c r="AFE19" s="29">
        <f t="shared" ca="1" si="876"/>
        <v>15067.916432213748</v>
      </c>
      <c r="AFF19" s="29">
        <f t="shared" ca="1" si="877"/>
        <v>14174.291316736293</v>
      </c>
      <c r="AFG19" s="29">
        <f t="shared" ca="1" si="878"/>
        <v>15025.255465747088</v>
      </c>
      <c r="AFH19" s="29">
        <f t="shared" ca="1" si="879"/>
        <v>15462.244585603987</v>
      </c>
      <c r="AFI19" s="29">
        <f t="shared" ca="1" si="880"/>
        <v>14620.817489086685</v>
      </c>
      <c r="AFJ19" s="29">
        <f t="shared" ca="1" si="881"/>
        <v>14044.28003337609</v>
      </c>
      <c r="AFK19" s="29">
        <f t="shared" ca="1" si="882"/>
        <v>14064.879895925615</v>
      </c>
      <c r="AFL19" s="29">
        <f t="shared" ca="1" si="883"/>
        <v>14555.458508191208</v>
      </c>
      <c r="AFM19" s="29">
        <f t="shared" ca="1" si="884"/>
        <v>13946.345067530186</v>
      </c>
      <c r="AFN19" s="29">
        <f t="shared" ca="1" si="885"/>
        <v>14996.773241798828</v>
      </c>
      <c r="AFO19" s="29">
        <f t="shared" ca="1" si="886"/>
        <v>14579.390788950044</v>
      </c>
      <c r="AFP19" s="29">
        <f t="shared" ca="1" si="887"/>
        <v>14619.157574723265</v>
      </c>
      <c r="AFQ19" s="29">
        <f t="shared" ca="1" si="888"/>
        <v>13884.704895077968</v>
      </c>
      <c r="AFR19" s="29">
        <f t="shared" ca="1" si="889"/>
        <v>15121.182066661559</v>
      </c>
      <c r="AFS19" s="29">
        <f t="shared" ca="1" si="890"/>
        <v>14037.583871681043</v>
      </c>
      <c r="AFT19" s="29">
        <f t="shared" ca="1" si="891"/>
        <v>14379.422829166697</v>
      </c>
      <c r="AFU19" s="29">
        <f t="shared" ca="1" si="892"/>
        <v>14117.72043731403</v>
      </c>
      <c r="AFV19" s="29">
        <f t="shared" ca="1" si="893"/>
        <v>14641.803494667931</v>
      </c>
      <c r="AFW19" s="29">
        <f t="shared" ca="1" si="894"/>
        <v>14059.558777873583</v>
      </c>
      <c r="AFX19" s="29">
        <f t="shared" ca="1" si="895"/>
        <v>15556.93282973331</v>
      </c>
      <c r="AFY19" s="29">
        <f t="shared" ca="1" si="896"/>
        <v>15115.637603115629</v>
      </c>
      <c r="AFZ19" s="29">
        <f t="shared" ca="1" si="897"/>
        <v>14231.26943339955</v>
      </c>
      <c r="AGA19" s="29">
        <f t="shared" ca="1" si="898"/>
        <v>14706.074923842445</v>
      </c>
      <c r="AGB19" s="29">
        <f t="shared" ca="1" si="899"/>
        <v>14434.418148865458</v>
      </c>
      <c r="AGC19" s="29">
        <f t="shared" ca="1" si="900"/>
        <v>13853.235542456543</v>
      </c>
      <c r="AGD19" s="29">
        <f t="shared" ca="1" si="901"/>
        <v>15298.25661445325</v>
      </c>
      <c r="AGE19" s="29">
        <f t="shared" ca="1" si="902"/>
        <v>14146.049540735023</v>
      </c>
      <c r="AGF19" s="29">
        <f t="shared" ca="1" si="903"/>
        <v>14641.404224356269</v>
      </c>
      <c r="AGG19" s="29">
        <f t="shared" ca="1" si="904"/>
        <v>13980.302077861297</v>
      </c>
      <c r="AGH19" s="29">
        <f t="shared" ca="1" si="905"/>
        <v>15128.872045136908</v>
      </c>
      <c r="AGI19" s="29">
        <f t="shared" ca="1" si="906"/>
        <v>13793.372197844432</v>
      </c>
      <c r="AGJ19" s="29">
        <f t="shared" ca="1" si="907"/>
        <v>14603.70797054502</v>
      </c>
      <c r="AGK19" s="29">
        <f t="shared" ca="1" si="908"/>
        <v>15128.734307859879</v>
      </c>
      <c r="AGL19" s="29">
        <f t="shared" ca="1" si="909"/>
        <v>14681.661581548065</v>
      </c>
      <c r="AGM19" s="29">
        <f t="shared" ca="1" si="910"/>
        <v>13967.653820322201</v>
      </c>
      <c r="AGN19" s="29">
        <f t="shared" ca="1" si="911"/>
        <v>14338.482765622777</v>
      </c>
      <c r="AGO19" s="29">
        <f t="shared" ca="1" si="912"/>
        <v>15218.218061472158</v>
      </c>
      <c r="AGP19" s="29">
        <f t="shared" ca="1" si="913"/>
        <v>13987.736768434455</v>
      </c>
      <c r="AGQ19" s="29">
        <f t="shared" ca="1" si="914"/>
        <v>14447.681843301318</v>
      </c>
      <c r="AGR19" s="29">
        <f t="shared" ca="1" si="915"/>
        <v>13739.673166768091</v>
      </c>
      <c r="AGS19" s="29">
        <f t="shared" ca="1" si="916"/>
        <v>14850.558193178224</v>
      </c>
      <c r="AGT19" s="29">
        <f t="shared" ca="1" si="917"/>
        <v>13618.694040994789</v>
      </c>
      <c r="AGU19" s="29">
        <f t="shared" ca="1" si="918"/>
        <v>14450.404896425338</v>
      </c>
      <c r="AGV19" s="29">
        <f t="shared" ca="1" si="919"/>
        <v>14811.401299653546</v>
      </c>
      <c r="AGW19" s="29">
        <f t="shared" ca="1" si="920"/>
        <v>15204.745360661471</v>
      </c>
      <c r="AGX19" s="29">
        <f t="shared" ca="1" si="921"/>
        <v>15077.71170301307</v>
      </c>
      <c r="AGY19" s="29">
        <f t="shared" ca="1" si="922"/>
        <v>14450.188111703779</v>
      </c>
      <c r="AGZ19" s="29">
        <f t="shared" ca="1" si="923"/>
        <v>13399.755873605845</v>
      </c>
      <c r="AHA19" s="29">
        <f t="shared" ca="1" si="924"/>
        <v>13739.75248738478</v>
      </c>
      <c r="AHB19" s="29">
        <f t="shared" ca="1" si="925"/>
        <v>13371.751190886858</v>
      </c>
      <c r="AHC19" s="29">
        <f t="shared" ca="1" si="926"/>
        <v>15108.519481242136</v>
      </c>
      <c r="AHD19" s="29">
        <f t="shared" ca="1" si="927"/>
        <v>14713.274931237564</v>
      </c>
      <c r="AHE19" s="29">
        <f t="shared" ca="1" si="928"/>
        <v>14596.445257131172</v>
      </c>
      <c r="AHF19" s="29">
        <f t="shared" ca="1" si="929"/>
        <v>15797.814390097423</v>
      </c>
      <c r="AHG19" s="29">
        <f t="shared" ca="1" si="930"/>
        <v>15449.52321242873</v>
      </c>
      <c r="AHH19" s="29">
        <f t="shared" ca="1" si="931"/>
        <v>15370.982069513509</v>
      </c>
      <c r="AHI19" s="29">
        <f t="shared" ca="1" si="932"/>
        <v>14613.855438227371</v>
      </c>
      <c r="AHJ19" s="29">
        <f t="shared" ca="1" si="933"/>
        <v>13725.463629014501</v>
      </c>
      <c r="AHK19" s="29">
        <f t="shared" ca="1" si="934"/>
        <v>15834.660843430462</v>
      </c>
      <c r="AHL19" s="29">
        <f t="shared" ca="1" si="935"/>
        <v>14992.607833133303</v>
      </c>
      <c r="AHM19" s="29">
        <f t="shared" ca="1" si="936"/>
        <v>15718.54437230875</v>
      </c>
      <c r="AHN19" s="29">
        <f t="shared" ca="1" si="937"/>
        <v>13844.305038572078</v>
      </c>
      <c r="AHO19" s="29">
        <f t="shared" ca="1" si="938"/>
        <v>14931.556056941083</v>
      </c>
      <c r="AHP19" s="29">
        <f t="shared" ca="1" si="939"/>
        <v>14911.320622671496</v>
      </c>
      <c r="AHQ19" s="29">
        <f t="shared" ca="1" si="940"/>
        <v>14799.303489709842</v>
      </c>
      <c r="AHR19" s="29">
        <f t="shared" ca="1" si="941"/>
        <v>14423.787433277281</v>
      </c>
      <c r="AHS19" s="29">
        <f t="shared" ca="1" si="942"/>
        <v>14370.687899387347</v>
      </c>
      <c r="AHT19" s="29">
        <f t="shared" ca="1" si="943"/>
        <v>14230.383388326092</v>
      </c>
      <c r="AHU19" s="29">
        <f t="shared" ca="1" si="944"/>
        <v>14598.301564892339</v>
      </c>
      <c r="AHV19" s="29">
        <f t="shared" ca="1" si="945"/>
        <v>14455.562884465557</v>
      </c>
      <c r="AHW19" s="29">
        <f t="shared" ca="1" si="946"/>
        <v>14996.573961909418</v>
      </c>
      <c r="AHX19" s="29">
        <f t="shared" ca="1" si="947"/>
        <v>15142.650982569599</v>
      </c>
      <c r="AHY19" s="29">
        <f t="shared" ca="1" si="948"/>
        <v>14593.219464529933</v>
      </c>
      <c r="AHZ19" s="29">
        <f t="shared" ca="1" si="949"/>
        <v>13664.596883143649</v>
      </c>
      <c r="AIA19" s="29">
        <f t="shared" ca="1" si="950"/>
        <v>15180.164462309125</v>
      </c>
      <c r="AIB19" s="29">
        <f t="shared" ca="1" si="951"/>
        <v>14737.463099761788</v>
      </c>
      <c r="AIC19" s="29">
        <f t="shared" ca="1" si="952"/>
        <v>14403.050474908616</v>
      </c>
      <c r="AID19" s="29">
        <f t="shared" ca="1" si="953"/>
        <v>14800.297486962814</v>
      </c>
      <c r="AIE19" s="29">
        <f t="shared" ca="1" si="954"/>
        <v>14569.521658166241</v>
      </c>
      <c r="AIF19" s="29">
        <f t="shared" ca="1" si="955"/>
        <v>14358.504049217607</v>
      </c>
      <c r="AIG19" s="29">
        <f t="shared" ca="1" si="956"/>
        <v>15067.97833585331</v>
      </c>
      <c r="AIH19" s="29">
        <f t="shared" ca="1" si="957"/>
        <v>14505.500128126017</v>
      </c>
      <c r="AII19" s="29">
        <f t="shared" ca="1" si="958"/>
        <v>14262.078999185029</v>
      </c>
      <c r="AIJ19" s="29">
        <f t="shared" ca="1" si="959"/>
        <v>13766.246278277096</v>
      </c>
      <c r="AIK19" s="29">
        <f t="shared" ca="1" si="960"/>
        <v>14542.191904730145</v>
      </c>
      <c r="AIL19" s="29">
        <f t="shared" ca="1" si="961"/>
        <v>13945.460579357796</v>
      </c>
      <c r="AIM19" s="29">
        <f t="shared" ca="1" si="962"/>
        <v>14300.531218085724</v>
      </c>
      <c r="AIN19" s="29">
        <f t="shared" ca="1" si="963"/>
        <v>14433.514485927048</v>
      </c>
      <c r="AIO19" s="29">
        <f t="shared" ca="1" si="964"/>
        <v>13295.574989950615</v>
      </c>
      <c r="AIP19" s="29">
        <f t="shared" ca="1" si="965"/>
        <v>13987.137417229937</v>
      </c>
      <c r="AIQ19" s="29">
        <f t="shared" ca="1" si="966"/>
        <v>13274.029147264782</v>
      </c>
      <c r="AIR19" s="29">
        <f t="shared" ca="1" si="967"/>
        <v>13825.512482879953</v>
      </c>
      <c r="AIS19" s="29">
        <f t="shared" ca="1" si="968"/>
        <v>14102.8296098218</v>
      </c>
      <c r="AIT19" s="29">
        <f t="shared" ca="1" si="969"/>
        <v>14477.892922466257</v>
      </c>
      <c r="AIU19" s="29">
        <f t="shared" ca="1" si="970"/>
        <v>13948.569811131247</v>
      </c>
      <c r="AIV19" s="29">
        <f t="shared" ca="1" si="971"/>
        <v>14222.347631623288</v>
      </c>
      <c r="AIW19" s="29">
        <f t="shared" ca="1" si="972"/>
        <v>13943.714253226819</v>
      </c>
      <c r="AIX19" s="29">
        <f t="shared" ca="1" si="973"/>
        <v>14978.592218763682</v>
      </c>
      <c r="AIY19" s="29">
        <f t="shared" ca="1" si="974"/>
        <v>15062.255613848823</v>
      </c>
      <c r="AIZ19" s="29">
        <f t="shared" ca="1" si="975"/>
        <v>15348.484254065839</v>
      </c>
      <c r="AJA19" s="29">
        <f t="shared" ca="1" si="976"/>
        <v>13858.223434857402</v>
      </c>
      <c r="AJB19" s="29">
        <f t="shared" ca="1" si="977"/>
        <v>14180.236244049256</v>
      </c>
      <c r="AJC19" s="29">
        <f t="shared" ca="1" si="978"/>
        <v>14823.868813430436</v>
      </c>
      <c r="AJD19" s="29">
        <f t="shared" ca="1" si="979"/>
        <v>14194.77787278779</v>
      </c>
      <c r="AJE19" s="29">
        <f t="shared" ca="1" si="980"/>
        <v>15301.557611922201</v>
      </c>
      <c r="AJF19" s="29">
        <f t="shared" ca="1" si="981"/>
        <v>14777.022562827935</v>
      </c>
      <c r="AJG19" s="29">
        <f t="shared" ca="1" si="982"/>
        <v>14484.887993136143</v>
      </c>
      <c r="AJH19" s="29">
        <f t="shared" ca="1" si="983"/>
        <v>13968.637330442789</v>
      </c>
      <c r="AJI19" s="29">
        <f t="shared" ca="1" si="984"/>
        <v>14602.654155998604</v>
      </c>
      <c r="AJJ19" s="29">
        <f t="shared" ca="1" si="985"/>
        <v>14776.799103837495</v>
      </c>
      <c r="AJK19" s="29">
        <f t="shared" ca="1" si="986"/>
        <v>14787.404737337125</v>
      </c>
      <c r="AJL19" s="29">
        <f t="shared" ca="1" si="987"/>
        <v>14903.574336944444</v>
      </c>
      <c r="AJM19" s="29">
        <f t="shared" ca="1" si="988"/>
        <v>14209.93329615778</v>
      </c>
      <c r="AJN19" s="29">
        <f t="shared" ca="1" si="989"/>
        <v>14216.85759536468</v>
      </c>
      <c r="AJO19" s="29">
        <f t="shared" ca="1" si="990"/>
        <v>15036.057357387959</v>
      </c>
      <c r="AJP19" s="29">
        <f t="shared" ca="1" si="991"/>
        <v>15627.210132638389</v>
      </c>
      <c r="AJQ19" s="29">
        <f t="shared" ca="1" si="992"/>
        <v>14002.506929422085</v>
      </c>
      <c r="AJR19" s="29">
        <f t="shared" ca="1" si="993"/>
        <v>15007.74924267532</v>
      </c>
      <c r="AJS19" s="29">
        <f t="shared" ca="1" si="994"/>
        <v>14759.126879878193</v>
      </c>
      <c r="AJT19" s="29">
        <f t="shared" ca="1" si="995"/>
        <v>14676.244574142069</v>
      </c>
      <c r="AJU19" s="29">
        <f t="shared" ca="1" si="996"/>
        <v>13419.976266220809</v>
      </c>
      <c r="AJV19" s="29">
        <f t="shared" ca="1" si="997"/>
        <v>14278.485602832918</v>
      </c>
      <c r="AJW19" s="29">
        <f t="shared" ca="1" si="998"/>
        <v>14004.157040977991</v>
      </c>
      <c r="AJX19" s="29">
        <f t="shared" ca="1" si="999"/>
        <v>14886.280010180864</v>
      </c>
      <c r="AJY19" s="29">
        <f t="shared" ca="1" si="1000"/>
        <v>13849.69230573411</v>
      </c>
      <c r="AJZ19" s="29">
        <f t="shared" ca="1" si="1001"/>
        <v>15242.450014512313</v>
      </c>
      <c r="AKA19" s="29">
        <f t="shared" ca="1" si="1002"/>
        <v>14855.785691814819</v>
      </c>
      <c r="AKB19" s="29">
        <f t="shared" ca="1" si="1003"/>
        <v>14000.036946402677</v>
      </c>
      <c r="AKC19" s="29">
        <f t="shared" ca="1" si="1004"/>
        <v>13928.501403044533</v>
      </c>
      <c r="AKD19" s="29">
        <f t="shared" ca="1" si="1005"/>
        <v>15212.410409720052</v>
      </c>
      <c r="AKE19" s="29">
        <f t="shared" ca="1" si="1006"/>
        <v>13504.266718975136</v>
      </c>
      <c r="AKF19" s="29">
        <f t="shared" ca="1" si="1007"/>
        <v>15463.569075400199</v>
      </c>
      <c r="AKG19" s="29">
        <f t="shared" ca="1" si="1008"/>
        <v>14161.716221191604</v>
      </c>
      <c r="AKH19" s="29">
        <f t="shared" ca="1" si="1009"/>
        <v>13860.766432216918</v>
      </c>
      <c r="AKI19" s="29">
        <f t="shared" ca="1" si="1010"/>
        <v>14897.013354231396</v>
      </c>
      <c r="AKJ19" s="29">
        <f t="shared" ca="1" si="1011"/>
        <v>13397.18687579256</v>
      </c>
      <c r="AKK19" s="29">
        <f t="shared" ca="1" si="1012"/>
        <v>16033.079228627972</v>
      </c>
      <c r="AKL19" s="29">
        <f t="shared" ca="1" si="1013"/>
        <v>14537.263589966362</v>
      </c>
      <c r="AKM19" s="29">
        <f t="shared" ca="1" si="1014"/>
        <v>13826.059132907094</v>
      </c>
      <c r="AKN19" s="29">
        <f t="shared" ca="1" si="1015"/>
        <v>14910.486851630791</v>
      </c>
      <c r="AKO19" s="29">
        <f t="shared" ca="1" si="1016"/>
        <v>14526.049963103584</v>
      </c>
      <c r="AKP19" s="29">
        <f t="shared" ca="1" si="1017"/>
        <v>15460.462475846924</v>
      </c>
      <c r="AKQ19" s="29">
        <f t="shared" ca="1" si="1018"/>
        <v>13870.806047055123</v>
      </c>
      <c r="AKR19" s="29">
        <f t="shared" ca="1" si="1019"/>
        <v>14548.973343051408</v>
      </c>
      <c r="AKS19" s="29">
        <f t="shared" ca="1" si="1020"/>
        <v>15075.335602764642</v>
      </c>
      <c r="AKT19" s="29">
        <f t="shared" ca="1" si="1021"/>
        <v>14833.147123155706</v>
      </c>
      <c r="AKU19" s="29">
        <f t="shared" ca="1" si="1022"/>
        <v>13980.396530083217</v>
      </c>
      <c r="AKV19" s="29">
        <f t="shared" ca="1" si="1023"/>
        <v>12549.777872733694</v>
      </c>
      <c r="AKW19" s="29">
        <f t="shared" ca="1" si="1024"/>
        <v>14087.672017327275</v>
      </c>
      <c r="AKX19" s="29">
        <f t="shared" ca="1" si="1025"/>
        <v>14806.222005949985</v>
      </c>
      <c r="AKY19" s="29">
        <f t="shared" ca="1" si="1026"/>
        <v>13978.808234733257</v>
      </c>
      <c r="AKZ19" s="29">
        <f t="shared" ca="1" si="1027"/>
        <v>14359.917420235821</v>
      </c>
      <c r="ALA19" s="29">
        <f t="shared" ca="1" si="1028"/>
        <v>13834.217454531381</v>
      </c>
      <c r="ALB19" s="29">
        <f t="shared" ca="1" si="1029"/>
        <v>15214.316384935431</v>
      </c>
      <c r="ALC19" s="29">
        <f t="shared" ca="1" si="1030"/>
        <v>13968.599516398908</v>
      </c>
      <c r="ALD19" s="29">
        <f t="shared" ca="1" si="1031"/>
        <v>15718.729707067627</v>
      </c>
      <c r="ALE19" s="29">
        <f t="shared" ca="1" si="1032"/>
        <v>13932.671155482458</v>
      </c>
      <c r="ALF19" s="29">
        <f t="shared" ca="1" si="1033"/>
        <v>13482.602340156305</v>
      </c>
      <c r="ALG19" s="29">
        <f t="shared" ca="1" si="1034"/>
        <v>14700.185504051289</v>
      </c>
      <c r="ALH19" s="29">
        <f t="shared" ca="1" si="1035"/>
        <v>14769.448977247815</v>
      </c>
      <c r="ALI19" s="29">
        <f t="shared" ca="1" si="1036"/>
        <v>14656.239043788142</v>
      </c>
      <c r="ALJ19" s="29">
        <f t="shared" ca="1" si="1037"/>
        <v>14748.745505033861</v>
      </c>
      <c r="ALK19" s="29">
        <f t="shared" ca="1" si="1038"/>
        <v>14683.804854963722</v>
      </c>
      <c r="ALL19" s="29">
        <f t="shared" ca="1" si="1039"/>
        <v>14466.593321861918</v>
      </c>
      <c r="ALM19" s="29">
        <f t="shared" ca="1" si="1040"/>
        <v>13537.067687232649</v>
      </c>
      <c r="ALN19" s="29">
        <f t="shared" ca="1" si="1041"/>
        <v>13951.646970503496</v>
      </c>
      <c r="ALO19" s="29">
        <f t="shared" ca="1" si="1042"/>
        <v>13700.593796992411</v>
      </c>
      <c r="ALP19" s="29">
        <f t="shared" ca="1" si="1043"/>
        <v>14615.086991271033</v>
      </c>
      <c r="ALQ19" s="29">
        <f t="shared" ca="1" si="1044"/>
        <v>14859.913745085307</v>
      </c>
      <c r="ALR19" s="29">
        <f t="shared" ca="1" si="1045"/>
        <v>14614.613574357825</v>
      </c>
      <c r="ALS19" s="29">
        <f t="shared" ca="1" si="1046"/>
        <v>14350.645600153897</v>
      </c>
      <c r="ALT19" s="29">
        <f t="shared" ca="1" si="1047"/>
        <v>14113.846130885195</v>
      </c>
      <c r="ALU19" s="29">
        <f t="shared" ca="1" si="1048"/>
        <v>15014.435343594238</v>
      </c>
      <c r="ALV19" s="29">
        <f t="shared" ca="1" si="1049"/>
        <v>14020.52950516545</v>
      </c>
    </row>
    <row r="20" spans="1:1010" x14ac:dyDescent="0.25">
      <c r="A20" s="1">
        <v>40504</v>
      </c>
      <c r="B20" s="2">
        <v>6010</v>
      </c>
      <c r="C20" s="16">
        <f t="shared" si="32"/>
        <v>2.0117851499899374E-2</v>
      </c>
      <c r="J20" s="29">
        <f t="shared" si="49"/>
        <v>17</v>
      </c>
      <c r="K20" s="29">
        <f t="shared" ca="1" si="50"/>
        <v>14805.509790968908</v>
      </c>
      <c r="L20" s="29">
        <f t="shared" ca="1" si="51"/>
        <v>13720.427810946063</v>
      </c>
      <c r="M20" s="29">
        <f t="shared" ca="1" si="52"/>
        <v>14537.903123846732</v>
      </c>
      <c r="N20" s="29">
        <f t="shared" ca="1" si="53"/>
        <v>13404.124791547334</v>
      </c>
      <c r="O20" s="29">
        <f t="shared" ca="1" si="54"/>
        <v>15352.508816146523</v>
      </c>
      <c r="P20" s="29">
        <f t="shared" ca="1" si="55"/>
        <v>14918.569102180421</v>
      </c>
      <c r="Q20" s="29">
        <f t="shared" ca="1" si="56"/>
        <v>13095.253804681375</v>
      </c>
      <c r="R20" s="29">
        <f t="shared" ca="1" si="57"/>
        <v>14452.814024176136</v>
      </c>
      <c r="S20" s="29">
        <f t="shared" ca="1" si="58"/>
        <v>13822.463803757786</v>
      </c>
      <c r="T20" s="29">
        <f t="shared" ca="1" si="59"/>
        <v>15559.102685196482</v>
      </c>
      <c r="U20" s="29">
        <f t="shared" ca="1" si="60"/>
        <v>14934.612754288515</v>
      </c>
      <c r="V20" s="29">
        <f t="shared" ca="1" si="61"/>
        <v>13912.515380548468</v>
      </c>
      <c r="W20" s="29">
        <f t="shared" ca="1" si="62"/>
        <v>13941.771974407846</v>
      </c>
      <c r="X20" s="29">
        <f t="shared" ca="1" si="63"/>
        <v>15813.542644399264</v>
      </c>
      <c r="Y20" s="29">
        <f t="shared" ca="1" si="64"/>
        <v>14762.011258422021</v>
      </c>
      <c r="Z20" s="29">
        <f t="shared" ca="1" si="65"/>
        <v>14181.893375059792</v>
      </c>
      <c r="AA20" s="29">
        <f t="shared" ca="1" si="66"/>
        <v>15394.571828323105</v>
      </c>
      <c r="AB20" s="29">
        <f t="shared" ca="1" si="67"/>
        <v>16162.048203452956</v>
      </c>
      <c r="AC20" s="29">
        <f t="shared" ca="1" si="68"/>
        <v>15495.240554026339</v>
      </c>
      <c r="AD20" s="29">
        <f t="shared" ca="1" si="69"/>
        <v>14725.980253505069</v>
      </c>
      <c r="AE20" s="29">
        <f t="shared" ca="1" si="70"/>
        <v>15523.089677666609</v>
      </c>
      <c r="AF20" s="29">
        <f t="shared" ca="1" si="71"/>
        <v>14856.809126448647</v>
      </c>
      <c r="AG20" s="29">
        <f t="shared" ca="1" si="72"/>
        <v>13606.398286246855</v>
      </c>
      <c r="AH20" s="29">
        <f t="shared" ca="1" si="73"/>
        <v>15130.103223247859</v>
      </c>
      <c r="AI20" s="29">
        <f t="shared" ca="1" si="74"/>
        <v>13756.732790461854</v>
      </c>
      <c r="AJ20" s="29">
        <f t="shared" ca="1" si="75"/>
        <v>14698.60125019197</v>
      </c>
      <c r="AK20" s="29">
        <f t="shared" ca="1" si="76"/>
        <v>13607.526158071956</v>
      </c>
      <c r="AL20" s="29">
        <f t="shared" ca="1" si="77"/>
        <v>14387.875825340954</v>
      </c>
      <c r="AM20" s="29">
        <f t="shared" ca="1" si="78"/>
        <v>15063.023223959412</v>
      </c>
      <c r="AN20" s="29">
        <f t="shared" ca="1" si="79"/>
        <v>14699.384372853276</v>
      </c>
      <c r="AO20" s="29">
        <f t="shared" ca="1" si="80"/>
        <v>14036.002772932457</v>
      </c>
      <c r="AP20" s="29">
        <f t="shared" ca="1" si="81"/>
        <v>14393.234204738856</v>
      </c>
      <c r="AQ20" s="29">
        <f t="shared" ca="1" si="82"/>
        <v>15331.654779510616</v>
      </c>
      <c r="AR20" s="29">
        <f t="shared" ca="1" si="83"/>
        <v>14016.373404469208</v>
      </c>
      <c r="AS20" s="29">
        <f t="shared" ca="1" si="84"/>
        <v>12876.434268872714</v>
      </c>
      <c r="AT20" s="29">
        <f t="shared" ca="1" si="85"/>
        <v>14791.51764996893</v>
      </c>
      <c r="AU20" s="29">
        <f t="shared" ca="1" si="86"/>
        <v>14122.277484034101</v>
      </c>
      <c r="AV20" s="29">
        <f t="shared" ca="1" si="87"/>
        <v>14592.219891827584</v>
      </c>
      <c r="AW20" s="29">
        <f t="shared" ca="1" si="88"/>
        <v>15833.966077450339</v>
      </c>
      <c r="AX20" s="29">
        <f t="shared" ca="1" si="89"/>
        <v>13798.993297623318</v>
      </c>
      <c r="AY20" s="29">
        <f t="shared" ca="1" si="90"/>
        <v>13804.381902624964</v>
      </c>
      <c r="AZ20" s="29">
        <f t="shared" ca="1" si="91"/>
        <v>14240.209752400755</v>
      </c>
      <c r="BA20" s="29">
        <f t="shared" ca="1" si="92"/>
        <v>14660.990867906212</v>
      </c>
      <c r="BB20" s="29">
        <f t="shared" ca="1" si="93"/>
        <v>13651.523100752322</v>
      </c>
      <c r="BC20" s="29">
        <f t="shared" ca="1" si="94"/>
        <v>13272.558647023972</v>
      </c>
      <c r="BD20" s="29">
        <f t="shared" ca="1" si="95"/>
        <v>14376.392266665287</v>
      </c>
      <c r="BE20" s="29">
        <f t="shared" ca="1" si="96"/>
        <v>15677.592931780624</v>
      </c>
      <c r="BF20" s="29">
        <f t="shared" ca="1" si="97"/>
        <v>15846.038753766863</v>
      </c>
      <c r="BG20" s="29">
        <f t="shared" ca="1" si="98"/>
        <v>13877.816635280025</v>
      </c>
      <c r="BH20" s="29">
        <f t="shared" ca="1" si="99"/>
        <v>15191.926395982468</v>
      </c>
      <c r="BI20" s="29">
        <f t="shared" ca="1" si="100"/>
        <v>14215.810704501118</v>
      </c>
      <c r="BJ20" s="29">
        <f t="shared" ca="1" si="101"/>
        <v>13996.76967570815</v>
      </c>
      <c r="BK20" s="29">
        <f t="shared" ca="1" si="102"/>
        <v>13637.637062317519</v>
      </c>
      <c r="BL20" s="29">
        <f t="shared" ca="1" si="103"/>
        <v>14145.257975772995</v>
      </c>
      <c r="BM20" s="29">
        <f t="shared" ca="1" si="104"/>
        <v>15140.034440169904</v>
      </c>
      <c r="BN20" s="29">
        <f t="shared" ca="1" si="105"/>
        <v>14482.844214725697</v>
      </c>
      <c r="BO20" s="29">
        <f t="shared" ca="1" si="106"/>
        <v>15554.029130799601</v>
      </c>
      <c r="BP20" s="29">
        <f t="shared" ca="1" si="107"/>
        <v>14816.155492586582</v>
      </c>
      <c r="BQ20" s="29">
        <f t="shared" ca="1" si="108"/>
        <v>14576.356318182508</v>
      </c>
      <c r="BR20" s="29">
        <f t="shared" ca="1" si="109"/>
        <v>13306.62011981238</v>
      </c>
      <c r="BS20" s="29">
        <f t="shared" ca="1" si="110"/>
        <v>14642.771194803097</v>
      </c>
      <c r="BT20" s="29">
        <f t="shared" ca="1" si="111"/>
        <v>14959.6072975271</v>
      </c>
      <c r="BU20" s="29">
        <f t="shared" ca="1" si="112"/>
        <v>13711.77625086525</v>
      </c>
      <c r="BV20" s="29">
        <f t="shared" ca="1" si="113"/>
        <v>16182.459516766523</v>
      </c>
      <c r="BW20" s="29">
        <f t="shared" ca="1" si="114"/>
        <v>14362.177919414529</v>
      </c>
      <c r="BX20" s="29">
        <f t="shared" ca="1" si="115"/>
        <v>14681.499871223186</v>
      </c>
      <c r="BY20" s="29">
        <f t="shared" ca="1" si="116"/>
        <v>14666.161019246481</v>
      </c>
      <c r="BZ20" s="29">
        <f t="shared" ca="1" si="117"/>
        <v>13986.022165730519</v>
      </c>
      <c r="CA20" s="29">
        <f t="shared" ca="1" si="118"/>
        <v>14553.254088839018</v>
      </c>
      <c r="CB20" s="29">
        <f t="shared" ca="1" si="119"/>
        <v>15847.866048205156</v>
      </c>
      <c r="CC20" s="29">
        <f t="shared" ca="1" si="120"/>
        <v>13659.13416795891</v>
      </c>
      <c r="CD20" s="29">
        <f t="shared" ca="1" si="121"/>
        <v>14422.285547312309</v>
      </c>
      <c r="CE20" s="29">
        <f t="shared" ca="1" si="122"/>
        <v>16130.242425778702</v>
      </c>
      <c r="CF20" s="29">
        <f t="shared" ca="1" si="123"/>
        <v>15133.923050676805</v>
      </c>
      <c r="CG20" s="29">
        <f t="shared" ca="1" si="124"/>
        <v>14638.739074251562</v>
      </c>
      <c r="CH20" s="29">
        <f t="shared" ca="1" si="125"/>
        <v>15563.197208435909</v>
      </c>
      <c r="CI20" s="29">
        <f t="shared" ca="1" si="126"/>
        <v>15276.511493114909</v>
      </c>
      <c r="CJ20" s="29">
        <f t="shared" ca="1" si="127"/>
        <v>14361.078680925715</v>
      </c>
      <c r="CK20" s="29">
        <f t="shared" ca="1" si="128"/>
        <v>13792.033764735408</v>
      </c>
      <c r="CL20" s="29">
        <f t="shared" ca="1" si="129"/>
        <v>14588.029291079127</v>
      </c>
      <c r="CM20" s="29">
        <f t="shared" ca="1" si="130"/>
        <v>14480.324222195573</v>
      </c>
      <c r="CN20" s="29">
        <f t="shared" ca="1" si="131"/>
        <v>14252.870043194183</v>
      </c>
      <c r="CO20" s="29">
        <f t="shared" ca="1" si="132"/>
        <v>15535.438771447209</v>
      </c>
      <c r="CP20" s="29">
        <f t="shared" ca="1" si="133"/>
        <v>14021.258946037933</v>
      </c>
      <c r="CQ20" s="29">
        <f t="shared" ca="1" si="134"/>
        <v>13626.770803299372</v>
      </c>
      <c r="CR20" s="29">
        <f t="shared" ca="1" si="135"/>
        <v>14112.990151166299</v>
      </c>
      <c r="CS20" s="29">
        <f t="shared" ca="1" si="136"/>
        <v>13625.861457901616</v>
      </c>
      <c r="CT20" s="29">
        <f t="shared" ca="1" si="137"/>
        <v>14662.078178167638</v>
      </c>
      <c r="CU20" s="29">
        <f t="shared" ca="1" si="138"/>
        <v>14296.585488479364</v>
      </c>
      <c r="CV20" s="29">
        <f t="shared" ca="1" si="139"/>
        <v>13977.025287009101</v>
      </c>
      <c r="CW20" s="29">
        <f t="shared" ca="1" si="140"/>
        <v>13728.735718844782</v>
      </c>
      <c r="CX20" s="29">
        <f t="shared" ca="1" si="141"/>
        <v>13302.491979495173</v>
      </c>
      <c r="CY20" s="29">
        <f t="shared" ca="1" si="142"/>
        <v>14560.105777124654</v>
      </c>
      <c r="CZ20" s="29">
        <f t="shared" ca="1" si="143"/>
        <v>12554.441708192951</v>
      </c>
      <c r="DA20" s="29">
        <f t="shared" ca="1" si="144"/>
        <v>15083.691910906602</v>
      </c>
      <c r="DB20" s="29">
        <f t="shared" ca="1" si="145"/>
        <v>15886.700667656154</v>
      </c>
      <c r="DC20" s="29">
        <f t="shared" ca="1" si="146"/>
        <v>15231.173839870704</v>
      </c>
      <c r="DD20" s="29">
        <f t="shared" ca="1" si="147"/>
        <v>13522.246842288427</v>
      </c>
      <c r="DE20" s="29">
        <f t="shared" ca="1" si="148"/>
        <v>14680.876563406184</v>
      </c>
      <c r="DF20" s="29">
        <f t="shared" ca="1" si="149"/>
        <v>14065.053989629498</v>
      </c>
      <c r="DG20" s="29">
        <f t="shared" ca="1" si="150"/>
        <v>14787.814678854997</v>
      </c>
      <c r="DH20" s="29">
        <f t="shared" ca="1" si="151"/>
        <v>13897.981957233949</v>
      </c>
      <c r="DI20" s="29">
        <f t="shared" ca="1" si="152"/>
        <v>14979.431661738472</v>
      </c>
      <c r="DJ20" s="29">
        <f t="shared" ca="1" si="153"/>
        <v>15327.5067548887</v>
      </c>
      <c r="DK20" s="29">
        <f t="shared" ca="1" si="154"/>
        <v>13577.736473202764</v>
      </c>
      <c r="DL20" s="29">
        <f t="shared" ca="1" si="155"/>
        <v>14805.624687655303</v>
      </c>
      <c r="DM20" s="29">
        <f t="shared" ca="1" si="156"/>
        <v>13985.583126891339</v>
      </c>
      <c r="DN20" s="29">
        <f t="shared" ca="1" si="157"/>
        <v>14924.273568203727</v>
      </c>
      <c r="DO20" s="29">
        <f t="shared" ca="1" si="158"/>
        <v>13298.532441514581</v>
      </c>
      <c r="DP20" s="29">
        <f t="shared" ca="1" si="159"/>
        <v>14475.354920389851</v>
      </c>
      <c r="DQ20" s="29">
        <f t="shared" ca="1" si="160"/>
        <v>14670.339354660335</v>
      </c>
      <c r="DR20" s="29">
        <f t="shared" ca="1" si="161"/>
        <v>13219.722569582224</v>
      </c>
      <c r="DS20" s="29">
        <f t="shared" ca="1" si="162"/>
        <v>15383.495626304881</v>
      </c>
      <c r="DT20" s="29">
        <f t="shared" ca="1" si="163"/>
        <v>14387.895034010431</v>
      </c>
      <c r="DU20" s="29">
        <f t="shared" ca="1" si="164"/>
        <v>14699.653954621668</v>
      </c>
      <c r="DV20" s="29">
        <f t="shared" ca="1" si="165"/>
        <v>14204.026156728751</v>
      </c>
      <c r="DW20" s="29">
        <f t="shared" ca="1" si="166"/>
        <v>14630.35796066993</v>
      </c>
      <c r="DX20" s="29">
        <f t="shared" ca="1" si="167"/>
        <v>13601.286115700026</v>
      </c>
      <c r="DY20" s="29">
        <f t="shared" ca="1" si="168"/>
        <v>14513.144322305156</v>
      </c>
      <c r="DZ20" s="29">
        <f t="shared" ca="1" si="169"/>
        <v>14467.111501597803</v>
      </c>
      <c r="EA20" s="29">
        <f t="shared" ca="1" si="170"/>
        <v>14274.012682562619</v>
      </c>
      <c r="EB20" s="29">
        <f t="shared" ca="1" si="171"/>
        <v>13618.215639017184</v>
      </c>
      <c r="EC20" s="29">
        <f t="shared" ca="1" si="172"/>
        <v>14632.110171883185</v>
      </c>
      <c r="ED20" s="29">
        <f t="shared" ca="1" si="173"/>
        <v>15688.19593764839</v>
      </c>
      <c r="EE20" s="29">
        <f t="shared" ca="1" si="174"/>
        <v>13994.338101484896</v>
      </c>
      <c r="EF20" s="29">
        <f t="shared" ca="1" si="175"/>
        <v>15308.478896443359</v>
      </c>
      <c r="EG20" s="29">
        <f t="shared" ca="1" si="176"/>
        <v>14742.709169440563</v>
      </c>
      <c r="EH20" s="29">
        <f t="shared" ca="1" si="177"/>
        <v>13551.296308738987</v>
      </c>
      <c r="EI20" s="29">
        <f t="shared" ca="1" si="178"/>
        <v>13942.523640740246</v>
      </c>
      <c r="EJ20" s="29">
        <f t="shared" ca="1" si="179"/>
        <v>14180.213452044958</v>
      </c>
      <c r="EK20" s="29">
        <f t="shared" ca="1" si="180"/>
        <v>14423.124036945532</v>
      </c>
      <c r="EL20" s="29">
        <f t="shared" ca="1" si="181"/>
        <v>14481.942782323753</v>
      </c>
      <c r="EM20" s="29">
        <f t="shared" ca="1" si="182"/>
        <v>14154.027379981992</v>
      </c>
      <c r="EN20" s="29">
        <f t="shared" ca="1" si="183"/>
        <v>14337.901292962586</v>
      </c>
      <c r="EO20" s="29">
        <f t="shared" ca="1" si="184"/>
        <v>14285.347734864919</v>
      </c>
      <c r="EP20" s="29">
        <f t="shared" ca="1" si="185"/>
        <v>13986.541843128462</v>
      </c>
      <c r="EQ20" s="29">
        <f t="shared" ca="1" si="186"/>
        <v>15458.133032661461</v>
      </c>
      <c r="ER20" s="29">
        <f t="shared" ca="1" si="187"/>
        <v>13264.631683729249</v>
      </c>
      <c r="ES20" s="29">
        <f t="shared" ca="1" si="188"/>
        <v>14647.129065199746</v>
      </c>
      <c r="ET20" s="29">
        <f t="shared" ca="1" si="189"/>
        <v>14419.936202688896</v>
      </c>
      <c r="EU20" s="29">
        <f t="shared" ca="1" si="190"/>
        <v>14658.170073171888</v>
      </c>
      <c r="EV20" s="29">
        <f t="shared" ca="1" si="191"/>
        <v>15269.61665956344</v>
      </c>
      <c r="EW20" s="29">
        <f t="shared" ca="1" si="192"/>
        <v>13703.870621190739</v>
      </c>
      <c r="EX20" s="29">
        <f t="shared" ca="1" si="193"/>
        <v>14968.960638899844</v>
      </c>
      <c r="EY20" s="29">
        <f t="shared" ca="1" si="194"/>
        <v>14427.361626624015</v>
      </c>
      <c r="EZ20" s="29">
        <f t="shared" ca="1" si="195"/>
        <v>14588.830580509008</v>
      </c>
      <c r="FA20" s="29">
        <f t="shared" ca="1" si="196"/>
        <v>14670.079664394096</v>
      </c>
      <c r="FB20" s="29">
        <f t="shared" ca="1" si="197"/>
        <v>15175.089856675793</v>
      </c>
      <c r="FC20" s="29">
        <f t="shared" ca="1" si="198"/>
        <v>15296.855411069151</v>
      </c>
      <c r="FD20" s="29">
        <f t="shared" ca="1" si="199"/>
        <v>14114.804681842148</v>
      </c>
      <c r="FE20" s="29">
        <f t="shared" ca="1" si="200"/>
        <v>14943.640140931808</v>
      </c>
      <c r="FF20" s="29">
        <f t="shared" ca="1" si="201"/>
        <v>14820.912860562375</v>
      </c>
      <c r="FG20" s="29">
        <f t="shared" ca="1" si="202"/>
        <v>13887.901291372667</v>
      </c>
      <c r="FH20" s="29">
        <f t="shared" ca="1" si="203"/>
        <v>13633.405403872846</v>
      </c>
      <c r="FI20" s="29">
        <f t="shared" ca="1" si="204"/>
        <v>14198.139717123047</v>
      </c>
      <c r="FJ20" s="29">
        <f t="shared" ca="1" si="205"/>
        <v>14470.947395881192</v>
      </c>
      <c r="FK20" s="29">
        <f t="shared" ca="1" si="206"/>
        <v>15186.711613610902</v>
      </c>
      <c r="FL20" s="29">
        <f t="shared" ca="1" si="207"/>
        <v>14361.141397634208</v>
      </c>
      <c r="FM20" s="29">
        <f t="shared" ca="1" si="208"/>
        <v>14461.468563065508</v>
      </c>
      <c r="FN20" s="29">
        <f t="shared" ca="1" si="209"/>
        <v>13581.569386551591</v>
      </c>
      <c r="FO20" s="29">
        <f t="shared" ca="1" si="210"/>
        <v>13870.697735702477</v>
      </c>
      <c r="FP20" s="29">
        <f t="shared" ca="1" si="211"/>
        <v>13849.704742924729</v>
      </c>
      <c r="FQ20" s="29">
        <f t="shared" ca="1" si="212"/>
        <v>14245.277354451966</v>
      </c>
      <c r="FR20" s="29">
        <f t="shared" ca="1" si="213"/>
        <v>14605.997958321981</v>
      </c>
      <c r="FS20" s="29">
        <f t="shared" ca="1" si="214"/>
        <v>15189.297468979163</v>
      </c>
      <c r="FT20" s="29">
        <f t="shared" ca="1" si="215"/>
        <v>14727.89215734879</v>
      </c>
      <c r="FU20" s="29">
        <f t="shared" ca="1" si="216"/>
        <v>13917.498188721753</v>
      </c>
      <c r="FV20" s="29">
        <f t="shared" ca="1" si="217"/>
        <v>14978.108983490058</v>
      </c>
      <c r="FW20" s="29">
        <f t="shared" ca="1" si="218"/>
        <v>14063.095949133372</v>
      </c>
      <c r="FX20" s="29">
        <f t="shared" ca="1" si="219"/>
        <v>15305.342434370823</v>
      </c>
      <c r="FY20" s="29">
        <f t="shared" ca="1" si="220"/>
        <v>14582.816314094753</v>
      </c>
      <c r="FZ20" s="29">
        <f t="shared" ca="1" si="221"/>
        <v>13652.867333389846</v>
      </c>
      <c r="GA20" s="29">
        <f t="shared" ca="1" si="222"/>
        <v>13576.274791554724</v>
      </c>
      <c r="GB20" s="29">
        <f t="shared" ca="1" si="223"/>
        <v>15589.849618822482</v>
      </c>
      <c r="GC20" s="29">
        <f t="shared" ca="1" si="224"/>
        <v>15569.463608446213</v>
      </c>
      <c r="GD20" s="29">
        <f t="shared" ca="1" si="225"/>
        <v>14138.060803111852</v>
      </c>
      <c r="GE20" s="29">
        <f t="shared" ca="1" si="226"/>
        <v>14557.568330207099</v>
      </c>
      <c r="GF20" s="29">
        <f t="shared" ca="1" si="227"/>
        <v>14287.262481632777</v>
      </c>
      <c r="GG20" s="29">
        <f t="shared" ca="1" si="228"/>
        <v>14884.227799785705</v>
      </c>
      <c r="GH20" s="29">
        <f t="shared" ca="1" si="229"/>
        <v>14136.950071654031</v>
      </c>
      <c r="GI20" s="29">
        <f t="shared" ca="1" si="230"/>
        <v>14221.988425150786</v>
      </c>
      <c r="GJ20" s="29">
        <f t="shared" ca="1" si="231"/>
        <v>14349.255728894792</v>
      </c>
      <c r="GK20" s="29">
        <f t="shared" ca="1" si="232"/>
        <v>14216.021926302941</v>
      </c>
      <c r="GL20" s="29">
        <f t="shared" ca="1" si="233"/>
        <v>13860.92436914399</v>
      </c>
      <c r="GM20" s="29">
        <f t="shared" ca="1" si="234"/>
        <v>13973.857994197413</v>
      </c>
      <c r="GN20" s="29">
        <f t="shared" ca="1" si="235"/>
        <v>14011.801881830159</v>
      </c>
      <c r="GO20" s="29">
        <f t="shared" ca="1" si="236"/>
        <v>13396.921565381879</v>
      </c>
      <c r="GP20" s="29">
        <f t="shared" ca="1" si="237"/>
        <v>15810.265986387965</v>
      </c>
      <c r="GQ20" s="29">
        <f t="shared" ca="1" si="238"/>
        <v>14614.86150217499</v>
      </c>
      <c r="GR20" s="29">
        <f t="shared" ca="1" si="239"/>
        <v>14141.721025383302</v>
      </c>
      <c r="GS20" s="29">
        <f t="shared" ca="1" si="240"/>
        <v>15052.430242751858</v>
      </c>
      <c r="GT20" s="29">
        <f t="shared" ca="1" si="241"/>
        <v>14181.496162359757</v>
      </c>
      <c r="GU20" s="29">
        <f t="shared" ca="1" si="242"/>
        <v>14026.101061963625</v>
      </c>
      <c r="GV20" s="29">
        <f t="shared" ca="1" si="243"/>
        <v>15300.437390339106</v>
      </c>
      <c r="GW20" s="29">
        <f t="shared" ca="1" si="244"/>
        <v>13353.776594877081</v>
      </c>
      <c r="GX20" s="29">
        <f t="shared" ca="1" si="245"/>
        <v>14674.035775618413</v>
      </c>
      <c r="GY20" s="29">
        <f t="shared" ca="1" si="246"/>
        <v>15015.669259524644</v>
      </c>
      <c r="GZ20" s="29">
        <f t="shared" ca="1" si="247"/>
        <v>14878.576000694966</v>
      </c>
      <c r="HA20" s="29">
        <f t="shared" ca="1" si="248"/>
        <v>15216.165387409534</v>
      </c>
      <c r="HB20" s="29">
        <f t="shared" ca="1" si="249"/>
        <v>14213.82933865757</v>
      </c>
      <c r="HC20" s="29">
        <f t="shared" ca="1" si="250"/>
        <v>14906.237006429392</v>
      </c>
      <c r="HD20" s="29">
        <f t="shared" ca="1" si="251"/>
        <v>13227.229126218299</v>
      </c>
      <c r="HE20" s="29">
        <f t="shared" ca="1" si="252"/>
        <v>14952.255371915213</v>
      </c>
      <c r="HF20" s="29">
        <f t="shared" ca="1" si="253"/>
        <v>13814.557097119616</v>
      </c>
      <c r="HG20" s="29">
        <f t="shared" ca="1" si="254"/>
        <v>13715.971470713886</v>
      </c>
      <c r="HH20" s="29">
        <f t="shared" ca="1" si="255"/>
        <v>13398.193685279533</v>
      </c>
      <c r="HI20" s="29">
        <f t="shared" ca="1" si="256"/>
        <v>13715.314572149537</v>
      </c>
      <c r="HJ20" s="29">
        <f t="shared" ca="1" si="257"/>
        <v>13800.036825784717</v>
      </c>
      <c r="HK20" s="29">
        <f t="shared" ca="1" si="258"/>
        <v>15524.975833401133</v>
      </c>
      <c r="HL20" s="29">
        <f t="shared" ca="1" si="259"/>
        <v>15734.816103442605</v>
      </c>
      <c r="HM20" s="29">
        <f t="shared" ca="1" si="260"/>
        <v>14179.843009415523</v>
      </c>
      <c r="HN20" s="29">
        <f t="shared" ca="1" si="261"/>
        <v>13345.359234264846</v>
      </c>
      <c r="HO20" s="29">
        <f t="shared" ca="1" si="262"/>
        <v>15116.292871626014</v>
      </c>
      <c r="HP20" s="29">
        <f t="shared" ca="1" si="263"/>
        <v>13764.056528797508</v>
      </c>
      <c r="HQ20" s="29">
        <f t="shared" ca="1" si="264"/>
        <v>14041.019433586383</v>
      </c>
      <c r="HR20" s="29">
        <f t="shared" ca="1" si="265"/>
        <v>15199.610840418829</v>
      </c>
      <c r="HS20" s="29">
        <f t="shared" ca="1" si="266"/>
        <v>14711.293669524557</v>
      </c>
      <c r="HT20" s="29">
        <f t="shared" ca="1" si="267"/>
        <v>14870.85131882693</v>
      </c>
      <c r="HU20" s="29">
        <f t="shared" ca="1" si="268"/>
        <v>14081.187787624065</v>
      </c>
      <c r="HV20" s="29">
        <f t="shared" ca="1" si="269"/>
        <v>14966.745439885754</v>
      </c>
      <c r="HW20" s="29">
        <f t="shared" ca="1" si="270"/>
        <v>14601.169388959546</v>
      </c>
      <c r="HX20" s="29">
        <f t="shared" ca="1" si="271"/>
        <v>14738.910576464576</v>
      </c>
      <c r="HY20" s="29">
        <f t="shared" ca="1" si="272"/>
        <v>14662.92370210861</v>
      </c>
      <c r="HZ20" s="29">
        <f t="shared" ca="1" si="273"/>
        <v>13705.571152518238</v>
      </c>
      <c r="IA20" s="29">
        <f t="shared" ca="1" si="274"/>
        <v>14684.162454213145</v>
      </c>
      <c r="IB20" s="29">
        <f t="shared" ca="1" si="275"/>
        <v>15113.021147962687</v>
      </c>
      <c r="IC20" s="29">
        <f t="shared" ca="1" si="276"/>
        <v>13685.237416240851</v>
      </c>
      <c r="ID20" s="29">
        <f t="shared" ca="1" si="277"/>
        <v>14252.319438954888</v>
      </c>
      <c r="IE20" s="29">
        <f t="shared" ca="1" si="278"/>
        <v>12978.365375252555</v>
      </c>
      <c r="IF20" s="29">
        <f t="shared" ca="1" si="279"/>
        <v>15376.842994725381</v>
      </c>
      <c r="IG20" s="29">
        <f t="shared" ca="1" si="280"/>
        <v>13622.520627027901</v>
      </c>
      <c r="IH20" s="29">
        <f t="shared" ca="1" si="281"/>
        <v>14321.918201359489</v>
      </c>
      <c r="II20" s="29">
        <f t="shared" ca="1" si="282"/>
        <v>15078.826057634871</v>
      </c>
      <c r="IJ20" s="29">
        <f t="shared" ca="1" si="283"/>
        <v>14332.000708049969</v>
      </c>
      <c r="IK20" s="29">
        <f t="shared" ca="1" si="284"/>
        <v>14192.137110281799</v>
      </c>
      <c r="IL20" s="29">
        <f t="shared" ca="1" si="285"/>
        <v>16236.22774470725</v>
      </c>
      <c r="IM20" s="29">
        <f t="shared" ca="1" si="286"/>
        <v>13705.71929747232</v>
      </c>
      <c r="IN20" s="29">
        <f t="shared" ca="1" si="287"/>
        <v>15236.454413616755</v>
      </c>
      <c r="IO20" s="29">
        <f t="shared" ca="1" si="288"/>
        <v>14753.323963887839</v>
      </c>
      <c r="IP20" s="29">
        <f t="shared" ca="1" si="289"/>
        <v>14662.978683688763</v>
      </c>
      <c r="IQ20" s="29">
        <f t="shared" ca="1" si="290"/>
        <v>13717.5182621192</v>
      </c>
      <c r="IR20" s="29">
        <f t="shared" ca="1" si="291"/>
        <v>14310.456993220358</v>
      </c>
      <c r="IS20" s="29">
        <f t="shared" ca="1" si="292"/>
        <v>13272.149589577635</v>
      </c>
      <c r="IT20" s="29">
        <f t="shared" ca="1" si="293"/>
        <v>15909.622980530759</v>
      </c>
      <c r="IU20" s="29">
        <f t="shared" ca="1" si="294"/>
        <v>15813.664990410196</v>
      </c>
      <c r="IV20" s="29">
        <f t="shared" ca="1" si="295"/>
        <v>14156.748522401616</v>
      </c>
      <c r="IW20" s="29">
        <f t="shared" ca="1" si="296"/>
        <v>15054.633157589551</v>
      </c>
      <c r="IX20" s="29">
        <f t="shared" ca="1" si="297"/>
        <v>15484.693472097024</v>
      </c>
      <c r="IY20" s="29">
        <f t="shared" ca="1" si="298"/>
        <v>13994.96390514021</v>
      </c>
      <c r="IZ20" s="29">
        <f t="shared" ca="1" si="299"/>
        <v>14003.413257429151</v>
      </c>
      <c r="JA20" s="29">
        <f t="shared" ca="1" si="300"/>
        <v>14200.367437500237</v>
      </c>
      <c r="JB20" s="29">
        <f t="shared" ca="1" si="301"/>
        <v>13612.917248628213</v>
      </c>
      <c r="JC20" s="29">
        <f t="shared" ca="1" si="302"/>
        <v>14459.888161746876</v>
      </c>
      <c r="JD20" s="29">
        <f t="shared" ca="1" si="303"/>
        <v>14028.67242504143</v>
      </c>
      <c r="JE20" s="29">
        <f t="shared" ca="1" si="304"/>
        <v>13543.387156478744</v>
      </c>
      <c r="JF20" s="29">
        <f t="shared" ca="1" si="305"/>
        <v>14461.240878915669</v>
      </c>
      <c r="JG20" s="29">
        <f t="shared" ca="1" si="306"/>
        <v>13694.692659063065</v>
      </c>
      <c r="JH20" s="29">
        <f t="shared" ca="1" si="307"/>
        <v>14439.162952166878</v>
      </c>
      <c r="JI20" s="29">
        <f t="shared" ca="1" si="308"/>
        <v>14009.027039658096</v>
      </c>
      <c r="JJ20" s="29">
        <f t="shared" ca="1" si="309"/>
        <v>14961.130740184097</v>
      </c>
      <c r="JK20" s="29">
        <f t="shared" ca="1" si="310"/>
        <v>14680.016899515271</v>
      </c>
      <c r="JL20" s="29">
        <f t="shared" ca="1" si="311"/>
        <v>15159.40134566644</v>
      </c>
      <c r="JM20" s="29">
        <f t="shared" ca="1" si="312"/>
        <v>13199.320777664827</v>
      </c>
      <c r="JN20" s="29">
        <f t="shared" ca="1" si="313"/>
        <v>14742.825062163802</v>
      </c>
      <c r="JO20" s="29">
        <f t="shared" ca="1" si="314"/>
        <v>15373.159302703058</v>
      </c>
      <c r="JP20" s="29">
        <f t="shared" ca="1" si="315"/>
        <v>14721.228772636206</v>
      </c>
      <c r="JQ20" s="29">
        <f t="shared" ca="1" si="316"/>
        <v>13718.018605988993</v>
      </c>
      <c r="JR20" s="29">
        <f t="shared" ca="1" si="317"/>
        <v>14459.094648699062</v>
      </c>
      <c r="JS20" s="29">
        <f t="shared" ca="1" si="318"/>
        <v>15685.159531272053</v>
      </c>
      <c r="JT20" s="29">
        <f t="shared" ca="1" si="319"/>
        <v>14760.325703306316</v>
      </c>
      <c r="JU20" s="29">
        <f t="shared" ca="1" si="320"/>
        <v>14503.173312989755</v>
      </c>
      <c r="JV20" s="29">
        <f t="shared" ca="1" si="321"/>
        <v>14421.27899721062</v>
      </c>
      <c r="JW20" s="29">
        <f t="shared" ca="1" si="322"/>
        <v>14790.153616369831</v>
      </c>
      <c r="JX20" s="29">
        <f t="shared" ca="1" si="323"/>
        <v>14701.149918088111</v>
      </c>
      <c r="JY20" s="29">
        <f t="shared" ca="1" si="324"/>
        <v>14028.46744305486</v>
      </c>
      <c r="JZ20" s="29">
        <f t="shared" ca="1" si="325"/>
        <v>14973.715065419321</v>
      </c>
      <c r="KA20" s="29">
        <f t="shared" ca="1" si="326"/>
        <v>14390.750597311986</v>
      </c>
      <c r="KB20" s="29">
        <f t="shared" ca="1" si="327"/>
        <v>13172.545027206306</v>
      </c>
      <c r="KC20" s="29">
        <f t="shared" ca="1" si="328"/>
        <v>14585.729937011452</v>
      </c>
      <c r="KD20" s="29">
        <f t="shared" ca="1" si="329"/>
        <v>13747.385539033663</v>
      </c>
      <c r="KE20" s="29">
        <f t="shared" ca="1" si="330"/>
        <v>16227.557115315951</v>
      </c>
      <c r="KF20" s="29">
        <f t="shared" ca="1" si="331"/>
        <v>14920.227835596805</v>
      </c>
      <c r="KG20" s="29">
        <f t="shared" ca="1" si="332"/>
        <v>14246.978652500389</v>
      </c>
      <c r="KH20" s="29">
        <f t="shared" ca="1" si="333"/>
        <v>14454.728456509447</v>
      </c>
      <c r="KI20" s="29">
        <f t="shared" ca="1" si="334"/>
        <v>13638.58151636038</v>
      </c>
      <c r="KJ20" s="29">
        <f t="shared" ca="1" si="335"/>
        <v>14485.919001861843</v>
      </c>
      <c r="KK20" s="29">
        <f t="shared" ca="1" si="336"/>
        <v>13836.259714545235</v>
      </c>
      <c r="KL20" s="29">
        <f t="shared" ca="1" si="337"/>
        <v>14470.345916109078</v>
      </c>
      <c r="KM20" s="29">
        <f t="shared" ca="1" si="338"/>
        <v>15536.400777744519</v>
      </c>
      <c r="KN20" s="29">
        <f t="shared" ca="1" si="339"/>
        <v>13750.307719569146</v>
      </c>
      <c r="KO20" s="29">
        <f t="shared" ca="1" si="340"/>
        <v>14226.201837946643</v>
      </c>
      <c r="KP20" s="29">
        <f t="shared" ca="1" si="341"/>
        <v>14590.10043908503</v>
      </c>
      <c r="KQ20" s="29">
        <f t="shared" ca="1" si="342"/>
        <v>14116.959412602399</v>
      </c>
      <c r="KR20" s="29">
        <f t="shared" ca="1" si="343"/>
        <v>13903.47345698539</v>
      </c>
      <c r="KS20" s="29">
        <f t="shared" ca="1" si="344"/>
        <v>13505.36950743034</v>
      </c>
      <c r="KT20" s="29">
        <f t="shared" ca="1" si="345"/>
        <v>14459.119282015079</v>
      </c>
      <c r="KU20" s="29">
        <f t="shared" ca="1" si="346"/>
        <v>13677.013323489076</v>
      </c>
      <c r="KV20" s="29">
        <f t="shared" ca="1" si="347"/>
        <v>14425.137047040009</v>
      </c>
      <c r="KW20" s="29">
        <f t="shared" ca="1" si="348"/>
        <v>14353.278486513642</v>
      </c>
      <c r="KX20" s="29">
        <f t="shared" ca="1" si="349"/>
        <v>13354.785821359443</v>
      </c>
      <c r="KY20" s="29">
        <f t="shared" ca="1" si="350"/>
        <v>14703.732094457435</v>
      </c>
      <c r="KZ20" s="29">
        <f t="shared" ca="1" si="351"/>
        <v>15528.329665567824</v>
      </c>
      <c r="LA20" s="29">
        <f t="shared" ca="1" si="352"/>
        <v>14850.632323754242</v>
      </c>
      <c r="LB20" s="29">
        <f t="shared" ca="1" si="353"/>
        <v>13789.78082521851</v>
      </c>
      <c r="LC20" s="29">
        <f t="shared" ca="1" si="354"/>
        <v>14142.446847222433</v>
      </c>
      <c r="LD20" s="29">
        <f t="shared" ca="1" si="355"/>
        <v>13774.342611463566</v>
      </c>
      <c r="LE20" s="29">
        <f t="shared" ca="1" si="356"/>
        <v>14316.631711888076</v>
      </c>
      <c r="LF20" s="29">
        <f t="shared" ca="1" si="357"/>
        <v>14258.20388730796</v>
      </c>
      <c r="LG20" s="29">
        <f t="shared" ca="1" si="358"/>
        <v>14310.030927421894</v>
      </c>
      <c r="LH20" s="29">
        <f t="shared" ca="1" si="359"/>
        <v>13445.138492049391</v>
      </c>
      <c r="LI20" s="29">
        <f t="shared" ca="1" si="360"/>
        <v>14304.466333655759</v>
      </c>
      <c r="LJ20" s="29">
        <f t="shared" ca="1" si="361"/>
        <v>14707.155091904657</v>
      </c>
      <c r="LK20" s="29">
        <f t="shared" ca="1" si="362"/>
        <v>14249.397217551437</v>
      </c>
      <c r="LL20" s="29">
        <f t="shared" ca="1" si="363"/>
        <v>15017.753371578365</v>
      </c>
      <c r="LM20" s="29">
        <f t="shared" ca="1" si="364"/>
        <v>14716.442548749785</v>
      </c>
      <c r="LN20" s="29">
        <f t="shared" ca="1" si="365"/>
        <v>15040.206738058414</v>
      </c>
      <c r="LO20" s="29">
        <f t="shared" ca="1" si="366"/>
        <v>14525.378065380301</v>
      </c>
      <c r="LP20" s="29">
        <f t="shared" ca="1" si="367"/>
        <v>14613.57868332916</v>
      </c>
      <c r="LQ20" s="29">
        <f t="shared" ca="1" si="368"/>
        <v>16113.387257538445</v>
      </c>
      <c r="LR20" s="29">
        <f t="shared" ca="1" si="369"/>
        <v>14639.936698630559</v>
      </c>
      <c r="LS20" s="29">
        <f t="shared" ca="1" si="370"/>
        <v>14139.36420651849</v>
      </c>
      <c r="LT20" s="29">
        <f t="shared" ca="1" si="371"/>
        <v>14661.728012028079</v>
      </c>
      <c r="LU20" s="29">
        <f t="shared" ca="1" si="372"/>
        <v>14386.871977443045</v>
      </c>
      <c r="LV20" s="29">
        <f t="shared" ca="1" si="373"/>
        <v>14178.072471021023</v>
      </c>
      <c r="LW20" s="29">
        <f t="shared" ca="1" si="374"/>
        <v>14018.33295712265</v>
      </c>
      <c r="LX20" s="29">
        <f t="shared" ca="1" si="375"/>
        <v>15034.426762804684</v>
      </c>
      <c r="LY20" s="29">
        <f t="shared" ca="1" si="376"/>
        <v>15501.809939463479</v>
      </c>
      <c r="LZ20" s="29">
        <f t="shared" ca="1" si="377"/>
        <v>14509.556681112284</v>
      </c>
      <c r="MA20" s="29">
        <f t="shared" ca="1" si="378"/>
        <v>13841.178063759824</v>
      </c>
      <c r="MB20" s="29">
        <f t="shared" ca="1" si="379"/>
        <v>14095.780234525761</v>
      </c>
      <c r="MC20" s="29">
        <f t="shared" ca="1" si="380"/>
        <v>14659.659962753763</v>
      </c>
      <c r="MD20" s="29">
        <f t="shared" ca="1" si="381"/>
        <v>14702.04017844042</v>
      </c>
      <c r="ME20" s="29">
        <f t="shared" ca="1" si="382"/>
        <v>13150.75354786937</v>
      </c>
      <c r="MF20" s="29">
        <f t="shared" ca="1" si="383"/>
        <v>14964.91465462316</v>
      </c>
      <c r="MG20" s="29">
        <f t="shared" ca="1" si="384"/>
        <v>14281.971709380605</v>
      </c>
      <c r="MH20" s="29">
        <f t="shared" ca="1" si="385"/>
        <v>14125.695196815654</v>
      </c>
      <c r="MI20" s="29">
        <f t="shared" ca="1" si="386"/>
        <v>15742.644895173489</v>
      </c>
      <c r="MJ20" s="29">
        <f t="shared" ca="1" si="387"/>
        <v>15623.973469385435</v>
      </c>
      <c r="MK20" s="29">
        <f t="shared" ca="1" si="388"/>
        <v>14502.25975128925</v>
      </c>
      <c r="ML20" s="29">
        <f t="shared" ca="1" si="389"/>
        <v>15842.909635422091</v>
      </c>
      <c r="MM20" s="29">
        <f t="shared" ca="1" si="390"/>
        <v>15907.096887720811</v>
      </c>
      <c r="MN20" s="29">
        <f t="shared" ca="1" si="391"/>
        <v>13604.951817267589</v>
      </c>
      <c r="MO20" s="29">
        <f t="shared" ca="1" si="392"/>
        <v>13615.749958619563</v>
      </c>
      <c r="MP20" s="29">
        <f t="shared" ca="1" si="393"/>
        <v>14689.346625857255</v>
      </c>
      <c r="MQ20" s="29">
        <f t="shared" ca="1" si="394"/>
        <v>14766.659777107834</v>
      </c>
      <c r="MR20" s="29">
        <f t="shared" ca="1" si="395"/>
        <v>13953.883895966914</v>
      </c>
      <c r="MS20" s="29">
        <f t="shared" ca="1" si="396"/>
        <v>13249.682904232615</v>
      </c>
      <c r="MT20" s="29">
        <f t="shared" ca="1" si="397"/>
        <v>14810.577356088623</v>
      </c>
      <c r="MU20" s="29">
        <f t="shared" ca="1" si="398"/>
        <v>14544.021572374955</v>
      </c>
      <c r="MV20" s="29">
        <f t="shared" ca="1" si="399"/>
        <v>13863.560431066675</v>
      </c>
      <c r="MW20" s="29">
        <f t="shared" ca="1" si="400"/>
        <v>15128.804464926918</v>
      </c>
      <c r="MX20" s="29">
        <f t="shared" ca="1" si="401"/>
        <v>14869.984154613636</v>
      </c>
      <c r="MY20" s="29">
        <f t="shared" ca="1" si="402"/>
        <v>14528.693396402494</v>
      </c>
      <c r="MZ20" s="29">
        <f t="shared" ca="1" si="403"/>
        <v>15822.223739592459</v>
      </c>
      <c r="NA20" s="29">
        <f t="shared" ca="1" si="404"/>
        <v>14587.57269899707</v>
      </c>
      <c r="NB20" s="29">
        <f t="shared" ca="1" si="405"/>
        <v>15666.32355131955</v>
      </c>
      <c r="NC20" s="29">
        <f t="shared" ca="1" si="406"/>
        <v>13264.089494235612</v>
      </c>
      <c r="ND20" s="29">
        <f t="shared" ca="1" si="407"/>
        <v>14283.500581668732</v>
      </c>
      <c r="NE20" s="29">
        <f t="shared" ca="1" si="408"/>
        <v>14585.93706020112</v>
      </c>
      <c r="NF20" s="29">
        <f t="shared" ca="1" si="409"/>
        <v>14277.081459388446</v>
      </c>
      <c r="NG20" s="29">
        <f t="shared" ca="1" si="410"/>
        <v>13658.091590454424</v>
      </c>
      <c r="NH20" s="29">
        <f t="shared" ca="1" si="411"/>
        <v>14255.794539235732</v>
      </c>
      <c r="NI20" s="29">
        <f t="shared" ca="1" si="412"/>
        <v>14568.467597583471</v>
      </c>
      <c r="NJ20" s="29">
        <f t="shared" ca="1" si="413"/>
        <v>14289.301032878599</v>
      </c>
      <c r="NK20" s="29">
        <f t="shared" ca="1" si="414"/>
        <v>14445.709292291802</v>
      </c>
      <c r="NL20" s="29">
        <f t="shared" ca="1" si="415"/>
        <v>13393.863942133679</v>
      </c>
      <c r="NM20" s="29">
        <f t="shared" ca="1" si="416"/>
        <v>14474.748881515607</v>
      </c>
      <c r="NN20" s="29">
        <f t="shared" ca="1" si="417"/>
        <v>14025.389384945494</v>
      </c>
      <c r="NO20" s="29">
        <f t="shared" ca="1" si="418"/>
        <v>14555.947828593382</v>
      </c>
      <c r="NP20" s="29">
        <f t="shared" ca="1" si="419"/>
        <v>13788.275153510513</v>
      </c>
      <c r="NQ20" s="29">
        <f t="shared" ca="1" si="420"/>
        <v>15997.842777214752</v>
      </c>
      <c r="NR20" s="29">
        <f t="shared" ca="1" si="421"/>
        <v>14904.364532088111</v>
      </c>
      <c r="NS20" s="29">
        <f t="shared" ca="1" si="422"/>
        <v>13804.510089761738</v>
      </c>
      <c r="NT20" s="29">
        <f t="shared" ca="1" si="423"/>
        <v>14795.64061408254</v>
      </c>
      <c r="NU20" s="29">
        <f t="shared" ca="1" si="424"/>
        <v>14458.100050282155</v>
      </c>
      <c r="NV20" s="29">
        <f t="shared" ca="1" si="425"/>
        <v>14359.508449264757</v>
      </c>
      <c r="NW20" s="29">
        <f t="shared" ca="1" si="426"/>
        <v>14266.713322223624</v>
      </c>
      <c r="NX20" s="29">
        <f t="shared" ca="1" si="427"/>
        <v>14123.388202426995</v>
      </c>
      <c r="NY20" s="29">
        <f t="shared" ca="1" si="428"/>
        <v>15008.239850439359</v>
      </c>
      <c r="NZ20" s="29">
        <f t="shared" ca="1" si="429"/>
        <v>13849.827304834824</v>
      </c>
      <c r="OA20" s="29">
        <f t="shared" ca="1" si="430"/>
        <v>14078.687443020464</v>
      </c>
      <c r="OB20" s="29">
        <f t="shared" ca="1" si="431"/>
        <v>15324.395487538843</v>
      </c>
      <c r="OC20" s="29">
        <f t="shared" ca="1" si="432"/>
        <v>15093.311473391659</v>
      </c>
      <c r="OD20" s="29">
        <f t="shared" ca="1" si="433"/>
        <v>15151.289178370786</v>
      </c>
      <c r="OE20" s="29">
        <f t="shared" ca="1" si="434"/>
        <v>15065.917049624468</v>
      </c>
      <c r="OF20" s="29">
        <f t="shared" ca="1" si="435"/>
        <v>14001.125545788465</v>
      </c>
      <c r="OG20" s="29">
        <f t="shared" ca="1" si="436"/>
        <v>15228.547596555582</v>
      </c>
      <c r="OH20" s="29">
        <f t="shared" ca="1" si="437"/>
        <v>15555.585309852844</v>
      </c>
      <c r="OI20" s="29">
        <f t="shared" ca="1" si="438"/>
        <v>14586.677802217437</v>
      </c>
      <c r="OJ20" s="29">
        <f t="shared" ca="1" si="439"/>
        <v>14877.750071544724</v>
      </c>
      <c r="OK20" s="29">
        <f t="shared" ca="1" si="440"/>
        <v>13909.062953423401</v>
      </c>
      <c r="OL20" s="29">
        <f t="shared" ca="1" si="441"/>
        <v>14955.819872980168</v>
      </c>
      <c r="OM20" s="29">
        <f t="shared" ca="1" si="442"/>
        <v>13443.937942833711</v>
      </c>
      <c r="ON20" s="29">
        <f t="shared" ca="1" si="443"/>
        <v>15307.29066168236</v>
      </c>
      <c r="OO20" s="29">
        <f t="shared" ca="1" si="444"/>
        <v>13812.731745658781</v>
      </c>
      <c r="OP20" s="29">
        <f t="shared" ca="1" si="445"/>
        <v>15745.785329732498</v>
      </c>
      <c r="OQ20" s="29">
        <f t="shared" ca="1" si="446"/>
        <v>13995.47501390049</v>
      </c>
      <c r="OR20" s="29">
        <f t="shared" ca="1" si="447"/>
        <v>14050.554651201779</v>
      </c>
      <c r="OS20" s="29">
        <f t="shared" ca="1" si="448"/>
        <v>13317.36497199617</v>
      </c>
      <c r="OT20" s="29">
        <f t="shared" ca="1" si="449"/>
        <v>14296.537627778853</v>
      </c>
      <c r="OU20" s="29">
        <f t="shared" ca="1" si="450"/>
        <v>14091.8051054156</v>
      </c>
      <c r="OV20" s="29">
        <f t="shared" ca="1" si="451"/>
        <v>15627.077642935432</v>
      </c>
      <c r="OW20" s="29">
        <f t="shared" ca="1" si="452"/>
        <v>15022.102732918951</v>
      </c>
      <c r="OX20" s="29">
        <f t="shared" ca="1" si="453"/>
        <v>15194.003499248276</v>
      </c>
      <c r="OY20" s="29">
        <f t="shared" ca="1" si="454"/>
        <v>14822.93057139084</v>
      </c>
      <c r="OZ20" s="29">
        <f t="shared" ca="1" si="455"/>
        <v>14041.543987203931</v>
      </c>
      <c r="PA20" s="29">
        <f t="shared" ca="1" si="456"/>
        <v>15215.956492230482</v>
      </c>
      <c r="PB20" s="29">
        <f t="shared" ca="1" si="457"/>
        <v>14124.022970211892</v>
      </c>
      <c r="PC20" s="29">
        <f t="shared" ca="1" si="458"/>
        <v>14549.159398149208</v>
      </c>
      <c r="PD20" s="29">
        <f t="shared" ca="1" si="459"/>
        <v>14472.540358697859</v>
      </c>
      <c r="PE20" s="29">
        <f t="shared" ca="1" si="460"/>
        <v>14367.919072971852</v>
      </c>
      <c r="PF20" s="29">
        <f t="shared" ca="1" si="461"/>
        <v>14271.93769992894</v>
      </c>
      <c r="PG20" s="29">
        <f t="shared" ca="1" si="462"/>
        <v>14528.620488546332</v>
      </c>
      <c r="PH20" s="29">
        <f t="shared" ca="1" si="463"/>
        <v>15054.951829832387</v>
      </c>
      <c r="PI20" s="29">
        <f t="shared" ca="1" si="464"/>
        <v>13420.637545048248</v>
      </c>
      <c r="PJ20" s="29">
        <f t="shared" ca="1" si="465"/>
        <v>14840.539416248574</v>
      </c>
      <c r="PK20" s="29">
        <f t="shared" ca="1" si="466"/>
        <v>13831.029989238745</v>
      </c>
      <c r="PL20" s="29">
        <f t="shared" ca="1" si="467"/>
        <v>13486.995377131616</v>
      </c>
      <c r="PM20" s="29">
        <f t="shared" ca="1" si="468"/>
        <v>13491.267389858567</v>
      </c>
      <c r="PN20" s="29">
        <f t="shared" ca="1" si="469"/>
        <v>13817.404566568237</v>
      </c>
      <c r="PO20" s="29">
        <f t="shared" ca="1" si="470"/>
        <v>15410.372231333364</v>
      </c>
      <c r="PP20" s="29">
        <f t="shared" ca="1" si="471"/>
        <v>13842.542712812952</v>
      </c>
      <c r="PQ20" s="29">
        <f t="shared" ca="1" si="472"/>
        <v>15664.488812515567</v>
      </c>
      <c r="PR20" s="29">
        <f t="shared" ca="1" si="473"/>
        <v>13856.066653463518</v>
      </c>
      <c r="PS20" s="29">
        <f t="shared" ca="1" si="474"/>
        <v>15230.170411495825</v>
      </c>
      <c r="PT20" s="29">
        <f t="shared" ca="1" si="475"/>
        <v>14388.181685284686</v>
      </c>
      <c r="PU20" s="29">
        <f t="shared" ca="1" si="476"/>
        <v>14459.796300310116</v>
      </c>
      <c r="PV20" s="29">
        <f t="shared" ca="1" si="477"/>
        <v>15145.426161361176</v>
      </c>
      <c r="PW20" s="29">
        <f t="shared" ca="1" si="478"/>
        <v>13903.929133939158</v>
      </c>
      <c r="PX20" s="29">
        <f t="shared" ca="1" si="479"/>
        <v>14139.008449535988</v>
      </c>
      <c r="PY20" s="29">
        <f t="shared" ca="1" si="480"/>
        <v>13798.857696565736</v>
      </c>
      <c r="PZ20" s="29">
        <f t="shared" ca="1" si="481"/>
        <v>12924.523275963415</v>
      </c>
      <c r="QA20" s="29">
        <f t="shared" ca="1" si="482"/>
        <v>14709.242511916398</v>
      </c>
      <c r="QB20" s="29">
        <f t="shared" ca="1" si="483"/>
        <v>13962.277647625782</v>
      </c>
      <c r="QC20" s="29">
        <f t="shared" ca="1" si="484"/>
        <v>13841.586561124706</v>
      </c>
      <c r="QD20" s="29">
        <f t="shared" ca="1" si="485"/>
        <v>14158.482717930778</v>
      </c>
      <c r="QE20" s="29">
        <f t="shared" ca="1" si="486"/>
        <v>15208.973325877094</v>
      </c>
      <c r="QF20" s="29">
        <f t="shared" ca="1" si="487"/>
        <v>14737.045716237149</v>
      </c>
      <c r="QG20" s="29">
        <f t="shared" ca="1" si="488"/>
        <v>14905.734629620127</v>
      </c>
      <c r="QH20" s="29">
        <f t="shared" ca="1" si="489"/>
        <v>16020.138535391363</v>
      </c>
      <c r="QI20" s="29">
        <f t="shared" ca="1" si="490"/>
        <v>15162.859668699957</v>
      </c>
      <c r="QJ20" s="29">
        <f t="shared" ca="1" si="491"/>
        <v>14233.840400580219</v>
      </c>
      <c r="QK20" s="29">
        <f t="shared" ca="1" si="492"/>
        <v>15024.032157511325</v>
      </c>
      <c r="QL20" s="29">
        <f t="shared" ca="1" si="493"/>
        <v>13945.446781743763</v>
      </c>
      <c r="QM20" s="29">
        <f t="shared" ca="1" si="494"/>
        <v>13805.71117707638</v>
      </c>
      <c r="QN20" s="29">
        <f t="shared" ca="1" si="495"/>
        <v>14970.905515296023</v>
      </c>
      <c r="QO20" s="29">
        <f t="shared" ca="1" si="496"/>
        <v>14439.711056288284</v>
      </c>
      <c r="QP20" s="29">
        <f t="shared" ca="1" si="497"/>
        <v>14446.742767722839</v>
      </c>
      <c r="QQ20" s="29">
        <f t="shared" ca="1" si="498"/>
        <v>14842.853974898506</v>
      </c>
      <c r="QR20" s="29">
        <f t="shared" ca="1" si="499"/>
        <v>15103.874684183453</v>
      </c>
      <c r="QS20" s="29">
        <f t="shared" ca="1" si="500"/>
        <v>13956.922442769626</v>
      </c>
      <c r="QT20" s="29">
        <f t="shared" ca="1" si="501"/>
        <v>15907.156619216861</v>
      </c>
      <c r="QU20" s="29">
        <f t="shared" ca="1" si="502"/>
        <v>15032.303886094016</v>
      </c>
      <c r="QV20" s="29">
        <f t="shared" ca="1" si="503"/>
        <v>13929.433987454178</v>
      </c>
      <c r="QW20" s="29">
        <f t="shared" ca="1" si="504"/>
        <v>14897.173392558092</v>
      </c>
      <c r="QX20" s="29">
        <f t="shared" ca="1" si="505"/>
        <v>14738.006836433398</v>
      </c>
      <c r="QY20" s="29">
        <f t="shared" ca="1" si="506"/>
        <v>14792.79777487884</v>
      </c>
      <c r="QZ20" s="29">
        <f t="shared" ca="1" si="507"/>
        <v>14208.940281567853</v>
      </c>
      <c r="RA20" s="29">
        <f t="shared" ca="1" si="508"/>
        <v>13741.761771223519</v>
      </c>
      <c r="RB20" s="29">
        <f t="shared" ca="1" si="509"/>
        <v>13404.280997842077</v>
      </c>
      <c r="RC20" s="29">
        <f t="shared" ca="1" si="510"/>
        <v>14287.564825199748</v>
      </c>
      <c r="RD20" s="29">
        <f t="shared" ca="1" si="511"/>
        <v>14113.54986760535</v>
      </c>
      <c r="RE20" s="29">
        <f t="shared" ca="1" si="512"/>
        <v>15389.583342654965</v>
      </c>
      <c r="RF20" s="29">
        <f t="shared" ca="1" si="513"/>
        <v>15398.248633205194</v>
      </c>
      <c r="RG20" s="29">
        <f t="shared" ca="1" si="514"/>
        <v>13947.958028289981</v>
      </c>
      <c r="RH20" s="29">
        <f t="shared" ca="1" si="515"/>
        <v>14300.971212497578</v>
      </c>
      <c r="RI20" s="29">
        <f t="shared" ca="1" si="516"/>
        <v>14381.712383218281</v>
      </c>
      <c r="RJ20" s="29">
        <f t="shared" ca="1" si="517"/>
        <v>14349.677606870568</v>
      </c>
      <c r="RK20" s="29">
        <f t="shared" ca="1" si="518"/>
        <v>13823.270303213178</v>
      </c>
      <c r="RL20" s="29">
        <f t="shared" ca="1" si="519"/>
        <v>14117.131841388575</v>
      </c>
      <c r="RM20" s="29">
        <f t="shared" ca="1" si="520"/>
        <v>14468.512075861341</v>
      </c>
      <c r="RN20" s="29">
        <f t="shared" ca="1" si="521"/>
        <v>13804.457842916265</v>
      </c>
      <c r="RO20" s="29">
        <f t="shared" ca="1" si="522"/>
        <v>14604.654453431847</v>
      </c>
      <c r="RP20" s="29">
        <f t="shared" ca="1" si="523"/>
        <v>14802.922715367249</v>
      </c>
      <c r="RQ20" s="29">
        <f t="shared" ca="1" si="524"/>
        <v>14325.271993502573</v>
      </c>
      <c r="RR20" s="29">
        <f t="shared" ca="1" si="525"/>
        <v>14813.700159628901</v>
      </c>
      <c r="RS20" s="29">
        <f t="shared" ca="1" si="526"/>
        <v>14444.789858375851</v>
      </c>
      <c r="RT20" s="29">
        <f t="shared" ca="1" si="527"/>
        <v>14798.76905631903</v>
      </c>
      <c r="RU20" s="29">
        <f t="shared" ca="1" si="528"/>
        <v>14370.079936334458</v>
      </c>
      <c r="RV20" s="29">
        <f t="shared" ca="1" si="529"/>
        <v>13907.3462438836</v>
      </c>
      <c r="RW20" s="29">
        <f t="shared" ca="1" si="530"/>
        <v>15169.63464437535</v>
      </c>
      <c r="RX20" s="29">
        <f t="shared" ca="1" si="531"/>
        <v>14611.2088444537</v>
      </c>
      <c r="RY20" s="29">
        <f t="shared" ca="1" si="532"/>
        <v>14194.357203338928</v>
      </c>
      <c r="RZ20" s="29">
        <f t="shared" ca="1" si="533"/>
        <v>16266.581675114476</v>
      </c>
      <c r="SA20" s="29">
        <f t="shared" ca="1" si="534"/>
        <v>14480.061221448042</v>
      </c>
      <c r="SB20" s="29">
        <f t="shared" ca="1" si="535"/>
        <v>13581.423859363758</v>
      </c>
      <c r="SC20" s="29">
        <f t="shared" ca="1" si="536"/>
        <v>14327.726900167812</v>
      </c>
      <c r="SD20" s="29">
        <f t="shared" ca="1" si="537"/>
        <v>15312.150087615033</v>
      </c>
      <c r="SE20" s="29">
        <f t="shared" ca="1" si="538"/>
        <v>13408.193289647244</v>
      </c>
      <c r="SF20" s="29">
        <f t="shared" ca="1" si="539"/>
        <v>14522.734539103025</v>
      </c>
      <c r="SG20" s="29">
        <f t="shared" ca="1" si="540"/>
        <v>14772.040525022494</v>
      </c>
      <c r="SH20" s="29">
        <f t="shared" ca="1" si="541"/>
        <v>15256.730131689168</v>
      </c>
      <c r="SI20" s="29">
        <f t="shared" ca="1" si="542"/>
        <v>13978.301100154686</v>
      </c>
      <c r="SJ20" s="29">
        <f t="shared" ca="1" si="543"/>
        <v>13099.979358407756</v>
      </c>
      <c r="SK20" s="29">
        <f t="shared" ca="1" si="544"/>
        <v>15095.86469865491</v>
      </c>
      <c r="SL20" s="29">
        <f t="shared" ca="1" si="545"/>
        <v>14181.093320259608</v>
      </c>
      <c r="SM20" s="29">
        <f t="shared" ca="1" si="546"/>
        <v>14299.217816168799</v>
      </c>
      <c r="SN20" s="29">
        <f t="shared" ca="1" si="547"/>
        <v>14832.296189716377</v>
      </c>
      <c r="SO20" s="29">
        <f t="shared" ca="1" si="548"/>
        <v>14536.543523532766</v>
      </c>
      <c r="SP20" s="29">
        <f t="shared" ca="1" si="549"/>
        <v>15227.610999290748</v>
      </c>
      <c r="SQ20" s="29">
        <f t="shared" ca="1" si="550"/>
        <v>15314.69934317482</v>
      </c>
      <c r="SR20" s="29">
        <f t="shared" ca="1" si="551"/>
        <v>14044.035340616154</v>
      </c>
      <c r="SS20" s="29">
        <f t="shared" ca="1" si="552"/>
        <v>14780.264254342625</v>
      </c>
      <c r="ST20" s="29">
        <f t="shared" ca="1" si="553"/>
        <v>14075.069386100622</v>
      </c>
      <c r="SU20" s="29">
        <f t="shared" ca="1" si="554"/>
        <v>14015.422096407396</v>
      </c>
      <c r="SV20" s="29">
        <f t="shared" ca="1" si="555"/>
        <v>14422.12306214901</v>
      </c>
      <c r="SW20" s="29">
        <f t="shared" ca="1" si="556"/>
        <v>14316.325703478447</v>
      </c>
      <c r="SX20" s="29">
        <f t="shared" ca="1" si="557"/>
        <v>13369.851565673114</v>
      </c>
      <c r="SY20" s="29">
        <f t="shared" ca="1" si="558"/>
        <v>14682.42858779247</v>
      </c>
      <c r="SZ20" s="29">
        <f t="shared" ca="1" si="559"/>
        <v>14923.446481409714</v>
      </c>
      <c r="TA20" s="29">
        <f t="shared" ca="1" si="560"/>
        <v>14533.273367925536</v>
      </c>
      <c r="TB20" s="29">
        <f t="shared" ca="1" si="561"/>
        <v>14131.460792682554</v>
      </c>
      <c r="TC20" s="29">
        <f t="shared" ca="1" si="562"/>
        <v>15083.402779479859</v>
      </c>
      <c r="TD20" s="29">
        <f t="shared" ca="1" si="563"/>
        <v>14506.324442631265</v>
      </c>
      <c r="TE20" s="29">
        <f t="shared" ca="1" si="564"/>
        <v>14540.264702128634</v>
      </c>
      <c r="TF20" s="29">
        <f t="shared" ca="1" si="565"/>
        <v>13853.286496690256</v>
      </c>
      <c r="TG20" s="29">
        <f t="shared" ca="1" si="566"/>
        <v>14805.978194557787</v>
      </c>
      <c r="TH20" s="29">
        <f t="shared" ca="1" si="567"/>
        <v>14322.670288474263</v>
      </c>
      <c r="TI20" s="29">
        <f t="shared" ca="1" si="568"/>
        <v>13994.944942171685</v>
      </c>
      <c r="TJ20" s="29">
        <f t="shared" ca="1" si="569"/>
        <v>15161.355326012303</v>
      </c>
      <c r="TK20" s="29">
        <f t="shared" ca="1" si="570"/>
        <v>14442.414955516724</v>
      </c>
      <c r="TL20" s="29">
        <f t="shared" ca="1" si="571"/>
        <v>14431.181596014179</v>
      </c>
      <c r="TM20" s="29">
        <f t="shared" ca="1" si="572"/>
        <v>13457.307520249235</v>
      </c>
      <c r="TN20" s="29">
        <f t="shared" ca="1" si="573"/>
        <v>13501.314350863257</v>
      </c>
      <c r="TO20" s="29">
        <f t="shared" ca="1" si="574"/>
        <v>14185.287909219585</v>
      </c>
      <c r="TP20" s="29">
        <f t="shared" ca="1" si="575"/>
        <v>15527.956219335896</v>
      </c>
      <c r="TQ20" s="29">
        <f t="shared" ca="1" si="576"/>
        <v>15265.996897290112</v>
      </c>
      <c r="TR20" s="29">
        <f t="shared" ca="1" si="577"/>
        <v>13761.536363291279</v>
      </c>
      <c r="TS20" s="29">
        <f t="shared" ca="1" si="578"/>
        <v>14329.901867061981</v>
      </c>
      <c r="TT20" s="29">
        <f t="shared" ca="1" si="579"/>
        <v>14983.669648398296</v>
      </c>
      <c r="TU20" s="29">
        <f t="shared" ca="1" si="580"/>
        <v>14003.010914886583</v>
      </c>
      <c r="TV20" s="29">
        <f t="shared" ca="1" si="581"/>
        <v>13905.446427251349</v>
      </c>
      <c r="TW20" s="29">
        <f t="shared" ca="1" si="582"/>
        <v>14995.907445198329</v>
      </c>
      <c r="TX20" s="29">
        <f t="shared" ca="1" si="583"/>
        <v>15789.735740426049</v>
      </c>
      <c r="TY20" s="29">
        <f t="shared" ca="1" si="584"/>
        <v>14218.91389154187</v>
      </c>
      <c r="TZ20" s="29">
        <f t="shared" ca="1" si="585"/>
        <v>14526.61751505061</v>
      </c>
      <c r="UA20" s="29">
        <f t="shared" ca="1" si="586"/>
        <v>14286.087188888418</v>
      </c>
      <c r="UB20" s="29">
        <f t="shared" ca="1" si="587"/>
        <v>14871.737995149846</v>
      </c>
      <c r="UC20" s="29">
        <f t="shared" ca="1" si="588"/>
        <v>13490.029715709477</v>
      </c>
      <c r="UD20" s="29">
        <f t="shared" ca="1" si="589"/>
        <v>16087.467079108961</v>
      </c>
      <c r="UE20" s="29">
        <f t="shared" ca="1" si="590"/>
        <v>13468.326549156372</v>
      </c>
      <c r="UF20" s="29">
        <f t="shared" ca="1" si="591"/>
        <v>14111.970350271007</v>
      </c>
      <c r="UG20" s="29">
        <f t="shared" ca="1" si="592"/>
        <v>15280.449604710775</v>
      </c>
      <c r="UH20" s="29">
        <f t="shared" ca="1" si="593"/>
        <v>14396.144314612162</v>
      </c>
      <c r="UI20" s="29">
        <f t="shared" ca="1" si="594"/>
        <v>15365.25404717106</v>
      </c>
      <c r="UJ20" s="29">
        <f t="shared" ca="1" si="595"/>
        <v>14872.546029756955</v>
      </c>
      <c r="UK20" s="29">
        <f t="shared" ca="1" si="596"/>
        <v>14576.785139997572</v>
      </c>
      <c r="UL20" s="29">
        <f t="shared" ca="1" si="597"/>
        <v>15211.975496083853</v>
      </c>
      <c r="UM20" s="29">
        <f t="shared" ca="1" si="598"/>
        <v>12960.192280912373</v>
      </c>
      <c r="UN20" s="29">
        <f t="shared" ca="1" si="599"/>
        <v>13282.146439912121</v>
      </c>
      <c r="UO20" s="29">
        <f t="shared" ca="1" si="600"/>
        <v>16103.893129205633</v>
      </c>
      <c r="UP20" s="29">
        <f t="shared" ca="1" si="601"/>
        <v>13908.674486578424</v>
      </c>
      <c r="UQ20" s="29">
        <f t="shared" ca="1" si="602"/>
        <v>14501.800115714777</v>
      </c>
      <c r="UR20" s="29">
        <f t="shared" ca="1" si="603"/>
        <v>13797.710029678659</v>
      </c>
      <c r="US20" s="29">
        <f t="shared" ca="1" si="604"/>
        <v>14697.214366228372</v>
      </c>
      <c r="UT20" s="29">
        <f t="shared" ca="1" si="605"/>
        <v>14898.5106246655</v>
      </c>
      <c r="UU20" s="29">
        <f t="shared" ca="1" si="606"/>
        <v>13790.109413269834</v>
      </c>
      <c r="UV20" s="29">
        <f t="shared" ca="1" si="607"/>
        <v>14466.213453969129</v>
      </c>
      <c r="UW20" s="29">
        <f t="shared" ca="1" si="608"/>
        <v>14277.178097872282</v>
      </c>
      <c r="UX20" s="29">
        <f t="shared" ca="1" si="609"/>
        <v>14265.987145101173</v>
      </c>
      <c r="UY20" s="29">
        <f t="shared" ca="1" si="610"/>
        <v>14275.510996388153</v>
      </c>
      <c r="UZ20" s="29">
        <f t="shared" ca="1" si="611"/>
        <v>13885.070457848497</v>
      </c>
      <c r="VA20" s="29">
        <f t="shared" ca="1" si="612"/>
        <v>13670.959325416856</v>
      </c>
      <c r="VB20" s="29">
        <f t="shared" ca="1" si="613"/>
        <v>14952.150137558578</v>
      </c>
      <c r="VC20" s="29">
        <f t="shared" ca="1" si="614"/>
        <v>14935.058947289263</v>
      </c>
      <c r="VD20" s="29">
        <f t="shared" ca="1" si="615"/>
        <v>14179.501223399935</v>
      </c>
      <c r="VE20" s="29">
        <f t="shared" ca="1" si="616"/>
        <v>15237.214422232519</v>
      </c>
      <c r="VF20" s="29">
        <f t="shared" ca="1" si="617"/>
        <v>13947.969673671834</v>
      </c>
      <c r="VG20" s="29">
        <f t="shared" ca="1" si="618"/>
        <v>14253.826574907549</v>
      </c>
      <c r="VH20" s="29">
        <f t="shared" ca="1" si="619"/>
        <v>15402.409838602433</v>
      </c>
      <c r="VI20" s="29">
        <f t="shared" ca="1" si="620"/>
        <v>14502.159197121309</v>
      </c>
      <c r="VJ20" s="29">
        <f t="shared" ca="1" si="621"/>
        <v>13886.145564562175</v>
      </c>
      <c r="VK20" s="29">
        <f t="shared" ca="1" si="622"/>
        <v>13595.864239068424</v>
      </c>
      <c r="VL20" s="29">
        <f t="shared" ca="1" si="623"/>
        <v>13994.412292818817</v>
      </c>
      <c r="VM20" s="29">
        <f t="shared" ca="1" si="624"/>
        <v>14605.799841128381</v>
      </c>
      <c r="VN20" s="29">
        <f t="shared" ca="1" si="625"/>
        <v>14667.309152345721</v>
      </c>
      <c r="VO20" s="29">
        <f t="shared" ca="1" si="626"/>
        <v>15981.223424636837</v>
      </c>
      <c r="VP20" s="29">
        <f t="shared" ca="1" si="627"/>
        <v>13478.609684725032</v>
      </c>
      <c r="VQ20" s="29">
        <f t="shared" ca="1" si="628"/>
        <v>14652.625136394849</v>
      </c>
      <c r="VR20" s="29">
        <f t="shared" ca="1" si="629"/>
        <v>14470.877118806289</v>
      </c>
      <c r="VS20" s="29">
        <f t="shared" ca="1" si="630"/>
        <v>14112.403541730055</v>
      </c>
      <c r="VT20" s="29">
        <f t="shared" ca="1" si="631"/>
        <v>14473.871743573363</v>
      </c>
      <c r="VU20" s="29">
        <f t="shared" ca="1" si="632"/>
        <v>14370.452242894402</v>
      </c>
      <c r="VV20" s="29">
        <f t="shared" ca="1" si="633"/>
        <v>14855.159850842301</v>
      </c>
      <c r="VW20" s="29">
        <f t="shared" ca="1" si="634"/>
        <v>13915.94244277661</v>
      </c>
      <c r="VX20" s="29">
        <f t="shared" ca="1" si="635"/>
        <v>14553.705610317533</v>
      </c>
      <c r="VY20" s="29">
        <f t="shared" ca="1" si="636"/>
        <v>14395.770614679041</v>
      </c>
      <c r="VZ20" s="29">
        <f t="shared" ca="1" si="637"/>
        <v>13329.028658495279</v>
      </c>
      <c r="WA20" s="29">
        <f t="shared" ca="1" si="638"/>
        <v>14311.691913867504</v>
      </c>
      <c r="WB20" s="29">
        <f t="shared" ca="1" si="639"/>
        <v>13868.680360381402</v>
      </c>
      <c r="WC20" s="29">
        <f t="shared" ca="1" si="640"/>
        <v>14249.054579192805</v>
      </c>
      <c r="WD20" s="29">
        <f t="shared" ca="1" si="641"/>
        <v>15263.392845497005</v>
      </c>
      <c r="WE20" s="29">
        <f t="shared" ca="1" si="642"/>
        <v>14238.796021244396</v>
      </c>
      <c r="WF20" s="29">
        <f t="shared" ca="1" si="643"/>
        <v>15666.769223609354</v>
      </c>
      <c r="WG20" s="29">
        <f t="shared" ca="1" si="644"/>
        <v>14432.164233368007</v>
      </c>
      <c r="WH20" s="29">
        <f t="shared" ca="1" si="645"/>
        <v>14117.340630232122</v>
      </c>
      <c r="WI20" s="29">
        <f t="shared" ca="1" si="646"/>
        <v>15781.58540413093</v>
      </c>
      <c r="WJ20" s="29">
        <f t="shared" ca="1" si="647"/>
        <v>15594.905460041859</v>
      </c>
      <c r="WK20" s="29">
        <f t="shared" ca="1" si="648"/>
        <v>14414.988978734204</v>
      </c>
      <c r="WL20" s="29">
        <f t="shared" ca="1" si="649"/>
        <v>13835.304790160111</v>
      </c>
      <c r="WM20" s="29">
        <f t="shared" ca="1" si="650"/>
        <v>14553.606230588533</v>
      </c>
      <c r="WN20" s="29">
        <f t="shared" ca="1" si="651"/>
        <v>14913.951696790818</v>
      </c>
      <c r="WO20" s="29">
        <f t="shared" ca="1" si="652"/>
        <v>15762.450088103686</v>
      </c>
      <c r="WP20" s="29">
        <f t="shared" ca="1" si="653"/>
        <v>14119.956996618836</v>
      </c>
      <c r="WQ20" s="29">
        <f t="shared" ca="1" si="654"/>
        <v>13616.759672202719</v>
      </c>
      <c r="WR20" s="29">
        <f t="shared" ca="1" si="655"/>
        <v>14767.568055050662</v>
      </c>
      <c r="WS20" s="29">
        <f t="shared" ca="1" si="656"/>
        <v>15010.456274497987</v>
      </c>
      <c r="WT20" s="29">
        <f t="shared" ca="1" si="657"/>
        <v>14391.583769849607</v>
      </c>
      <c r="WU20" s="29">
        <f t="shared" ca="1" si="658"/>
        <v>14409.083900728045</v>
      </c>
      <c r="WV20" s="29">
        <f t="shared" ca="1" si="659"/>
        <v>15361.289451466044</v>
      </c>
      <c r="WW20" s="29">
        <f t="shared" ca="1" si="660"/>
        <v>14106.676422197732</v>
      </c>
      <c r="WX20" s="29">
        <f t="shared" ca="1" si="661"/>
        <v>15465.300337575025</v>
      </c>
      <c r="WY20" s="29">
        <f t="shared" ca="1" si="662"/>
        <v>15509.811300842339</v>
      </c>
      <c r="WZ20" s="29">
        <f t="shared" ca="1" si="663"/>
        <v>14933.594409258934</v>
      </c>
      <c r="XA20" s="29">
        <f t="shared" ca="1" si="664"/>
        <v>14768.596898825457</v>
      </c>
      <c r="XB20" s="29">
        <f t="shared" ca="1" si="665"/>
        <v>14856.299619116113</v>
      </c>
      <c r="XC20" s="29">
        <f t="shared" ca="1" si="666"/>
        <v>14271.87497867313</v>
      </c>
      <c r="XD20" s="29">
        <f t="shared" ca="1" si="667"/>
        <v>13904.530884962998</v>
      </c>
      <c r="XE20" s="29">
        <f t="shared" ca="1" si="668"/>
        <v>14153.234040916572</v>
      </c>
      <c r="XF20" s="29">
        <f t="shared" ca="1" si="669"/>
        <v>14197.527195596025</v>
      </c>
      <c r="XG20" s="29">
        <f t="shared" ca="1" si="670"/>
        <v>14231.508245603252</v>
      </c>
      <c r="XH20" s="29">
        <f t="shared" ca="1" si="671"/>
        <v>14805.544403192282</v>
      </c>
      <c r="XI20" s="29">
        <f t="shared" ca="1" si="672"/>
        <v>15289.991803778716</v>
      </c>
      <c r="XJ20" s="29">
        <f t="shared" ca="1" si="673"/>
        <v>14963.115890134814</v>
      </c>
      <c r="XK20" s="29">
        <f t="shared" ca="1" si="674"/>
        <v>13352.369174805712</v>
      </c>
      <c r="XL20" s="29">
        <f t="shared" ca="1" si="675"/>
        <v>14455.659335404371</v>
      </c>
      <c r="XM20" s="29">
        <f t="shared" ca="1" si="676"/>
        <v>14375.660031224319</v>
      </c>
      <c r="XN20" s="29">
        <f t="shared" ca="1" si="677"/>
        <v>14054.262759746545</v>
      </c>
      <c r="XO20" s="29">
        <f t="shared" ca="1" si="678"/>
        <v>15616.277777570114</v>
      </c>
      <c r="XP20" s="29">
        <f t="shared" ca="1" si="679"/>
        <v>14308.788205513978</v>
      </c>
      <c r="XQ20" s="29">
        <f t="shared" ca="1" si="680"/>
        <v>13951.074400704363</v>
      </c>
      <c r="XR20" s="29">
        <f t="shared" ca="1" si="681"/>
        <v>14261.924500133411</v>
      </c>
      <c r="XS20" s="29">
        <f t="shared" ca="1" si="682"/>
        <v>13907.785478758751</v>
      </c>
      <c r="XT20" s="29">
        <f t="shared" ca="1" si="683"/>
        <v>14940.712177690095</v>
      </c>
      <c r="XU20" s="29">
        <f t="shared" ca="1" si="684"/>
        <v>15093.917379579263</v>
      </c>
      <c r="XV20" s="29">
        <f t="shared" ca="1" si="685"/>
        <v>15156.226944431628</v>
      </c>
      <c r="XW20" s="29">
        <f t="shared" ca="1" si="686"/>
        <v>14103.201757042658</v>
      </c>
      <c r="XX20" s="29">
        <f t="shared" ca="1" si="687"/>
        <v>14959.374760770968</v>
      </c>
      <c r="XY20" s="29">
        <f t="shared" ca="1" si="688"/>
        <v>14087.666545970058</v>
      </c>
      <c r="XZ20" s="29">
        <f t="shared" ca="1" si="689"/>
        <v>14510.410574667339</v>
      </c>
      <c r="YA20" s="29">
        <f t="shared" ca="1" si="690"/>
        <v>14984.276249807428</v>
      </c>
      <c r="YB20" s="29">
        <f t="shared" ca="1" si="691"/>
        <v>14811.089288286708</v>
      </c>
      <c r="YC20" s="29">
        <f t="shared" ca="1" si="692"/>
        <v>15042.835932906202</v>
      </c>
      <c r="YD20" s="29">
        <f t="shared" ca="1" si="693"/>
        <v>13193.867002229859</v>
      </c>
      <c r="YE20" s="29">
        <f t="shared" ca="1" si="694"/>
        <v>14783.844439553137</v>
      </c>
      <c r="YF20" s="29">
        <f t="shared" ca="1" si="695"/>
        <v>13878.613854773384</v>
      </c>
      <c r="YG20" s="29">
        <f t="shared" ca="1" si="696"/>
        <v>15281.199312917546</v>
      </c>
      <c r="YH20" s="29">
        <f t="shared" ca="1" si="697"/>
        <v>13898.376541841324</v>
      </c>
      <c r="YI20" s="29">
        <f t="shared" ca="1" si="698"/>
        <v>13472.545469391318</v>
      </c>
      <c r="YJ20" s="29">
        <f t="shared" ca="1" si="699"/>
        <v>14127.504002217749</v>
      </c>
      <c r="YK20" s="29">
        <f t="shared" ca="1" si="700"/>
        <v>13858.731406357934</v>
      </c>
      <c r="YL20" s="29">
        <f t="shared" ca="1" si="701"/>
        <v>13978.590088179792</v>
      </c>
      <c r="YM20" s="29">
        <f t="shared" ca="1" si="702"/>
        <v>15191.446793068222</v>
      </c>
      <c r="YN20" s="29">
        <f t="shared" ca="1" si="703"/>
        <v>15077.527725264248</v>
      </c>
      <c r="YO20" s="29">
        <f t="shared" ca="1" si="704"/>
        <v>13123.470754945967</v>
      </c>
      <c r="YP20" s="29">
        <f t="shared" ca="1" si="705"/>
        <v>15084.403301590546</v>
      </c>
      <c r="YQ20" s="29">
        <f t="shared" ca="1" si="706"/>
        <v>13742.669197156667</v>
      </c>
      <c r="YR20" s="29">
        <f t="shared" ca="1" si="707"/>
        <v>13431.40114806897</v>
      </c>
      <c r="YS20" s="29">
        <f t="shared" ca="1" si="708"/>
        <v>15093.765573648363</v>
      </c>
      <c r="YT20" s="29">
        <f t="shared" ca="1" si="709"/>
        <v>15271.267928841527</v>
      </c>
      <c r="YU20" s="29">
        <f t="shared" ca="1" si="710"/>
        <v>14398.674882805637</v>
      </c>
      <c r="YV20" s="29">
        <f t="shared" ca="1" si="711"/>
        <v>14021.843615738495</v>
      </c>
      <c r="YW20" s="29">
        <f t="shared" ca="1" si="712"/>
        <v>14082.374393445383</v>
      </c>
      <c r="YX20" s="29">
        <f t="shared" ca="1" si="713"/>
        <v>14526.71792441592</v>
      </c>
      <c r="YY20" s="29">
        <f t="shared" ca="1" si="714"/>
        <v>14258.1229024655</v>
      </c>
      <c r="YZ20" s="29">
        <f t="shared" ca="1" si="715"/>
        <v>14128.376630295532</v>
      </c>
      <c r="ZA20" s="29">
        <f t="shared" ca="1" si="716"/>
        <v>14135.654149205042</v>
      </c>
      <c r="ZB20" s="29">
        <f t="shared" ca="1" si="717"/>
        <v>15452.932476666447</v>
      </c>
      <c r="ZC20" s="29">
        <f t="shared" ca="1" si="718"/>
        <v>15449.594373491338</v>
      </c>
      <c r="ZD20" s="29">
        <f t="shared" ca="1" si="719"/>
        <v>14796.401003414807</v>
      </c>
      <c r="ZE20" s="29">
        <f t="shared" ca="1" si="720"/>
        <v>13695.008992758403</v>
      </c>
      <c r="ZF20" s="29">
        <f t="shared" ca="1" si="721"/>
        <v>14055.598086569746</v>
      </c>
      <c r="ZG20" s="29">
        <f t="shared" ca="1" si="722"/>
        <v>12979.269662644654</v>
      </c>
      <c r="ZH20" s="29">
        <f t="shared" ca="1" si="723"/>
        <v>14018.41404733064</v>
      </c>
      <c r="ZI20" s="29">
        <f t="shared" ca="1" si="724"/>
        <v>13670.484548276225</v>
      </c>
      <c r="ZJ20" s="29">
        <f t="shared" ca="1" si="725"/>
        <v>14338.762710746603</v>
      </c>
      <c r="ZK20" s="29">
        <f t="shared" ca="1" si="726"/>
        <v>14021.552679372891</v>
      </c>
      <c r="ZL20" s="29">
        <f t="shared" ca="1" si="727"/>
        <v>14177.063924941125</v>
      </c>
      <c r="ZM20" s="29">
        <f t="shared" ca="1" si="728"/>
        <v>12895.252639066215</v>
      </c>
      <c r="ZN20" s="29">
        <f t="shared" ca="1" si="729"/>
        <v>14416.566646799965</v>
      </c>
      <c r="ZO20" s="29">
        <f t="shared" ca="1" si="730"/>
        <v>13959.62652466285</v>
      </c>
      <c r="ZP20" s="29">
        <f t="shared" ca="1" si="731"/>
        <v>14263.18800819275</v>
      </c>
      <c r="ZQ20" s="29">
        <f t="shared" ca="1" si="732"/>
        <v>14108.280689630976</v>
      </c>
      <c r="ZR20" s="29">
        <f t="shared" ca="1" si="733"/>
        <v>14928.947169031673</v>
      </c>
      <c r="ZS20" s="29">
        <f t="shared" ca="1" si="734"/>
        <v>14663.32574276362</v>
      </c>
      <c r="ZT20" s="29">
        <f t="shared" ca="1" si="735"/>
        <v>14022.588038917111</v>
      </c>
      <c r="ZU20" s="29">
        <f t="shared" ca="1" si="736"/>
        <v>14584.893864750535</v>
      </c>
      <c r="ZV20" s="29">
        <f t="shared" ca="1" si="737"/>
        <v>14224.355208014291</v>
      </c>
      <c r="ZW20" s="29">
        <f t="shared" ca="1" si="738"/>
        <v>13670.659595478659</v>
      </c>
      <c r="ZX20" s="29">
        <f t="shared" ca="1" si="739"/>
        <v>14792.701140567755</v>
      </c>
      <c r="ZY20" s="29">
        <f t="shared" ca="1" si="740"/>
        <v>14027.287411080311</v>
      </c>
      <c r="ZZ20" s="29">
        <f t="shared" ca="1" si="741"/>
        <v>13717.595835405398</v>
      </c>
      <c r="AAA20" s="29">
        <f t="shared" ca="1" si="742"/>
        <v>15153.219244098227</v>
      </c>
      <c r="AAB20" s="29">
        <f t="shared" ca="1" si="743"/>
        <v>15231.134812668472</v>
      </c>
      <c r="AAC20" s="29">
        <f t="shared" ca="1" si="744"/>
        <v>14279.065665101103</v>
      </c>
      <c r="AAD20" s="29">
        <f t="shared" ca="1" si="745"/>
        <v>13990.904406114509</v>
      </c>
      <c r="AAE20" s="29">
        <f t="shared" ca="1" si="746"/>
        <v>13480.962374717607</v>
      </c>
      <c r="AAF20" s="29">
        <f t="shared" ca="1" si="747"/>
        <v>15793.777165378178</v>
      </c>
      <c r="AAG20" s="29">
        <f t="shared" ca="1" si="748"/>
        <v>15226.287672642342</v>
      </c>
      <c r="AAH20" s="29">
        <f t="shared" ca="1" si="749"/>
        <v>15282.723499504165</v>
      </c>
      <c r="AAI20" s="29">
        <f t="shared" ca="1" si="750"/>
        <v>14531.139317492109</v>
      </c>
      <c r="AAJ20" s="29">
        <f t="shared" ca="1" si="751"/>
        <v>15190.733156084922</v>
      </c>
      <c r="AAK20" s="29">
        <f t="shared" ca="1" si="752"/>
        <v>14454.228681028499</v>
      </c>
      <c r="AAL20" s="29">
        <f t="shared" ca="1" si="753"/>
        <v>14308.02809871619</v>
      </c>
      <c r="AAM20" s="29">
        <f t="shared" ca="1" si="754"/>
        <v>14488.674832454821</v>
      </c>
      <c r="AAN20" s="29">
        <f t="shared" ca="1" si="755"/>
        <v>16114.140804786972</v>
      </c>
      <c r="AAO20" s="29">
        <f t="shared" ca="1" si="756"/>
        <v>14587.097757338206</v>
      </c>
      <c r="AAP20" s="29">
        <f t="shared" ca="1" si="757"/>
        <v>15504.427611492662</v>
      </c>
      <c r="AAQ20" s="29">
        <f t="shared" ca="1" si="758"/>
        <v>14320.449615330876</v>
      </c>
      <c r="AAR20" s="29">
        <f t="shared" ca="1" si="759"/>
        <v>15971.492224460771</v>
      </c>
      <c r="AAS20" s="29">
        <f t="shared" ca="1" si="760"/>
        <v>13980.792866977943</v>
      </c>
      <c r="AAT20" s="29">
        <f t="shared" ca="1" si="761"/>
        <v>14691.813744290484</v>
      </c>
      <c r="AAU20" s="29">
        <f t="shared" ca="1" si="762"/>
        <v>15150.753802522238</v>
      </c>
      <c r="AAV20" s="29">
        <f t="shared" ca="1" si="763"/>
        <v>14032.816195810314</v>
      </c>
      <c r="AAW20" s="29">
        <f t="shared" ca="1" si="764"/>
        <v>14194.559277613213</v>
      </c>
      <c r="AAX20" s="29">
        <f t="shared" ca="1" si="765"/>
        <v>14579.16759302689</v>
      </c>
      <c r="AAY20" s="29">
        <f t="shared" ca="1" si="766"/>
        <v>14086.493640065833</v>
      </c>
      <c r="AAZ20" s="29">
        <f t="shared" ca="1" si="767"/>
        <v>14402.999247274975</v>
      </c>
      <c r="ABA20" s="29">
        <f t="shared" ca="1" si="768"/>
        <v>14827.880456084904</v>
      </c>
      <c r="ABB20" s="29">
        <f t="shared" ca="1" si="769"/>
        <v>14509.85472598347</v>
      </c>
      <c r="ABC20" s="29">
        <f t="shared" ca="1" si="770"/>
        <v>14701.782067162037</v>
      </c>
      <c r="ABD20" s="29">
        <f t="shared" ca="1" si="771"/>
        <v>14146.847462684365</v>
      </c>
      <c r="ABE20" s="29">
        <f t="shared" ca="1" si="772"/>
        <v>12399.357282487206</v>
      </c>
      <c r="ABF20" s="29">
        <f t="shared" ca="1" si="773"/>
        <v>13867.711072907343</v>
      </c>
      <c r="ABG20" s="29">
        <f t="shared" ca="1" si="774"/>
        <v>14867.947619643392</v>
      </c>
      <c r="ABH20" s="29">
        <f t="shared" ca="1" si="775"/>
        <v>13978.3321910169</v>
      </c>
      <c r="ABI20" s="29">
        <f t="shared" ca="1" si="776"/>
        <v>13837.879095114804</v>
      </c>
      <c r="ABJ20" s="29">
        <f t="shared" ca="1" si="777"/>
        <v>14862.636561736223</v>
      </c>
      <c r="ABK20" s="29">
        <f t="shared" ca="1" si="778"/>
        <v>15103.354073820445</v>
      </c>
      <c r="ABL20" s="29">
        <f t="shared" ca="1" si="779"/>
        <v>14550.539488714789</v>
      </c>
      <c r="ABM20" s="29">
        <f t="shared" ca="1" si="780"/>
        <v>15203.379445198074</v>
      </c>
      <c r="ABN20" s="29">
        <f t="shared" ca="1" si="781"/>
        <v>13950.589962360918</v>
      </c>
      <c r="ABO20" s="29">
        <f t="shared" ca="1" si="782"/>
        <v>14708.237504207498</v>
      </c>
      <c r="ABP20" s="29">
        <f t="shared" ca="1" si="783"/>
        <v>13832.412258524579</v>
      </c>
      <c r="ABQ20" s="29">
        <f t="shared" ca="1" si="784"/>
        <v>12869.167733820572</v>
      </c>
      <c r="ABR20" s="29">
        <f t="shared" ca="1" si="785"/>
        <v>13295.387374581302</v>
      </c>
      <c r="ABS20" s="29">
        <f t="shared" ca="1" si="786"/>
        <v>13801.818138315484</v>
      </c>
      <c r="ABT20" s="29">
        <f t="shared" ca="1" si="787"/>
        <v>14274.967584418835</v>
      </c>
      <c r="ABU20" s="29">
        <f t="shared" ca="1" si="788"/>
        <v>14565.398355985535</v>
      </c>
      <c r="ABV20" s="29">
        <f t="shared" ca="1" si="789"/>
        <v>15274.896870172392</v>
      </c>
      <c r="ABW20" s="29">
        <f t="shared" ca="1" si="790"/>
        <v>14915.455246468186</v>
      </c>
      <c r="ABX20" s="29">
        <f t="shared" ca="1" si="791"/>
        <v>14685.904633117021</v>
      </c>
      <c r="ABY20" s="29">
        <f t="shared" ca="1" si="792"/>
        <v>15028.476704880113</v>
      </c>
      <c r="ABZ20" s="29">
        <f t="shared" ca="1" si="793"/>
        <v>14743.344505698356</v>
      </c>
      <c r="ACA20" s="29">
        <f t="shared" ca="1" si="794"/>
        <v>14877.415384791157</v>
      </c>
      <c r="ACB20" s="29">
        <f t="shared" ca="1" si="795"/>
        <v>15088.182854370329</v>
      </c>
      <c r="ACC20" s="29">
        <f t="shared" ca="1" si="796"/>
        <v>14109.31099894478</v>
      </c>
      <c r="ACD20" s="29">
        <f t="shared" ca="1" si="797"/>
        <v>14641.473835833154</v>
      </c>
      <c r="ACE20" s="29">
        <f t="shared" ca="1" si="798"/>
        <v>14718.356876023739</v>
      </c>
      <c r="ACF20" s="29">
        <f t="shared" ca="1" si="799"/>
        <v>14685.694584471528</v>
      </c>
      <c r="ACG20" s="29">
        <f t="shared" ca="1" si="800"/>
        <v>14136.541257919485</v>
      </c>
      <c r="ACH20" s="29">
        <f t="shared" ca="1" si="801"/>
        <v>15113.844729095279</v>
      </c>
      <c r="ACI20" s="29">
        <f t="shared" ca="1" si="802"/>
        <v>13846.247725528139</v>
      </c>
      <c r="ACJ20" s="29">
        <f t="shared" ca="1" si="803"/>
        <v>14621.555348076401</v>
      </c>
      <c r="ACK20" s="29">
        <f t="shared" ca="1" si="804"/>
        <v>14368.958442778458</v>
      </c>
      <c r="ACL20" s="29">
        <f t="shared" ca="1" si="805"/>
        <v>13860.790718865805</v>
      </c>
      <c r="ACM20" s="29">
        <f t="shared" ca="1" si="806"/>
        <v>14612.040012900054</v>
      </c>
      <c r="ACN20" s="29">
        <f t="shared" ca="1" si="807"/>
        <v>14757.079290581254</v>
      </c>
      <c r="ACO20" s="29">
        <f t="shared" ca="1" si="808"/>
        <v>16576.288661333558</v>
      </c>
      <c r="ACP20" s="29">
        <f t="shared" ca="1" si="809"/>
        <v>14202.631870765097</v>
      </c>
      <c r="ACQ20" s="29">
        <f t="shared" ca="1" si="810"/>
        <v>15111.807200612251</v>
      </c>
      <c r="ACR20" s="29">
        <f t="shared" ca="1" si="811"/>
        <v>14866.328066746433</v>
      </c>
      <c r="ACS20" s="29">
        <f t="shared" ca="1" si="812"/>
        <v>13574.839924993477</v>
      </c>
      <c r="ACT20" s="29">
        <f t="shared" ca="1" si="813"/>
        <v>14609.788467506454</v>
      </c>
      <c r="ACU20" s="29">
        <f t="shared" ca="1" si="814"/>
        <v>14075.747372526717</v>
      </c>
      <c r="ACV20" s="29">
        <f t="shared" ca="1" si="815"/>
        <v>14367.933917259119</v>
      </c>
      <c r="ACW20" s="29">
        <f t="shared" ca="1" si="816"/>
        <v>15325.881005078407</v>
      </c>
      <c r="ACX20" s="29">
        <f t="shared" ca="1" si="817"/>
        <v>14686.465516669356</v>
      </c>
      <c r="ACY20" s="29">
        <f t="shared" ca="1" si="818"/>
        <v>14401.378291962999</v>
      </c>
      <c r="ACZ20" s="29">
        <f t="shared" ca="1" si="819"/>
        <v>14025.048641727964</v>
      </c>
      <c r="ADA20" s="29">
        <f t="shared" ca="1" si="820"/>
        <v>15393.103738371621</v>
      </c>
      <c r="ADB20" s="29">
        <f t="shared" ca="1" si="821"/>
        <v>14166.538968750343</v>
      </c>
      <c r="ADC20" s="29">
        <f t="shared" ca="1" si="822"/>
        <v>14280.519158598034</v>
      </c>
      <c r="ADD20" s="29">
        <f t="shared" ca="1" si="823"/>
        <v>14749.26089181391</v>
      </c>
      <c r="ADE20" s="29">
        <f t="shared" ca="1" si="824"/>
        <v>14662.014947537868</v>
      </c>
      <c r="ADF20" s="29">
        <f t="shared" ca="1" si="825"/>
        <v>13930.727055192348</v>
      </c>
      <c r="ADG20" s="29">
        <f t="shared" ca="1" si="826"/>
        <v>14980.577221253676</v>
      </c>
      <c r="ADH20" s="29">
        <f t="shared" ca="1" si="827"/>
        <v>14952.157531874642</v>
      </c>
      <c r="ADI20" s="29">
        <f t="shared" ca="1" si="828"/>
        <v>14383.801308347256</v>
      </c>
      <c r="ADJ20" s="29">
        <f t="shared" ca="1" si="829"/>
        <v>15104.795299124746</v>
      </c>
      <c r="ADK20" s="29">
        <f t="shared" ca="1" si="830"/>
        <v>15040.376482461372</v>
      </c>
      <c r="ADL20" s="29">
        <f t="shared" ca="1" si="831"/>
        <v>14194.862403221723</v>
      </c>
      <c r="ADM20" s="29">
        <f t="shared" ca="1" si="832"/>
        <v>13946.655098923489</v>
      </c>
      <c r="ADN20" s="29">
        <f t="shared" ca="1" si="833"/>
        <v>14055.063187965701</v>
      </c>
      <c r="ADO20" s="29">
        <f t="shared" ca="1" si="834"/>
        <v>14850.117092464623</v>
      </c>
      <c r="ADP20" s="29">
        <f t="shared" ca="1" si="835"/>
        <v>15146.88537361851</v>
      </c>
      <c r="ADQ20" s="29">
        <f t="shared" ca="1" si="836"/>
        <v>16895.942636632655</v>
      </c>
      <c r="ADR20" s="29">
        <f t="shared" ca="1" si="837"/>
        <v>14443.308799624825</v>
      </c>
      <c r="ADS20" s="29">
        <f t="shared" ca="1" si="838"/>
        <v>14795.151393348173</v>
      </c>
      <c r="ADT20" s="29">
        <f t="shared" ca="1" si="839"/>
        <v>13859.658441246371</v>
      </c>
      <c r="ADU20" s="29">
        <f t="shared" ca="1" si="840"/>
        <v>15303.287113269191</v>
      </c>
      <c r="ADV20" s="29">
        <f t="shared" ca="1" si="841"/>
        <v>15103.170605179501</v>
      </c>
      <c r="ADW20" s="29">
        <f t="shared" ca="1" si="842"/>
        <v>15375.474541739994</v>
      </c>
      <c r="ADX20" s="29">
        <f t="shared" ca="1" si="843"/>
        <v>13780.6082017647</v>
      </c>
      <c r="ADY20" s="29">
        <f t="shared" ca="1" si="844"/>
        <v>15653.779348095741</v>
      </c>
      <c r="ADZ20" s="29">
        <f t="shared" ca="1" si="845"/>
        <v>14038.003688530938</v>
      </c>
      <c r="AEA20" s="29">
        <f t="shared" ca="1" si="846"/>
        <v>14355.056943847105</v>
      </c>
      <c r="AEB20" s="29">
        <f t="shared" ca="1" si="847"/>
        <v>13144.05319563432</v>
      </c>
      <c r="AEC20" s="29">
        <f t="shared" ca="1" si="848"/>
        <v>14694.764908909463</v>
      </c>
      <c r="AED20" s="29">
        <f t="shared" ca="1" si="849"/>
        <v>14928.447877039567</v>
      </c>
      <c r="AEE20" s="29">
        <f t="shared" ca="1" si="850"/>
        <v>14943.380773540019</v>
      </c>
      <c r="AEF20" s="29">
        <f t="shared" ca="1" si="851"/>
        <v>14247.228080318262</v>
      </c>
      <c r="AEG20" s="29">
        <f t="shared" ca="1" si="852"/>
        <v>15847.126414790675</v>
      </c>
      <c r="AEH20" s="29">
        <f t="shared" ca="1" si="853"/>
        <v>13787.603126709761</v>
      </c>
      <c r="AEI20" s="29">
        <f t="shared" ca="1" si="854"/>
        <v>15131.560950643165</v>
      </c>
      <c r="AEJ20" s="29">
        <f t="shared" ca="1" si="855"/>
        <v>14093.467892057191</v>
      </c>
      <c r="AEK20" s="29">
        <f t="shared" ca="1" si="856"/>
        <v>15004.541797751312</v>
      </c>
      <c r="AEL20" s="29">
        <f t="shared" ca="1" si="857"/>
        <v>14139.360038692586</v>
      </c>
      <c r="AEM20" s="29">
        <f t="shared" ca="1" si="858"/>
        <v>14832.286262307742</v>
      </c>
      <c r="AEN20" s="29">
        <f t="shared" ca="1" si="859"/>
        <v>14977.380639334398</v>
      </c>
      <c r="AEO20" s="29">
        <f t="shared" ca="1" si="860"/>
        <v>14831.95383584802</v>
      </c>
      <c r="AEP20" s="29">
        <f t="shared" ca="1" si="861"/>
        <v>15038.702059596028</v>
      </c>
      <c r="AEQ20" s="29">
        <f t="shared" ca="1" si="862"/>
        <v>15079.823527408786</v>
      </c>
      <c r="AER20" s="29">
        <f t="shared" ca="1" si="863"/>
        <v>15164.537486190504</v>
      </c>
      <c r="AES20" s="29">
        <f t="shared" ca="1" si="864"/>
        <v>13716.342530004011</v>
      </c>
      <c r="AET20" s="29">
        <f t="shared" ca="1" si="865"/>
        <v>15190.164628537081</v>
      </c>
      <c r="AEU20" s="29">
        <f t="shared" ca="1" si="866"/>
        <v>14177.011482102023</v>
      </c>
      <c r="AEV20" s="29">
        <f t="shared" ca="1" si="867"/>
        <v>16163.644163547055</v>
      </c>
      <c r="AEW20" s="29">
        <f t="shared" ca="1" si="868"/>
        <v>13963.077735128321</v>
      </c>
      <c r="AEX20" s="29">
        <f t="shared" ca="1" si="869"/>
        <v>13817.293603094568</v>
      </c>
      <c r="AEY20" s="29">
        <f t="shared" ca="1" si="870"/>
        <v>13107.203724589965</v>
      </c>
      <c r="AEZ20" s="29">
        <f t="shared" ca="1" si="871"/>
        <v>13798.955097675556</v>
      </c>
      <c r="AFA20" s="29">
        <f t="shared" ca="1" si="872"/>
        <v>15096.257549608537</v>
      </c>
      <c r="AFB20" s="29">
        <f t="shared" ca="1" si="873"/>
        <v>14076.800399115064</v>
      </c>
      <c r="AFC20" s="29">
        <f t="shared" ca="1" si="874"/>
        <v>13601.294627518426</v>
      </c>
      <c r="AFD20" s="29">
        <f t="shared" ca="1" si="875"/>
        <v>15147.363575353296</v>
      </c>
      <c r="AFE20" s="29">
        <f t="shared" ca="1" si="876"/>
        <v>15261.419512683524</v>
      </c>
      <c r="AFF20" s="29">
        <f t="shared" ca="1" si="877"/>
        <v>13924.522686155511</v>
      </c>
      <c r="AFG20" s="29">
        <f t="shared" ca="1" si="878"/>
        <v>14951.272595438242</v>
      </c>
      <c r="AFH20" s="29">
        <f t="shared" ca="1" si="879"/>
        <v>15576.457397792068</v>
      </c>
      <c r="AFI20" s="29">
        <f t="shared" ca="1" si="880"/>
        <v>14546.715040675621</v>
      </c>
      <c r="AFJ20" s="29">
        <f t="shared" ca="1" si="881"/>
        <v>13929.45560110917</v>
      </c>
      <c r="AFK20" s="29">
        <f t="shared" ca="1" si="882"/>
        <v>14131.016816722606</v>
      </c>
      <c r="AFL20" s="29">
        <f t="shared" ca="1" si="883"/>
        <v>14679.933701399601</v>
      </c>
      <c r="AFM20" s="29">
        <f t="shared" ca="1" si="884"/>
        <v>13902.883880183972</v>
      </c>
      <c r="AFN20" s="29">
        <f t="shared" ca="1" si="885"/>
        <v>15250.400658679944</v>
      </c>
      <c r="AFO20" s="29">
        <f t="shared" ca="1" si="886"/>
        <v>14550.488572134944</v>
      </c>
      <c r="AFP20" s="29">
        <f t="shared" ca="1" si="887"/>
        <v>14715.318525411396</v>
      </c>
      <c r="AFQ20" s="29">
        <f t="shared" ca="1" si="888"/>
        <v>13785.526828918983</v>
      </c>
      <c r="AFR20" s="29">
        <f t="shared" ca="1" si="889"/>
        <v>14988.681972100536</v>
      </c>
      <c r="AFS20" s="29">
        <f t="shared" ca="1" si="890"/>
        <v>13917.865147974977</v>
      </c>
      <c r="AFT20" s="29">
        <f t="shared" ca="1" si="891"/>
        <v>14257.14864723579</v>
      </c>
      <c r="AFU20" s="29">
        <f t="shared" ca="1" si="892"/>
        <v>14301.209649201177</v>
      </c>
      <c r="AFV20" s="29">
        <f t="shared" ca="1" si="893"/>
        <v>14899.887754659452</v>
      </c>
      <c r="AFW20" s="29">
        <f t="shared" ca="1" si="894"/>
        <v>13902.619280781777</v>
      </c>
      <c r="AFX20" s="29">
        <f t="shared" ca="1" si="895"/>
        <v>15554.133836196883</v>
      </c>
      <c r="AFY20" s="29">
        <f t="shared" ca="1" si="896"/>
        <v>14960.684145570098</v>
      </c>
      <c r="AFZ20" s="29">
        <f t="shared" ca="1" si="897"/>
        <v>14118.38940162972</v>
      </c>
      <c r="AGA20" s="29">
        <f t="shared" ca="1" si="898"/>
        <v>14515.342021729166</v>
      </c>
      <c r="AGB20" s="29">
        <f t="shared" ca="1" si="899"/>
        <v>14852.53401416085</v>
      </c>
      <c r="AGC20" s="29">
        <f t="shared" ca="1" si="900"/>
        <v>13697.481016965832</v>
      </c>
      <c r="AGD20" s="29">
        <f t="shared" ca="1" si="901"/>
        <v>15332.039509179533</v>
      </c>
      <c r="AGE20" s="29">
        <f t="shared" ca="1" si="902"/>
        <v>14109.35184815172</v>
      </c>
      <c r="AGF20" s="29">
        <f t="shared" ca="1" si="903"/>
        <v>14580.582564424811</v>
      </c>
      <c r="AGG20" s="29">
        <f t="shared" ca="1" si="904"/>
        <v>14082.587023550215</v>
      </c>
      <c r="AGH20" s="29">
        <f t="shared" ca="1" si="905"/>
        <v>14854.372943931761</v>
      </c>
      <c r="AGI20" s="29">
        <f t="shared" ca="1" si="906"/>
        <v>13815.246569940662</v>
      </c>
      <c r="AGJ20" s="29">
        <f t="shared" ca="1" si="907"/>
        <v>14523.262543931734</v>
      </c>
      <c r="AGK20" s="29">
        <f t="shared" ca="1" si="908"/>
        <v>15373.880983259529</v>
      </c>
      <c r="AGL20" s="29">
        <f t="shared" ca="1" si="909"/>
        <v>14685.530077016647</v>
      </c>
      <c r="AGM20" s="29">
        <f t="shared" ca="1" si="910"/>
        <v>13919.190455736807</v>
      </c>
      <c r="AGN20" s="29">
        <f t="shared" ca="1" si="911"/>
        <v>14247.713629919046</v>
      </c>
      <c r="AGO20" s="29">
        <f t="shared" ca="1" si="912"/>
        <v>15402.189698061837</v>
      </c>
      <c r="AGP20" s="29">
        <f t="shared" ca="1" si="913"/>
        <v>13977.811184332948</v>
      </c>
      <c r="AGQ20" s="29">
        <f t="shared" ca="1" si="914"/>
        <v>14648.983019135163</v>
      </c>
      <c r="AGR20" s="29">
        <f t="shared" ca="1" si="915"/>
        <v>13825.992776808214</v>
      </c>
      <c r="AGS20" s="29">
        <f t="shared" ca="1" si="916"/>
        <v>14783.580508836647</v>
      </c>
      <c r="AGT20" s="29">
        <f t="shared" ca="1" si="917"/>
        <v>13741.847309848332</v>
      </c>
      <c r="AGU20" s="29">
        <f t="shared" ca="1" si="918"/>
        <v>14355.328677160236</v>
      </c>
      <c r="AGV20" s="29">
        <f t="shared" ca="1" si="919"/>
        <v>14794.43648503775</v>
      </c>
      <c r="AGW20" s="29">
        <f t="shared" ca="1" si="920"/>
        <v>14862.670316634543</v>
      </c>
      <c r="AGX20" s="29">
        <f t="shared" ca="1" si="921"/>
        <v>14954.737702654236</v>
      </c>
      <c r="AGY20" s="29">
        <f t="shared" ca="1" si="922"/>
        <v>14479.776542747062</v>
      </c>
      <c r="AGZ20" s="29">
        <f t="shared" ca="1" si="923"/>
        <v>13331.502415372461</v>
      </c>
      <c r="AHA20" s="29">
        <f t="shared" ca="1" si="924"/>
        <v>13552.148389479604</v>
      </c>
      <c r="AHB20" s="29">
        <f t="shared" ca="1" si="925"/>
        <v>13534.089409503087</v>
      </c>
      <c r="AHC20" s="29">
        <f t="shared" ca="1" si="926"/>
        <v>15187.895479822002</v>
      </c>
      <c r="AHD20" s="29">
        <f t="shared" ca="1" si="927"/>
        <v>14332.69839285815</v>
      </c>
      <c r="AHE20" s="29">
        <f t="shared" ca="1" si="928"/>
        <v>14599.478278595521</v>
      </c>
      <c r="AHF20" s="29">
        <f t="shared" ca="1" si="929"/>
        <v>15944.085902548211</v>
      </c>
      <c r="AHG20" s="29">
        <f t="shared" ca="1" si="930"/>
        <v>15598.876525236547</v>
      </c>
      <c r="AHH20" s="29">
        <f t="shared" ca="1" si="931"/>
        <v>15107.888374754011</v>
      </c>
      <c r="AHI20" s="29">
        <f t="shared" ca="1" si="932"/>
        <v>14635.802711423325</v>
      </c>
      <c r="AHJ20" s="29">
        <f t="shared" ca="1" si="933"/>
        <v>13814.062145987311</v>
      </c>
      <c r="AHK20" s="29">
        <f t="shared" ca="1" si="934"/>
        <v>16163.726187171806</v>
      </c>
      <c r="AHL20" s="29">
        <f t="shared" ca="1" si="935"/>
        <v>14721.692202977549</v>
      </c>
      <c r="AHM20" s="29">
        <f t="shared" ca="1" si="936"/>
        <v>15691.920810883383</v>
      </c>
      <c r="AHN20" s="29">
        <f t="shared" ca="1" si="937"/>
        <v>13881.315386365563</v>
      </c>
      <c r="AHO20" s="29">
        <f t="shared" ca="1" si="938"/>
        <v>15201.493717711099</v>
      </c>
      <c r="AHP20" s="29">
        <f t="shared" ca="1" si="939"/>
        <v>15059.516989814783</v>
      </c>
      <c r="AHQ20" s="29">
        <f t="shared" ca="1" si="940"/>
        <v>14749.927266277991</v>
      </c>
      <c r="AHR20" s="29">
        <f t="shared" ca="1" si="941"/>
        <v>14300.210665346149</v>
      </c>
      <c r="AHS20" s="29">
        <f t="shared" ca="1" si="942"/>
        <v>14446.792336947967</v>
      </c>
      <c r="AHT20" s="29">
        <f t="shared" ca="1" si="943"/>
        <v>14448.06656089942</v>
      </c>
      <c r="AHU20" s="29">
        <f t="shared" ca="1" si="944"/>
        <v>14417.85950697079</v>
      </c>
      <c r="AHV20" s="29">
        <f t="shared" ca="1" si="945"/>
        <v>14539.265889947928</v>
      </c>
      <c r="AHW20" s="29">
        <f t="shared" ca="1" si="946"/>
        <v>15048.826599503202</v>
      </c>
      <c r="AHX20" s="29">
        <f t="shared" ca="1" si="947"/>
        <v>15249.394494755705</v>
      </c>
      <c r="AHY20" s="29">
        <f t="shared" ca="1" si="948"/>
        <v>14778.43728775112</v>
      </c>
      <c r="AHZ20" s="29">
        <f t="shared" ca="1" si="949"/>
        <v>13721.677645592048</v>
      </c>
      <c r="AIA20" s="29">
        <f t="shared" ca="1" si="950"/>
        <v>15450.432468029405</v>
      </c>
      <c r="AIB20" s="29">
        <f t="shared" ca="1" si="951"/>
        <v>15052.781111952725</v>
      </c>
      <c r="AIC20" s="29">
        <f t="shared" ca="1" si="952"/>
        <v>14190.290721409197</v>
      </c>
      <c r="AID20" s="29">
        <f t="shared" ca="1" si="953"/>
        <v>14861.639847489023</v>
      </c>
      <c r="AIE20" s="29">
        <f t="shared" ca="1" si="954"/>
        <v>14563.857477290665</v>
      </c>
      <c r="AIF20" s="29">
        <f t="shared" ca="1" si="955"/>
        <v>14349.733790445865</v>
      </c>
      <c r="AIG20" s="29">
        <f t="shared" ca="1" si="956"/>
        <v>14970.80253557307</v>
      </c>
      <c r="AIH20" s="29">
        <f t="shared" ca="1" si="957"/>
        <v>14855.790358529821</v>
      </c>
      <c r="AII20" s="29">
        <f t="shared" ca="1" si="958"/>
        <v>14369.917213547382</v>
      </c>
      <c r="AIJ20" s="29">
        <f t="shared" ca="1" si="959"/>
        <v>13900.455229404821</v>
      </c>
      <c r="AIK20" s="29">
        <f t="shared" ca="1" si="960"/>
        <v>14683.359872426387</v>
      </c>
      <c r="AIL20" s="29">
        <f t="shared" ca="1" si="961"/>
        <v>14034.791358110402</v>
      </c>
      <c r="AIM20" s="29">
        <f t="shared" ca="1" si="962"/>
        <v>14084.70588320553</v>
      </c>
      <c r="AIN20" s="29">
        <f t="shared" ca="1" si="963"/>
        <v>14693.504796941717</v>
      </c>
      <c r="AIO20" s="29">
        <f t="shared" ca="1" si="964"/>
        <v>13115.250144700742</v>
      </c>
      <c r="AIP20" s="29">
        <f t="shared" ca="1" si="965"/>
        <v>14211.091883622505</v>
      </c>
      <c r="AIQ20" s="29">
        <f t="shared" ca="1" si="966"/>
        <v>13129.903708093514</v>
      </c>
      <c r="AIR20" s="29">
        <f t="shared" ca="1" si="967"/>
        <v>13831.903850202933</v>
      </c>
      <c r="AIS20" s="29">
        <f t="shared" ca="1" si="968"/>
        <v>14299.854821762514</v>
      </c>
      <c r="AIT20" s="29">
        <f t="shared" ca="1" si="969"/>
        <v>14661.417369987666</v>
      </c>
      <c r="AIU20" s="29">
        <f t="shared" ca="1" si="970"/>
        <v>13773.232888820779</v>
      </c>
      <c r="AIV20" s="29">
        <f t="shared" ca="1" si="971"/>
        <v>14119.824462074213</v>
      </c>
      <c r="AIW20" s="29">
        <f t="shared" ca="1" si="972"/>
        <v>14089.988774581147</v>
      </c>
      <c r="AIX20" s="29">
        <f t="shared" ca="1" si="973"/>
        <v>15090.503237950488</v>
      </c>
      <c r="AIY20" s="29">
        <f t="shared" ca="1" si="974"/>
        <v>15029.649122788278</v>
      </c>
      <c r="AIZ20" s="29">
        <f t="shared" ca="1" si="975"/>
        <v>15314.897833267745</v>
      </c>
      <c r="AJA20" s="29">
        <f t="shared" ca="1" si="976"/>
        <v>13804.538435197743</v>
      </c>
      <c r="AJB20" s="29">
        <f t="shared" ca="1" si="977"/>
        <v>14324.556288187114</v>
      </c>
      <c r="AJC20" s="29">
        <f t="shared" ca="1" si="978"/>
        <v>14909.780373578466</v>
      </c>
      <c r="AJD20" s="29">
        <f t="shared" ca="1" si="979"/>
        <v>14090.256509883642</v>
      </c>
      <c r="AJE20" s="29">
        <f t="shared" ca="1" si="980"/>
        <v>15070.500075797059</v>
      </c>
      <c r="AJF20" s="29">
        <f t="shared" ca="1" si="981"/>
        <v>14859.786873306231</v>
      </c>
      <c r="AJG20" s="29">
        <f t="shared" ca="1" si="982"/>
        <v>14728.067645045197</v>
      </c>
      <c r="AJH20" s="29">
        <f t="shared" ca="1" si="983"/>
        <v>14044.044989388172</v>
      </c>
      <c r="AJI20" s="29">
        <f t="shared" ca="1" si="984"/>
        <v>14412.421143255771</v>
      </c>
      <c r="AJJ20" s="29">
        <f t="shared" ca="1" si="985"/>
        <v>14902.415104891857</v>
      </c>
      <c r="AJK20" s="29">
        <f t="shared" ca="1" si="986"/>
        <v>14800.522507424375</v>
      </c>
      <c r="AJL20" s="29">
        <f t="shared" ca="1" si="987"/>
        <v>14838.682029937874</v>
      </c>
      <c r="AJM20" s="29">
        <f t="shared" ca="1" si="988"/>
        <v>14359.646811322607</v>
      </c>
      <c r="AJN20" s="29">
        <f t="shared" ca="1" si="989"/>
        <v>14479.958062578806</v>
      </c>
      <c r="AJO20" s="29">
        <f t="shared" ca="1" si="990"/>
        <v>14996.837227189384</v>
      </c>
      <c r="AJP20" s="29">
        <f t="shared" ca="1" si="991"/>
        <v>15137.240537773363</v>
      </c>
      <c r="AJQ20" s="29">
        <f t="shared" ca="1" si="992"/>
        <v>13948.437353148249</v>
      </c>
      <c r="AJR20" s="29">
        <f t="shared" ca="1" si="993"/>
        <v>14983.16485001818</v>
      </c>
      <c r="AJS20" s="29">
        <f t="shared" ca="1" si="994"/>
        <v>14977.192280935562</v>
      </c>
      <c r="AJT20" s="29">
        <f t="shared" ca="1" si="995"/>
        <v>14691.87851276931</v>
      </c>
      <c r="AJU20" s="29">
        <f t="shared" ca="1" si="996"/>
        <v>13607.605330857876</v>
      </c>
      <c r="AJV20" s="29">
        <f t="shared" ca="1" si="997"/>
        <v>14085.451922520864</v>
      </c>
      <c r="AJW20" s="29">
        <f t="shared" ca="1" si="998"/>
        <v>14030.677783465253</v>
      </c>
      <c r="AJX20" s="29">
        <f t="shared" ca="1" si="999"/>
        <v>14877.24480873931</v>
      </c>
      <c r="AJY20" s="29">
        <f t="shared" ca="1" si="1000"/>
        <v>13844.371114297184</v>
      </c>
      <c r="AJZ20" s="29">
        <f t="shared" ca="1" si="1001"/>
        <v>14894.847752092612</v>
      </c>
      <c r="AKA20" s="29">
        <f t="shared" ca="1" si="1002"/>
        <v>14560.435968138489</v>
      </c>
      <c r="AKB20" s="29">
        <f t="shared" ca="1" si="1003"/>
        <v>13892.271392287224</v>
      </c>
      <c r="AKC20" s="29">
        <f t="shared" ca="1" si="1004"/>
        <v>13738.935745071614</v>
      </c>
      <c r="AKD20" s="29">
        <f t="shared" ca="1" si="1005"/>
        <v>15072.742318815199</v>
      </c>
      <c r="AKE20" s="29">
        <f t="shared" ca="1" si="1006"/>
        <v>13542.93455288581</v>
      </c>
      <c r="AKF20" s="29">
        <f t="shared" ca="1" si="1007"/>
        <v>15435.974590141825</v>
      </c>
      <c r="AKG20" s="29">
        <f t="shared" ca="1" si="1008"/>
        <v>14335.176562663464</v>
      </c>
      <c r="AKH20" s="29">
        <f t="shared" ca="1" si="1009"/>
        <v>13808.356214225945</v>
      </c>
      <c r="AKI20" s="29">
        <f t="shared" ca="1" si="1010"/>
        <v>14908.633200358103</v>
      </c>
      <c r="AKJ20" s="29">
        <f t="shared" ca="1" si="1011"/>
        <v>13259.480544616003</v>
      </c>
      <c r="AKK20" s="29">
        <f t="shared" ca="1" si="1012"/>
        <v>16143.470712318871</v>
      </c>
      <c r="AKL20" s="29">
        <f t="shared" ca="1" si="1013"/>
        <v>14546.766428289229</v>
      </c>
      <c r="AKM20" s="29">
        <f t="shared" ca="1" si="1014"/>
        <v>13823.070732273996</v>
      </c>
      <c r="AKN20" s="29">
        <f t="shared" ca="1" si="1015"/>
        <v>14963.924982227019</v>
      </c>
      <c r="AKO20" s="29">
        <f t="shared" ca="1" si="1016"/>
        <v>14833.99031717157</v>
      </c>
      <c r="AKP20" s="29">
        <f t="shared" ca="1" si="1017"/>
        <v>15156.659532977254</v>
      </c>
      <c r="AKQ20" s="29">
        <f t="shared" ca="1" si="1018"/>
        <v>13950.81241052851</v>
      </c>
      <c r="AKR20" s="29">
        <f t="shared" ca="1" si="1019"/>
        <v>14444.119455812744</v>
      </c>
      <c r="AKS20" s="29">
        <f t="shared" ca="1" si="1020"/>
        <v>15361.824068104937</v>
      </c>
      <c r="AKT20" s="29">
        <f t="shared" ca="1" si="1021"/>
        <v>14861.197344587232</v>
      </c>
      <c r="AKU20" s="29">
        <f t="shared" ca="1" si="1022"/>
        <v>13990.289083712014</v>
      </c>
      <c r="AKV20" s="29">
        <f t="shared" ca="1" si="1023"/>
        <v>12368.206826418176</v>
      </c>
      <c r="AKW20" s="29">
        <f t="shared" ca="1" si="1024"/>
        <v>14021.401322980544</v>
      </c>
      <c r="AKX20" s="29">
        <f t="shared" ca="1" si="1025"/>
        <v>14774.60698290137</v>
      </c>
      <c r="AKY20" s="29">
        <f t="shared" ca="1" si="1026"/>
        <v>13975.176228822489</v>
      </c>
      <c r="AKZ20" s="29">
        <f t="shared" ca="1" si="1027"/>
        <v>14632.595277275768</v>
      </c>
      <c r="ALA20" s="29">
        <f t="shared" ca="1" si="1028"/>
        <v>13928.153899037572</v>
      </c>
      <c r="ALB20" s="29">
        <f t="shared" ca="1" si="1029"/>
        <v>15092.217051132006</v>
      </c>
      <c r="ALC20" s="29">
        <f t="shared" ca="1" si="1030"/>
        <v>14159.655869926662</v>
      </c>
      <c r="ALD20" s="29">
        <f t="shared" ca="1" si="1031"/>
        <v>15649.941808974421</v>
      </c>
      <c r="ALE20" s="29">
        <f t="shared" ca="1" si="1032"/>
        <v>13886.797836245401</v>
      </c>
      <c r="ALF20" s="29">
        <f t="shared" ca="1" si="1033"/>
        <v>13606.406144795574</v>
      </c>
      <c r="ALG20" s="29">
        <f t="shared" ca="1" si="1034"/>
        <v>14753.248011069119</v>
      </c>
      <c r="ALH20" s="29">
        <f t="shared" ca="1" si="1035"/>
        <v>14867.376091079368</v>
      </c>
      <c r="ALI20" s="29">
        <f t="shared" ca="1" si="1036"/>
        <v>14882.216261307147</v>
      </c>
      <c r="ALJ20" s="29">
        <f t="shared" ca="1" si="1037"/>
        <v>14735.667331768513</v>
      </c>
      <c r="ALK20" s="29">
        <f t="shared" ca="1" si="1038"/>
        <v>14725.763458754791</v>
      </c>
      <c r="ALL20" s="29">
        <f t="shared" ca="1" si="1039"/>
        <v>14412.687370707476</v>
      </c>
      <c r="ALM20" s="29">
        <f t="shared" ca="1" si="1040"/>
        <v>13594.762068115038</v>
      </c>
      <c r="ALN20" s="29">
        <f t="shared" ca="1" si="1041"/>
        <v>14172.173082201358</v>
      </c>
      <c r="ALO20" s="29">
        <f t="shared" ca="1" si="1042"/>
        <v>13789.229450093615</v>
      </c>
      <c r="ALP20" s="29">
        <f t="shared" ca="1" si="1043"/>
        <v>14336.65681494216</v>
      </c>
      <c r="ALQ20" s="29">
        <f t="shared" ca="1" si="1044"/>
        <v>14642.120247559467</v>
      </c>
      <c r="ALR20" s="29">
        <f t="shared" ca="1" si="1045"/>
        <v>14570.760028627879</v>
      </c>
      <c r="ALS20" s="29">
        <f t="shared" ca="1" si="1046"/>
        <v>14547.340394932657</v>
      </c>
      <c r="ALT20" s="29">
        <f t="shared" ca="1" si="1047"/>
        <v>14400.353861623285</v>
      </c>
      <c r="ALU20" s="29">
        <f t="shared" ca="1" si="1048"/>
        <v>14628.355062131372</v>
      </c>
      <c r="ALV20" s="29">
        <f t="shared" ca="1" si="1049"/>
        <v>13658.479196789627</v>
      </c>
    </row>
    <row r="21" spans="1:1010" x14ac:dyDescent="0.25">
      <c r="A21" s="1">
        <v>40505</v>
      </c>
      <c r="B21" s="2">
        <v>5934.75</v>
      </c>
      <c r="C21" s="16">
        <f t="shared" si="32"/>
        <v>-1.259984437184087E-2</v>
      </c>
      <c r="E21" s="34" t="s">
        <v>66</v>
      </c>
      <c r="F21" s="24">
        <v>2.5000000000000001E-2</v>
      </c>
      <c r="G21" s="24">
        <v>0.97499999999999998</v>
      </c>
      <c r="J21" s="29">
        <f t="shared" si="49"/>
        <v>18</v>
      </c>
      <c r="K21" s="29">
        <f t="shared" ca="1" si="50"/>
        <v>14417.911612791577</v>
      </c>
      <c r="L21" s="29">
        <f t="shared" ca="1" si="51"/>
        <v>13875.593740890605</v>
      </c>
      <c r="M21" s="29">
        <f t="shared" ca="1" si="52"/>
        <v>14317.696245503661</v>
      </c>
      <c r="N21" s="29">
        <f t="shared" ca="1" si="53"/>
        <v>13530.46320285336</v>
      </c>
      <c r="O21" s="29">
        <f t="shared" ca="1" si="54"/>
        <v>15616.498459401253</v>
      </c>
      <c r="P21" s="29">
        <f t="shared" ca="1" si="55"/>
        <v>15138.430027184193</v>
      </c>
      <c r="Q21" s="29">
        <f t="shared" ca="1" si="56"/>
        <v>13239.270381344739</v>
      </c>
      <c r="R21" s="29">
        <f t="shared" ca="1" si="57"/>
        <v>14293.735391579403</v>
      </c>
      <c r="S21" s="29">
        <f t="shared" ca="1" si="58"/>
        <v>13646.586286413201</v>
      </c>
      <c r="T21" s="29">
        <f t="shared" ca="1" si="59"/>
        <v>15612.562617717611</v>
      </c>
      <c r="U21" s="29">
        <f t="shared" ca="1" si="60"/>
        <v>14947.937594296434</v>
      </c>
      <c r="V21" s="29">
        <f t="shared" ca="1" si="61"/>
        <v>13893.520804258931</v>
      </c>
      <c r="W21" s="29">
        <f t="shared" ca="1" si="62"/>
        <v>14003.705976482101</v>
      </c>
      <c r="X21" s="29">
        <f t="shared" ca="1" si="63"/>
        <v>15629.726020481567</v>
      </c>
      <c r="Y21" s="29">
        <f t="shared" ca="1" si="64"/>
        <v>14617.120465460806</v>
      </c>
      <c r="Z21" s="29">
        <f t="shared" ca="1" si="65"/>
        <v>14126.389031569313</v>
      </c>
      <c r="AA21" s="29">
        <f t="shared" ca="1" si="66"/>
        <v>15240.314197168433</v>
      </c>
      <c r="AB21" s="29">
        <f t="shared" ca="1" si="67"/>
        <v>16176.011198663236</v>
      </c>
      <c r="AC21" s="29">
        <f t="shared" ca="1" si="68"/>
        <v>15522.926725652133</v>
      </c>
      <c r="AD21" s="29">
        <f t="shared" ca="1" si="69"/>
        <v>14391.60036456948</v>
      </c>
      <c r="AE21" s="29">
        <f t="shared" ca="1" si="70"/>
        <v>15449.245802049452</v>
      </c>
      <c r="AF21" s="29">
        <f t="shared" ca="1" si="71"/>
        <v>15067.291464006894</v>
      </c>
      <c r="AG21" s="29">
        <f t="shared" ca="1" si="72"/>
        <v>13872.449415115329</v>
      </c>
      <c r="AH21" s="29">
        <f t="shared" ca="1" si="73"/>
        <v>15183.277476602392</v>
      </c>
      <c r="AI21" s="29">
        <f t="shared" ca="1" si="74"/>
        <v>13428.77011619422</v>
      </c>
      <c r="AJ21" s="29">
        <f t="shared" ca="1" si="75"/>
        <v>14515.532562444063</v>
      </c>
      <c r="AK21" s="29">
        <f t="shared" ca="1" si="76"/>
        <v>13278.255903801934</v>
      </c>
      <c r="AL21" s="29">
        <f t="shared" ca="1" si="77"/>
        <v>14252.754416865109</v>
      </c>
      <c r="AM21" s="29">
        <f t="shared" ca="1" si="78"/>
        <v>15218.26371613413</v>
      </c>
      <c r="AN21" s="29">
        <f t="shared" ca="1" si="79"/>
        <v>14649.62614312277</v>
      </c>
      <c r="AO21" s="29">
        <f t="shared" ca="1" si="80"/>
        <v>13919.491885213105</v>
      </c>
      <c r="AP21" s="29">
        <f t="shared" ca="1" si="81"/>
        <v>14078.910856919509</v>
      </c>
      <c r="AQ21" s="29">
        <f t="shared" ca="1" si="82"/>
        <v>15471.699964313542</v>
      </c>
      <c r="AR21" s="29">
        <f t="shared" ca="1" si="83"/>
        <v>14025.775886571459</v>
      </c>
      <c r="AS21" s="29">
        <f t="shared" ca="1" si="84"/>
        <v>12839.50331703196</v>
      </c>
      <c r="AT21" s="29">
        <f t="shared" ca="1" si="85"/>
        <v>14877.543859646436</v>
      </c>
      <c r="AU21" s="29">
        <f t="shared" ca="1" si="86"/>
        <v>14000.2237440348</v>
      </c>
      <c r="AV21" s="29">
        <f t="shared" ca="1" si="87"/>
        <v>14608.484297173665</v>
      </c>
      <c r="AW21" s="29">
        <f t="shared" ca="1" si="88"/>
        <v>15901.838229883671</v>
      </c>
      <c r="AX21" s="29">
        <f t="shared" ca="1" si="89"/>
        <v>13824.653777792406</v>
      </c>
      <c r="AY21" s="29">
        <f t="shared" ca="1" si="90"/>
        <v>13935.86989955541</v>
      </c>
      <c r="AZ21" s="29">
        <f t="shared" ca="1" si="91"/>
        <v>14053.229801172427</v>
      </c>
      <c r="BA21" s="29">
        <f t="shared" ca="1" si="92"/>
        <v>14896.947004801174</v>
      </c>
      <c r="BB21" s="29">
        <f t="shared" ca="1" si="93"/>
        <v>13475.616803731165</v>
      </c>
      <c r="BC21" s="29">
        <f t="shared" ca="1" si="94"/>
        <v>13245.516669636385</v>
      </c>
      <c r="BD21" s="29">
        <f t="shared" ca="1" si="95"/>
        <v>14662.177315710165</v>
      </c>
      <c r="BE21" s="29">
        <f t="shared" ca="1" si="96"/>
        <v>15832.691896921331</v>
      </c>
      <c r="BF21" s="29">
        <f t="shared" ca="1" si="97"/>
        <v>15753.102871092899</v>
      </c>
      <c r="BG21" s="29">
        <f t="shared" ca="1" si="98"/>
        <v>13970.918293317363</v>
      </c>
      <c r="BH21" s="29">
        <f t="shared" ca="1" si="99"/>
        <v>14997.205282978055</v>
      </c>
      <c r="BI21" s="29">
        <f t="shared" ca="1" si="100"/>
        <v>14190.932339570836</v>
      </c>
      <c r="BJ21" s="29">
        <f t="shared" ca="1" si="101"/>
        <v>14197.049414107865</v>
      </c>
      <c r="BK21" s="29">
        <f t="shared" ca="1" si="102"/>
        <v>13556.332782715757</v>
      </c>
      <c r="BL21" s="29">
        <f t="shared" ca="1" si="103"/>
        <v>14015.325124819454</v>
      </c>
      <c r="BM21" s="29">
        <f t="shared" ca="1" si="104"/>
        <v>15150.911382788721</v>
      </c>
      <c r="BN21" s="29">
        <f t="shared" ca="1" si="105"/>
        <v>14597.567928606926</v>
      </c>
      <c r="BO21" s="29">
        <f t="shared" ca="1" si="106"/>
        <v>15616.833102569322</v>
      </c>
      <c r="BP21" s="29">
        <f t="shared" ca="1" si="107"/>
        <v>14930.61579384449</v>
      </c>
      <c r="BQ21" s="29">
        <f t="shared" ca="1" si="108"/>
        <v>14517.678909100665</v>
      </c>
      <c r="BR21" s="29">
        <f t="shared" ca="1" si="109"/>
        <v>13349.122068436469</v>
      </c>
      <c r="BS21" s="29">
        <f t="shared" ca="1" si="110"/>
        <v>14859.064137276557</v>
      </c>
      <c r="BT21" s="29">
        <f t="shared" ca="1" si="111"/>
        <v>15033.973430540133</v>
      </c>
      <c r="BU21" s="29">
        <f t="shared" ca="1" si="112"/>
        <v>13690.412005960121</v>
      </c>
      <c r="BV21" s="29">
        <f t="shared" ca="1" si="113"/>
        <v>16330.2652820076</v>
      </c>
      <c r="BW21" s="29">
        <f t="shared" ca="1" si="114"/>
        <v>14457.113392284651</v>
      </c>
      <c r="BX21" s="29">
        <f t="shared" ca="1" si="115"/>
        <v>14567.956606858086</v>
      </c>
      <c r="BY21" s="29">
        <f t="shared" ca="1" si="116"/>
        <v>14366.952882933398</v>
      </c>
      <c r="BZ21" s="29">
        <f t="shared" ca="1" si="117"/>
        <v>13750.838131737632</v>
      </c>
      <c r="CA21" s="29">
        <f t="shared" ca="1" si="118"/>
        <v>14462.447343572378</v>
      </c>
      <c r="CB21" s="29">
        <f t="shared" ca="1" si="119"/>
        <v>15647.133037197907</v>
      </c>
      <c r="CC21" s="29">
        <f t="shared" ca="1" si="120"/>
        <v>13519.35576021622</v>
      </c>
      <c r="CD21" s="29">
        <f t="shared" ca="1" si="121"/>
        <v>14077.290455272649</v>
      </c>
      <c r="CE21" s="29">
        <f t="shared" ca="1" si="122"/>
        <v>16149.463442896547</v>
      </c>
      <c r="CF21" s="29">
        <f t="shared" ca="1" si="123"/>
        <v>15156.851397059374</v>
      </c>
      <c r="CG21" s="29">
        <f t="shared" ca="1" si="124"/>
        <v>14857.095458040078</v>
      </c>
      <c r="CH21" s="29">
        <f t="shared" ca="1" si="125"/>
        <v>15497.828941379588</v>
      </c>
      <c r="CI21" s="29">
        <f t="shared" ca="1" si="126"/>
        <v>15303.084566226622</v>
      </c>
      <c r="CJ21" s="29">
        <f t="shared" ca="1" si="127"/>
        <v>14264.90638453549</v>
      </c>
      <c r="CK21" s="29">
        <f t="shared" ca="1" si="128"/>
        <v>13776.152362686231</v>
      </c>
      <c r="CL21" s="29">
        <f t="shared" ca="1" si="129"/>
        <v>14613.015422424485</v>
      </c>
      <c r="CM21" s="29">
        <f t="shared" ca="1" si="130"/>
        <v>14329.359743673209</v>
      </c>
      <c r="CN21" s="29">
        <f t="shared" ca="1" si="131"/>
        <v>14237.269140414473</v>
      </c>
      <c r="CO21" s="29">
        <f t="shared" ca="1" si="132"/>
        <v>15694.885836254674</v>
      </c>
      <c r="CP21" s="29">
        <f t="shared" ca="1" si="133"/>
        <v>14322.6541149021</v>
      </c>
      <c r="CQ21" s="29">
        <f t="shared" ca="1" si="134"/>
        <v>13858.484851607545</v>
      </c>
      <c r="CR21" s="29">
        <f t="shared" ca="1" si="135"/>
        <v>13769.690903971557</v>
      </c>
      <c r="CS21" s="29">
        <f t="shared" ca="1" si="136"/>
        <v>13690.990528855858</v>
      </c>
      <c r="CT21" s="29">
        <f t="shared" ca="1" si="137"/>
        <v>14601.665208772467</v>
      </c>
      <c r="CU21" s="29">
        <f t="shared" ca="1" si="138"/>
        <v>14219.623843650485</v>
      </c>
      <c r="CV21" s="29">
        <f t="shared" ca="1" si="139"/>
        <v>14127.997020779152</v>
      </c>
      <c r="CW21" s="29">
        <f t="shared" ca="1" si="140"/>
        <v>13799.131082681357</v>
      </c>
      <c r="CX21" s="29">
        <f t="shared" ca="1" si="141"/>
        <v>13277.53591834404</v>
      </c>
      <c r="CY21" s="29">
        <f t="shared" ca="1" si="142"/>
        <v>14281.285639916327</v>
      </c>
      <c r="CZ21" s="29">
        <f t="shared" ca="1" si="143"/>
        <v>12720.781133156202</v>
      </c>
      <c r="DA21" s="29">
        <f t="shared" ca="1" si="144"/>
        <v>15050.709001111849</v>
      </c>
      <c r="DB21" s="29">
        <f t="shared" ca="1" si="145"/>
        <v>16017.031317453861</v>
      </c>
      <c r="DC21" s="29">
        <f t="shared" ca="1" si="146"/>
        <v>15159.038341699561</v>
      </c>
      <c r="DD21" s="29">
        <f t="shared" ca="1" si="147"/>
        <v>13441.63086189418</v>
      </c>
      <c r="DE21" s="29">
        <f t="shared" ca="1" si="148"/>
        <v>14913.283773565507</v>
      </c>
      <c r="DF21" s="29">
        <f t="shared" ca="1" si="149"/>
        <v>14098.009959750691</v>
      </c>
      <c r="DG21" s="29">
        <f t="shared" ca="1" si="150"/>
        <v>14536.844735342629</v>
      </c>
      <c r="DH21" s="29">
        <f t="shared" ca="1" si="151"/>
        <v>14235.705054864016</v>
      </c>
      <c r="DI21" s="29">
        <f t="shared" ca="1" si="152"/>
        <v>14918.311343651076</v>
      </c>
      <c r="DJ21" s="29">
        <f t="shared" ca="1" si="153"/>
        <v>15257.928625371709</v>
      </c>
      <c r="DK21" s="29">
        <f t="shared" ca="1" si="154"/>
        <v>13406.893951655924</v>
      </c>
      <c r="DL21" s="29">
        <f t="shared" ca="1" si="155"/>
        <v>14768.963928056959</v>
      </c>
      <c r="DM21" s="29">
        <f t="shared" ca="1" si="156"/>
        <v>13713.297280048033</v>
      </c>
      <c r="DN21" s="29">
        <f t="shared" ca="1" si="157"/>
        <v>14941.420404132328</v>
      </c>
      <c r="DO21" s="29">
        <f t="shared" ca="1" si="158"/>
        <v>13507.187956675676</v>
      </c>
      <c r="DP21" s="29">
        <f t="shared" ca="1" si="159"/>
        <v>14466.292861661468</v>
      </c>
      <c r="DQ21" s="29">
        <f t="shared" ca="1" si="160"/>
        <v>14720.200041681597</v>
      </c>
      <c r="DR21" s="29">
        <f t="shared" ca="1" si="161"/>
        <v>13243.349263979262</v>
      </c>
      <c r="DS21" s="29">
        <f t="shared" ca="1" si="162"/>
        <v>15425.43282310324</v>
      </c>
      <c r="DT21" s="29">
        <f t="shared" ca="1" si="163"/>
        <v>14331.445532416781</v>
      </c>
      <c r="DU21" s="29">
        <f t="shared" ca="1" si="164"/>
        <v>14579.035738423829</v>
      </c>
      <c r="DV21" s="29">
        <f t="shared" ca="1" si="165"/>
        <v>14277.340114891993</v>
      </c>
      <c r="DW21" s="29">
        <f t="shared" ca="1" si="166"/>
        <v>14547.104274336256</v>
      </c>
      <c r="DX21" s="29">
        <f t="shared" ca="1" si="167"/>
        <v>13869.197754821203</v>
      </c>
      <c r="DY21" s="29">
        <f t="shared" ca="1" si="168"/>
        <v>14509.345112141313</v>
      </c>
      <c r="DZ21" s="29">
        <f t="shared" ca="1" si="169"/>
        <v>14332.912047321057</v>
      </c>
      <c r="EA21" s="29">
        <f t="shared" ca="1" si="170"/>
        <v>14229.855959002351</v>
      </c>
      <c r="EB21" s="29">
        <f t="shared" ca="1" si="171"/>
        <v>13566.492724131507</v>
      </c>
      <c r="EC21" s="29">
        <f t="shared" ca="1" si="172"/>
        <v>14697.872734813294</v>
      </c>
      <c r="ED21" s="29">
        <f t="shared" ca="1" si="173"/>
        <v>15763.141186683062</v>
      </c>
      <c r="EE21" s="29">
        <f t="shared" ca="1" si="174"/>
        <v>14128.868585606702</v>
      </c>
      <c r="EF21" s="29">
        <f t="shared" ca="1" si="175"/>
        <v>15136.066178052612</v>
      </c>
      <c r="EG21" s="29">
        <f t="shared" ca="1" si="176"/>
        <v>14681.015818438254</v>
      </c>
      <c r="EH21" s="29">
        <f t="shared" ca="1" si="177"/>
        <v>13403.042860169819</v>
      </c>
      <c r="EI21" s="29">
        <f t="shared" ca="1" si="178"/>
        <v>13752.786831415153</v>
      </c>
      <c r="EJ21" s="29">
        <f t="shared" ca="1" si="179"/>
        <v>13932.207966960628</v>
      </c>
      <c r="EK21" s="29">
        <f t="shared" ca="1" si="180"/>
        <v>14375.329766641313</v>
      </c>
      <c r="EL21" s="29">
        <f t="shared" ca="1" si="181"/>
        <v>14650.335982201865</v>
      </c>
      <c r="EM21" s="29">
        <f t="shared" ca="1" si="182"/>
        <v>14216.316047930486</v>
      </c>
      <c r="EN21" s="29">
        <f t="shared" ca="1" si="183"/>
        <v>14610.721768947</v>
      </c>
      <c r="EO21" s="29">
        <f t="shared" ca="1" si="184"/>
        <v>14349.50665519832</v>
      </c>
      <c r="EP21" s="29">
        <f t="shared" ca="1" si="185"/>
        <v>13843.540884280288</v>
      </c>
      <c r="EQ21" s="29">
        <f t="shared" ca="1" si="186"/>
        <v>15328.920662495737</v>
      </c>
      <c r="ER21" s="29">
        <f t="shared" ca="1" si="187"/>
        <v>13354.687204521535</v>
      </c>
      <c r="ES21" s="29">
        <f t="shared" ca="1" si="188"/>
        <v>14985.008362438703</v>
      </c>
      <c r="ET21" s="29">
        <f t="shared" ca="1" si="189"/>
        <v>14527.504892621524</v>
      </c>
      <c r="EU21" s="29">
        <f t="shared" ca="1" si="190"/>
        <v>14444.441878799495</v>
      </c>
      <c r="EV21" s="29">
        <f t="shared" ca="1" si="191"/>
        <v>15248.39616589479</v>
      </c>
      <c r="EW21" s="29">
        <f t="shared" ca="1" si="192"/>
        <v>13797.131228172901</v>
      </c>
      <c r="EX21" s="29">
        <f t="shared" ca="1" si="193"/>
        <v>14815.842012011606</v>
      </c>
      <c r="EY21" s="29">
        <f t="shared" ca="1" si="194"/>
        <v>14536.475421759616</v>
      </c>
      <c r="EZ21" s="29">
        <f t="shared" ca="1" si="195"/>
        <v>14376.120101888941</v>
      </c>
      <c r="FA21" s="29">
        <f t="shared" ca="1" si="196"/>
        <v>14727.478000038433</v>
      </c>
      <c r="FB21" s="29">
        <f t="shared" ca="1" si="197"/>
        <v>15343.40269648462</v>
      </c>
      <c r="FC21" s="29">
        <f t="shared" ca="1" si="198"/>
        <v>15414.843934011769</v>
      </c>
      <c r="FD21" s="29">
        <f t="shared" ca="1" si="199"/>
        <v>14299.135309881913</v>
      </c>
      <c r="FE21" s="29">
        <f t="shared" ca="1" si="200"/>
        <v>15181.576743281392</v>
      </c>
      <c r="FF21" s="29">
        <f t="shared" ca="1" si="201"/>
        <v>14812.345077839316</v>
      </c>
      <c r="FG21" s="29">
        <f t="shared" ca="1" si="202"/>
        <v>13961.814158226753</v>
      </c>
      <c r="FH21" s="29">
        <f t="shared" ca="1" si="203"/>
        <v>13869.307345600446</v>
      </c>
      <c r="FI21" s="29">
        <f t="shared" ca="1" si="204"/>
        <v>14333.921607601695</v>
      </c>
      <c r="FJ21" s="29">
        <f t="shared" ca="1" si="205"/>
        <v>14342.414591071651</v>
      </c>
      <c r="FK21" s="29">
        <f t="shared" ca="1" si="206"/>
        <v>15194.576949731436</v>
      </c>
      <c r="FL21" s="29">
        <f t="shared" ca="1" si="207"/>
        <v>14345.704992056639</v>
      </c>
      <c r="FM21" s="29">
        <f t="shared" ca="1" si="208"/>
        <v>14499.492062510333</v>
      </c>
      <c r="FN21" s="29">
        <f t="shared" ca="1" si="209"/>
        <v>13573.201287964504</v>
      </c>
      <c r="FO21" s="29">
        <f t="shared" ca="1" si="210"/>
        <v>13982.952805165982</v>
      </c>
      <c r="FP21" s="29">
        <f t="shared" ca="1" si="211"/>
        <v>13807.294924850459</v>
      </c>
      <c r="FQ21" s="29">
        <f t="shared" ca="1" si="212"/>
        <v>14186.244254434163</v>
      </c>
      <c r="FR21" s="29">
        <f t="shared" ca="1" si="213"/>
        <v>14646.007057063296</v>
      </c>
      <c r="FS21" s="29">
        <f t="shared" ca="1" si="214"/>
        <v>15036.365336206258</v>
      </c>
      <c r="FT21" s="29">
        <f t="shared" ca="1" si="215"/>
        <v>14595.690838398375</v>
      </c>
      <c r="FU21" s="29">
        <f t="shared" ca="1" si="216"/>
        <v>13799.055142381785</v>
      </c>
      <c r="FV21" s="29">
        <f t="shared" ca="1" si="217"/>
        <v>15246.149976614906</v>
      </c>
      <c r="FW21" s="29">
        <f t="shared" ca="1" si="218"/>
        <v>14266.216106035679</v>
      </c>
      <c r="FX21" s="29">
        <f t="shared" ca="1" si="219"/>
        <v>15270.326742916692</v>
      </c>
      <c r="FY21" s="29">
        <f t="shared" ca="1" si="220"/>
        <v>14563.389946879379</v>
      </c>
      <c r="FZ21" s="29">
        <f t="shared" ca="1" si="221"/>
        <v>13545.640994895668</v>
      </c>
      <c r="GA21" s="29">
        <f t="shared" ca="1" si="222"/>
        <v>13599.945864485277</v>
      </c>
      <c r="GB21" s="29">
        <f t="shared" ca="1" si="223"/>
        <v>15675.167835459286</v>
      </c>
      <c r="GC21" s="29">
        <f t="shared" ca="1" si="224"/>
        <v>15560.113623286057</v>
      </c>
      <c r="GD21" s="29">
        <f t="shared" ca="1" si="225"/>
        <v>14124.842755871201</v>
      </c>
      <c r="GE21" s="29">
        <f t="shared" ca="1" si="226"/>
        <v>14656.551115290284</v>
      </c>
      <c r="GF21" s="29">
        <f t="shared" ca="1" si="227"/>
        <v>14189.086638192757</v>
      </c>
      <c r="GG21" s="29">
        <f t="shared" ca="1" si="228"/>
        <v>15124.351008698022</v>
      </c>
      <c r="GH21" s="29">
        <f t="shared" ca="1" si="229"/>
        <v>14242.909900119956</v>
      </c>
      <c r="GI21" s="29">
        <f t="shared" ca="1" si="230"/>
        <v>14411.945536772388</v>
      </c>
      <c r="GJ21" s="29">
        <f t="shared" ca="1" si="231"/>
        <v>14480.645026493763</v>
      </c>
      <c r="GK21" s="29">
        <f t="shared" ca="1" si="232"/>
        <v>14378.370193772096</v>
      </c>
      <c r="GL21" s="29">
        <f t="shared" ca="1" si="233"/>
        <v>13948.881015144621</v>
      </c>
      <c r="GM21" s="29">
        <f t="shared" ca="1" si="234"/>
        <v>13864.324255140426</v>
      </c>
      <c r="GN21" s="29">
        <f t="shared" ca="1" si="235"/>
        <v>13900.941839173569</v>
      </c>
      <c r="GO21" s="29">
        <f t="shared" ca="1" si="236"/>
        <v>13457.719970247028</v>
      </c>
      <c r="GP21" s="29">
        <f t="shared" ca="1" si="237"/>
        <v>15518.464074719332</v>
      </c>
      <c r="GQ21" s="29">
        <f t="shared" ca="1" si="238"/>
        <v>14621.586007373689</v>
      </c>
      <c r="GR21" s="29">
        <f t="shared" ca="1" si="239"/>
        <v>14051.121570139219</v>
      </c>
      <c r="GS21" s="29">
        <f t="shared" ca="1" si="240"/>
        <v>15164.647862664766</v>
      </c>
      <c r="GT21" s="29">
        <f t="shared" ca="1" si="241"/>
        <v>14035.938831728539</v>
      </c>
      <c r="GU21" s="29">
        <f t="shared" ca="1" si="242"/>
        <v>13785.595877778796</v>
      </c>
      <c r="GV21" s="29">
        <f t="shared" ca="1" si="243"/>
        <v>15423.266605319142</v>
      </c>
      <c r="GW21" s="29">
        <f t="shared" ca="1" si="244"/>
        <v>13526.199035455653</v>
      </c>
      <c r="GX21" s="29">
        <f t="shared" ca="1" si="245"/>
        <v>14609.116045233492</v>
      </c>
      <c r="GY21" s="29">
        <f t="shared" ca="1" si="246"/>
        <v>14991.157561500528</v>
      </c>
      <c r="GZ21" s="29">
        <f t="shared" ca="1" si="247"/>
        <v>14790.88534900575</v>
      </c>
      <c r="HA21" s="29">
        <f t="shared" ca="1" si="248"/>
        <v>15111.595605771041</v>
      </c>
      <c r="HB21" s="29">
        <f t="shared" ca="1" si="249"/>
        <v>14347.695987033465</v>
      </c>
      <c r="HC21" s="29">
        <f t="shared" ca="1" si="250"/>
        <v>15043.842665081171</v>
      </c>
      <c r="HD21" s="29">
        <f t="shared" ca="1" si="251"/>
        <v>13498.326453104408</v>
      </c>
      <c r="HE21" s="29">
        <f t="shared" ca="1" si="252"/>
        <v>14921.348626045386</v>
      </c>
      <c r="HF21" s="29">
        <f t="shared" ca="1" si="253"/>
        <v>13813.106893842292</v>
      </c>
      <c r="HG21" s="29">
        <f t="shared" ca="1" si="254"/>
        <v>14015.063329838475</v>
      </c>
      <c r="HH21" s="29">
        <f t="shared" ca="1" si="255"/>
        <v>13286.737005425462</v>
      </c>
      <c r="HI21" s="29">
        <f t="shared" ca="1" si="256"/>
        <v>13600.711244512766</v>
      </c>
      <c r="HJ21" s="29">
        <f t="shared" ca="1" si="257"/>
        <v>13935.613163052347</v>
      </c>
      <c r="HK21" s="29">
        <f t="shared" ca="1" si="258"/>
        <v>15438.788184917104</v>
      </c>
      <c r="HL21" s="29">
        <f t="shared" ca="1" si="259"/>
        <v>15594.749448785344</v>
      </c>
      <c r="HM21" s="29">
        <f t="shared" ca="1" si="260"/>
        <v>14165.349699682143</v>
      </c>
      <c r="HN21" s="29">
        <f t="shared" ca="1" si="261"/>
        <v>13266.3415478529</v>
      </c>
      <c r="HO21" s="29">
        <f t="shared" ca="1" si="262"/>
        <v>15256.455094482064</v>
      </c>
      <c r="HP21" s="29">
        <f t="shared" ca="1" si="263"/>
        <v>14048.836208913714</v>
      </c>
      <c r="HQ21" s="29">
        <f t="shared" ca="1" si="264"/>
        <v>14074.257522672742</v>
      </c>
      <c r="HR21" s="29">
        <f t="shared" ca="1" si="265"/>
        <v>15132.648926455826</v>
      </c>
      <c r="HS21" s="29">
        <f t="shared" ca="1" si="266"/>
        <v>14686.588532735572</v>
      </c>
      <c r="HT21" s="29">
        <f t="shared" ca="1" si="267"/>
        <v>14590.510939465683</v>
      </c>
      <c r="HU21" s="29">
        <f t="shared" ca="1" si="268"/>
        <v>14046.740429929532</v>
      </c>
      <c r="HV21" s="29">
        <f t="shared" ca="1" si="269"/>
        <v>14932.291001426</v>
      </c>
      <c r="HW21" s="29">
        <f t="shared" ca="1" si="270"/>
        <v>14836.514928920002</v>
      </c>
      <c r="HX21" s="29">
        <f t="shared" ca="1" si="271"/>
        <v>14606.222541025196</v>
      </c>
      <c r="HY21" s="29">
        <f t="shared" ca="1" si="272"/>
        <v>14631.554735805084</v>
      </c>
      <c r="HZ21" s="29">
        <f t="shared" ca="1" si="273"/>
        <v>13510.121742406973</v>
      </c>
      <c r="IA21" s="29">
        <f t="shared" ca="1" si="274"/>
        <v>14871.721421677947</v>
      </c>
      <c r="IB21" s="29">
        <f t="shared" ca="1" si="275"/>
        <v>15087.636163470648</v>
      </c>
      <c r="IC21" s="29">
        <f t="shared" ca="1" si="276"/>
        <v>13336.400592978534</v>
      </c>
      <c r="ID21" s="29">
        <f t="shared" ca="1" si="277"/>
        <v>14122.557479539195</v>
      </c>
      <c r="IE21" s="29">
        <f t="shared" ca="1" si="278"/>
        <v>12828.79363113701</v>
      </c>
      <c r="IF21" s="29">
        <f t="shared" ca="1" si="279"/>
        <v>15088.914829543712</v>
      </c>
      <c r="IG21" s="29">
        <f t="shared" ca="1" si="280"/>
        <v>13648.840975665273</v>
      </c>
      <c r="IH21" s="29">
        <f t="shared" ca="1" si="281"/>
        <v>14410.39192623218</v>
      </c>
      <c r="II21" s="29">
        <f t="shared" ca="1" si="282"/>
        <v>14967.87523238115</v>
      </c>
      <c r="IJ21" s="29">
        <f t="shared" ca="1" si="283"/>
        <v>14509.738632140399</v>
      </c>
      <c r="IK21" s="29">
        <f t="shared" ca="1" si="284"/>
        <v>14323.00467926125</v>
      </c>
      <c r="IL21" s="29">
        <f t="shared" ca="1" si="285"/>
        <v>16192.519321268996</v>
      </c>
      <c r="IM21" s="29">
        <f t="shared" ca="1" si="286"/>
        <v>13557.249767147283</v>
      </c>
      <c r="IN21" s="29">
        <f t="shared" ca="1" si="287"/>
        <v>15307.477586045303</v>
      </c>
      <c r="IO21" s="29">
        <f t="shared" ca="1" si="288"/>
        <v>14865.610691758777</v>
      </c>
      <c r="IP21" s="29">
        <f t="shared" ca="1" si="289"/>
        <v>14410.70309638115</v>
      </c>
      <c r="IQ21" s="29">
        <f t="shared" ca="1" si="290"/>
        <v>13595.292278321724</v>
      </c>
      <c r="IR21" s="29">
        <f t="shared" ca="1" si="291"/>
        <v>14536.603641245314</v>
      </c>
      <c r="IS21" s="29">
        <f t="shared" ca="1" si="292"/>
        <v>13305.557204121314</v>
      </c>
      <c r="IT21" s="29">
        <f t="shared" ca="1" si="293"/>
        <v>15634.261358751839</v>
      </c>
      <c r="IU21" s="29">
        <f t="shared" ca="1" si="294"/>
        <v>15797.655068325277</v>
      </c>
      <c r="IV21" s="29">
        <f t="shared" ca="1" si="295"/>
        <v>14252.285602129296</v>
      </c>
      <c r="IW21" s="29">
        <f t="shared" ca="1" si="296"/>
        <v>15236.887306359877</v>
      </c>
      <c r="IX21" s="29">
        <f t="shared" ca="1" si="297"/>
        <v>15676.706402112215</v>
      </c>
      <c r="IY21" s="29">
        <f t="shared" ca="1" si="298"/>
        <v>14288.055572318206</v>
      </c>
      <c r="IZ21" s="29">
        <f t="shared" ca="1" si="299"/>
        <v>14090.573009847576</v>
      </c>
      <c r="JA21" s="29">
        <f t="shared" ca="1" si="300"/>
        <v>14207.326867684482</v>
      </c>
      <c r="JB21" s="29">
        <f t="shared" ca="1" si="301"/>
        <v>13789.519946513003</v>
      </c>
      <c r="JC21" s="29">
        <f t="shared" ca="1" si="302"/>
        <v>14279.286303664372</v>
      </c>
      <c r="JD21" s="29">
        <f t="shared" ca="1" si="303"/>
        <v>14221.036163205777</v>
      </c>
      <c r="JE21" s="29">
        <f t="shared" ca="1" si="304"/>
        <v>13484.41169707904</v>
      </c>
      <c r="JF21" s="29">
        <f t="shared" ca="1" si="305"/>
        <v>14287.771432034457</v>
      </c>
      <c r="JG21" s="29">
        <f t="shared" ca="1" si="306"/>
        <v>13556.565769012313</v>
      </c>
      <c r="JH21" s="29">
        <f t="shared" ca="1" si="307"/>
        <v>14191.923563236654</v>
      </c>
      <c r="JI21" s="29">
        <f t="shared" ca="1" si="308"/>
        <v>14192.039408124347</v>
      </c>
      <c r="JJ21" s="29">
        <f t="shared" ca="1" si="309"/>
        <v>15063.95235932481</v>
      </c>
      <c r="JK21" s="29">
        <f t="shared" ca="1" si="310"/>
        <v>14674.4018970877</v>
      </c>
      <c r="JL21" s="29">
        <f t="shared" ca="1" si="311"/>
        <v>15247.773112496103</v>
      </c>
      <c r="JM21" s="29">
        <f t="shared" ca="1" si="312"/>
        <v>13363.53126399149</v>
      </c>
      <c r="JN21" s="29">
        <f t="shared" ca="1" si="313"/>
        <v>14881.207805311533</v>
      </c>
      <c r="JO21" s="29">
        <f t="shared" ca="1" si="314"/>
        <v>15737.141903222688</v>
      </c>
      <c r="JP21" s="29">
        <f t="shared" ca="1" si="315"/>
        <v>14752.386776844181</v>
      </c>
      <c r="JQ21" s="29">
        <f t="shared" ca="1" si="316"/>
        <v>13814.580215765007</v>
      </c>
      <c r="JR21" s="29">
        <f t="shared" ca="1" si="317"/>
        <v>14388.744484973526</v>
      </c>
      <c r="JS21" s="29">
        <f t="shared" ca="1" si="318"/>
        <v>15741.883247354741</v>
      </c>
      <c r="JT21" s="29">
        <f t="shared" ca="1" si="319"/>
        <v>14592.684907127854</v>
      </c>
      <c r="JU21" s="29">
        <f t="shared" ca="1" si="320"/>
        <v>14495.852600668468</v>
      </c>
      <c r="JV21" s="29">
        <f t="shared" ca="1" si="321"/>
        <v>14360.736388941241</v>
      </c>
      <c r="JW21" s="29">
        <f t="shared" ca="1" si="322"/>
        <v>14714.687523389493</v>
      </c>
      <c r="JX21" s="29">
        <f t="shared" ca="1" si="323"/>
        <v>14676.501639079532</v>
      </c>
      <c r="JY21" s="29">
        <f t="shared" ca="1" si="324"/>
        <v>14339.330929666947</v>
      </c>
      <c r="JZ21" s="29">
        <f t="shared" ca="1" si="325"/>
        <v>15158.031340866512</v>
      </c>
      <c r="KA21" s="29">
        <f t="shared" ca="1" si="326"/>
        <v>14456.882165457992</v>
      </c>
      <c r="KB21" s="29">
        <f t="shared" ca="1" si="327"/>
        <v>13093.232594884141</v>
      </c>
      <c r="KC21" s="29">
        <f t="shared" ca="1" si="328"/>
        <v>14436.440542010276</v>
      </c>
      <c r="KD21" s="29">
        <f t="shared" ca="1" si="329"/>
        <v>13720.015766733601</v>
      </c>
      <c r="KE21" s="29">
        <f t="shared" ca="1" si="330"/>
        <v>16401.418680756404</v>
      </c>
      <c r="KF21" s="29">
        <f t="shared" ca="1" si="331"/>
        <v>15031.511847458254</v>
      </c>
      <c r="KG21" s="29">
        <f t="shared" ca="1" si="332"/>
        <v>14305.367925274915</v>
      </c>
      <c r="KH21" s="29">
        <f t="shared" ca="1" si="333"/>
        <v>14324.173082814545</v>
      </c>
      <c r="KI21" s="29">
        <f t="shared" ca="1" si="334"/>
        <v>13564.571342432271</v>
      </c>
      <c r="KJ21" s="29">
        <f t="shared" ca="1" si="335"/>
        <v>14586.534324169683</v>
      </c>
      <c r="KK21" s="29">
        <f t="shared" ca="1" si="336"/>
        <v>13754.608304792886</v>
      </c>
      <c r="KL21" s="29">
        <f t="shared" ca="1" si="337"/>
        <v>14386.655566099334</v>
      </c>
      <c r="KM21" s="29">
        <f t="shared" ca="1" si="338"/>
        <v>15372.885065308114</v>
      </c>
      <c r="KN21" s="29">
        <f t="shared" ca="1" si="339"/>
        <v>13924.050355946103</v>
      </c>
      <c r="KO21" s="29">
        <f t="shared" ca="1" si="340"/>
        <v>14482.200568110688</v>
      </c>
      <c r="KP21" s="29">
        <f t="shared" ca="1" si="341"/>
        <v>14599.088612069881</v>
      </c>
      <c r="KQ21" s="29">
        <f t="shared" ca="1" si="342"/>
        <v>13799.778804033602</v>
      </c>
      <c r="KR21" s="29">
        <f t="shared" ca="1" si="343"/>
        <v>13892.731470941002</v>
      </c>
      <c r="KS21" s="29">
        <f t="shared" ca="1" si="344"/>
        <v>13530.775537585567</v>
      </c>
      <c r="KT21" s="29">
        <f t="shared" ca="1" si="345"/>
        <v>14336.138043353416</v>
      </c>
      <c r="KU21" s="29">
        <f t="shared" ca="1" si="346"/>
        <v>13803.577444974415</v>
      </c>
      <c r="KV21" s="29">
        <f t="shared" ca="1" si="347"/>
        <v>14562.515143932056</v>
      </c>
      <c r="KW21" s="29">
        <f t="shared" ca="1" si="348"/>
        <v>14624.725110514133</v>
      </c>
      <c r="KX21" s="29">
        <f t="shared" ca="1" si="349"/>
        <v>13537.120427702706</v>
      </c>
      <c r="KY21" s="29">
        <f t="shared" ca="1" si="350"/>
        <v>14673.882724045821</v>
      </c>
      <c r="KZ21" s="29">
        <f t="shared" ca="1" si="351"/>
        <v>15324.593773996239</v>
      </c>
      <c r="LA21" s="29">
        <f t="shared" ca="1" si="352"/>
        <v>14797.720220396859</v>
      </c>
      <c r="LB21" s="29">
        <f t="shared" ca="1" si="353"/>
        <v>13797.339959864707</v>
      </c>
      <c r="LC21" s="29">
        <f t="shared" ca="1" si="354"/>
        <v>14154.845790945241</v>
      </c>
      <c r="LD21" s="29">
        <f t="shared" ca="1" si="355"/>
        <v>13886.279413712924</v>
      </c>
      <c r="LE21" s="29">
        <f t="shared" ca="1" si="356"/>
        <v>14201.866474064374</v>
      </c>
      <c r="LF21" s="29">
        <f t="shared" ca="1" si="357"/>
        <v>14384.808373544889</v>
      </c>
      <c r="LG21" s="29">
        <f t="shared" ca="1" si="358"/>
        <v>14129.972131698607</v>
      </c>
      <c r="LH21" s="29">
        <f t="shared" ca="1" si="359"/>
        <v>13435.635494875369</v>
      </c>
      <c r="LI21" s="29">
        <f t="shared" ca="1" si="360"/>
        <v>14098.960368353381</v>
      </c>
      <c r="LJ21" s="29">
        <f t="shared" ca="1" si="361"/>
        <v>14629.128917355485</v>
      </c>
      <c r="LK21" s="29">
        <f t="shared" ca="1" si="362"/>
        <v>14195.475633730768</v>
      </c>
      <c r="LL21" s="29">
        <f t="shared" ca="1" si="363"/>
        <v>15093.871289126502</v>
      </c>
      <c r="LM21" s="29">
        <f t="shared" ca="1" si="364"/>
        <v>14789.512326111264</v>
      </c>
      <c r="LN21" s="29">
        <f t="shared" ca="1" si="365"/>
        <v>15045.409972300498</v>
      </c>
      <c r="LO21" s="29">
        <f t="shared" ca="1" si="366"/>
        <v>14639.184547390068</v>
      </c>
      <c r="LP21" s="29">
        <f t="shared" ca="1" si="367"/>
        <v>14801.713656012866</v>
      </c>
      <c r="LQ21" s="29">
        <f t="shared" ca="1" si="368"/>
        <v>16021.011167383436</v>
      </c>
      <c r="LR21" s="29">
        <f t="shared" ca="1" si="369"/>
        <v>14355.045680532605</v>
      </c>
      <c r="LS21" s="29">
        <f t="shared" ca="1" si="370"/>
        <v>14210.391201402794</v>
      </c>
      <c r="LT21" s="29">
        <f t="shared" ca="1" si="371"/>
        <v>14610.743875046821</v>
      </c>
      <c r="LU21" s="29">
        <f t="shared" ca="1" si="372"/>
        <v>14671.781537696668</v>
      </c>
      <c r="LV21" s="29">
        <f t="shared" ca="1" si="373"/>
        <v>14146.95055212521</v>
      </c>
      <c r="LW21" s="29">
        <f t="shared" ca="1" si="374"/>
        <v>13853.377009199348</v>
      </c>
      <c r="LX21" s="29">
        <f t="shared" ca="1" si="375"/>
        <v>15285.48762447915</v>
      </c>
      <c r="LY21" s="29">
        <f t="shared" ca="1" si="376"/>
        <v>15582.318525022813</v>
      </c>
      <c r="LZ21" s="29">
        <f t="shared" ca="1" si="377"/>
        <v>14549.670743986435</v>
      </c>
      <c r="MA21" s="29">
        <f t="shared" ca="1" si="378"/>
        <v>13952.407726877114</v>
      </c>
      <c r="MB21" s="29">
        <f t="shared" ca="1" si="379"/>
        <v>13953.317870331701</v>
      </c>
      <c r="MC21" s="29">
        <f t="shared" ca="1" si="380"/>
        <v>14996.150845106651</v>
      </c>
      <c r="MD21" s="29">
        <f t="shared" ca="1" si="381"/>
        <v>14763.062186996147</v>
      </c>
      <c r="ME21" s="29">
        <f t="shared" ca="1" si="382"/>
        <v>13098.006300057565</v>
      </c>
      <c r="MF21" s="29">
        <f t="shared" ca="1" si="383"/>
        <v>15026.358343858359</v>
      </c>
      <c r="MG21" s="29">
        <f t="shared" ca="1" si="384"/>
        <v>14104.609585063461</v>
      </c>
      <c r="MH21" s="29">
        <f t="shared" ca="1" si="385"/>
        <v>14084.049633164355</v>
      </c>
      <c r="MI21" s="29">
        <f t="shared" ca="1" si="386"/>
        <v>15873.491001432109</v>
      </c>
      <c r="MJ21" s="29">
        <f t="shared" ca="1" si="387"/>
        <v>15345.846656428852</v>
      </c>
      <c r="MK21" s="29">
        <f t="shared" ca="1" si="388"/>
        <v>14466.289200305051</v>
      </c>
      <c r="ML21" s="29">
        <f t="shared" ca="1" si="389"/>
        <v>15585.597407480393</v>
      </c>
      <c r="MM21" s="29">
        <f t="shared" ca="1" si="390"/>
        <v>15946.678447133401</v>
      </c>
      <c r="MN21" s="29">
        <f t="shared" ca="1" si="391"/>
        <v>13687.063178070975</v>
      </c>
      <c r="MO21" s="29">
        <f t="shared" ca="1" si="392"/>
        <v>13475.886967789</v>
      </c>
      <c r="MP21" s="29">
        <f t="shared" ca="1" si="393"/>
        <v>14617.09436127934</v>
      </c>
      <c r="MQ21" s="29">
        <f t="shared" ca="1" si="394"/>
        <v>15024.077028660207</v>
      </c>
      <c r="MR21" s="29">
        <f t="shared" ca="1" si="395"/>
        <v>14008.686211356335</v>
      </c>
      <c r="MS21" s="29">
        <f t="shared" ca="1" si="396"/>
        <v>13315.191694857405</v>
      </c>
      <c r="MT21" s="29">
        <f t="shared" ca="1" si="397"/>
        <v>14714.476708752036</v>
      </c>
      <c r="MU21" s="29">
        <f t="shared" ca="1" si="398"/>
        <v>14458.887941460624</v>
      </c>
      <c r="MV21" s="29">
        <f t="shared" ca="1" si="399"/>
        <v>13766.881188206444</v>
      </c>
      <c r="MW21" s="29">
        <f t="shared" ca="1" si="400"/>
        <v>15295.012231593706</v>
      </c>
      <c r="MX21" s="29">
        <f t="shared" ca="1" si="401"/>
        <v>14819.945233759076</v>
      </c>
      <c r="MY21" s="29">
        <f t="shared" ca="1" si="402"/>
        <v>14427.600744657366</v>
      </c>
      <c r="MZ21" s="29">
        <f t="shared" ca="1" si="403"/>
        <v>16126.516064369958</v>
      </c>
      <c r="NA21" s="29">
        <f t="shared" ca="1" si="404"/>
        <v>14594.720589173341</v>
      </c>
      <c r="NB21" s="29">
        <f t="shared" ca="1" si="405"/>
        <v>15561.021368334703</v>
      </c>
      <c r="NC21" s="29">
        <f t="shared" ca="1" si="406"/>
        <v>13173.751958427625</v>
      </c>
      <c r="ND21" s="29">
        <f t="shared" ca="1" si="407"/>
        <v>14358.552574516512</v>
      </c>
      <c r="NE21" s="29">
        <f t="shared" ca="1" si="408"/>
        <v>14380.843529487756</v>
      </c>
      <c r="NF21" s="29">
        <f t="shared" ca="1" si="409"/>
        <v>14426.992753590395</v>
      </c>
      <c r="NG21" s="29">
        <f t="shared" ca="1" si="410"/>
        <v>13884.853436362362</v>
      </c>
      <c r="NH21" s="29">
        <f t="shared" ca="1" si="411"/>
        <v>14286.070280162698</v>
      </c>
      <c r="NI21" s="29">
        <f t="shared" ca="1" si="412"/>
        <v>14311.31186977265</v>
      </c>
      <c r="NJ21" s="29">
        <f t="shared" ca="1" si="413"/>
        <v>14466.146792173337</v>
      </c>
      <c r="NK21" s="29">
        <f t="shared" ca="1" si="414"/>
        <v>14359.501514086289</v>
      </c>
      <c r="NL21" s="29">
        <f t="shared" ca="1" si="415"/>
        <v>13629.654399674595</v>
      </c>
      <c r="NM21" s="29">
        <f t="shared" ca="1" si="416"/>
        <v>14417.604289084404</v>
      </c>
      <c r="NN21" s="29">
        <f t="shared" ca="1" si="417"/>
        <v>14076.860483848935</v>
      </c>
      <c r="NO21" s="29">
        <f t="shared" ca="1" si="418"/>
        <v>14573.753622760274</v>
      </c>
      <c r="NP21" s="29">
        <f t="shared" ca="1" si="419"/>
        <v>13777.777682159738</v>
      </c>
      <c r="NQ21" s="29">
        <f t="shared" ca="1" si="420"/>
        <v>15493.356698366535</v>
      </c>
      <c r="NR21" s="29">
        <f t="shared" ca="1" si="421"/>
        <v>15189.467196712929</v>
      </c>
      <c r="NS21" s="29">
        <f t="shared" ca="1" si="422"/>
        <v>13538.697323752318</v>
      </c>
      <c r="NT21" s="29">
        <f t="shared" ca="1" si="423"/>
        <v>14487.869854479541</v>
      </c>
      <c r="NU21" s="29">
        <f t="shared" ca="1" si="424"/>
        <v>14463.140759099209</v>
      </c>
      <c r="NV21" s="29">
        <f t="shared" ca="1" si="425"/>
        <v>14387.7672264088</v>
      </c>
      <c r="NW21" s="29">
        <f t="shared" ca="1" si="426"/>
        <v>14210.832729871423</v>
      </c>
      <c r="NX21" s="29">
        <f t="shared" ca="1" si="427"/>
        <v>14348.841772216369</v>
      </c>
      <c r="NY21" s="29">
        <f t="shared" ca="1" si="428"/>
        <v>14933.698655278062</v>
      </c>
      <c r="NZ21" s="29">
        <f t="shared" ca="1" si="429"/>
        <v>13702.253900143336</v>
      </c>
      <c r="OA21" s="29">
        <f t="shared" ca="1" si="430"/>
        <v>14010.728277642182</v>
      </c>
      <c r="OB21" s="29">
        <f t="shared" ca="1" si="431"/>
        <v>15457.561679465074</v>
      </c>
      <c r="OC21" s="29">
        <f t="shared" ca="1" si="432"/>
        <v>15169.149373866447</v>
      </c>
      <c r="OD21" s="29">
        <f t="shared" ca="1" si="433"/>
        <v>15153.831879832745</v>
      </c>
      <c r="OE21" s="29">
        <f t="shared" ca="1" si="434"/>
        <v>14953.837220135852</v>
      </c>
      <c r="OF21" s="29">
        <f t="shared" ca="1" si="435"/>
        <v>14198.82110574836</v>
      </c>
      <c r="OG21" s="29">
        <f t="shared" ca="1" si="436"/>
        <v>15075.339144240734</v>
      </c>
      <c r="OH21" s="29">
        <f t="shared" ca="1" si="437"/>
        <v>15637.141527734024</v>
      </c>
      <c r="OI21" s="29">
        <f t="shared" ca="1" si="438"/>
        <v>14369.672691813548</v>
      </c>
      <c r="OJ21" s="29">
        <f t="shared" ca="1" si="439"/>
        <v>15005.114150064604</v>
      </c>
      <c r="OK21" s="29">
        <f t="shared" ca="1" si="440"/>
        <v>13984.453947769318</v>
      </c>
      <c r="OL21" s="29">
        <f t="shared" ca="1" si="441"/>
        <v>14978.401982419731</v>
      </c>
      <c r="OM21" s="29">
        <f t="shared" ca="1" si="442"/>
        <v>13339.609424572565</v>
      </c>
      <c r="ON21" s="29">
        <f t="shared" ca="1" si="443"/>
        <v>15233.757972290003</v>
      </c>
      <c r="OO21" s="29">
        <f t="shared" ca="1" si="444"/>
        <v>13823.113661530668</v>
      </c>
      <c r="OP21" s="29">
        <f t="shared" ca="1" si="445"/>
        <v>15744.652204185561</v>
      </c>
      <c r="OQ21" s="29">
        <f t="shared" ca="1" si="446"/>
        <v>13976.822579769318</v>
      </c>
      <c r="OR21" s="29">
        <f t="shared" ca="1" si="447"/>
        <v>13832.13317493067</v>
      </c>
      <c r="OS21" s="29">
        <f t="shared" ca="1" si="448"/>
        <v>13287.164939150976</v>
      </c>
      <c r="OT21" s="29">
        <f t="shared" ca="1" si="449"/>
        <v>14407.521390757116</v>
      </c>
      <c r="OU21" s="29">
        <f t="shared" ca="1" si="450"/>
        <v>13930.32794727219</v>
      </c>
      <c r="OV21" s="29">
        <f t="shared" ca="1" si="451"/>
        <v>15784.706013351386</v>
      </c>
      <c r="OW21" s="29">
        <f t="shared" ca="1" si="452"/>
        <v>15052.08665606763</v>
      </c>
      <c r="OX21" s="29">
        <f t="shared" ca="1" si="453"/>
        <v>15144.972569213405</v>
      </c>
      <c r="OY21" s="29">
        <f t="shared" ca="1" si="454"/>
        <v>14935.301831227784</v>
      </c>
      <c r="OZ21" s="29">
        <f t="shared" ca="1" si="455"/>
        <v>14106.689850770863</v>
      </c>
      <c r="PA21" s="29">
        <f t="shared" ca="1" si="456"/>
        <v>15182.436712695719</v>
      </c>
      <c r="PB21" s="29">
        <f t="shared" ca="1" si="457"/>
        <v>14054.679748934584</v>
      </c>
      <c r="PC21" s="29">
        <f t="shared" ca="1" si="458"/>
        <v>14319.827758252868</v>
      </c>
      <c r="PD21" s="29">
        <f t="shared" ca="1" si="459"/>
        <v>14479.11472956973</v>
      </c>
      <c r="PE21" s="29">
        <f t="shared" ca="1" si="460"/>
        <v>14130.670266013347</v>
      </c>
      <c r="PF21" s="29">
        <f t="shared" ca="1" si="461"/>
        <v>14117.855145110329</v>
      </c>
      <c r="PG21" s="29">
        <f t="shared" ca="1" si="462"/>
        <v>14685.556705690875</v>
      </c>
      <c r="PH21" s="29">
        <f t="shared" ca="1" si="463"/>
        <v>15003.118525649903</v>
      </c>
      <c r="PI21" s="29">
        <f t="shared" ca="1" si="464"/>
        <v>13650.667525477476</v>
      </c>
      <c r="PJ21" s="29">
        <f t="shared" ca="1" si="465"/>
        <v>14779.704104807943</v>
      </c>
      <c r="PK21" s="29">
        <f t="shared" ca="1" si="466"/>
        <v>13790.480325442399</v>
      </c>
      <c r="PL21" s="29">
        <f t="shared" ca="1" si="467"/>
        <v>13552.375177860567</v>
      </c>
      <c r="PM21" s="29">
        <f t="shared" ca="1" si="468"/>
        <v>13543.724655112916</v>
      </c>
      <c r="PN21" s="29">
        <f t="shared" ca="1" si="469"/>
        <v>13700.146664741986</v>
      </c>
      <c r="PO21" s="29">
        <f t="shared" ca="1" si="470"/>
        <v>15325.987395529864</v>
      </c>
      <c r="PP21" s="29">
        <f t="shared" ca="1" si="471"/>
        <v>13543.29348799738</v>
      </c>
      <c r="PQ21" s="29">
        <f t="shared" ca="1" si="472"/>
        <v>15985.928036991409</v>
      </c>
      <c r="PR21" s="29">
        <f t="shared" ca="1" si="473"/>
        <v>13851.723820840627</v>
      </c>
      <c r="PS21" s="29">
        <f t="shared" ca="1" si="474"/>
        <v>15520.810577450367</v>
      </c>
      <c r="PT21" s="29">
        <f t="shared" ca="1" si="475"/>
        <v>14190.337997174776</v>
      </c>
      <c r="PU21" s="29">
        <f t="shared" ca="1" si="476"/>
        <v>14462.358130933935</v>
      </c>
      <c r="PV21" s="29">
        <f t="shared" ca="1" si="477"/>
        <v>14735.311934820324</v>
      </c>
      <c r="PW21" s="29">
        <f t="shared" ca="1" si="478"/>
        <v>13792.040755303302</v>
      </c>
      <c r="PX21" s="29">
        <f t="shared" ca="1" si="479"/>
        <v>14333.011320965557</v>
      </c>
      <c r="PY21" s="29">
        <f t="shared" ca="1" si="480"/>
        <v>13695.960786884109</v>
      </c>
      <c r="PZ21" s="29">
        <f t="shared" ca="1" si="481"/>
        <v>13121.596944874991</v>
      </c>
      <c r="QA21" s="29">
        <f t="shared" ca="1" si="482"/>
        <v>14618.545674240821</v>
      </c>
      <c r="QB21" s="29">
        <f t="shared" ca="1" si="483"/>
        <v>13783.299407838091</v>
      </c>
      <c r="QC21" s="29">
        <f t="shared" ca="1" si="484"/>
        <v>13737.600068880285</v>
      </c>
      <c r="QD21" s="29">
        <f t="shared" ca="1" si="485"/>
        <v>14310.06514053407</v>
      </c>
      <c r="QE21" s="29">
        <f t="shared" ca="1" si="486"/>
        <v>15490.857612076883</v>
      </c>
      <c r="QF21" s="29">
        <f t="shared" ca="1" si="487"/>
        <v>14868.324705224852</v>
      </c>
      <c r="QG21" s="29">
        <f t="shared" ca="1" si="488"/>
        <v>14805.035639243346</v>
      </c>
      <c r="QH21" s="29">
        <f t="shared" ca="1" si="489"/>
        <v>16059.038643058017</v>
      </c>
      <c r="QI21" s="29">
        <f t="shared" ca="1" si="490"/>
        <v>15388.511492177015</v>
      </c>
      <c r="QJ21" s="29">
        <f t="shared" ca="1" si="491"/>
        <v>14264.857106315692</v>
      </c>
      <c r="QK21" s="29">
        <f t="shared" ca="1" si="492"/>
        <v>14933.435416451284</v>
      </c>
      <c r="QL21" s="29">
        <f t="shared" ca="1" si="493"/>
        <v>13738.090307848104</v>
      </c>
      <c r="QM21" s="29">
        <f t="shared" ca="1" si="494"/>
        <v>13972.52170499535</v>
      </c>
      <c r="QN21" s="29">
        <f t="shared" ca="1" si="495"/>
        <v>15210.85363081369</v>
      </c>
      <c r="QO21" s="29">
        <f t="shared" ca="1" si="496"/>
        <v>14152.117717172925</v>
      </c>
      <c r="QP21" s="29">
        <f t="shared" ca="1" si="497"/>
        <v>14324.581596732169</v>
      </c>
      <c r="QQ21" s="29">
        <f t="shared" ca="1" si="498"/>
        <v>14654.698734333126</v>
      </c>
      <c r="QR21" s="29">
        <f t="shared" ca="1" si="499"/>
        <v>15229.263683376716</v>
      </c>
      <c r="QS21" s="29">
        <f t="shared" ca="1" si="500"/>
        <v>13807.429278135354</v>
      </c>
      <c r="QT21" s="29">
        <f t="shared" ca="1" si="501"/>
        <v>15879.301307870679</v>
      </c>
      <c r="QU21" s="29">
        <f t="shared" ca="1" si="502"/>
        <v>15034.874527864666</v>
      </c>
      <c r="QV21" s="29">
        <f t="shared" ca="1" si="503"/>
        <v>14063.948178112567</v>
      </c>
      <c r="QW21" s="29">
        <f t="shared" ca="1" si="504"/>
        <v>14853.153344976317</v>
      </c>
      <c r="QX21" s="29">
        <f t="shared" ca="1" si="505"/>
        <v>15162.149352118269</v>
      </c>
      <c r="QY21" s="29">
        <f t="shared" ca="1" si="506"/>
        <v>14917.688984688009</v>
      </c>
      <c r="QZ21" s="29">
        <f t="shared" ca="1" si="507"/>
        <v>14380.282969208352</v>
      </c>
      <c r="RA21" s="29">
        <f t="shared" ca="1" si="508"/>
        <v>13880.207087422128</v>
      </c>
      <c r="RB21" s="29">
        <f t="shared" ca="1" si="509"/>
        <v>13526.40510613375</v>
      </c>
      <c r="RC21" s="29">
        <f t="shared" ca="1" si="510"/>
        <v>14299.296528066659</v>
      </c>
      <c r="RD21" s="29">
        <f t="shared" ca="1" si="511"/>
        <v>13732.709952692196</v>
      </c>
      <c r="RE21" s="29">
        <f t="shared" ca="1" si="512"/>
        <v>15313.687903510912</v>
      </c>
      <c r="RF21" s="29">
        <f t="shared" ca="1" si="513"/>
        <v>15069.787936258375</v>
      </c>
      <c r="RG21" s="29">
        <f t="shared" ca="1" si="514"/>
        <v>13724.712907930118</v>
      </c>
      <c r="RH21" s="29">
        <f t="shared" ca="1" si="515"/>
        <v>14551.307334330619</v>
      </c>
      <c r="RI21" s="29">
        <f t="shared" ca="1" si="516"/>
        <v>14301.885263153541</v>
      </c>
      <c r="RJ21" s="29">
        <f t="shared" ca="1" si="517"/>
        <v>14172.253742972074</v>
      </c>
      <c r="RK21" s="29">
        <f t="shared" ca="1" si="518"/>
        <v>13766.837122948655</v>
      </c>
      <c r="RL21" s="29">
        <f t="shared" ca="1" si="519"/>
        <v>14211.865221975953</v>
      </c>
      <c r="RM21" s="29">
        <f t="shared" ca="1" si="520"/>
        <v>14256.663151872386</v>
      </c>
      <c r="RN21" s="29">
        <f t="shared" ca="1" si="521"/>
        <v>13679.422092885105</v>
      </c>
      <c r="RO21" s="29">
        <f t="shared" ca="1" si="522"/>
        <v>14394.917493699242</v>
      </c>
      <c r="RP21" s="29">
        <f t="shared" ca="1" si="523"/>
        <v>14657.745224059645</v>
      </c>
      <c r="RQ21" s="29">
        <f t="shared" ca="1" si="524"/>
        <v>13930.8274151071</v>
      </c>
      <c r="RR21" s="29">
        <f t="shared" ca="1" si="525"/>
        <v>15074.706064110373</v>
      </c>
      <c r="RS21" s="29">
        <f t="shared" ca="1" si="526"/>
        <v>14338.116231820597</v>
      </c>
      <c r="RT21" s="29">
        <f t="shared" ca="1" si="527"/>
        <v>14842.389798667009</v>
      </c>
      <c r="RU21" s="29">
        <f t="shared" ca="1" si="528"/>
        <v>14172.90158409276</v>
      </c>
      <c r="RV21" s="29">
        <f t="shared" ca="1" si="529"/>
        <v>13917.06105339846</v>
      </c>
      <c r="RW21" s="29">
        <f t="shared" ca="1" si="530"/>
        <v>15153.599480667777</v>
      </c>
      <c r="RX21" s="29">
        <f t="shared" ca="1" si="531"/>
        <v>14572.149579803232</v>
      </c>
      <c r="RY21" s="29">
        <f t="shared" ca="1" si="532"/>
        <v>14276.458253118213</v>
      </c>
      <c r="RZ21" s="29">
        <f t="shared" ca="1" si="533"/>
        <v>16243.569095544995</v>
      </c>
      <c r="SA21" s="29">
        <f t="shared" ca="1" si="534"/>
        <v>14218.099292183771</v>
      </c>
      <c r="SB21" s="29">
        <f t="shared" ca="1" si="535"/>
        <v>13563.614489645428</v>
      </c>
      <c r="SC21" s="29">
        <f t="shared" ca="1" si="536"/>
        <v>14530.914920350491</v>
      </c>
      <c r="SD21" s="29">
        <f t="shared" ca="1" si="537"/>
        <v>15153.636781151386</v>
      </c>
      <c r="SE21" s="29">
        <f t="shared" ca="1" si="538"/>
        <v>13294.063462948236</v>
      </c>
      <c r="SF21" s="29">
        <f t="shared" ca="1" si="539"/>
        <v>14495.782352334447</v>
      </c>
      <c r="SG21" s="29">
        <f t="shared" ca="1" si="540"/>
        <v>14659.265745004774</v>
      </c>
      <c r="SH21" s="29">
        <f t="shared" ca="1" si="541"/>
        <v>14967.813484026059</v>
      </c>
      <c r="SI21" s="29">
        <f t="shared" ca="1" si="542"/>
        <v>14176.688524528627</v>
      </c>
      <c r="SJ21" s="29">
        <f t="shared" ca="1" si="543"/>
        <v>13125.074154158798</v>
      </c>
      <c r="SK21" s="29">
        <f t="shared" ca="1" si="544"/>
        <v>15107.220764636299</v>
      </c>
      <c r="SL21" s="29">
        <f t="shared" ca="1" si="545"/>
        <v>14182.46007372884</v>
      </c>
      <c r="SM21" s="29">
        <f t="shared" ca="1" si="546"/>
        <v>14117.446234718906</v>
      </c>
      <c r="SN21" s="29">
        <f t="shared" ca="1" si="547"/>
        <v>14809.233752770602</v>
      </c>
      <c r="SO21" s="29">
        <f t="shared" ca="1" si="548"/>
        <v>14364.905760305055</v>
      </c>
      <c r="SP21" s="29">
        <f t="shared" ca="1" si="549"/>
        <v>15051.253578776517</v>
      </c>
      <c r="SQ21" s="29">
        <f t="shared" ca="1" si="550"/>
        <v>15375.272425204706</v>
      </c>
      <c r="SR21" s="29">
        <f t="shared" ca="1" si="551"/>
        <v>14162.529444266429</v>
      </c>
      <c r="SS21" s="29">
        <f t="shared" ca="1" si="552"/>
        <v>14852.517379425559</v>
      </c>
      <c r="ST21" s="29">
        <f t="shared" ca="1" si="553"/>
        <v>14126.915462031893</v>
      </c>
      <c r="SU21" s="29">
        <f t="shared" ca="1" si="554"/>
        <v>14072.518267479343</v>
      </c>
      <c r="SV21" s="29">
        <f t="shared" ca="1" si="555"/>
        <v>14538.554963417842</v>
      </c>
      <c r="SW21" s="29">
        <f t="shared" ca="1" si="556"/>
        <v>14188.495650990681</v>
      </c>
      <c r="SX21" s="29">
        <f t="shared" ca="1" si="557"/>
        <v>13302.530617586572</v>
      </c>
      <c r="SY21" s="29">
        <f t="shared" ca="1" si="558"/>
        <v>14757.091743814341</v>
      </c>
      <c r="SZ21" s="29">
        <f t="shared" ca="1" si="559"/>
        <v>14986.74789968151</v>
      </c>
      <c r="TA21" s="29">
        <f t="shared" ca="1" si="560"/>
        <v>14620.72166537989</v>
      </c>
      <c r="TB21" s="29">
        <f t="shared" ca="1" si="561"/>
        <v>14371.68331235906</v>
      </c>
      <c r="TC21" s="29">
        <f t="shared" ca="1" si="562"/>
        <v>15144.251609902974</v>
      </c>
      <c r="TD21" s="29">
        <f t="shared" ca="1" si="563"/>
        <v>14686.976495497694</v>
      </c>
      <c r="TE21" s="29">
        <f t="shared" ca="1" si="564"/>
        <v>14555.17941912184</v>
      </c>
      <c r="TF21" s="29">
        <f t="shared" ca="1" si="565"/>
        <v>14002.179456094073</v>
      </c>
      <c r="TG21" s="29">
        <f t="shared" ca="1" si="566"/>
        <v>14702.365545841585</v>
      </c>
      <c r="TH21" s="29">
        <f t="shared" ca="1" si="567"/>
        <v>14399.893086680684</v>
      </c>
      <c r="TI21" s="29">
        <f t="shared" ca="1" si="568"/>
        <v>14111.219728990827</v>
      </c>
      <c r="TJ21" s="29">
        <f t="shared" ca="1" si="569"/>
        <v>15187.496637300608</v>
      </c>
      <c r="TK21" s="29">
        <f t="shared" ca="1" si="570"/>
        <v>14341.3199132993</v>
      </c>
      <c r="TL21" s="29">
        <f t="shared" ca="1" si="571"/>
        <v>14480.787870349133</v>
      </c>
      <c r="TM21" s="29">
        <f t="shared" ca="1" si="572"/>
        <v>13664.936194754637</v>
      </c>
      <c r="TN21" s="29">
        <f t="shared" ca="1" si="573"/>
        <v>13223.854122136492</v>
      </c>
      <c r="TO21" s="29">
        <f t="shared" ca="1" si="574"/>
        <v>13981.003468175777</v>
      </c>
      <c r="TP21" s="29">
        <f t="shared" ca="1" si="575"/>
        <v>15670.449164340671</v>
      </c>
      <c r="TQ21" s="29">
        <f t="shared" ca="1" si="576"/>
        <v>15170.446849968683</v>
      </c>
      <c r="TR21" s="29">
        <f t="shared" ca="1" si="577"/>
        <v>13493.828807115648</v>
      </c>
      <c r="TS21" s="29">
        <f t="shared" ca="1" si="578"/>
        <v>14112.512059191331</v>
      </c>
      <c r="TT21" s="29">
        <f t="shared" ca="1" si="579"/>
        <v>14684.5170067702</v>
      </c>
      <c r="TU21" s="29">
        <f t="shared" ca="1" si="580"/>
        <v>13947.324057453712</v>
      </c>
      <c r="TV21" s="29">
        <f t="shared" ca="1" si="581"/>
        <v>13972.839324248942</v>
      </c>
      <c r="TW21" s="29">
        <f t="shared" ca="1" si="582"/>
        <v>15048.666919595022</v>
      </c>
      <c r="TX21" s="29">
        <f t="shared" ca="1" si="583"/>
        <v>15863.155203788856</v>
      </c>
      <c r="TY21" s="29">
        <f t="shared" ca="1" si="584"/>
        <v>14194.703870339734</v>
      </c>
      <c r="TZ21" s="29">
        <f t="shared" ca="1" si="585"/>
        <v>14478.271665237655</v>
      </c>
      <c r="UA21" s="29">
        <f t="shared" ca="1" si="586"/>
        <v>14381.195675541941</v>
      </c>
      <c r="UB21" s="29">
        <f t="shared" ca="1" si="587"/>
        <v>14962.866413074044</v>
      </c>
      <c r="UC21" s="29">
        <f t="shared" ca="1" si="588"/>
        <v>13485.630160335915</v>
      </c>
      <c r="UD21" s="29">
        <f t="shared" ca="1" si="589"/>
        <v>15868.843117621333</v>
      </c>
      <c r="UE21" s="29">
        <f t="shared" ca="1" si="590"/>
        <v>13463.628541885251</v>
      </c>
      <c r="UF21" s="29">
        <f t="shared" ca="1" si="591"/>
        <v>14010.721124986301</v>
      </c>
      <c r="UG21" s="29">
        <f t="shared" ca="1" si="592"/>
        <v>15267.787453435241</v>
      </c>
      <c r="UH21" s="29">
        <f t="shared" ca="1" si="593"/>
        <v>14172.454126262917</v>
      </c>
      <c r="UI21" s="29">
        <f t="shared" ca="1" si="594"/>
        <v>15289.8793953811</v>
      </c>
      <c r="UJ21" s="29">
        <f t="shared" ca="1" si="595"/>
        <v>14715.138790325969</v>
      </c>
      <c r="UK21" s="29">
        <f t="shared" ca="1" si="596"/>
        <v>14564.652430399929</v>
      </c>
      <c r="UL21" s="29">
        <f t="shared" ca="1" si="597"/>
        <v>15204.901179311395</v>
      </c>
      <c r="UM21" s="29">
        <f t="shared" ca="1" si="598"/>
        <v>12878.975306639173</v>
      </c>
      <c r="UN21" s="29">
        <f t="shared" ca="1" si="599"/>
        <v>13254.233895291765</v>
      </c>
      <c r="UO21" s="29">
        <f t="shared" ca="1" si="600"/>
        <v>16178.097242903976</v>
      </c>
      <c r="UP21" s="29">
        <f t="shared" ca="1" si="601"/>
        <v>13830.352283798373</v>
      </c>
      <c r="UQ21" s="29">
        <f t="shared" ca="1" si="602"/>
        <v>14542.965653115478</v>
      </c>
      <c r="UR21" s="29">
        <f t="shared" ca="1" si="603"/>
        <v>13814.406196566699</v>
      </c>
      <c r="US21" s="29">
        <f t="shared" ca="1" si="604"/>
        <v>14561.608847650195</v>
      </c>
      <c r="UT21" s="29">
        <f t="shared" ca="1" si="605"/>
        <v>14691.843941565172</v>
      </c>
      <c r="UU21" s="29">
        <f t="shared" ca="1" si="606"/>
        <v>13866.327061672957</v>
      </c>
      <c r="UV21" s="29">
        <f t="shared" ca="1" si="607"/>
        <v>14546.313898873947</v>
      </c>
      <c r="UW21" s="29">
        <f t="shared" ca="1" si="608"/>
        <v>14531.148459288994</v>
      </c>
      <c r="UX21" s="29">
        <f t="shared" ca="1" si="609"/>
        <v>14382.518477249845</v>
      </c>
      <c r="UY21" s="29">
        <f t="shared" ca="1" si="610"/>
        <v>14326.847201327289</v>
      </c>
      <c r="UZ21" s="29">
        <f t="shared" ca="1" si="611"/>
        <v>13800.300136944012</v>
      </c>
      <c r="VA21" s="29">
        <f t="shared" ca="1" si="612"/>
        <v>13582.197372086672</v>
      </c>
      <c r="VB21" s="29">
        <f t="shared" ca="1" si="613"/>
        <v>15004.843084246942</v>
      </c>
      <c r="VC21" s="29">
        <f t="shared" ca="1" si="614"/>
        <v>14896.43150133265</v>
      </c>
      <c r="VD21" s="29">
        <f t="shared" ca="1" si="615"/>
        <v>14079.777980150577</v>
      </c>
      <c r="VE21" s="29">
        <f t="shared" ca="1" si="616"/>
        <v>15028.521022953328</v>
      </c>
      <c r="VF21" s="29">
        <f t="shared" ca="1" si="617"/>
        <v>13914.264222748327</v>
      </c>
      <c r="VG21" s="29">
        <f t="shared" ca="1" si="618"/>
        <v>14437.374976196374</v>
      </c>
      <c r="VH21" s="29">
        <f t="shared" ca="1" si="619"/>
        <v>15321.888537743234</v>
      </c>
      <c r="VI21" s="29">
        <f t="shared" ca="1" si="620"/>
        <v>14713.620689483329</v>
      </c>
      <c r="VJ21" s="29">
        <f t="shared" ca="1" si="621"/>
        <v>14001.811566884206</v>
      </c>
      <c r="VK21" s="29">
        <f t="shared" ca="1" si="622"/>
        <v>13571.386598312538</v>
      </c>
      <c r="VL21" s="29">
        <f t="shared" ca="1" si="623"/>
        <v>14072.437960862677</v>
      </c>
      <c r="VM21" s="29">
        <f t="shared" ca="1" si="624"/>
        <v>14233.936156766093</v>
      </c>
      <c r="VN21" s="29">
        <f t="shared" ca="1" si="625"/>
        <v>14498.422021778433</v>
      </c>
      <c r="VO21" s="29">
        <f t="shared" ca="1" si="626"/>
        <v>15975.692427279622</v>
      </c>
      <c r="VP21" s="29">
        <f t="shared" ca="1" si="627"/>
        <v>13668.34880036213</v>
      </c>
      <c r="VQ21" s="29">
        <f t="shared" ca="1" si="628"/>
        <v>14859.265837332165</v>
      </c>
      <c r="VR21" s="29">
        <f t="shared" ca="1" si="629"/>
        <v>14518.895169061343</v>
      </c>
      <c r="VS21" s="29">
        <f t="shared" ca="1" si="630"/>
        <v>14056.854553944127</v>
      </c>
      <c r="VT21" s="29">
        <f t="shared" ca="1" si="631"/>
        <v>14264.614179830292</v>
      </c>
      <c r="VU21" s="29">
        <f t="shared" ca="1" si="632"/>
        <v>14343.425621923663</v>
      </c>
      <c r="VV21" s="29">
        <f t="shared" ca="1" si="633"/>
        <v>15001.588869250891</v>
      </c>
      <c r="VW21" s="29">
        <f t="shared" ca="1" si="634"/>
        <v>14112.790125991431</v>
      </c>
      <c r="VX21" s="29">
        <f t="shared" ca="1" si="635"/>
        <v>14206.881932842805</v>
      </c>
      <c r="VY21" s="29">
        <f t="shared" ca="1" si="636"/>
        <v>14325.790123171624</v>
      </c>
      <c r="VZ21" s="29">
        <f t="shared" ca="1" si="637"/>
        <v>13402.412572309835</v>
      </c>
      <c r="WA21" s="29">
        <f t="shared" ca="1" si="638"/>
        <v>14378.890168421709</v>
      </c>
      <c r="WB21" s="29">
        <f t="shared" ca="1" si="639"/>
        <v>13707.740742784425</v>
      </c>
      <c r="WC21" s="29">
        <f t="shared" ca="1" si="640"/>
        <v>13896.862812165582</v>
      </c>
      <c r="WD21" s="29">
        <f t="shared" ca="1" si="641"/>
        <v>15122.608213800606</v>
      </c>
      <c r="WE21" s="29">
        <f t="shared" ca="1" si="642"/>
        <v>14149.10153316178</v>
      </c>
      <c r="WF21" s="29">
        <f t="shared" ca="1" si="643"/>
        <v>15465.67976964708</v>
      </c>
      <c r="WG21" s="29">
        <f t="shared" ca="1" si="644"/>
        <v>14082.333445033895</v>
      </c>
      <c r="WH21" s="29">
        <f t="shared" ca="1" si="645"/>
        <v>14446.04555418452</v>
      </c>
      <c r="WI21" s="29">
        <f t="shared" ca="1" si="646"/>
        <v>15723.151161949481</v>
      </c>
      <c r="WJ21" s="29">
        <f t="shared" ca="1" si="647"/>
        <v>15541.4440730676</v>
      </c>
      <c r="WK21" s="29">
        <f t="shared" ca="1" si="648"/>
        <v>14298.521505430836</v>
      </c>
      <c r="WL21" s="29">
        <f t="shared" ca="1" si="649"/>
        <v>13741.563761493062</v>
      </c>
      <c r="WM21" s="29">
        <f t="shared" ca="1" si="650"/>
        <v>14748.191997442813</v>
      </c>
      <c r="WN21" s="29">
        <f t="shared" ca="1" si="651"/>
        <v>14917.834701199446</v>
      </c>
      <c r="WO21" s="29">
        <f t="shared" ca="1" si="652"/>
        <v>15904.326137041944</v>
      </c>
      <c r="WP21" s="29">
        <f t="shared" ca="1" si="653"/>
        <v>14217.330875883516</v>
      </c>
      <c r="WQ21" s="29">
        <f t="shared" ca="1" si="654"/>
        <v>13556.860417413922</v>
      </c>
      <c r="WR21" s="29">
        <f t="shared" ca="1" si="655"/>
        <v>14698.487525099899</v>
      </c>
      <c r="WS21" s="29">
        <f t="shared" ca="1" si="656"/>
        <v>14846.294436422033</v>
      </c>
      <c r="WT21" s="29">
        <f t="shared" ca="1" si="657"/>
        <v>14408.181411571528</v>
      </c>
      <c r="WU21" s="29">
        <f t="shared" ca="1" si="658"/>
        <v>14392.869602538451</v>
      </c>
      <c r="WV21" s="29">
        <f t="shared" ca="1" si="659"/>
        <v>15288.141974063305</v>
      </c>
      <c r="WW21" s="29">
        <f t="shared" ca="1" si="660"/>
        <v>14169.724838375458</v>
      </c>
      <c r="WX21" s="29">
        <f t="shared" ca="1" si="661"/>
        <v>15718.202364770837</v>
      </c>
      <c r="WY21" s="29">
        <f t="shared" ca="1" si="662"/>
        <v>15579.827395438737</v>
      </c>
      <c r="WZ21" s="29">
        <f t="shared" ca="1" si="663"/>
        <v>14963.134940373304</v>
      </c>
      <c r="XA21" s="29">
        <f t="shared" ca="1" si="664"/>
        <v>14618.326402156583</v>
      </c>
      <c r="XB21" s="29">
        <f t="shared" ca="1" si="665"/>
        <v>14903.366427372988</v>
      </c>
      <c r="XC21" s="29">
        <f t="shared" ca="1" si="666"/>
        <v>14324.362933293227</v>
      </c>
      <c r="XD21" s="29">
        <f t="shared" ca="1" si="667"/>
        <v>13810.198133037913</v>
      </c>
      <c r="XE21" s="29">
        <f t="shared" ca="1" si="668"/>
        <v>14065.261983418719</v>
      </c>
      <c r="XF21" s="29">
        <f t="shared" ca="1" si="669"/>
        <v>14447.088629732925</v>
      </c>
      <c r="XG21" s="29">
        <f t="shared" ca="1" si="670"/>
        <v>14441.716597028833</v>
      </c>
      <c r="XH21" s="29">
        <f t="shared" ca="1" si="671"/>
        <v>14804.222856020899</v>
      </c>
      <c r="XI21" s="29">
        <f t="shared" ca="1" si="672"/>
        <v>15282.057139280148</v>
      </c>
      <c r="XJ21" s="29">
        <f t="shared" ca="1" si="673"/>
        <v>14737.746495693569</v>
      </c>
      <c r="XK21" s="29">
        <f t="shared" ca="1" si="674"/>
        <v>13402.566971294948</v>
      </c>
      <c r="XL21" s="29">
        <f t="shared" ca="1" si="675"/>
        <v>14372.313078558853</v>
      </c>
      <c r="XM21" s="29">
        <f t="shared" ca="1" si="676"/>
        <v>14323.649660321526</v>
      </c>
      <c r="XN21" s="29">
        <f t="shared" ca="1" si="677"/>
        <v>14020.028067342037</v>
      </c>
      <c r="XO21" s="29">
        <f t="shared" ca="1" si="678"/>
        <v>15495.79944142348</v>
      </c>
      <c r="XP21" s="29">
        <f t="shared" ca="1" si="679"/>
        <v>14081.181177571758</v>
      </c>
      <c r="XQ21" s="29">
        <f t="shared" ca="1" si="680"/>
        <v>13941.854163133879</v>
      </c>
      <c r="XR21" s="29">
        <f t="shared" ca="1" si="681"/>
        <v>14277.002108913712</v>
      </c>
      <c r="XS21" s="29">
        <f t="shared" ca="1" si="682"/>
        <v>13927.597101967936</v>
      </c>
      <c r="XT21" s="29">
        <f t="shared" ca="1" si="683"/>
        <v>15085.882761653775</v>
      </c>
      <c r="XU21" s="29">
        <f t="shared" ca="1" si="684"/>
        <v>15202.437681152524</v>
      </c>
      <c r="XV21" s="29">
        <f t="shared" ca="1" si="685"/>
        <v>15255.625025393641</v>
      </c>
      <c r="XW21" s="29">
        <f t="shared" ca="1" si="686"/>
        <v>14025.706682763612</v>
      </c>
      <c r="XX21" s="29">
        <f t="shared" ca="1" si="687"/>
        <v>15083.316453493379</v>
      </c>
      <c r="XY21" s="29">
        <f t="shared" ca="1" si="688"/>
        <v>14336.217138883445</v>
      </c>
      <c r="XZ21" s="29">
        <f t="shared" ca="1" si="689"/>
        <v>14504.791858441591</v>
      </c>
      <c r="YA21" s="29">
        <f t="shared" ca="1" si="690"/>
        <v>15183.540540678769</v>
      </c>
      <c r="YB21" s="29">
        <f t="shared" ca="1" si="691"/>
        <v>15232.317655537048</v>
      </c>
      <c r="YC21" s="29">
        <f t="shared" ca="1" si="692"/>
        <v>14960.237325573748</v>
      </c>
      <c r="YD21" s="29">
        <f t="shared" ca="1" si="693"/>
        <v>13258.28344674535</v>
      </c>
      <c r="YE21" s="29">
        <f t="shared" ca="1" si="694"/>
        <v>14944.452205130698</v>
      </c>
      <c r="YF21" s="29">
        <f t="shared" ca="1" si="695"/>
        <v>13856.367487472491</v>
      </c>
      <c r="YG21" s="29">
        <f t="shared" ca="1" si="696"/>
        <v>15270.968026474164</v>
      </c>
      <c r="YH21" s="29">
        <f t="shared" ca="1" si="697"/>
        <v>14021.032568344153</v>
      </c>
      <c r="YI21" s="29">
        <f t="shared" ca="1" si="698"/>
        <v>13532.90663422724</v>
      </c>
      <c r="YJ21" s="29">
        <f t="shared" ca="1" si="699"/>
        <v>14129.396419070255</v>
      </c>
      <c r="YK21" s="29">
        <f t="shared" ca="1" si="700"/>
        <v>13825.779023235433</v>
      </c>
      <c r="YL21" s="29">
        <f t="shared" ca="1" si="701"/>
        <v>14019.436482374227</v>
      </c>
      <c r="YM21" s="29">
        <f t="shared" ca="1" si="702"/>
        <v>15450.734304610074</v>
      </c>
      <c r="YN21" s="29">
        <f t="shared" ca="1" si="703"/>
        <v>14881.87867687066</v>
      </c>
      <c r="YO21" s="29">
        <f t="shared" ca="1" si="704"/>
        <v>13217.601894989053</v>
      </c>
      <c r="YP21" s="29">
        <f t="shared" ca="1" si="705"/>
        <v>14975.728351314261</v>
      </c>
      <c r="YQ21" s="29">
        <f t="shared" ca="1" si="706"/>
        <v>13583.457789269258</v>
      </c>
      <c r="YR21" s="29">
        <f t="shared" ca="1" si="707"/>
        <v>13429.252128743956</v>
      </c>
      <c r="YS21" s="29">
        <f t="shared" ca="1" si="708"/>
        <v>15098.289027486127</v>
      </c>
      <c r="YT21" s="29">
        <f t="shared" ca="1" si="709"/>
        <v>15236.497749901811</v>
      </c>
      <c r="YU21" s="29">
        <f t="shared" ca="1" si="710"/>
        <v>14112.394603857369</v>
      </c>
      <c r="YV21" s="29">
        <f t="shared" ca="1" si="711"/>
        <v>13851.285108871665</v>
      </c>
      <c r="YW21" s="29">
        <f t="shared" ca="1" si="712"/>
        <v>14067.416931496111</v>
      </c>
      <c r="YX21" s="29">
        <f t="shared" ca="1" si="713"/>
        <v>14797.830633927269</v>
      </c>
      <c r="YY21" s="29">
        <f t="shared" ca="1" si="714"/>
        <v>14334.796144036896</v>
      </c>
      <c r="YZ21" s="29">
        <f t="shared" ca="1" si="715"/>
        <v>14098.471147150971</v>
      </c>
      <c r="ZA21" s="29">
        <f t="shared" ca="1" si="716"/>
        <v>13958.071354110965</v>
      </c>
      <c r="ZB21" s="29">
        <f t="shared" ca="1" si="717"/>
        <v>15474.660752050526</v>
      </c>
      <c r="ZC21" s="29">
        <f t="shared" ca="1" si="718"/>
        <v>15516.443679343884</v>
      </c>
      <c r="ZD21" s="29">
        <f t="shared" ca="1" si="719"/>
        <v>14778.343960678492</v>
      </c>
      <c r="ZE21" s="29">
        <f t="shared" ca="1" si="720"/>
        <v>13415.245657682175</v>
      </c>
      <c r="ZF21" s="29">
        <f t="shared" ca="1" si="721"/>
        <v>13768.692151698155</v>
      </c>
      <c r="ZG21" s="29">
        <f t="shared" ca="1" si="722"/>
        <v>13229.229884045328</v>
      </c>
      <c r="ZH21" s="29">
        <f t="shared" ca="1" si="723"/>
        <v>14117.310361448282</v>
      </c>
      <c r="ZI21" s="29">
        <f t="shared" ca="1" si="724"/>
        <v>13616.152264973334</v>
      </c>
      <c r="ZJ21" s="29">
        <f t="shared" ca="1" si="725"/>
        <v>14252.303341905439</v>
      </c>
      <c r="ZK21" s="29">
        <f t="shared" ca="1" si="726"/>
        <v>13697.99840851529</v>
      </c>
      <c r="ZL21" s="29">
        <f t="shared" ca="1" si="727"/>
        <v>14261.57388766385</v>
      </c>
      <c r="ZM21" s="29">
        <f t="shared" ca="1" si="728"/>
        <v>12947.667324343565</v>
      </c>
      <c r="ZN21" s="29">
        <f t="shared" ca="1" si="729"/>
        <v>14630.801952036223</v>
      </c>
      <c r="ZO21" s="29">
        <f t="shared" ca="1" si="730"/>
        <v>14017.677172669904</v>
      </c>
      <c r="ZP21" s="29">
        <f t="shared" ca="1" si="731"/>
        <v>14255.021622750515</v>
      </c>
      <c r="ZQ21" s="29">
        <f t="shared" ca="1" si="732"/>
        <v>14313.884938535375</v>
      </c>
      <c r="ZR21" s="29">
        <f t="shared" ca="1" si="733"/>
        <v>14742.857844518796</v>
      </c>
      <c r="ZS21" s="29">
        <f t="shared" ca="1" si="734"/>
        <v>14666.705191379438</v>
      </c>
      <c r="ZT21" s="29">
        <f t="shared" ca="1" si="735"/>
        <v>14054.99021401848</v>
      </c>
      <c r="ZU21" s="29">
        <f t="shared" ca="1" si="736"/>
        <v>14619.580097859181</v>
      </c>
      <c r="ZV21" s="29">
        <f t="shared" ca="1" si="737"/>
        <v>14211.779545785394</v>
      </c>
      <c r="ZW21" s="29">
        <f t="shared" ca="1" si="738"/>
        <v>13627.357770861969</v>
      </c>
      <c r="ZX21" s="29">
        <f t="shared" ca="1" si="739"/>
        <v>15021.0160018113</v>
      </c>
      <c r="ZY21" s="29">
        <f t="shared" ca="1" si="740"/>
        <v>14283.177726706601</v>
      </c>
      <c r="ZZ21" s="29">
        <f t="shared" ca="1" si="741"/>
        <v>14051.158154437984</v>
      </c>
      <c r="AAA21" s="29">
        <f t="shared" ca="1" si="742"/>
        <v>15114.843773895422</v>
      </c>
      <c r="AAB21" s="29">
        <f t="shared" ca="1" si="743"/>
        <v>15482.344370574177</v>
      </c>
      <c r="AAC21" s="29">
        <f t="shared" ca="1" si="744"/>
        <v>14358.795069925955</v>
      </c>
      <c r="AAD21" s="29">
        <f t="shared" ca="1" si="745"/>
        <v>14253.86835091206</v>
      </c>
      <c r="AAE21" s="29">
        <f t="shared" ca="1" si="746"/>
        <v>13398.127123971761</v>
      </c>
      <c r="AAF21" s="29">
        <f t="shared" ca="1" si="747"/>
        <v>15928.929663206463</v>
      </c>
      <c r="AAG21" s="29">
        <f t="shared" ca="1" si="748"/>
        <v>15276.153981881271</v>
      </c>
      <c r="AAH21" s="29">
        <f t="shared" ca="1" si="749"/>
        <v>15199.3940977644</v>
      </c>
      <c r="AAI21" s="29">
        <f t="shared" ca="1" si="750"/>
        <v>14551.52839725931</v>
      </c>
      <c r="AAJ21" s="29">
        <f t="shared" ca="1" si="751"/>
        <v>15263.731801791046</v>
      </c>
      <c r="AAK21" s="29">
        <f t="shared" ca="1" si="752"/>
        <v>14471.169665406862</v>
      </c>
      <c r="AAL21" s="29">
        <f t="shared" ca="1" si="753"/>
        <v>14542.027698295511</v>
      </c>
      <c r="AAM21" s="29">
        <f t="shared" ca="1" si="754"/>
        <v>14655.118841689127</v>
      </c>
      <c r="AAN21" s="29">
        <f t="shared" ca="1" si="755"/>
        <v>16181.870152071464</v>
      </c>
      <c r="AAO21" s="29">
        <f t="shared" ca="1" si="756"/>
        <v>14530.664249650004</v>
      </c>
      <c r="AAP21" s="29">
        <f t="shared" ca="1" si="757"/>
        <v>15941.225904218989</v>
      </c>
      <c r="AAQ21" s="29">
        <f t="shared" ca="1" si="758"/>
        <v>14175.790116024835</v>
      </c>
      <c r="AAR21" s="29">
        <f t="shared" ca="1" si="759"/>
        <v>15851.685234405601</v>
      </c>
      <c r="AAS21" s="29">
        <f t="shared" ca="1" si="760"/>
        <v>14089.997939426752</v>
      </c>
      <c r="AAT21" s="29">
        <f t="shared" ca="1" si="761"/>
        <v>14396.246556135153</v>
      </c>
      <c r="AAU21" s="29">
        <f t="shared" ca="1" si="762"/>
        <v>14998.659563748342</v>
      </c>
      <c r="AAV21" s="29">
        <f t="shared" ca="1" si="763"/>
        <v>14001.292942628917</v>
      </c>
      <c r="AAW21" s="29">
        <f t="shared" ca="1" si="764"/>
        <v>14028.866847520325</v>
      </c>
      <c r="AAX21" s="29">
        <f t="shared" ca="1" si="765"/>
        <v>14564.515201849079</v>
      </c>
      <c r="AAY21" s="29">
        <f t="shared" ca="1" si="766"/>
        <v>14157.751647546276</v>
      </c>
      <c r="AAZ21" s="29">
        <f t="shared" ca="1" si="767"/>
        <v>14306.885197852747</v>
      </c>
      <c r="ABA21" s="29">
        <f t="shared" ca="1" si="768"/>
        <v>14800.975310141781</v>
      </c>
      <c r="ABB21" s="29">
        <f t="shared" ca="1" si="769"/>
        <v>14688.616388959192</v>
      </c>
      <c r="ABC21" s="29">
        <f t="shared" ca="1" si="770"/>
        <v>14575.107655501159</v>
      </c>
      <c r="ABD21" s="29">
        <f t="shared" ca="1" si="771"/>
        <v>13988.49773258041</v>
      </c>
      <c r="ABE21" s="29">
        <f t="shared" ca="1" si="772"/>
        <v>12391.169105604904</v>
      </c>
      <c r="ABF21" s="29">
        <f t="shared" ca="1" si="773"/>
        <v>13940.389604693159</v>
      </c>
      <c r="ABG21" s="29">
        <f t="shared" ca="1" si="774"/>
        <v>14862.703937105751</v>
      </c>
      <c r="ABH21" s="29">
        <f t="shared" ca="1" si="775"/>
        <v>13942.671095550548</v>
      </c>
      <c r="ABI21" s="29">
        <f t="shared" ca="1" si="776"/>
        <v>13733.257871545344</v>
      </c>
      <c r="ABJ21" s="29">
        <f t="shared" ca="1" si="777"/>
        <v>14997.102143248474</v>
      </c>
      <c r="ABK21" s="29">
        <f t="shared" ca="1" si="778"/>
        <v>15010.711383787029</v>
      </c>
      <c r="ABL21" s="29">
        <f t="shared" ca="1" si="779"/>
        <v>14206.886658221278</v>
      </c>
      <c r="ABM21" s="29">
        <f t="shared" ca="1" si="780"/>
        <v>15261.028738459538</v>
      </c>
      <c r="ABN21" s="29">
        <f t="shared" ca="1" si="781"/>
        <v>13940.401492542655</v>
      </c>
      <c r="ABO21" s="29">
        <f t="shared" ca="1" si="782"/>
        <v>14504.162298203746</v>
      </c>
      <c r="ABP21" s="29">
        <f t="shared" ca="1" si="783"/>
        <v>13965.717582154357</v>
      </c>
      <c r="ABQ21" s="29">
        <f t="shared" ca="1" si="784"/>
        <v>13051.147164984503</v>
      </c>
      <c r="ABR21" s="29">
        <f t="shared" ca="1" si="785"/>
        <v>13254.08851588604</v>
      </c>
      <c r="ABS21" s="29">
        <f t="shared" ca="1" si="786"/>
        <v>13600.619092437997</v>
      </c>
      <c r="ABT21" s="29">
        <f t="shared" ca="1" si="787"/>
        <v>14176.169829826707</v>
      </c>
      <c r="ABU21" s="29">
        <f t="shared" ca="1" si="788"/>
        <v>14545.04677825888</v>
      </c>
      <c r="ABV21" s="29">
        <f t="shared" ca="1" si="789"/>
        <v>15232.585028209513</v>
      </c>
      <c r="ABW21" s="29">
        <f t="shared" ca="1" si="790"/>
        <v>15181.15195003075</v>
      </c>
      <c r="ABX21" s="29">
        <f t="shared" ca="1" si="791"/>
        <v>14679.935496703094</v>
      </c>
      <c r="ABY21" s="29">
        <f t="shared" ca="1" si="792"/>
        <v>14867.65734983627</v>
      </c>
      <c r="ABZ21" s="29">
        <f t="shared" ca="1" si="793"/>
        <v>14542.143168606113</v>
      </c>
      <c r="ACA21" s="29">
        <f t="shared" ca="1" si="794"/>
        <v>14930.371618099953</v>
      </c>
      <c r="ACB21" s="29">
        <f t="shared" ca="1" si="795"/>
        <v>15163.366226577604</v>
      </c>
      <c r="ACC21" s="29">
        <f t="shared" ca="1" si="796"/>
        <v>14148.936699858465</v>
      </c>
      <c r="ACD21" s="29">
        <f t="shared" ca="1" si="797"/>
        <v>14753.288810450054</v>
      </c>
      <c r="ACE21" s="29">
        <f t="shared" ca="1" si="798"/>
        <v>14427.231735645759</v>
      </c>
      <c r="ACF21" s="29">
        <f t="shared" ca="1" si="799"/>
        <v>14622.372210170623</v>
      </c>
      <c r="ACG21" s="29">
        <f t="shared" ca="1" si="800"/>
        <v>14208.723219468737</v>
      </c>
      <c r="ACH21" s="29">
        <f t="shared" ca="1" si="801"/>
        <v>14928.738217507169</v>
      </c>
      <c r="ACI21" s="29">
        <f t="shared" ca="1" si="802"/>
        <v>13892.767177934531</v>
      </c>
      <c r="ACJ21" s="29">
        <f t="shared" ca="1" si="803"/>
        <v>14592.265938407276</v>
      </c>
      <c r="ACK21" s="29">
        <f t="shared" ca="1" si="804"/>
        <v>14166.600504420217</v>
      </c>
      <c r="ACL21" s="29">
        <f t="shared" ca="1" si="805"/>
        <v>13738.903276110666</v>
      </c>
      <c r="ACM21" s="29">
        <f t="shared" ca="1" si="806"/>
        <v>14563.169586230177</v>
      </c>
      <c r="ACN21" s="29">
        <f t="shared" ca="1" si="807"/>
        <v>15087.080838132531</v>
      </c>
      <c r="ACO21" s="29">
        <f t="shared" ca="1" si="808"/>
        <v>16686.14677929004</v>
      </c>
      <c r="ACP21" s="29">
        <f t="shared" ca="1" si="809"/>
        <v>14127.360934895789</v>
      </c>
      <c r="ACQ21" s="29">
        <f t="shared" ca="1" si="810"/>
        <v>15075.821782229372</v>
      </c>
      <c r="ACR21" s="29">
        <f t="shared" ca="1" si="811"/>
        <v>15128.922432839317</v>
      </c>
      <c r="ACS21" s="29">
        <f t="shared" ca="1" si="812"/>
        <v>13152.201406500981</v>
      </c>
      <c r="ACT21" s="29">
        <f t="shared" ca="1" si="813"/>
        <v>14693.729075291325</v>
      </c>
      <c r="ACU21" s="29">
        <f t="shared" ca="1" si="814"/>
        <v>14019.470394091193</v>
      </c>
      <c r="ACV21" s="29">
        <f t="shared" ca="1" si="815"/>
        <v>14305.036197645493</v>
      </c>
      <c r="ACW21" s="29">
        <f t="shared" ca="1" si="816"/>
        <v>14967.298307403795</v>
      </c>
      <c r="ACX21" s="29">
        <f t="shared" ca="1" si="817"/>
        <v>14590.822113848042</v>
      </c>
      <c r="ACY21" s="29">
        <f t="shared" ca="1" si="818"/>
        <v>14389.982757027356</v>
      </c>
      <c r="ACZ21" s="29">
        <f t="shared" ca="1" si="819"/>
        <v>14047.525243455328</v>
      </c>
      <c r="ADA21" s="29">
        <f t="shared" ca="1" si="820"/>
        <v>15650.764835865848</v>
      </c>
      <c r="ADB21" s="29">
        <f t="shared" ca="1" si="821"/>
        <v>14298.139574211538</v>
      </c>
      <c r="ADC21" s="29">
        <f t="shared" ca="1" si="822"/>
        <v>14208.058931626963</v>
      </c>
      <c r="ADD21" s="29">
        <f t="shared" ca="1" si="823"/>
        <v>14799.874926900304</v>
      </c>
      <c r="ADE21" s="29">
        <f t="shared" ca="1" si="824"/>
        <v>14566.235127906793</v>
      </c>
      <c r="ADF21" s="29">
        <f t="shared" ca="1" si="825"/>
        <v>13885.074457086745</v>
      </c>
      <c r="ADG21" s="29">
        <f t="shared" ca="1" si="826"/>
        <v>15238.791277750022</v>
      </c>
      <c r="ADH21" s="29">
        <f t="shared" ca="1" si="827"/>
        <v>14869.300413365405</v>
      </c>
      <c r="ADI21" s="29">
        <f t="shared" ca="1" si="828"/>
        <v>14597.499422704084</v>
      </c>
      <c r="ADJ21" s="29">
        <f t="shared" ca="1" si="829"/>
        <v>14916.164186173117</v>
      </c>
      <c r="ADK21" s="29">
        <f t="shared" ca="1" si="830"/>
        <v>14895.663405617999</v>
      </c>
      <c r="ADL21" s="29">
        <f t="shared" ca="1" si="831"/>
        <v>14125.850679986535</v>
      </c>
      <c r="ADM21" s="29">
        <f t="shared" ca="1" si="832"/>
        <v>14070.665658332648</v>
      </c>
      <c r="ADN21" s="29">
        <f t="shared" ca="1" si="833"/>
        <v>14126.7652977051</v>
      </c>
      <c r="ADO21" s="29">
        <f t="shared" ca="1" si="834"/>
        <v>14817.403656281205</v>
      </c>
      <c r="ADP21" s="29">
        <f t="shared" ca="1" si="835"/>
        <v>15129.124671434714</v>
      </c>
      <c r="ADQ21" s="29">
        <f t="shared" ca="1" si="836"/>
        <v>16811.603514734037</v>
      </c>
      <c r="ADR21" s="29">
        <f t="shared" ca="1" si="837"/>
        <v>14586.29321458254</v>
      </c>
      <c r="ADS21" s="29">
        <f t="shared" ca="1" si="838"/>
        <v>14836.789304004722</v>
      </c>
      <c r="ADT21" s="29">
        <f t="shared" ca="1" si="839"/>
        <v>13985.635523694158</v>
      </c>
      <c r="ADU21" s="29">
        <f t="shared" ca="1" si="840"/>
        <v>15311.278661170138</v>
      </c>
      <c r="ADV21" s="29">
        <f t="shared" ca="1" si="841"/>
        <v>15148.44039980625</v>
      </c>
      <c r="ADW21" s="29">
        <f t="shared" ca="1" si="842"/>
        <v>15404.914819624964</v>
      </c>
      <c r="ADX21" s="29">
        <f t="shared" ca="1" si="843"/>
        <v>13864.129592493893</v>
      </c>
      <c r="ADY21" s="29">
        <f t="shared" ca="1" si="844"/>
        <v>15692.945185421051</v>
      </c>
      <c r="ADZ21" s="29">
        <f t="shared" ca="1" si="845"/>
        <v>14148.677137165618</v>
      </c>
      <c r="AEA21" s="29">
        <f t="shared" ca="1" si="846"/>
        <v>14099.843419592136</v>
      </c>
      <c r="AEB21" s="29">
        <f t="shared" ca="1" si="847"/>
        <v>13259.730810350433</v>
      </c>
      <c r="AEC21" s="29">
        <f t="shared" ca="1" si="848"/>
        <v>14698.600795062808</v>
      </c>
      <c r="AED21" s="29">
        <f t="shared" ca="1" si="849"/>
        <v>14954.085133816698</v>
      </c>
      <c r="AEE21" s="29">
        <f t="shared" ca="1" si="850"/>
        <v>14956.741339229613</v>
      </c>
      <c r="AEF21" s="29">
        <f t="shared" ca="1" si="851"/>
        <v>14184.221856747828</v>
      </c>
      <c r="AEG21" s="29">
        <f t="shared" ca="1" si="852"/>
        <v>15903.222092579743</v>
      </c>
      <c r="AEH21" s="29">
        <f t="shared" ca="1" si="853"/>
        <v>14092.529291093471</v>
      </c>
      <c r="AEI21" s="29">
        <f t="shared" ca="1" si="854"/>
        <v>14861.913241906508</v>
      </c>
      <c r="AEJ21" s="29">
        <f t="shared" ca="1" si="855"/>
        <v>14440.873516135254</v>
      </c>
      <c r="AEK21" s="29">
        <f t="shared" ca="1" si="856"/>
        <v>15110.872551286671</v>
      </c>
      <c r="AEL21" s="29">
        <f t="shared" ca="1" si="857"/>
        <v>14096.830666219443</v>
      </c>
      <c r="AEM21" s="29">
        <f t="shared" ca="1" si="858"/>
        <v>14998.624002527746</v>
      </c>
      <c r="AEN21" s="29">
        <f t="shared" ca="1" si="859"/>
        <v>14814.710745603148</v>
      </c>
      <c r="AEO21" s="29">
        <f t="shared" ca="1" si="860"/>
        <v>14853.790167500947</v>
      </c>
      <c r="AEP21" s="29">
        <f t="shared" ca="1" si="861"/>
        <v>15011.595669735658</v>
      </c>
      <c r="AEQ21" s="29">
        <f t="shared" ca="1" si="862"/>
        <v>15205.453787463104</v>
      </c>
      <c r="AER21" s="29">
        <f t="shared" ca="1" si="863"/>
        <v>15100.628031315178</v>
      </c>
      <c r="AES21" s="29">
        <f t="shared" ca="1" si="864"/>
        <v>13698.43819648896</v>
      </c>
      <c r="AET21" s="29">
        <f t="shared" ca="1" si="865"/>
        <v>15219.755867349339</v>
      </c>
      <c r="AEU21" s="29">
        <f t="shared" ca="1" si="866"/>
        <v>14300.161029371324</v>
      </c>
      <c r="AEV21" s="29">
        <f t="shared" ca="1" si="867"/>
        <v>16280.134747648583</v>
      </c>
      <c r="AEW21" s="29">
        <f t="shared" ca="1" si="868"/>
        <v>13786.973015361365</v>
      </c>
      <c r="AEX21" s="29">
        <f t="shared" ca="1" si="869"/>
        <v>13846.415906844475</v>
      </c>
      <c r="AEY21" s="29">
        <f t="shared" ca="1" si="870"/>
        <v>13186.577342726763</v>
      </c>
      <c r="AEZ21" s="29">
        <f t="shared" ca="1" si="871"/>
        <v>13992.325046472193</v>
      </c>
      <c r="AFA21" s="29">
        <f t="shared" ca="1" si="872"/>
        <v>15164.154962654009</v>
      </c>
      <c r="AFB21" s="29">
        <f t="shared" ca="1" si="873"/>
        <v>14406.022419953195</v>
      </c>
      <c r="AFC21" s="29">
        <f t="shared" ca="1" si="874"/>
        <v>13531.168853601483</v>
      </c>
      <c r="AFD21" s="29">
        <f t="shared" ca="1" si="875"/>
        <v>15222.768453053393</v>
      </c>
      <c r="AFE21" s="29">
        <f t="shared" ca="1" si="876"/>
        <v>15178.944109655404</v>
      </c>
      <c r="AFF21" s="29">
        <f t="shared" ca="1" si="877"/>
        <v>13939.413494289345</v>
      </c>
      <c r="AFG21" s="29">
        <f t="shared" ca="1" si="878"/>
        <v>14819.862042862143</v>
      </c>
      <c r="AFH21" s="29">
        <f t="shared" ca="1" si="879"/>
        <v>15688.378140983406</v>
      </c>
      <c r="AFI21" s="29">
        <f t="shared" ca="1" si="880"/>
        <v>14518.159648691446</v>
      </c>
      <c r="AFJ21" s="29">
        <f t="shared" ca="1" si="881"/>
        <v>13921.901482568604</v>
      </c>
      <c r="AFK21" s="29">
        <f t="shared" ca="1" si="882"/>
        <v>14329.05358860995</v>
      </c>
      <c r="AFL21" s="29">
        <f t="shared" ca="1" si="883"/>
        <v>14867.021738675739</v>
      </c>
      <c r="AFM21" s="29">
        <f t="shared" ca="1" si="884"/>
        <v>13816.811089859746</v>
      </c>
      <c r="AFN21" s="29">
        <f t="shared" ca="1" si="885"/>
        <v>15299.029960546086</v>
      </c>
      <c r="AFO21" s="29">
        <f t="shared" ca="1" si="886"/>
        <v>14460.711472486973</v>
      </c>
      <c r="AFP21" s="29">
        <f t="shared" ca="1" si="887"/>
        <v>14802.413652548339</v>
      </c>
      <c r="AFQ21" s="29">
        <f t="shared" ca="1" si="888"/>
        <v>13774.780557350885</v>
      </c>
      <c r="AFR21" s="29">
        <f t="shared" ca="1" si="889"/>
        <v>15067.530860644161</v>
      </c>
      <c r="AFS21" s="29">
        <f t="shared" ca="1" si="890"/>
        <v>13708.962776387252</v>
      </c>
      <c r="AFT21" s="29">
        <f t="shared" ca="1" si="891"/>
        <v>14267.173251732458</v>
      </c>
      <c r="AFU21" s="29">
        <f t="shared" ca="1" si="892"/>
        <v>14255.701911547063</v>
      </c>
      <c r="AFV21" s="29">
        <f t="shared" ca="1" si="893"/>
        <v>15041.915368738955</v>
      </c>
      <c r="AFW21" s="29">
        <f t="shared" ca="1" si="894"/>
        <v>13940.938971922798</v>
      </c>
      <c r="AFX21" s="29">
        <f t="shared" ca="1" si="895"/>
        <v>15467.411282452222</v>
      </c>
      <c r="AFY21" s="29">
        <f t="shared" ca="1" si="896"/>
        <v>15080.677655551806</v>
      </c>
      <c r="AFZ21" s="29">
        <f t="shared" ca="1" si="897"/>
        <v>14381.876167559971</v>
      </c>
      <c r="AGA21" s="29">
        <f t="shared" ca="1" si="898"/>
        <v>14266.102054650428</v>
      </c>
      <c r="AGB21" s="29">
        <f t="shared" ca="1" si="899"/>
        <v>14836.78901010174</v>
      </c>
      <c r="AGC21" s="29">
        <f t="shared" ca="1" si="900"/>
        <v>13602.168444189818</v>
      </c>
      <c r="AGD21" s="29">
        <f t="shared" ca="1" si="901"/>
        <v>15348.853121034703</v>
      </c>
      <c r="AGE21" s="29">
        <f t="shared" ca="1" si="902"/>
        <v>14194.601481154226</v>
      </c>
      <c r="AGF21" s="29">
        <f t="shared" ca="1" si="903"/>
        <v>14600.698439775206</v>
      </c>
      <c r="AGG21" s="29">
        <f t="shared" ca="1" si="904"/>
        <v>14037.660890619705</v>
      </c>
      <c r="AGH21" s="29">
        <f t="shared" ca="1" si="905"/>
        <v>15091.267873009152</v>
      </c>
      <c r="AGI21" s="29">
        <f t="shared" ca="1" si="906"/>
        <v>13826.800417102333</v>
      </c>
      <c r="AGJ21" s="29">
        <f t="shared" ca="1" si="907"/>
        <v>14563.885507030396</v>
      </c>
      <c r="AGK21" s="29">
        <f t="shared" ca="1" si="908"/>
        <v>15049.830283888272</v>
      </c>
      <c r="AGL21" s="29">
        <f t="shared" ca="1" si="909"/>
        <v>14730.903493429416</v>
      </c>
      <c r="AGM21" s="29">
        <f t="shared" ca="1" si="910"/>
        <v>14273.500354551339</v>
      </c>
      <c r="AGN21" s="29">
        <f t="shared" ca="1" si="911"/>
        <v>14139.356588990713</v>
      </c>
      <c r="AGO21" s="29">
        <f t="shared" ca="1" si="912"/>
        <v>15415.45851123156</v>
      </c>
      <c r="AGP21" s="29">
        <f t="shared" ca="1" si="913"/>
        <v>13976.991960075358</v>
      </c>
      <c r="AGQ21" s="29">
        <f t="shared" ca="1" si="914"/>
        <v>14681.888733414422</v>
      </c>
      <c r="AGR21" s="29">
        <f t="shared" ca="1" si="915"/>
        <v>13880.789107115736</v>
      </c>
      <c r="AGS21" s="29">
        <f t="shared" ca="1" si="916"/>
        <v>14577.370861734044</v>
      </c>
      <c r="AGT21" s="29">
        <f t="shared" ca="1" si="917"/>
        <v>13775.431944777252</v>
      </c>
      <c r="AGU21" s="29">
        <f t="shared" ca="1" si="918"/>
        <v>14175.076379972013</v>
      </c>
      <c r="AGV21" s="29">
        <f t="shared" ca="1" si="919"/>
        <v>14635.008217592211</v>
      </c>
      <c r="AGW21" s="29">
        <f t="shared" ca="1" si="920"/>
        <v>14637.730848512902</v>
      </c>
      <c r="AGX21" s="29">
        <f t="shared" ca="1" si="921"/>
        <v>14893.150785446074</v>
      </c>
      <c r="AGY21" s="29">
        <f t="shared" ca="1" si="922"/>
        <v>14458.0452972434</v>
      </c>
      <c r="AGZ21" s="29">
        <f t="shared" ca="1" si="923"/>
        <v>13128.026647350223</v>
      </c>
      <c r="AHA21" s="29">
        <f t="shared" ca="1" si="924"/>
        <v>13672.893794172967</v>
      </c>
      <c r="AHB21" s="29">
        <f t="shared" ca="1" si="925"/>
        <v>13651.893509960228</v>
      </c>
      <c r="AHC21" s="29">
        <f t="shared" ca="1" si="926"/>
        <v>15093.94768080446</v>
      </c>
      <c r="AHD21" s="29">
        <f t="shared" ca="1" si="927"/>
        <v>14353.395450618085</v>
      </c>
      <c r="AHE21" s="29">
        <f t="shared" ca="1" si="928"/>
        <v>14782.998730723592</v>
      </c>
      <c r="AHF21" s="29">
        <f t="shared" ca="1" si="929"/>
        <v>15756.607904266035</v>
      </c>
      <c r="AHG21" s="29">
        <f t="shared" ca="1" si="930"/>
        <v>15769.328977640105</v>
      </c>
      <c r="AHH21" s="29">
        <f t="shared" ca="1" si="931"/>
        <v>14943.731789021536</v>
      </c>
      <c r="AHI21" s="29">
        <f t="shared" ca="1" si="932"/>
        <v>14666.867989352217</v>
      </c>
      <c r="AHJ21" s="29">
        <f t="shared" ca="1" si="933"/>
        <v>13861.6917513072</v>
      </c>
      <c r="AHK21" s="29">
        <f t="shared" ca="1" si="934"/>
        <v>16000.528153843919</v>
      </c>
      <c r="AHL21" s="29">
        <f t="shared" ca="1" si="935"/>
        <v>14652.248688816027</v>
      </c>
      <c r="AHM21" s="29">
        <f t="shared" ca="1" si="936"/>
        <v>15562.8759852402</v>
      </c>
      <c r="AHN21" s="29">
        <f t="shared" ca="1" si="937"/>
        <v>14041.277915233088</v>
      </c>
      <c r="AHO21" s="29">
        <f t="shared" ca="1" si="938"/>
        <v>14917.415112890687</v>
      </c>
      <c r="AHP21" s="29">
        <f t="shared" ca="1" si="939"/>
        <v>15223.153928090262</v>
      </c>
      <c r="AHQ21" s="29">
        <f t="shared" ca="1" si="940"/>
        <v>14943.628248908293</v>
      </c>
      <c r="AHR21" s="29">
        <f t="shared" ca="1" si="941"/>
        <v>14356.014438782908</v>
      </c>
      <c r="AHS21" s="29">
        <f t="shared" ca="1" si="942"/>
        <v>14425.14590594149</v>
      </c>
      <c r="AHT21" s="29">
        <f t="shared" ca="1" si="943"/>
        <v>14559.316232680412</v>
      </c>
      <c r="AHU21" s="29">
        <f t="shared" ca="1" si="944"/>
        <v>14152.85524124388</v>
      </c>
      <c r="AHV21" s="29">
        <f t="shared" ca="1" si="945"/>
        <v>14704.219233754382</v>
      </c>
      <c r="AHW21" s="29">
        <f t="shared" ca="1" si="946"/>
        <v>14813.8987764631</v>
      </c>
      <c r="AHX21" s="29">
        <f t="shared" ca="1" si="947"/>
        <v>15228.718069540999</v>
      </c>
      <c r="AHY21" s="29">
        <f t="shared" ca="1" si="948"/>
        <v>14949.411760402414</v>
      </c>
      <c r="AHZ21" s="29">
        <f t="shared" ca="1" si="949"/>
        <v>13582.191095377919</v>
      </c>
      <c r="AIA21" s="29">
        <f t="shared" ca="1" si="950"/>
        <v>15533.422594754113</v>
      </c>
      <c r="AIB21" s="29">
        <f t="shared" ca="1" si="951"/>
        <v>15123.950937338657</v>
      </c>
      <c r="AIC21" s="29">
        <f t="shared" ca="1" si="952"/>
        <v>14022.2514820376</v>
      </c>
      <c r="AID21" s="29">
        <f t="shared" ca="1" si="953"/>
        <v>14981.618766353684</v>
      </c>
      <c r="AIE21" s="29">
        <f t="shared" ca="1" si="954"/>
        <v>14413.222299064728</v>
      </c>
      <c r="AIF21" s="29">
        <f t="shared" ca="1" si="955"/>
        <v>14339.974730731074</v>
      </c>
      <c r="AIG21" s="29">
        <f t="shared" ca="1" si="956"/>
        <v>15150.669902995338</v>
      </c>
      <c r="AIH21" s="29">
        <f t="shared" ca="1" si="957"/>
        <v>14726.317575465078</v>
      </c>
      <c r="AII21" s="29">
        <f t="shared" ca="1" si="958"/>
        <v>14561.142083898172</v>
      </c>
      <c r="AIJ21" s="29">
        <f t="shared" ca="1" si="959"/>
        <v>13834.231489283997</v>
      </c>
      <c r="AIK21" s="29">
        <f t="shared" ca="1" si="960"/>
        <v>14863.485668133331</v>
      </c>
      <c r="AIL21" s="29">
        <f t="shared" ca="1" si="961"/>
        <v>14224.155863677457</v>
      </c>
      <c r="AIM21" s="29">
        <f t="shared" ca="1" si="962"/>
        <v>14177.442884397231</v>
      </c>
      <c r="AIN21" s="29">
        <f t="shared" ca="1" si="963"/>
        <v>14743.355612234134</v>
      </c>
      <c r="AIO21" s="29">
        <f t="shared" ca="1" si="964"/>
        <v>13415.590255612633</v>
      </c>
      <c r="AIP21" s="29">
        <f t="shared" ca="1" si="965"/>
        <v>14040.394822863771</v>
      </c>
      <c r="AIQ21" s="29">
        <f t="shared" ca="1" si="966"/>
        <v>13070.23085597327</v>
      </c>
      <c r="AIR21" s="29">
        <f t="shared" ca="1" si="967"/>
        <v>13985.300896239878</v>
      </c>
      <c r="AIS21" s="29">
        <f t="shared" ca="1" si="968"/>
        <v>14284.762965551441</v>
      </c>
      <c r="AIT21" s="29">
        <f t="shared" ca="1" si="969"/>
        <v>14989.971071434407</v>
      </c>
      <c r="AIU21" s="29">
        <f t="shared" ca="1" si="970"/>
        <v>13783.782386734185</v>
      </c>
      <c r="AIV21" s="29">
        <f t="shared" ca="1" si="971"/>
        <v>14020.869060232346</v>
      </c>
      <c r="AIW21" s="29">
        <f t="shared" ca="1" si="972"/>
        <v>13979.930024656966</v>
      </c>
      <c r="AIX21" s="29">
        <f t="shared" ca="1" si="973"/>
        <v>15245.997832370211</v>
      </c>
      <c r="AIY21" s="29">
        <f t="shared" ca="1" si="974"/>
        <v>15192.615000330439</v>
      </c>
      <c r="AIZ21" s="29">
        <f t="shared" ca="1" si="975"/>
        <v>15351.322597905822</v>
      </c>
      <c r="AJA21" s="29">
        <f t="shared" ca="1" si="976"/>
        <v>13949.412400034178</v>
      </c>
      <c r="AJB21" s="29">
        <f t="shared" ca="1" si="977"/>
        <v>14161.234755073061</v>
      </c>
      <c r="AJC21" s="29">
        <f t="shared" ca="1" si="978"/>
        <v>14918.660778894087</v>
      </c>
      <c r="AJD21" s="29">
        <f t="shared" ca="1" si="979"/>
        <v>14357.992290843245</v>
      </c>
      <c r="AJE21" s="29">
        <f t="shared" ca="1" si="980"/>
        <v>15024.042425934253</v>
      </c>
      <c r="AJF21" s="29">
        <f t="shared" ca="1" si="981"/>
        <v>14745.979666018033</v>
      </c>
      <c r="AJG21" s="29">
        <f t="shared" ca="1" si="982"/>
        <v>14455.277304811327</v>
      </c>
      <c r="AJH21" s="29">
        <f t="shared" ca="1" si="983"/>
        <v>14071.084501553974</v>
      </c>
      <c r="AJI21" s="29">
        <f t="shared" ca="1" si="984"/>
        <v>14225.826703626419</v>
      </c>
      <c r="AJJ21" s="29">
        <f t="shared" ca="1" si="985"/>
        <v>14957.806542360322</v>
      </c>
      <c r="AJK21" s="29">
        <f t="shared" ca="1" si="986"/>
        <v>14864.243979057141</v>
      </c>
      <c r="AJL21" s="29">
        <f t="shared" ca="1" si="987"/>
        <v>15105.083823865007</v>
      </c>
      <c r="AJM21" s="29">
        <f t="shared" ca="1" si="988"/>
        <v>14302.805039740697</v>
      </c>
      <c r="AJN21" s="29">
        <f t="shared" ca="1" si="989"/>
        <v>14541.146970887448</v>
      </c>
      <c r="AJO21" s="29">
        <f t="shared" ca="1" si="990"/>
        <v>14954.583553268141</v>
      </c>
      <c r="AJP21" s="29">
        <f t="shared" ca="1" si="991"/>
        <v>15071.938666757962</v>
      </c>
      <c r="AJQ21" s="29">
        <f t="shared" ca="1" si="992"/>
        <v>13728.154043288674</v>
      </c>
      <c r="AJR21" s="29">
        <f t="shared" ca="1" si="993"/>
        <v>15004.664373147631</v>
      </c>
      <c r="AJS21" s="29">
        <f t="shared" ca="1" si="994"/>
        <v>15088.26765386238</v>
      </c>
      <c r="AJT21" s="29">
        <f t="shared" ca="1" si="995"/>
        <v>14830.038847743293</v>
      </c>
      <c r="AJU21" s="29">
        <f t="shared" ca="1" si="996"/>
        <v>13808.902531726788</v>
      </c>
      <c r="AJV21" s="29">
        <f t="shared" ca="1" si="997"/>
        <v>14079.696831139763</v>
      </c>
      <c r="AJW21" s="29">
        <f t="shared" ca="1" si="998"/>
        <v>14063.272439761808</v>
      </c>
      <c r="AJX21" s="29">
        <f t="shared" ca="1" si="999"/>
        <v>14685.521132637296</v>
      </c>
      <c r="AJY21" s="29">
        <f t="shared" ca="1" si="1000"/>
        <v>13931.308273144767</v>
      </c>
      <c r="AJZ21" s="29">
        <f t="shared" ca="1" si="1001"/>
        <v>14818.718971087361</v>
      </c>
      <c r="AKA21" s="29">
        <f t="shared" ca="1" si="1002"/>
        <v>14589.107861203309</v>
      </c>
      <c r="AKB21" s="29">
        <f t="shared" ca="1" si="1003"/>
        <v>13934.489524672475</v>
      </c>
      <c r="AKC21" s="29">
        <f t="shared" ca="1" si="1004"/>
        <v>13641.51460773375</v>
      </c>
      <c r="AKD21" s="29">
        <f t="shared" ca="1" si="1005"/>
        <v>14938.147590182498</v>
      </c>
      <c r="AKE21" s="29">
        <f t="shared" ca="1" si="1006"/>
        <v>13480.242553413009</v>
      </c>
      <c r="AKF21" s="29">
        <f t="shared" ca="1" si="1007"/>
        <v>15613.748780049498</v>
      </c>
      <c r="AKG21" s="29">
        <f t="shared" ca="1" si="1008"/>
        <v>14158.375214651822</v>
      </c>
      <c r="AKH21" s="29">
        <f t="shared" ca="1" si="1009"/>
        <v>13874.261782773823</v>
      </c>
      <c r="AKI21" s="29">
        <f t="shared" ca="1" si="1010"/>
        <v>15138.1003644588</v>
      </c>
      <c r="AKJ21" s="29">
        <f t="shared" ca="1" si="1011"/>
        <v>13146.128724682054</v>
      </c>
      <c r="AKK21" s="29">
        <f t="shared" ca="1" si="1012"/>
        <v>16219.038170779699</v>
      </c>
      <c r="AKL21" s="29">
        <f t="shared" ca="1" si="1013"/>
        <v>14491.554930730275</v>
      </c>
      <c r="AKM21" s="29">
        <f t="shared" ca="1" si="1014"/>
        <v>13897.300625874364</v>
      </c>
      <c r="AKN21" s="29">
        <f t="shared" ca="1" si="1015"/>
        <v>14959.644012923114</v>
      </c>
      <c r="AKO21" s="29">
        <f t="shared" ca="1" si="1016"/>
        <v>14539.822571142045</v>
      </c>
      <c r="AKP21" s="29">
        <f t="shared" ca="1" si="1017"/>
        <v>15234.396300073231</v>
      </c>
      <c r="AKQ21" s="29">
        <f t="shared" ca="1" si="1018"/>
        <v>14056.126451279664</v>
      </c>
      <c r="AKR21" s="29">
        <f t="shared" ca="1" si="1019"/>
        <v>14443.412847417188</v>
      </c>
      <c r="AKS21" s="29">
        <f t="shared" ca="1" si="1020"/>
        <v>15381.066702462191</v>
      </c>
      <c r="AKT21" s="29">
        <f t="shared" ca="1" si="1021"/>
        <v>14922.203682872418</v>
      </c>
      <c r="AKU21" s="29">
        <f t="shared" ca="1" si="1022"/>
        <v>14109.341449882895</v>
      </c>
      <c r="AKV21" s="29">
        <f t="shared" ca="1" si="1023"/>
        <v>12464.531940368995</v>
      </c>
      <c r="AKW21" s="29">
        <f t="shared" ca="1" si="1024"/>
        <v>14061.164636607204</v>
      </c>
      <c r="AKX21" s="29">
        <f t="shared" ca="1" si="1025"/>
        <v>14839.926028267571</v>
      </c>
      <c r="AKY21" s="29">
        <f t="shared" ca="1" si="1026"/>
        <v>13749.556230183211</v>
      </c>
      <c r="AKZ21" s="29">
        <f t="shared" ca="1" si="1027"/>
        <v>14502.953058665118</v>
      </c>
      <c r="ALA21" s="29">
        <f t="shared" ca="1" si="1028"/>
        <v>13840.191704144967</v>
      </c>
      <c r="ALB21" s="29">
        <f t="shared" ca="1" si="1029"/>
        <v>14933.407383957727</v>
      </c>
      <c r="ALC21" s="29">
        <f t="shared" ca="1" si="1030"/>
        <v>14091.813983356164</v>
      </c>
      <c r="ALD21" s="29">
        <f t="shared" ca="1" si="1031"/>
        <v>15548.459917195716</v>
      </c>
      <c r="ALE21" s="29">
        <f t="shared" ca="1" si="1032"/>
        <v>13965.915614257916</v>
      </c>
      <c r="ALF21" s="29">
        <f t="shared" ca="1" si="1033"/>
        <v>13494.731913230367</v>
      </c>
      <c r="ALG21" s="29">
        <f t="shared" ca="1" si="1034"/>
        <v>14518.7858530679</v>
      </c>
      <c r="ALH21" s="29">
        <f t="shared" ca="1" si="1035"/>
        <v>15208.069680893246</v>
      </c>
      <c r="ALI21" s="29">
        <f t="shared" ca="1" si="1036"/>
        <v>15109.246925725898</v>
      </c>
      <c r="ALJ21" s="29">
        <f t="shared" ca="1" si="1037"/>
        <v>14738.863528966212</v>
      </c>
      <c r="ALK21" s="29">
        <f t="shared" ca="1" si="1038"/>
        <v>14903.046016580636</v>
      </c>
      <c r="ALL21" s="29">
        <f t="shared" ca="1" si="1039"/>
        <v>14247.838250299998</v>
      </c>
      <c r="ALM21" s="29">
        <f t="shared" ca="1" si="1040"/>
        <v>13699.84689947793</v>
      </c>
      <c r="ALN21" s="29">
        <f t="shared" ca="1" si="1041"/>
        <v>14324.395738826401</v>
      </c>
      <c r="ALO21" s="29">
        <f t="shared" ca="1" si="1042"/>
        <v>13672.74663227497</v>
      </c>
      <c r="ALP21" s="29">
        <f t="shared" ca="1" si="1043"/>
        <v>14396.444077584994</v>
      </c>
      <c r="ALQ21" s="29">
        <f t="shared" ca="1" si="1044"/>
        <v>14367.285065607348</v>
      </c>
      <c r="ALR21" s="29">
        <f t="shared" ca="1" si="1045"/>
        <v>14701.62412522374</v>
      </c>
      <c r="ALS21" s="29">
        <f t="shared" ca="1" si="1046"/>
        <v>14455.304032409953</v>
      </c>
      <c r="ALT21" s="29">
        <f t="shared" ca="1" si="1047"/>
        <v>14187.059331405369</v>
      </c>
      <c r="ALU21" s="29">
        <f t="shared" ca="1" si="1048"/>
        <v>14454.912633135753</v>
      </c>
      <c r="ALV21" s="29">
        <f t="shared" ca="1" si="1049"/>
        <v>13450.657851296708</v>
      </c>
    </row>
    <row r="22" spans="1:1010" x14ac:dyDescent="0.25">
      <c r="A22" s="1">
        <v>40506</v>
      </c>
      <c r="B22" s="2">
        <v>5865.75</v>
      </c>
      <c r="C22" s="16">
        <f t="shared" si="32"/>
        <v>-1.1694553007581919E-2</v>
      </c>
      <c r="E22" s="37" t="s">
        <v>67</v>
      </c>
      <c r="F22" s="12">
        <f ca="1">PERCENTILE($K$23:$ALV$23,F21)</f>
        <v>13184.887097199069</v>
      </c>
      <c r="G22" s="12">
        <f ca="1">PERCENTILE($K$23:$ALV$23,G21)</f>
        <v>15878.595123347068</v>
      </c>
      <c r="J22" s="29">
        <f t="shared" si="49"/>
        <v>19</v>
      </c>
      <c r="K22" s="29">
        <f t="shared" ca="1" si="50"/>
        <v>14446.155723124304</v>
      </c>
      <c r="L22" s="29">
        <f t="shared" ca="1" si="51"/>
        <v>13867.944000103429</v>
      </c>
      <c r="M22" s="29">
        <f t="shared" ca="1" si="52"/>
        <v>14361.845630328145</v>
      </c>
      <c r="N22" s="29">
        <f t="shared" ca="1" si="53"/>
        <v>13640.870662562646</v>
      </c>
      <c r="O22" s="29">
        <f t="shared" ca="1" si="54"/>
        <v>15597.134385664931</v>
      </c>
      <c r="P22" s="29">
        <f t="shared" ca="1" si="55"/>
        <v>15366.670009838759</v>
      </c>
      <c r="Q22" s="29">
        <f t="shared" ca="1" si="56"/>
        <v>13138.896194058829</v>
      </c>
      <c r="R22" s="29">
        <f t="shared" ca="1" si="57"/>
        <v>14521.644515586911</v>
      </c>
      <c r="S22" s="29">
        <f t="shared" ca="1" si="58"/>
        <v>13746.94510407839</v>
      </c>
      <c r="T22" s="29">
        <f t="shared" ca="1" si="59"/>
        <v>15854.842605926809</v>
      </c>
      <c r="U22" s="29">
        <f t="shared" ca="1" si="60"/>
        <v>15131.518056844872</v>
      </c>
      <c r="V22" s="29">
        <f t="shared" ca="1" si="61"/>
        <v>13711.619712799114</v>
      </c>
      <c r="W22" s="29">
        <f t="shared" ca="1" si="62"/>
        <v>13932.331556397765</v>
      </c>
      <c r="X22" s="29">
        <f t="shared" ca="1" si="63"/>
        <v>15580.796814584757</v>
      </c>
      <c r="Y22" s="29">
        <f t="shared" ca="1" si="64"/>
        <v>14812.433147247013</v>
      </c>
      <c r="Z22" s="29">
        <f t="shared" ca="1" si="65"/>
        <v>14184.72066424916</v>
      </c>
      <c r="AA22" s="29">
        <f t="shared" ca="1" si="66"/>
        <v>15288.876193543771</v>
      </c>
      <c r="AB22" s="29">
        <f t="shared" ca="1" si="67"/>
        <v>16136.355583474453</v>
      </c>
      <c r="AC22" s="29">
        <f t="shared" ca="1" si="68"/>
        <v>15326.066925525653</v>
      </c>
      <c r="AD22" s="29">
        <f t="shared" ca="1" si="69"/>
        <v>14321.834745736685</v>
      </c>
      <c r="AE22" s="29">
        <f t="shared" ca="1" si="70"/>
        <v>15572.170979170603</v>
      </c>
      <c r="AF22" s="29">
        <f t="shared" ca="1" si="71"/>
        <v>15013.446341505603</v>
      </c>
      <c r="AG22" s="29">
        <f t="shared" ca="1" si="72"/>
        <v>13953.299028246573</v>
      </c>
      <c r="AH22" s="29">
        <f t="shared" ca="1" si="73"/>
        <v>15175.78804600166</v>
      </c>
      <c r="AI22" s="29">
        <f t="shared" ca="1" si="74"/>
        <v>13364.411256907544</v>
      </c>
      <c r="AJ22" s="29">
        <f t="shared" ca="1" si="75"/>
        <v>14522.781698937733</v>
      </c>
      <c r="AK22" s="29">
        <f t="shared" ca="1" si="76"/>
        <v>13354.454372191038</v>
      </c>
      <c r="AL22" s="29">
        <f t="shared" ca="1" si="77"/>
        <v>14291.175598072961</v>
      </c>
      <c r="AM22" s="29">
        <f t="shared" ca="1" si="78"/>
        <v>15229.28209569212</v>
      </c>
      <c r="AN22" s="29">
        <f t="shared" ca="1" si="79"/>
        <v>14593.018361455086</v>
      </c>
      <c r="AO22" s="29">
        <f t="shared" ca="1" si="80"/>
        <v>13982.731412261142</v>
      </c>
      <c r="AP22" s="29">
        <f t="shared" ca="1" si="81"/>
        <v>14186.156268381796</v>
      </c>
      <c r="AQ22" s="29">
        <f t="shared" ca="1" si="82"/>
        <v>15532.847079206584</v>
      </c>
      <c r="AR22" s="29">
        <f t="shared" ca="1" si="83"/>
        <v>14434.311295712918</v>
      </c>
      <c r="AS22" s="29">
        <f t="shared" ca="1" si="84"/>
        <v>12710.798013262269</v>
      </c>
      <c r="AT22" s="29">
        <f t="shared" ca="1" si="85"/>
        <v>14571.610206662039</v>
      </c>
      <c r="AU22" s="29">
        <f t="shared" ca="1" si="86"/>
        <v>14030.163680110367</v>
      </c>
      <c r="AV22" s="29">
        <f t="shared" ca="1" si="87"/>
        <v>14459.690325378055</v>
      </c>
      <c r="AW22" s="29">
        <f t="shared" ca="1" si="88"/>
        <v>15740.885071226983</v>
      </c>
      <c r="AX22" s="29">
        <f t="shared" ca="1" si="89"/>
        <v>13816.793995941511</v>
      </c>
      <c r="AY22" s="29">
        <f t="shared" ca="1" si="90"/>
        <v>14132.730237483431</v>
      </c>
      <c r="AZ22" s="29">
        <f t="shared" ca="1" si="91"/>
        <v>13964.529100519325</v>
      </c>
      <c r="BA22" s="29">
        <f t="shared" ca="1" si="92"/>
        <v>14670.358460455742</v>
      </c>
      <c r="BB22" s="29">
        <f t="shared" ca="1" si="93"/>
        <v>13352.843321945389</v>
      </c>
      <c r="BC22" s="29">
        <f t="shared" ca="1" si="94"/>
        <v>13214.27945802338</v>
      </c>
      <c r="BD22" s="29">
        <f t="shared" ca="1" si="95"/>
        <v>14832.928340966044</v>
      </c>
      <c r="BE22" s="29">
        <f t="shared" ca="1" si="96"/>
        <v>16020.604574306244</v>
      </c>
      <c r="BF22" s="29">
        <f t="shared" ca="1" si="97"/>
        <v>15765.352143665785</v>
      </c>
      <c r="BG22" s="29">
        <f t="shared" ca="1" si="98"/>
        <v>14121.30682496103</v>
      </c>
      <c r="BH22" s="29">
        <f t="shared" ca="1" si="99"/>
        <v>15014.003267465991</v>
      </c>
      <c r="BI22" s="29">
        <f t="shared" ca="1" si="100"/>
        <v>14226.20728697555</v>
      </c>
      <c r="BJ22" s="29">
        <f t="shared" ca="1" si="101"/>
        <v>14233.205011701815</v>
      </c>
      <c r="BK22" s="29">
        <f t="shared" ca="1" si="102"/>
        <v>13506.343797389598</v>
      </c>
      <c r="BL22" s="29">
        <f t="shared" ca="1" si="103"/>
        <v>13986.369090545413</v>
      </c>
      <c r="BM22" s="29">
        <f t="shared" ca="1" si="104"/>
        <v>15256.893063500564</v>
      </c>
      <c r="BN22" s="29">
        <f t="shared" ca="1" si="105"/>
        <v>14421.234710095392</v>
      </c>
      <c r="BO22" s="29">
        <f t="shared" ca="1" si="106"/>
        <v>16031.269882797804</v>
      </c>
      <c r="BP22" s="29">
        <f t="shared" ca="1" si="107"/>
        <v>15178.243754644433</v>
      </c>
      <c r="BQ22" s="29">
        <f t="shared" ca="1" si="108"/>
        <v>14609.734601054884</v>
      </c>
      <c r="BR22" s="29">
        <f t="shared" ca="1" si="109"/>
        <v>13320.879290168152</v>
      </c>
      <c r="BS22" s="29">
        <f t="shared" ca="1" si="110"/>
        <v>14882.862852290109</v>
      </c>
      <c r="BT22" s="29">
        <f t="shared" ca="1" si="111"/>
        <v>14842.882966474894</v>
      </c>
      <c r="BU22" s="29">
        <f t="shared" ca="1" si="112"/>
        <v>13946.315085979777</v>
      </c>
      <c r="BV22" s="29">
        <f t="shared" ca="1" si="113"/>
        <v>16124.266002105369</v>
      </c>
      <c r="BW22" s="29">
        <f t="shared" ca="1" si="114"/>
        <v>14641.340214199041</v>
      </c>
      <c r="BX22" s="29">
        <f t="shared" ca="1" si="115"/>
        <v>14236.868432537174</v>
      </c>
      <c r="BY22" s="29">
        <f t="shared" ca="1" si="116"/>
        <v>14344.554654891084</v>
      </c>
      <c r="BZ22" s="29">
        <f t="shared" ca="1" si="117"/>
        <v>14178.067171689336</v>
      </c>
      <c r="CA22" s="29">
        <f t="shared" ca="1" si="118"/>
        <v>14379.734454048124</v>
      </c>
      <c r="CB22" s="29">
        <f t="shared" ca="1" si="119"/>
        <v>15717.195627437593</v>
      </c>
      <c r="CC22" s="29">
        <f t="shared" ca="1" si="120"/>
        <v>13575.029424087237</v>
      </c>
      <c r="CD22" s="29">
        <f t="shared" ca="1" si="121"/>
        <v>14081.102777240329</v>
      </c>
      <c r="CE22" s="29">
        <f t="shared" ca="1" si="122"/>
        <v>16556.9987131747</v>
      </c>
      <c r="CF22" s="29">
        <f t="shared" ca="1" si="123"/>
        <v>14989.534389560407</v>
      </c>
      <c r="CG22" s="29">
        <f t="shared" ca="1" si="124"/>
        <v>14608.355101550722</v>
      </c>
      <c r="CH22" s="29">
        <f t="shared" ca="1" si="125"/>
        <v>15283.515225351039</v>
      </c>
      <c r="CI22" s="29">
        <f t="shared" ca="1" si="126"/>
        <v>15258.771436398234</v>
      </c>
      <c r="CJ22" s="29">
        <f t="shared" ca="1" si="127"/>
        <v>14203.625659778421</v>
      </c>
      <c r="CK22" s="29">
        <f t="shared" ca="1" si="128"/>
        <v>13660.299232734958</v>
      </c>
      <c r="CL22" s="29">
        <f t="shared" ca="1" si="129"/>
        <v>14745.505351466849</v>
      </c>
      <c r="CM22" s="29">
        <f t="shared" ca="1" si="130"/>
        <v>14402.272159052862</v>
      </c>
      <c r="CN22" s="29">
        <f t="shared" ca="1" si="131"/>
        <v>14312.549693171257</v>
      </c>
      <c r="CO22" s="29">
        <f t="shared" ca="1" si="132"/>
        <v>15735.833821379674</v>
      </c>
      <c r="CP22" s="29">
        <f t="shared" ca="1" si="133"/>
        <v>14230.60721183538</v>
      </c>
      <c r="CQ22" s="29">
        <f t="shared" ca="1" si="134"/>
        <v>13803.467952226576</v>
      </c>
      <c r="CR22" s="29">
        <f t="shared" ca="1" si="135"/>
        <v>13761.416153083952</v>
      </c>
      <c r="CS22" s="29">
        <f t="shared" ca="1" si="136"/>
        <v>13837.444929589259</v>
      </c>
      <c r="CT22" s="29">
        <f t="shared" ca="1" si="137"/>
        <v>14598.918529696875</v>
      </c>
      <c r="CU22" s="29">
        <f t="shared" ca="1" si="138"/>
        <v>13868.253005915099</v>
      </c>
      <c r="CV22" s="29">
        <f t="shared" ca="1" si="139"/>
        <v>14229.565429743727</v>
      </c>
      <c r="CW22" s="29">
        <f t="shared" ca="1" si="140"/>
        <v>14007.852440963057</v>
      </c>
      <c r="CX22" s="29">
        <f t="shared" ca="1" si="141"/>
        <v>13380.610690709958</v>
      </c>
      <c r="CY22" s="29">
        <f t="shared" ca="1" si="142"/>
        <v>14434.687756296491</v>
      </c>
      <c r="CZ22" s="29">
        <f t="shared" ca="1" si="143"/>
        <v>12861.355959720695</v>
      </c>
      <c r="DA22" s="29">
        <f t="shared" ca="1" si="144"/>
        <v>14753.468564037015</v>
      </c>
      <c r="DB22" s="29">
        <f t="shared" ca="1" si="145"/>
        <v>15678.854691146322</v>
      </c>
      <c r="DC22" s="29">
        <f t="shared" ca="1" si="146"/>
        <v>14991.634419190883</v>
      </c>
      <c r="DD22" s="29">
        <f t="shared" ca="1" si="147"/>
        <v>13201.469854452087</v>
      </c>
      <c r="DE22" s="29">
        <f t="shared" ca="1" si="148"/>
        <v>14941.317539048076</v>
      </c>
      <c r="DF22" s="29">
        <f t="shared" ca="1" si="149"/>
        <v>14003.006829007818</v>
      </c>
      <c r="DG22" s="29">
        <f t="shared" ca="1" si="150"/>
        <v>14766.686687961626</v>
      </c>
      <c r="DH22" s="29">
        <f t="shared" ca="1" si="151"/>
        <v>13766.69788529528</v>
      </c>
      <c r="DI22" s="29">
        <f t="shared" ca="1" si="152"/>
        <v>15167.706287753035</v>
      </c>
      <c r="DJ22" s="29">
        <f t="shared" ca="1" si="153"/>
        <v>15231.241266135588</v>
      </c>
      <c r="DK22" s="29">
        <f t="shared" ca="1" si="154"/>
        <v>13493.387368583937</v>
      </c>
      <c r="DL22" s="29">
        <f t="shared" ca="1" si="155"/>
        <v>14697.682808301459</v>
      </c>
      <c r="DM22" s="29">
        <f t="shared" ca="1" si="156"/>
        <v>13775.337352960925</v>
      </c>
      <c r="DN22" s="29">
        <f t="shared" ca="1" si="157"/>
        <v>14874.084394564856</v>
      </c>
      <c r="DO22" s="29">
        <f t="shared" ca="1" si="158"/>
        <v>13450.729353681358</v>
      </c>
      <c r="DP22" s="29">
        <f t="shared" ca="1" si="159"/>
        <v>14671.712557032466</v>
      </c>
      <c r="DQ22" s="29">
        <f t="shared" ca="1" si="160"/>
        <v>14562.848747776317</v>
      </c>
      <c r="DR22" s="29">
        <f t="shared" ca="1" si="161"/>
        <v>13149.837984238715</v>
      </c>
      <c r="DS22" s="29">
        <f t="shared" ca="1" si="162"/>
        <v>15472.764164316879</v>
      </c>
      <c r="DT22" s="29">
        <f t="shared" ca="1" si="163"/>
        <v>14442.60223459428</v>
      </c>
      <c r="DU22" s="29">
        <f t="shared" ca="1" si="164"/>
        <v>14376.539035518306</v>
      </c>
      <c r="DV22" s="29">
        <f t="shared" ca="1" si="165"/>
        <v>14241.606810280247</v>
      </c>
      <c r="DW22" s="29">
        <f t="shared" ca="1" si="166"/>
        <v>14555.936263347028</v>
      </c>
      <c r="DX22" s="29">
        <f t="shared" ca="1" si="167"/>
        <v>13757.58847307305</v>
      </c>
      <c r="DY22" s="29">
        <f t="shared" ca="1" si="168"/>
        <v>14236.396549026307</v>
      </c>
      <c r="DZ22" s="29">
        <f t="shared" ca="1" si="169"/>
        <v>14477.993274497165</v>
      </c>
      <c r="EA22" s="29">
        <f t="shared" ca="1" si="170"/>
        <v>14415.97977806675</v>
      </c>
      <c r="EB22" s="29">
        <f t="shared" ca="1" si="171"/>
        <v>13399.513214809529</v>
      </c>
      <c r="EC22" s="29">
        <f t="shared" ca="1" si="172"/>
        <v>14776.759537847583</v>
      </c>
      <c r="ED22" s="29">
        <f t="shared" ca="1" si="173"/>
        <v>15777.257789815731</v>
      </c>
      <c r="EE22" s="29">
        <f t="shared" ca="1" si="174"/>
        <v>13794.929239181572</v>
      </c>
      <c r="EF22" s="29">
        <f t="shared" ca="1" si="175"/>
        <v>15182.512854222112</v>
      </c>
      <c r="EG22" s="29">
        <f t="shared" ca="1" si="176"/>
        <v>14522.730147845305</v>
      </c>
      <c r="EH22" s="29">
        <f t="shared" ca="1" si="177"/>
        <v>13307.30159886084</v>
      </c>
      <c r="EI22" s="29">
        <f t="shared" ca="1" si="178"/>
        <v>13878.794578601228</v>
      </c>
      <c r="EJ22" s="29">
        <f t="shared" ca="1" si="179"/>
        <v>13769.222204016269</v>
      </c>
      <c r="EK22" s="29">
        <f t="shared" ca="1" si="180"/>
        <v>14439.252458686669</v>
      </c>
      <c r="EL22" s="29">
        <f t="shared" ca="1" si="181"/>
        <v>14948.765798327191</v>
      </c>
      <c r="EM22" s="29">
        <f t="shared" ca="1" si="182"/>
        <v>14218.024627835133</v>
      </c>
      <c r="EN22" s="29">
        <f t="shared" ca="1" si="183"/>
        <v>14929.710921141386</v>
      </c>
      <c r="EO22" s="29">
        <f t="shared" ca="1" si="184"/>
        <v>14273.967914693634</v>
      </c>
      <c r="EP22" s="29">
        <f t="shared" ca="1" si="185"/>
        <v>13824.14436796858</v>
      </c>
      <c r="EQ22" s="29">
        <f t="shared" ca="1" si="186"/>
        <v>15121.996922527132</v>
      </c>
      <c r="ER22" s="29">
        <f t="shared" ca="1" si="187"/>
        <v>13271.041053836167</v>
      </c>
      <c r="ES22" s="29">
        <f t="shared" ca="1" si="188"/>
        <v>14955.515940403542</v>
      </c>
      <c r="ET22" s="29">
        <f t="shared" ca="1" si="189"/>
        <v>14607.185683550508</v>
      </c>
      <c r="EU22" s="29">
        <f t="shared" ca="1" si="190"/>
        <v>14545.014054635009</v>
      </c>
      <c r="EV22" s="29">
        <f t="shared" ca="1" si="191"/>
        <v>15157.010975663761</v>
      </c>
      <c r="EW22" s="29">
        <f t="shared" ca="1" si="192"/>
        <v>13751.549432399179</v>
      </c>
      <c r="EX22" s="29">
        <f t="shared" ca="1" si="193"/>
        <v>14503.894762415523</v>
      </c>
      <c r="EY22" s="29">
        <f t="shared" ca="1" si="194"/>
        <v>14646.90178776235</v>
      </c>
      <c r="EZ22" s="29">
        <f t="shared" ca="1" si="195"/>
        <v>14443.40442190564</v>
      </c>
      <c r="FA22" s="29">
        <f t="shared" ca="1" si="196"/>
        <v>14862.40384688524</v>
      </c>
      <c r="FB22" s="29">
        <f t="shared" ca="1" si="197"/>
        <v>15317.225281782559</v>
      </c>
      <c r="FC22" s="29">
        <f t="shared" ca="1" si="198"/>
        <v>15512.174127020289</v>
      </c>
      <c r="FD22" s="29">
        <f t="shared" ca="1" si="199"/>
        <v>14548.308404457988</v>
      </c>
      <c r="FE22" s="29">
        <f t="shared" ca="1" si="200"/>
        <v>15431.152215386539</v>
      </c>
      <c r="FF22" s="29">
        <f t="shared" ca="1" si="201"/>
        <v>14689.540203917417</v>
      </c>
      <c r="FG22" s="29">
        <f t="shared" ca="1" si="202"/>
        <v>14078.718558203105</v>
      </c>
      <c r="FH22" s="29">
        <f t="shared" ca="1" si="203"/>
        <v>13972.540047867878</v>
      </c>
      <c r="FI22" s="29">
        <f t="shared" ca="1" si="204"/>
        <v>14312.015032282858</v>
      </c>
      <c r="FJ22" s="29">
        <f t="shared" ca="1" si="205"/>
        <v>14366.294264890663</v>
      </c>
      <c r="FK22" s="29">
        <f t="shared" ca="1" si="206"/>
        <v>15127.498172942267</v>
      </c>
      <c r="FL22" s="29">
        <f t="shared" ca="1" si="207"/>
        <v>14197.637519736856</v>
      </c>
      <c r="FM22" s="29">
        <f t="shared" ca="1" si="208"/>
        <v>14458.559845965035</v>
      </c>
      <c r="FN22" s="29">
        <f t="shared" ca="1" si="209"/>
        <v>13488.615581358941</v>
      </c>
      <c r="FO22" s="29">
        <f t="shared" ca="1" si="210"/>
        <v>14080.312654115238</v>
      </c>
      <c r="FP22" s="29">
        <f t="shared" ca="1" si="211"/>
        <v>14094.155359318138</v>
      </c>
      <c r="FQ22" s="29">
        <f t="shared" ca="1" si="212"/>
        <v>14205.099456427446</v>
      </c>
      <c r="FR22" s="29">
        <f t="shared" ca="1" si="213"/>
        <v>14726.281356117033</v>
      </c>
      <c r="FS22" s="29">
        <f t="shared" ca="1" si="214"/>
        <v>15242.984178059767</v>
      </c>
      <c r="FT22" s="29">
        <f t="shared" ca="1" si="215"/>
        <v>14732.509997761981</v>
      </c>
      <c r="FU22" s="29">
        <f t="shared" ca="1" si="216"/>
        <v>13803.783324824799</v>
      </c>
      <c r="FV22" s="29">
        <f t="shared" ca="1" si="217"/>
        <v>15274.049526385048</v>
      </c>
      <c r="FW22" s="29">
        <f t="shared" ca="1" si="218"/>
        <v>14001.097290306094</v>
      </c>
      <c r="FX22" s="29">
        <f t="shared" ca="1" si="219"/>
        <v>15441.184763729922</v>
      </c>
      <c r="FY22" s="29">
        <f t="shared" ca="1" si="220"/>
        <v>14432.006890087481</v>
      </c>
      <c r="FZ22" s="29">
        <f t="shared" ca="1" si="221"/>
        <v>13483.633658653638</v>
      </c>
      <c r="GA22" s="29">
        <f t="shared" ca="1" si="222"/>
        <v>13500.347466569267</v>
      </c>
      <c r="GB22" s="29">
        <f t="shared" ca="1" si="223"/>
        <v>15350.258414900627</v>
      </c>
      <c r="GC22" s="29">
        <f t="shared" ca="1" si="224"/>
        <v>15473.749226092297</v>
      </c>
      <c r="GD22" s="29">
        <f t="shared" ca="1" si="225"/>
        <v>14094.387935453531</v>
      </c>
      <c r="GE22" s="29">
        <f t="shared" ca="1" si="226"/>
        <v>14681.24501122177</v>
      </c>
      <c r="GF22" s="29">
        <f t="shared" ca="1" si="227"/>
        <v>13977.207687944971</v>
      </c>
      <c r="GG22" s="29">
        <f t="shared" ca="1" si="228"/>
        <v>14666.383267788196</v>
      </c>
      <c r="GH22" s="29">
        <f t="shared" ca="1" si="229"/>
        <v>14186.067329589967</v>
      </c>
      <c r="GI22" s="29">
        <f t="shared" ca="1" si="230"/>
        <v>14290.639984280831</v>
      </c>
      <c r="GJ22" s="29">
        <f t="shared" ca="1" si="231"/>
        <v>14711.695358722025</v>
      </c>
      <c r="GK22" s="29">
        <f t="shared" ca="1" si="232"/>
        <v>14532.770541741149</v>
      </c>
      <c r="GL22" s="29">
        <f t="shared" ca="1" si="233"/>
        <v>14028.468678380172</v>
      </c>
      <c r="GM22" s="29">
        <f t="shared" ca="1" si="234"/>
        <v>14199.777184220024</v>
      </c>
      <c r="GN22" s="29">
        <f t="shared" ca="1" si="235"/>
        <v>14044.105678601007</v>
      </c>
      <c r="GO22" s="29">
        <f t="shared" ca="1" si="236"/>
        <v>13397.681174476966</v>
      </c>
      <c r="GP22" s="29">
        <f t="shared" ca="1" si="237"/>
        <v>15320.140203625722</v>
      </c>
      <c r="GQ22" s="29">
        <f t="shared" ca="1" si="238"/>
        <v>14454.634154558385</v>
      </c>
      <c r="GR22" s="29">
        <f t="shared" ca="1" si="239"/>
        <v>13951.586051567143</v>
      </c>
      <c r="GS22" s="29">
        <f t="shared" ca="1" si="240"/>
        <v>15211.238599754408</v>
      </c>
      <c r="GT22" s="29">
        <f t="shared" ca="1" si="241"/>
        <v>14133.287922609848</v>
      </c>
      <c r="GU22" s="29">
        <f t="shared" ca="1" si="242"/>
        <v>13568.633851435763</v>
      </c>
      <c r="GV22" s="29">
        <f t="shared" ca="1" si="243"/>
        <v>15414.353943649248</v>
      </c>
      <c r="GW22" s="29">
        <f t="shared" ca="1" si="244"/>
        <v>13543.928482568401</v>
      </c>
      <c r="GX22" s="29">
        <f t="shared" ca="1" si="245"/>
        <v>14740.922885206795</v>
      </c>
      <c r="GY22" s="29">
        <f t="shared" ca="1" si="246"/>
        <v>14537.637547316976</v>
      </c>
      <c r="GZ22" s="29">
        <f t="shared" ca="1" si="247"/>
        <v>14720.819104827397</v>
      </c>
      <c r="HA22" s="29">
        <f t="shared" ca="1" si="248"/>
        <v>15053.476617926481</v>
      </c>
      <c r="HB22" s="29">
        <f t="shared" ca="1" si="249"/>
        <v>14304.0597544025</v>
      </c>
      <c r="HC22" s="29">
        <f t="shared" ca="1" si="250"/>
        <v>15135.548482531647</v>
      </c>
      <c r="HD22" s="29">
        <f t="shared" ca="1" si="251"/>
        <v>13366.380733535329</v>
      </c>
      <c r="HE22" s="29">
        <f t="shared" ca="1" si="252"/>
        <v>14976.262563151455</v>
      </c>
      <c r="HF22" s="29">
        <f t="shared" ca="1" si="253"/>
        <v>13573.321537132908</v>
      </c>
      <c r="HG22" s="29">
        <f t="shared" ca="1" si="254"/>
        <v>14100.967144300799</v>
      </c>
      <c r="HH22" s="29">
        <f t="shared" ca="1" si="255"/>
        <v>13328.244121358191</v>
      </c>
      <c r="HI22" s="29">
        <f t="shared" ca="1" si="256"/>
        <v>13747.650382905314</v>
      </c>
      <c r="HJ22" s="29">
        <f t="shared" ca="1" si="257"/>
        <v>13761.923539330512</v>
      </c>
      <c r="HK22" s="29">
        <f t="shared" ca="1" si="258"/>
        <v>15043.839558155294</v>
      </c>
      <c r="HL22" s="29">
        <f t="shared" ca="1" si="259"/>
        <v>15418.673503116481</v>
      </c>
      <c r="HM22" s="29">
        <f t="shared" ca="1" si="260"/>
        <v>14323.304544443996</v>
      </c>
      <c r="HN22" s="29">
        <f t="shared" ca="1" si="261"/>
        <v>13107.210907228673</v>
      </c>
      <c r="HO22" s="29">
        <f t="shared" ca="1" si="262"/>
        <v>15356.854358945018</v>
      </c>
      <c r="HP22" s="29">
        <f t="shared" ca="1" si="263"/>
        <v>14301.977610924165</v>
      </c>
      <c r="HQ22" s="29">
        <f t="shared" ca="1" si="264"/>
        <v>14268.293563485415</v>
      </c>
      <c r="HR22" s="29">
        <f t="shared" ca="1" si="265"/>
        <v>15184.182418966882</v>
      </c>
      <c r="HS22" s="29">
        <f t="shared" ca="1" si="266"/>
        <v>14492.612099236449</v>
      </c>
      <c r="HT22" s="29">
        <f t="shared" ca="1" si="267"/>
        <v>14659.909074648936</v>
      </c>
      <c r="HU22" s="29">
        <f t="shared" ca="1" si="268"/>
        <v>14388.705076266273</v>
      </c>
      <c r="HV22" s="29">
        <f t="shared" ca="1" si="269"/>
        <v>14632.560668281652</v>
      </c>
      <c r="HW22" s="29">
        <f t="shared" ca="1" si="270"/>
        <v>15050.080887614975</v>
      </c>
      <c r="HX22" s="29">
        <f t="shared" ca="1" si="271"/>
        <v>14479.630170842423</v>
      </c>
      <c r="HY22" s="29">
        <f t="shared" ca="1" si="272"/>
        <v>14593.115292110268</v>
      </c>
      <c r="HZ22" s="29">
        <f t="shared" ca="1" si="273"/>
        <v>13481.855379198811</v>
      </c>
      <c r="IA22" s="29">
        <f t="shared" ca="1" si="274"/>
        <v>14863.37329114149</v>
      </c>
      <c r="IB22" s="29">
        <f t="shared" ca="1" si="275"/>
        <v>15191.035966777546</v>
      </c>
      <c r="IC22" s="29">
        <f t="shared" ca="1" si="276"/>
        <v>13272.954345906761</v>
      </c>
      <c r="ID22" s="29">
        <f t="shared" ca="1" si="277"/>
        <v>14199.313154538146</v>
      </c>
      <c r="IE22" s="29">
        <f t="shared" ca="1" si="278"/>
        <v>12873.894190448638</v>
      </c>
      <c r="IF22" s="29">
        <f t="shared" ca="1" si="279"/>
        <v>15033.110601371593</v>
      </c>
      <c r="IG22" s="29">
        <f t="shared" ca="1" si="280"/>
        <v>13738.068939753608</v>
      </c>
      <c r="IH22" s="29">
        <f t="shared" ca="1" si="281"/>
        <v>14297.266061866612</v>
      </c>
      <c r="II22" s="29">
        <f t="shared" ca="1" si="282"/>
        <v>14565.883711680282</v>
      </c>
      <c r="IJ22" s="29">
        <f t="shared" ca="1" si="283"/>
        <v>14563.326802122545</v>
      </c>
      <c r="IK22" s="29">
        <f t="shared" ca="1" si="284"/>
        <v>14084.098329246615</v>
      </c>
      <c r="IL22" s="29">
        <f t="shared" ca="1" si="285"/>
        <v>16153.096429695997</v>
      </c>
      <c r="IM22" s="29">
        <f t="shared" ca="1" si="286"/>
        <v>13421.644383418916</v>
      </c>
      <c r="IN22" s="29">
        <f t="shared" ca="1" si="287"/>
        <v>15215.069846460387</v>
      </c>
      <c r="IO22" s="29">
        <f t="shared" ca="1" si="288"/>
        <v>14833.771944440277</v>
      </c>
      <c r="IP22" s="29">
        <f t="shared" ca="1" si="289"/>
        <v>14312.297350000774</v>
      </c>
      <c r="IQ22" s="29">
        <f t="shared" ca="1" si="290"/>
        <v>13410.205329575914</v>
      </c>
      <c r="IR22" s="29">
        <f t="shared" ca="1" si="291"/>
        <v>14402.615140504358</v>
      </c>
      <c r="IS22" s="29">
        <f t="shared" ca="1" si="292"/>
        <v>13599.0961535282</v>
      </c>
      <c r="IT22" s="29">
        <f t="shared" ca="1" si="293"/>
        <v>15606.544951599444</v>
      </c>
      <c r="IU22" s="29">
        <f t="shared" ca="1" si="294"/>
        <v>15558.139107502588</v>
      </c>
      <c r="IV22" s="29">
        <f t="shared" ca="1" si="295"/>
        <v>14057.633684667635</v>
      </c>
      <c r="IW22" s="29">
        <f t="shared" ca="1" si="296"/>
        <v>14933.541785310046</v>
      </c>
      <c r="IX22" s="29">
        <f t="shared" ca="1" si="297"/>
        <v>15752.804434100495</v>
      </c>
      <c r="IY22" s="29">
        <f t="shared" ca="1" si="298"/>
        <v>14262.728262535624</v>
      </c>
      <c r="IZ22" s="29">
        <f t="shared" ca="1" si="299"/>
        <v>13821.808315741917</v>
      </c>
      <c r="JA22" s="29">
        <f t="shared" ca="1" si="300"/>
        <v>14362.23047945596</v>
      </c>
      <c r="JB22" s="29">
        <f t="shared" ca="1" si="301"/>
        <v>13857.532633377776</v>
      </c>
      <c r="JC22" s="29">
        <f t="shared" ca="1" si="302"/>
        <v>14243.793735504583</v>
      </c>
      <c r="JD22" s="29">
        <f t="shared" ca="1" si="303"/>
        <v>14320.225912043263</v>
      </c>
      <c r="JE22" s="29">
        <f t="shared" ca="1" si="304"/>
        <v>13741.172484836508</v>
      </c>
      <c r="JF22" s="29">
        <f t="shared" ca="1" si="305"/>
        <v>14372.098439024356</v>
      </c>
      <c r="JG22" s="29">
        <f t="shared" ca="1" si="306"/>
        <v>13412.881439540097</v>
      </c>
      <c r="JH22" s="29">
        <f t="shared" ca="1" si="307"/>
        <v>14423.386859081462</v>
      </c>
      <c r="JI22" s="29">
        <f t="shared" ca="1" si="308"/>
        <v>14044.224396089376</v>
      </c>
      <c r="JJ22" s="29">
        <f t="shared" ca="1" si="309"/>
        <v>15216.625325299472</v>
      </c>
      <c r="JK22" s="29">
        <f t="shared" ca="1" si="310"/>
        <v>14514.035850171233</v>
      </c>
      <c r="JL22" s="29">
        <f t="shared" ca="1" si="311"/>
        <v>15213.881760666745</v>
      </c>
      <c r="JM22" s="29">
        <f t="shared" ca="1" si="312"/>
        <v>13292.456846892561</v>
      </c>
      <c r="JN22" s="29">
        <f t="shared" ca="1" si="313"/>
        <v>14972.016234588336</v>
      </c>
      <c r="JO22" s="29">
        <f t="shared" ca="1" si="314"/>
        <v>15631.641702623443</v>
      </c>
      <c r="JP22" s="29">
        <f t="shared" ca="1" si="315"/>
        <v>14794.407285982916</v>
      </c>
      <c r="JQ22" s="29">
        <f t="shared" ca="1" si="316"/>
        <v>13829.698481584881</v>
      </c>
      <c r="JR22" s="29">
        <f t="shared" ca="1" si="317"/>
        <v>14164.652636331306</v>
      </c>
      <c r="JS22" s="29">
        <f t="shared" ca="1" si="318"/>
        <v>15664.691372024612</v>
      </c>
      <c r="JT22" s="29">
        <f t="shared" ca="1" si="319"/>
        <v>14571.74792629976</v>
      </c>
      <c r="JU22" s="29">
        <f t="shared" ca="1" si="320"/>
        <v>14503.697333730059</v>
      </c>
      <c r="JV22" s="29">
        <f t="shared" ca="1" si="321"/>
        <v>13905.942749735055</v>
      </c>
      <c r="JW22" s="29">
        <f t="shared" ca="1" si="322"/>
        <v>14747.634388883356</v>
      </c>
      <c r="JX22" s="29">
        <f t="shared" ca="1" si="323"/>
        <v>14964.198081209302</v>
      </c>
      <c r="JY22" s="29">
        <f t="shared" ca="1" si="324"/>
        <v>14433.685232424008</v>
      </c>
      <c r="JZ22" s="29">
        <f t="shared" ca="1" si="325"/>
        <v>15180.624672549153</v>
      </c>
      <c r="KA22" s="29">
        <f t="shared" ca="1" si="326"/>
        <v>14696.517168485667</v>
      </c>
      <c r="KB22" s="29">
        <f t="shared" ca="1" si="327"/>
        <v>13033.789827654557</v>
      </c>
      <c r="KC22" s="29">
        <f t="shared" ca="1" si="328"/>
        <v>14110.719506831421</v>
      </c>
      <c r="KD22" s="29">
        <f t="shared" ca="1" si="329"/>
        <v>13938.922679495814</v>
      </c>
      <c r="KE22" s="29">
        <f t="shared" ca="1" si="330"/>
        <v>16320.198275123468</v>
      </c>
      <c r="KF22" s="29">
        <f t="shared" ca="1" si="331"/>
        <v>14876.37847002634</v>
      </c>
      <c r="KG22" s="29">
        <f t="shared" ca="1" si="332"/>
        <v>14399.409016287249</v>
      </c>
      <c r="KH22" s="29">
        <f t="shared" ca="1" si="333"/>
        <v>14198.049014138629</v>
      </c>
      <c r="KI22" s="29">
        <f t="shared" ca="1" si="334"/>
        <v>13608.480092042142</v>
      </c>
      <c r="KJ22" s="29">
        <f t="shared" ca="1" si="335"/>
        <v>14706.187342800078</v>
      </c>
      <c r="KK22" s="29">
        <f t="shared" ca="1" si="336"/>
        <v>13961.659332419253</v>
      </c>
      <c r="KL22" s="29">
        <f t="shared" ca="1" si="337"/>
        <v>14322.070807393504</v>
      </c>
      <c r="KM22" s="29">
        <f t="shared" ca="1" si="338"/>
        <v>15522.470951589197</v>
      </c>
      <c r="KN22" s="29">
        <f t="shared" ca="1" si="339"/>
        <v>14081.798155638084</v>
      </c>
      <c r="KO22" s="29">
        <f t="shared" ca="1" si="340"/>
        <v>14455.019001020935</v>
      </c>
      <c r="KP22" s="29">
        <f t="shared" ca="1" si="341"/>
        <v>14409.803141169041</v>
      </c>
      <c r="KQ22" s="29">
        <f t="shared" ca="1" si="342"/>
        <v>13967.933178162832</v>
      </c>
      <c r="KR22" s="29">
        <f t="shared" ca="1" si="343"/>
        <v>13650.076245252209</v>
      </c>
      <c r="KS22" s="29">
        <f t="shared" ca="1" si="344"/>
        <v>13412.943280994454</v>
      </c>
      <c r="KT22" s="29">
        <f t="shared" ca="1" si="345"/>
        <v>14131.982302337308</v>
      </c>
      <c r="KU22" s="29">
        <f t="shared" ca="1" si="346"/>
        <v>13566.682250430547</v>
      </c>
      <c r="KV22" s="29">
        <f t="shared" ca="1" si="347"/>
        <v>14443.328966047451</v>
      </c>
      <c r="KW22" s="29">
        <f t="shared" ca="1" si="348"/>
        <v>14710.258607191668</v>
      </c>
      <c r="KX22" s="29">
        <f t="shared" ca="1" si="349"/>
        <v>13506.203832662868</v>
      </c>
      <c r="KY22" s="29">
        <f t="shared" ca="1" si="350"/>
        <v>14685.164568800503</v>
      </c>
      <c r="KZ22" s="29">
        <f t="shared" ca="1" si="351"/>
        <v>15442.592060275972</v>
      </c>
      <c r="LA22" s="29">
        <f t="shared" ca="1" si="352"/>
        <v>14773.050858383305</v>
      </c>
      <c r="LB22" s="29">
        <f t="shared" ca="1" si="353"/>
        <v>14104.959042038279</v>
      </c>
      <c r="LC22" s="29">
        <f t="shared" ca="1" si="354"/>
        <v>14120.101871567651</v>
      </c>
      <c r="LD22" s="29">
        <f t="shared" ca="1" si="355"/>
        <v>13806.984618965222</v>
      </c>
      <c r="LE22" s="29">
        <f t="shared" ca="1" si="356"/>
        <v>14177.087901951587</v>
      </c>
      <c r="LF22" s="29">
        <f t="shared" ca="1" si="357"/>
        <v>14400.564771178531</v>
      </c>
      <c r="LG22" s="29">
        <f t="shared" ca="1" si="358"/>
        <v>14432.227959914988</v>
      </c>
      <c r="LH22" s="29">
        <f t="shared" ca="1" si="359"/>
        <v>13301.351847294534</v>
      </c>
      <c r="LI22" s="29">
        <f t="shared" ca="1" si="360"/>
        <v>13990.912744370304</v>
      </c>
      <c r="LJ22" s="29">
        <f t="shared" ca="1" si="361"/>
        <v>14597.316087666892</v>
      </c>
      <c r="LK22" s="29">
        <f t="shared" ca="1" si="362"/>
        <v>14491.457077236895</v>
      </c>
      <c r="LL22" s="29">
        <f t="shared" ca="1" si="363"/>
        <v>15260.760837223999</v>
      </c>
      <c r="LM22" s="29">
        <f t="shared" ca="1" si="364"/>
        <v>14962.921680918405</v>
      </c>
      <c r="LN22" s="29">
        <f t="shared" ca="1" si="365"/>
        <v>15258.842145145652</v>
      </c>
      <c r="LO22" s="29">
        <f t="shared" ca="1" si="366"/>
        <v>14595.56662767753</v>
      </c>
      <c r="LP22" s="29">
        <f t="shared" ca="1" si="367"/>
        <v>14902.117039219582</v>
      </c>
      <c r="LQ22" s="29">
        <f t="shared" ca="1" si="368"/>
        <v>15719.212006656846</v>
      </c>
      <c r="LR22" s="29">
        <f t="shared" ca="1" si="369"/>
        <v>14047.016848771236</v>
      </c>
      <c r="LS22" s="29">
        <f t="shared" ca="1" si="370"/>
        <v>13865.11237505489</v>
      </c>
      <c r="LT22" s="29">
        <f t="shared" ca="1" si="371"/>
        <v>14835.029954192209</v>
      </c>
      <c r="LU22" s="29">
        <f t="shared" ca="1" si="372"/>
        <v>14493.046150334394</v>
      </c>
      <c r="LV22" s="29">
        <f t="shared" ca="1" si="373"/>
        <v>14222.639207454175</v>
      </c>
      <c r="LW22" s="29">
        <f t="shared" ca="1" si="374"/>
        <v>13953.356392504589</v>
      </c>
      <c r="LX22" s="29">
        <f t="shared" ca="1" si="375"/>
        <v>15240.279165167412</v>
      </c>
      <c r="LY22" s="29">
        <f t="shared" ca="1" si="376"/>
        <v>15552.902463101993</v>
      </c>
      <c r="LZ22" s="29">
        <f t="shared" ca="1" si="377"/>
        <v>14717.143278917669</v>
      </c>
      <c r="MA22" s="29">
        <f t="shared" ca="1" si="378"/>
        <v>13946.397850673997</v>
      </c>
      <c r="MB22" s="29">
        <f t="shared" ca="1" si="379"/>
        <v>13998.246802608421</v>
      </c>
      <c r="MC22" s="29">
        <f t="shared" ca="1" si="380"/>
        <v>15033.328014673349</v>
      </c>
      <c r="MD22" s="29">
        <f t="shared" ca="1" si="381"/>
        <v>15091.99061428767</v>
      </c>
      <c r="ME22" s="29">
        <f t="shared" ca="1" si="382"/>
        <v>13204.734242700022</v>
      </c>
      <c r="MF22" s="29">
        <f t="shared" ca="1" si="383"/>
        <v>15103.831183086648</v>
      </c>
      <c r="MG22" s="29">
        <f t="shared" ca="1" si="384"/>
        <v>14119.764207259095</v>
      </c>
      <c r="MH22" s="29">
        <f t="shared" ca="1" si="385"/>
        <v>14136.027993042228</v>
      </c>
      <c r="MI22" s="29">
        <f t="shared" ca="1" si="386"/>
        <v>15848.717672676808</v>
      </c>
      <c r="MJ22" s="29">
        <f t="shared" ca="1" si="387"/>
        <v>15335.352862630882</v>
      </c>
      <c r="MK22" s="29">
        <f t="shared" ca="1" si="388"/>
        <v>14402.345049126305</v>
      </c>
      <c r="ML22" s="29">
        <f t="shared" ca="1" si="389"/>
        <v>15697.271673962165</v>
      </c>
      <c r="MM22" s="29">
        <f t="shared" ca="1" si="390"/>
        <v>16221.971384275315</v>
      </c>
      <c r="MN22" s="29">
        <f t="shared" ca="1" si="391"/>
        <v>13781.421749396541</v>
      </c>
      <c r="MO22" s="29">
        <f t="shared" ca="1" si="392"/>
        <v>13463.99357842515</v>
      </c>
      <c r="MP22" s="29">
        <f t="shared" ca="1" si="393"/>
        <v>14249.928541475223</v>
      </c>
      <c r="MQ22" s="29">
        <f t="shared" ca="1" si="394"/>
        <v>15013.37265183122</v>
      </c>
      <c r="MR22" s="29">
        <f t="shared" ca="1" si="395"/>
        <v>14104.937330888408</v>
      </c>
      <c r="MS22" s="29">
        <f t="shared" ca="1" si="396"/>
        <v>13310.760944972702</v>
      </c>
      <c r="MT22" s="29">
        <f t="shared" ca="1" si="397"/>
        <v>14769.179300883863</v>
      </c>
      <c r="MU22" s="29">
        <f t="shared" ca="1" si="398"/>
        <v>14448.857442433798</v>
      </c>
      <c r="MV22" s="29">
        <f t="shared" ca="1" si="399"/>
        <v>13953.6187113585</v>
      </c>
      <c r="MW22" s="29">
        <f t="shared" ca="1" si="400"/>
        <v>15386.550580895821</v>
      </c>
      <c r="MX22" s="29">
        <f t="shared" ca="1" si="401"/>
        <v>14760.300616281273</v>
      </c>
      <c r="MY22" s="29">
        <f t="shared" ca="1" si="402"/>
        <v>14261.197930244036</v>
      </c>
      <c r="MZ22" s="29">
        <f t="shared" ca="1" si="403"/>
        <v>15873.244510740387</v>
      </c>
      <c r="NA22" s="29">
        <f t="shared" ca="1" si="404"/>
        <v>14563.962255540937</v>
      </c>
      <c r="NB22" s="29">
        <f t="shared" ca="1" si="405"/>
        <v>15433.491356576817</v>
      </c>
      <c r="NC22" s="29">
        <f t="shared" ca="1" si="406"/>
        <v>13122.931582844056</v>
      </c>
      <c r="ND22" s="29">
        <f t="shared" ca="1" si="407"/>
        <v>14583.254462355819</v>
      </c>
      <c r="NE22" s="29">
        <f t="shared" ca="1" si="408"/>
        <v>14337.316572021415</v>
      </c>
      <c r="NF22" s="29">
        <f t="shared" ca="1" si="409"/>
        <v>14324.023773821084</v>
      </c>
      <c r="NG22" s="29">
        <f t="shared" ca="1" si="410"/>
        <v>13839.997738213504</v>
      </c>
      <c r="NH22" s="29">
        <f t="shared" ca="1" si="411"/>
        <v>14193.583182382894</v>
      </c>
      <c r="NI22" s="29">
        <f t="shared" ca="1" si="412"/>
        <v>14307.16728155145</v>
      </c>
      <c r="NJ22" s="29">
        <f t="shared" ca="1" si="413"/>
        <v>14493.072461217213</v>
      </c>
      <c r="NK22" s="29">
        <f t="shared" ca="1" si="414"/>
        <v>14404.070730262674</v>
      </c>
      <c r="NL22" s="29">
        <f t="shared" ca="1" si="415"/>
        <v>13657.151890513944</v>
      </c>
      <c r="NM22" s="29">
        <f t="shared" ca="1" si="416"/>
        <v>14115.860463194405</v>
      </c>
      <c r="NN22" s="29">
        <f t="shared" ca="1" si="417"/>
        <v>14238.581673501165</v>
      </c>
      <c r="NO22" s="29">
        <f t="shared" ca="1" si="418"/>
        <v>14871.211376743422</v>
      </c>
      <c r="NP22" s="29">
        <f t="shared" ca="1" si="419"/>
        <v>13922.189943720228</v>
      </c>
      <c r="NQ22" s="29">
        <f t="shared" ca="1" si="420"/>
        <v>15751.718013471705</v>
      </c>
      <c r="NR22" s="29">
        <f t="shared" ca="1" si="421"/>
        <v>15492.609275457657</v>
      </c>
      <c r="NS22" s="29">
        <f t="shared" ca="1" si="422"/>
        <v>13479.635499145081</v>
      </c>
      <c r="NT22" s="29">
        <f t="shared" ca="1" si="423"/>
        <v>14496.106217768987</v>
      </c>
      <c r="NU22" s="29">
        <f t="shared" ca="1" si="424"/>
        <v>14688.001355027774</v>
      </c>
      <c r="NV22" s="29">
        <f t="shared" ca="1" si="425"/>
        <v>14359.760614211522</v>
      </c>
      <c r="NW22" s="29">
        <f t="shared" ca="1" si="426"/>
        <v>13764.434091689614</v>
      </c>
      <c r="NX22" s="29">
        <f t="shared" ca="1" si="427"/>
        <v>14402.131659181334</v>
      </c>
      <c r="NY22" s="29">
        <f t="shared" ca="1" si="428"/>
        <v>14839.545518169898</v>
      </c>
      <c r="NZ22" s="29">
        <f t="shared" ca="1" si="429"/>
        <v>13878.881847644416</v>
      </c>
      <c r="OA22" s="29">
        <f t="shared" ca="1" si="430"/>
        <v>14012.202893913905</v>
      </c>
      <c r="OB22" s="29">
        <f t="shared" ca="1" si="431"/>
        <v>15465.196285422629</v>
      </c>
      <c r="OC22" s="29">
        <f t="shared" ca="1" si="432"/>
        <v>15036.520514903221</v>
      </c>
      <c r="OD22" s="29">
        <f t="shared" ca="1" si="433"/>
        <v>15236.629733856757</v>
      </c>
      <c r="OE22" s="29">
        <f t="shared" ca="1" si="434"/>
        <v>15018.507948726465</v>
      </c>
      <c r="OF22" s="29">
        <f t="shared" ca="1" si="435"/>
        <v>14202.497756138973</v>
      </c>
      <c r="OG22" s="29">
        <f t="shared" ca="1" si="436"/>
        <v>15100.297554388739</v>
      </c>
      <c r="OH22" s="29">
        <f t="shared" ca="1" si="437"/>
        <v>15675.948308298513</v>
      </c>
      <c r="OI22" s="29">
        <f t="shared" ca="1" si="438"/>
        <v>14229.620570754079</v>
      </c>
      <c r="OJ22" s="29">
        <f t="shared" ca="1" si="439"/>
        <v>15101.53407449286</v>
      </c>
      <c r="OK22" s="29">
        <f t="shared" ca="1" si="440"/>
        <v>14157.00338995427</v>
      </c>
      <c r="OL22" s="29">
        <f t="shared" ca="1" si="441"/>
        <v>15081.146207429925</v>
      </c>
      <c r="OM22" s="29">
        <f t="shared" ca="1" si="442"/>
        <v>12988.048503837577</v>
      </c>
      <c r="ON22" s="29">
        <f t="shared" ca="1" si="443"/>
        <v>15033.119492676886</v>
      </c>
      <c r="OO22" s="29">
        <f t="shared" ca="1" si="444"/>
        <v>13906.377328485749</v>
      </c>
      <c r="OP22" s="29">
        <f t="shared" ca="1" si="445"/>
        <v>15668.639239476019</v>
      </c>
      <c r="OQ22" s="29">
        <f t="shared" ca="1" si="446"/>
        <v>13891.680777318619</v>
      </c>
      <c r="OR22" s="29">
        <f t="shared" ca="1" si="447"/>
        <v>13826.824367909801</v>
      </c>
      <c r="OS22" s="29">
        <f t="shared" ca="1" si="448"/>
        <v>12955.294494687603</v>
      </c>
      <c r="OT22" s="29">
        <f t="shared" ca="1" si="449"/>
        <v>14503.6597762155</v>
      </c>
      <c r="OU22" s="29">
        <f t="shared" ca="1" si="450"/>
        <v>13813.571822490119</v>
      </c>
      <c r="OV22" s="29">
        <f t="shared" ca="1" si="451"/>
        <v>15635.338693017344</v>
      </c>
      <c r="OW22" s="29">
        <f t="shared" ca="1" si="452"/>
        <v>15066.417713796873</v>
      </c>
      <c r="OX22" s="29">
        <f t="shared" ca="1" si="453"/>
        <v>15318.015426873086</v>
      </c>
      <c r="OY22" s="29">
        <f t="shared" ca="1" si="454"/>
        <v>14980.619141691346</v>
      </c>
      <c r="OZ22" s="29">
        <f t="shared" ca="1" si="455"/>
        <v>14232.260916884336</v>
      </c>
      <c r="PA22" s="29">
        <f t="shared" ca="1" si="456"/>
        <v>15201.296918781434</v>
      </c>
      <c r="PB22" s="29">
        <f t="shared" ca="1" si="457"/>
        <v>13885.644238046831</v>
      </c>
      <c r="PC22" s="29">
        <f t="shared" ca="1" si="458"/>
        <v>14529.300490910546</v>
      </c>
      <c r="PD22" s="29">
        <f t="shared" ca="1" si="459"/>
        <v>14814.263221965288</v>
      </c>
      <c r="PE22" s="29">
        <f t="shared" ca="1" si="460"/>
        <v>14018.377213557351</v>
      </c>
      <c r="PF22" s="29">
        <f t="shared" ca="1" si="461"/>
        <v>14204.549136982681</v>
      </c>
      <c r="PG22" s="29">
        <f t="shared" ca="1" si="462"/>
        <v>14441.066948872438</v>
      </c>
      <c r="PH22" s="29">
        <f t="shared" ca="1" si="463"/>
        <v>15022.0260246044</v>
      </c>
      <c r="PI22" s="29">
        <f t="shared" ca="1" si="464"/>
        <v>13864.716960115875</v>
      </c>
      <c r="PJ22" s="29">
        <f t="shared" ca="1" si="465"/>
        <v>14777.479679300168</v>
      </c>
      <c r="PK22" s="29">
        <f t="shared" ca="1" si="466"/>
        <v>14017.908628025996</v>
      </c>
      <c r="PL22" s="29">
        <f t="shared" ca="1" si="467"/>
        <v>13535.984157799039</v>
      </c>
      <c r="PM22" s="29">
        <f t="shared" ca="1" si="468"/>
        <v>13416.679954885303</v>
      </c>
      <c r="PN22" s="29">
        <f t="shared" ca="1" si="469"/>
        <v>13581.084447935082</v>
      </c>
      <c r="PO22" s="29">
        <f t="shared" ca="1" si="470"/>
        <v>15233.397536913302</v>
      </c>
      <c r="PP22" s="29">
        <f t="shared" ca="1" si="471"/>
        <v>13400.571655189833</v>
      </c>
      <c r="PQ22" s="29">
        <f t="shared" ca="1" si="472"/>
        <v>15921.249389286935</v>
      </c>
      <c r="PR22" s="29">
        <f t="shared" ca="1" si="473"/>
        <v>13641.076437402458</v>
      </c>
      <c r="PS22" s="29">
        <f t="shared" ca="1" si="474"/>
        <v>15408.164000001529</v>
      </c>
      <c r="PT22" s="29">
        <f t="shared" ca="1" si="475"/>
        <v>14232.939807164543</v>
      </c>
      <c r="PU22" s="29">
        <f t="shared" ca="1" si="476"/>
        <v>14339.924469238009</v>
      </c>
      <c r="PV22" s="29">
        <f t="shared" ca="1" si="477"/>
        <v>14989.178504698297</v>
      </c>
      <c r="PW22" s="29">
        <f t="shared" ca="1" si="478"/>
        <v>13877.711135413536</v>
      </c>
      <c r="PX22" s="29">
        <f t="shared" ca="1" si="479"/>
        <v>14085.725411115782</v>
      </c>
      <c r="PY22" s="29">
        <f t="shared" ca="1" si="480"/>
        <v>13682.657952025875</v>
      </c>
      <c r="PZ22" s="29">
        <f t="shared" ca="1" si="481"/>
        <v>13201.591232976489</v>
      </c>
      <c r="QA22" s="29">
        <f t="shared" ca="1" si="482"/>
        <v>14477.990791177273</v>
      </c>
      <c r="QB22" s="29">
        <f t="shared" ca="1" si="483"/>
        <v>13598.722478877698</v>
      </c>
      <c r="QC22" s="29">
        <f t="shared" ca="1" si="484"/>
        <v>13974.875727209706</v>
      </c>
      <c r="QD22" s="29">
        <f t="shared" ca="1" si="485"/>
        <v>14014.060548023266</v>
      </c>
      <c r="QE22" s="29">
        <f t="shared" ca="1" si="486"/>
        <v>15300.86842257745</v>
      </c>
      <c r="QF22" s="29">
        <f t="shared" ca="1" si="487"/>
        <v>14575.285996280507</v>
      </c>
      <c r="QG22" s="29">
        <f t="shared" ca="1" si="488"/>
        <v>15030.361755978407</v>
      </c>
      <c r="QH22" s="29">
        <f t="shared" ca="1" si="489"/>
        <v>16108.38584949046</v>
      </c>
      <c r="QI22" s="29">
        <f t="shared" ca="1" si="490"/>
        <v>15232.496731203686</v>
      </c>
      <c r="QJ22" s="29">
        <f t="shared" ca="1" si="491"/>
        <v>14209.4403594299</v>
      </c>
      <c r="QK22" s="29">
        <f t="shared" ca="1" si="492"/>
        <v>15046.455658750767</v>
      </c>
      <c r="QL22" s="29">
        <f t="shared" ca="1" si="493"/>
        <v>13701.254562072161</v>
      </c>
      <c r="QM22" s="29">
        <f t="shared" ca="1" si="494"/>
        <v>14205.157890369343</v>
      </c>
      <c r="QN22" s="29">
        <f t="shared" ca="1" si="495"/>
        <v>15144.298788235272</v>
      </c>
      <c r="QO22" s="29">
        <f t="shared" ca="1" si="496"/>
        <v>14031.868688105456</v>
      </c>
      <c r="QP22" s="29">
        <f t="shared" ca="1" si="497"/>
        <v>14346.765709079024</v>
      </c>
      <c r="QQ22" s="29">
        <f t="shared" ca="1" si="498"/>
        <v>14811.41076283962</v>
      </c>
      <c r="QR22" s="29">
        <f t="shared" ca="1" si="499"/>
        <v>15311.913468386147</v>
      </c>
      <c r="QS22" s="29">
        <f t="shared" ca="1" si="500"/>
        <v>13784.618911088726</v>
      </c>
      <c r="QT22" s="29">
        <f t="shared" ca="1" si="501"/>
        <v>15698.214794354353</v>
      </c>
      <c r="QU22" s="29">
        <f t="shared" ca="1" si="502"/>
        <v>15043.027922129417</v>
      </c>
      <c r="QV22" s="29">
        <f t="shared" ca="1" si="503"/>
        <v>13908.341004309375</v>
      </c>
      <c r="QW22" s="29">
        <f t="shared" ca="1" si="504"/>
        <v>14962.456686327281</v>
      </c>
      <c r="QX22" s="29">
        <f t="shared" ca="1" si="505"/>
        <v>15095.518289393243</v>
      </c>
      <c r="QY22" s="29">
        <f t="shared" ca="1" si="506"/>
        <v>14922.223778168784</v>
      </c>
      <c r="QZ22" s="29">
        <f t="shared" ca="1" si="507"/>
        <v>14371.883152332239</v>
      </c>
      <c r="RA22" s="29">
        <f t="shared" ca="1" si="508"/>
        <v>13896.149228306613</v>
      </c>
      <c r="RB22" s="29">
        <f t="shared" ca="1" si="509"/>
        <v>13621.72088878578</v>
      </c>
      <c r="RC22" s="29">
        <f t="shared" ca="1" si="510"/>
        <v>14428.077388891032</v>
      </c>
      <c r="RD22" s="29">
        <f t="shared" ca="1" si="511"/>
        <v>13800.97846746088</v>
      </c>
      <c r="RE22" s="29">
        <f t="shared" ca="1" si="512"/>
        <v>15519.284277403907</v>
      </c>
      <c r="RF22" s="29">
        <f t="shared" ca="1" si="513"/>
        <v>14940.134405623592</v>
      </c>
      <c r="RG22" s="29">
        <f t="shared" ca="1" si="514"/>
        <v>13909.778514805952</v>
      </c>
      <c r="RH22" s="29">
        <f t="shared" ca="1" si="515"/>
        <v>14403.245998804268</v>
      </c>
      <c r="RI22" s="29">
        <f t="shared" ca="1" si="516"/>
        <v>14099.850563294263</v>
      </c>
      <c r="RJ22" s="29">
        <f t="shared" ca="1" si="517"/>
        <v>14314.338943188697</v>
      </c>
      <c r="RK22" s="29">
        <f t="shared" ca="1" si="518"/>
        <v>13782.781512574855</v>
      </c>
      <c r="RL22" s="29">
        <f t="shared" ca="1" si="519"/>
        <v>13915.764728687629</v>
      </c>
      <c r="RM22" s="29">
        <f t="shared" ca="1" si="520"/>
        <v>14131.378725477169</v>
      </c>
      <c r="RN22" s="29">
        <f t="shared" ca="1" si="521"/>
        <v>13757.086731568645</v>
      </c>
      <c r="RO22" s="29">
        <f t="shared" ca="1" si="522"/>
        <v>14319.477803081061</v>
      </c>
      <c r="RP22" s="29">
        <f t="shared" ca="1" si="523"/>
        <v>14711.235501257406</v>
      </c>
      <c r="RQ22" s="29">
        <f t="shared" ca="1" si="524"/>
        <v>13814.778649451517</v>
      </c>
      <c r="RR22" s="29">
        <f t="shared" ca="1" si="525"/>
        <v>14718.344120663087</v>
      </c>
      <c r="RS22" s="29">
        <f t="shared" ca="1" si="526"/>
        <v>14440.376812186989</v>
      </c>
      <c r="RT22" s="29">
        <f t="shared" ca="1" si="527"/>
        <v>14812.429387326152</v>
      </c>
      <c r="RU22" s="29">
        <f t="shared" ca="1" si="528"/>
        <v>14209.561411318688</v>
      </c>
      <c r="RV22" s="29">
        <f t="shared" ca="1" si="529"/>
        <v>13816.263646398173</v>
      </c>
      <c r="RW22" s="29">
        <f t="shared" ca="1" si="530"/>
        <v>15706.845675863409</v>
      </c>
      <c r="RX22" s="29">
        <f t="shared" ca="1" si="531"/>
        <v>14914.5680307523</v>
      </c>
      <c r="RY22" s="29">
        <f t="shared" ca="1" si="532"/>
        <v>14602.276948323159</v>
      </c>
      <c r="RZ22" s="29">
        <f t="shared" ca="1" si="533"/>
        <v>16661.713921829334</v>
      </c>
      <c r="SA22" s="29">
        <f t="shared" ca="1" si="534"/>
        <v>14049.019078949268</v>
      </c>
      <c r="SB22" s="29">
        <f t="shared" ca="1" si="535"/>
        <v>13645.679678937171</v>
      </c>
      <c r="SC22" s="29">
        <f t="shared" ca="1" si="536"/>
        <v>14554.68404038697</v>
      </c>
      <c r="SD22" s="29">
        <f t="shared" ca="1" si="537"/>
        <v>15352.109857675896</v>
      </c>
      <c r="SE22" s="29">
        <f t="shared" ca="1" si="538"/>
        <v>13339.829832202791</v>
      </c>
      <c r="SF22" s="29">
        <f t="shared" ca="1" si="539"/>
        <v>14140.029013945992</v>
      </c>
      <c r="SG22" s="29">
        <f t="shared" ca="1" si="540"/>
        <v>14487.261799614351</v>
      </c>
      <c r="SH22" s="29">
        <f t="shared" ca="1" si="541"/>
        <v>14839.080536552294</v>
      </c>
      <c r="SI22" s="29">
        <f t="shared" ca="1" si="542"/>
        <v>13991.381144043444</v>
      </c>
      <c r="SJ22" s="29">
        <f t="shared" ca="1" si="543"/>
        <v>12976.999881941829</v>
      </c>
      <c r="SK22" s="29">
        <f t="shared" ca="1" si="544"/>
        <v>15350.59505186862</v>
      </c>
      <c r="SL22" s="29">
        <f t="shared" ca="1" si="545"/>
        <v>14160.14510946926</v>
      </c>
      <c r="SM22" s="29">
        <f t="shared" ca="1" si="546"/>
        <v>14161.597185580267</v>
      </c>
      <c r="SN22" s="29">
        <f t="shared" ca="1" si="547"/>
        <v>14889.160959861903</v>
      </c>
      <c r="SO22" s="29">
        <f t="shared" ca="1" si="548"/>
        <v>14582.362844344845</v>
      </c>
      <c r="SP22" s="29">
        <f t="shared" ca="1" si="549"/>
        <v>15266.603125537507</v>
      </c>
      <c r="SQ22" s="29">
        <f t="shared" ca="1" si="550"/>
        <v>15559.968320913544</v>
      </c>
      <c r="SR22" s="29">
        <f t="shared" ca="1" si="551"/>
        <v>14180.084854316066</v>
      </c>
      <c r="SS22" s="29">
        <f t="shared" ca="1" si="552"/>
        <v>14998.521170873313</v>
      </c>
      <c r="ST22" s="29">
        <f t="shared" ca="1" si="553"/>
        <v>14055.047358338765</v>
      </c>
      <c r="SU22" s="29">
        <f t="shared" ca="1" si="554"/>
        <v>14057.44041539038</v>
      </c>
      <c r="SV22" s="29">
        <f t="shared" ca="1" si="555"/>
        <v>14616.813480796271</v>
      </c>
      <c r="SW22" s="29">
        <f t="shared" ca="1" si="556"/>
        <v>14298.471489230684</v>
      </c>
      <c r="SX22" s="29">
        <f t="shared" ca="1" si="557"/>
        <v>13214.388943436348</v>
      </c>
      <c r="SY22" s="29">
        <f t="shared" ca="1" si="558"/>
        <v>14710.663893514695</v>
      </c>
      <c r="SZ22" s="29">
        <f t="shared" ca="1" si="559"/>
        <v>15066.391738736989</v>
      </c>
      <c r="TA22" s="29">
        <f t="shared" ca="1" si="560"/>
        <v>14473.992344714414</v>
      </c>
      <c r="TB22" s="29">
        <f t="shared" ca="1" si="561"/>
        <v>14636.162847096635</v>
      </c>
      <c r="TC22" s="29">
        <f t="shared" ca="1" si="562"/>
        <v>14905.580444665982</v>
      </c>
      <c r="TD22" s="29">
        <f t="shared" ca="1" si="563"/>
        <v>14538.518813915203</v>
      </c>
      <c r="TE22" s="29">
        <f t="shared" ca="1" si="564"/>
        <v>14589.926663179263</v>
      </c>
      <c r="TF22" s="29">
        <f t="shared" ca="1" si="565"/>
        <v>14037.239556981303</v>
      </c>
      <c r="TG22" s="29">
        <f t="shared" ca="1" si="566"/>
        <v>14717.194687157549</v>
      </c>
      <c r="TH22" s="29">
        <f t="shared" ca="1" si="567"/>
        <v>14421.181990105819</v>
      </c>
      <c r="TI22" s="29">
        <f t="shared" ca="1" si="568"/>
        <v>14055.410162691989</v>
      </c>
      <c r="TJ22" s="29">
        <f t="shared" ca="1" si="569"/>
        <v>15240.764472622679</v>
      </c>
      <c r="TK22" s="29">
        <f t="shared" ca="1" si="570"/>
        <v>14365.032871871146</v>
      </c>
      <c r="TL22" s="29">
        <f t="shared" ca="1" si="571"/>
        <v>14345.056979506495</v>
      </c>
      <c r="TM22" s="29">
        <f t="shared" ca="1" si="572"/>
        <v>13777.667461071802</v>
      </c>
      <c r="TN22" s="29">
        <f t="shared" ca="1" si="573"/>
        <v>13190.540238198193</v>
      </c>
      <c r="TO22" s="29">
        <f t="shared" ca="1" si="574"/>
        <v>13934.36592392155</v>
      </c>
      <c r="TP22" s="29">
        <f t="shared" ca="1" si="575"/>
        <v>15343.454302171656</v>
      </c>
      <c r="TQ22" s="29">
        <f t="shared" ca="1" si="576"/>
        <v>15234.074984083367</v>
      </c>
      <c r="TR22" s="29">
        <f t="shared" ca="1" si="577"/>
        <v>13591.464527641572</v>
      </c>
      <c r="TS22" s="29">
        <f t="shared" ca="1" si="578"/>
        <v>14241.735039134883</v>
      </c>
      <c r="TT22" s="29">
        <f t="shared" ca="1" si="579"/>
        <v>14603.713208523186</v>
      </c>
      <c r="TU22" s="29">
        <f t="shared" ca="1" si="580"/>
        <v>13927.913153749461</v>
      </c>
      <c r="TV22" s="29">
        <f t="shared" ca="1" si="581"/>
        <v>13885.812013350125</v>
      </c>
      <c r="TW22" s="29">
        <f t="shared" ca="1" si="582"/>
        <v>15221.254514918499</v>
      </c>
      <c r="TX22" s="29">
        <f t="shared" ca="1" si="583"/>
        <v>15739.878780552928</v>
      </c>
      <c r="TY22" s="29">
        <f t="shared" ca="1" si="584"/>
        <v>13964.630649063</v>
      </c>
      <c r="TZ22" s="29">
        <f t="shared" ca="1" si="585"/>
        <v>14674.212555700138</v>
      </c>
      <c r="UA22" s="29">
        <f t="shared" ca="1" si="586"/>
        <v>14483.399990245456</v>
      </c>
      <c r="UB22" s="29">
        <f t="shared" ca="1" si="587"/>
        <v>14966.838724849604</v>
      </c>
      <c r="UC22" s="29">
        <f t="shared" ca="1" si="588"/>
        <v>13573.795180349944</v>
      </c>
      <c r="UD22" s="29">
        <f t="shared" ca="1" si="589"/>
        <v>15884.747639734836</v>
      </c>
      <c r="UE22" s="29">
        <f t="shared" ca="1" si="590"/>
        <v>13574.460210730238</v>
      </c>
      <c r="UF22" s="29">
        <f t="shared" ca="1" si="591"/>
        <v>14167.756645474723</v>
      </c>
      <c r="UG22" s="29">
        <f t="shared" ca="1" si="592"/>
        <v>15231.3232459602</v>
      </c>
      <c r="UH22" s="29">
        <f t="shared" ca="1" si="593"/>
        <v>14068.897702605345</v>
      </c>
      <c r="UI22" s="29">
        <f t="shared" ca="1" si="594"/>
        <v>15075.7287434071</v>
      </c>
      <c r="UJ22" s="29">
        <f t="shared" ca="1" si="595"/>
        <v>14334.554180631292</v>
      </c>
      <c r="UK22" s="29">
        <f t="shared" ca="1" si="596"/>
        <v>14476.757953264489</v>
      </c>
      <c r="UL22" s="29">
        <f t="shared" ca="1" si="597"/>
        <v>15306.459684428328</v>
      </c>
      <c r="UM22" s="29">
        <f t="shared" ca="1" si="598"/>
        <v>12842.612416475677</v>
      </c>
      <c r="UN22" s="29">
        <f t="shared" ca="1" si="599"/>
        <v>13149.352854020592</v>
      </c>
      <c r="UO22" s="29">
        <f t="shared" ca="1" si="600"/>
        <v>16017.446463175049</v>
      </c>
      <c r="UP22" s="29">
        <f t="shared" ca="1" si="601"/>
        <v>13801.330334339162</v>
      </c>
      <c r="UQ22" s="29">
        <f t="shared" ca="1" si="602"/>
        <v>14586.563934961461</v>
      </c>
      <c r="UR22" s="29">
        <f t="shared" ca="1" si="603"/>
        <v>13767.057829016849</v>
      </c>
      <c r="US22" s="29">
        <f t="shared" ca="1" si="604"/>
        <v>14277.593746292434</v>
      </c>
      <c r="UT22" s="29">
        <f t="shared" ca="1" si="605"/>
        <v>14522.407335415957</v>
      </c>
      <c r="UU22" s="29">
        <f t="shared" ca="1" si="606"/>
        <v>13887.44688011893</v>
      </c>
      <c r="UV22" s="29">
        <f t="shared" ca="1" si="607"/>
        <v>14590.116617442995</v>
      </c>
      <c r="UW22" s="29">
        <f t="shared" ca="1" si="608"/>
        <v>14561.01076067666</v>
      </c>
      <c r="UX22" s="29">
        <f t="shared" ca="1" si="609"/>
        <v>14310.845135216845</v>
      </c>
      <c r="UY22" s="29">
        <f t="shared" ca="1" si="610"/>
        <v>14419.798461399589</v>
      </c>
      <c r="UZ22" s="29">
        <f t="shared" ca="1" si="611"/>
        <v>13828.951096074319</v>
      </c>
      <c r="VA22" s="29">
        <f t="shared" ca="1" si="612"/>
        <v>13657.483170994185</v>
      </c>
      <c r="VB22" s="29">
        <f t="shared" ca="1" si="613"/>
        <v>15178.743813651532</v>
      </c>
      <c r="VC22" s="29">
        <f t="shared" ca="1" si="614"/>
        <v>14703.896263998533</v>
      </c>
      <c r="VD22" s="29">
        <f t="shared" ca="1" si="615"/>
        <v>13902.21802138647</v>
      </c>
      <c r="VE22" s="29">
        <f t="shared" ca="1" si="616"/>
        <v>15221.644936277069</v>
      </c>
      <c r="VF22" s="29">
        <f t="shared" ca="1" si="617"/>
        <v>14126.911336365769</v>
      </c>
      <c r="VG22" s="29">
        <f t="shared" ca="1" si="618"/>
        <v>14813.345380039489</v>
      </c>
      <c r="VH22" s="29">
        <f t="shared" ca="1" si="619"/>
        <v>15095.112379446668</v>
      </c>
      <c r="VI22" s="29">
        <f t="shared" ca="1" si="620"/>
        <v>14710.325893065168</v>
      </c>
      <c r="VJ22" s="29">
        <f t="shared" ca="1" si="621"/>
        <v>14028.728679692284</v>
      </c>
      <c r="VK22" s="29">
        <f t="shared" ca="1" si="622"/>
        <v>13626.373951280204</v>
      </c>
      <c r="VL22" s="29">
        <f t="shared" ca="1" si="623"/>
        <v>14176.449649192322</v>
      </c>
      <c r="VM22" s="29">
        <f t="shared" ca="1" si="624"/>
        <v>14185.63729271324</v>
      </c>
      <c r="VN22" s="29">
        <f t="shared" ca="1" si="625"/>
        <v>14494.087088555223</v>
      </c>
      <c r="VO22" s="29">
        <f t="shared" ca="1" si="626"/>
        <v>16017.839815053567</v>
      </c>
      <c r="VP22" s="29">
        <f t="shared" ca="1" si="627"/>
        <v>13958.184690232591</v>
      </c>
      <c r="VQ22" s="29">
        <f t="shared" ca="1" si="628"/>
        <v>14766.895034573701</v>
      </c>
      <c r="VR22" s="29">
        <f t="shared" ca="1" si="629"/>
        <v>14623.007360834203</v>
      </c>
      <c r="VS22" s="29">
        <f t="shared" ca="1" si="630"/>
        <v>14018.255646619769</v>
      </c>
      <c r="VT22" s="29">
        <f t="shared" ca="1" si="631"/>
        <v>14446.657779024736</v>
      </c>
      <c r="VU22" s="29">
        <f t="shared" ca="1" si="632"/>
        <v>14488.774967380372</v>
      </c>
      <c r="VV22" s="29">
        <f t="shared" ca="1" si="633"/>
        <v>15240.007323924219</v>
      </c>
      <c r="VW22" s="29">
        <f t="shared" ca="1" si="634"/>
        <v>13956.661789066316</v>
      </c>
      <c r="VX22" s="29">
        <f t="shared" ca="1" si="635"/>
        <v>14036.915699233617</v>
      </c>
      <c r="VY22" s="29">
        <f t="shared" ca="1" si="636"/>
        <v>14401.106191882653</v>
      </c>
      <c r="VZ22" s="29">
        <f t="shared" ca="1" si="637"/>
        <v>13553.870987766924</v>
      </c>
      <c r="WA22" s="29">
        <f t="shared" ca="1" si="638"/>
        <v>14382.210494251049</v>
      </c>
      <c r="WB22" s="29">
        <f t="shared" ca="1" si="639"/>
        <v>13651.946374750249</v>
      </c>
      <c r="WC22" s="29">
        <f t="shared" ca="1" si="640"/>
        <v>13859.833464338739</v>
      </c>
      <c r="WD22" s="29">
        <f t="shared" ca="1" si="641"/>
        <v>14815.314772615475</v>
      </c>
      <c r="WE22" s="29">
        <f t="shared" ca="1" si="642"/>
        <v>14067.660519041989</v>
      </c>
      <c r="WF22" s="29">
        <f t="shared" ca="1" si="643"/>
        <v>15399.170565937935</v>
      </c>
      <c r="WG22" s="29">
        <f t="shared" ca="1" si="644"/>
        <v>14172.381452136904</v>
      </c>
      <c r="WH22" s="29">
        <f t="shared" ca="1" si="645"/>
        <v>14503.885856395835</v>
      </c>
      <c r="WI22" s="29">
        <f t="shared" ca="1" si="646"/>
        <v>15831.957305199885</v>
      </c>
      <c r="WJ22" s="29">
        <f t="shared" ca="1" si="647"/>
        <v>15484.906312510824</v>
      </c>
      <c r="WK22" s="29">
        <f t="shared" ca="1" si="648"/>
        <v>14488.854745214428</v>
      </c>
      <c r="WL22" s="29">
        <f t="shared" ca="1" si="649"/>
        <v>13710.459826840437</v>
      </c>
      <c r="WM22" s="29">
        <f t="shared" ca="1" si="650"/>
        <v>14970.96802007764</v>
      </c>
      <c r="WN22" s="29">
        <f t="shared" ca="1" si="651"/>
        <v>14978.651222071147</v>
      </c>
      <c r="WO22" s="29">
        <f t="shared" ca="1" si="652"/>
        <v>15763.240482032097</v>
      </c>
      <c r="WP22" s="29">
        <f t="shared" ca="1" si="653"/>
        <v>14248.780121074446</v>
      </c>
      <c r="WQ22" s="29">
        <f t="shared" ca="1" si="654"/>
        <v>13675.363909498006</v>
      </c>
      <c r="WR22" s="29">
        <f t="shared" ca="1" si="655"/>
        <v>14620.288941809169</v>
      </c>
      <c r="WS22" s="29">
        <f t="shared" ca="1" si="656"/>
        <v>14563.926804499049</v>
      </c>
      <c r="WT22" s="29">
        <f t="shared" ca="1" si="657"/>
        <v>14330.010999753067</v>
      </c>
      <c r="WU22" s="29">
        <f t="shared" ca="1" si="658"/>
        <v>14297.368445225207</v>
      </c>
      <c r="WV22" s="29">
        <f t="shared" ca="1" si="659"/>
        <v>15419.160368835132</v>
      </c>
      <c r="WW22" s="29">
        <f t="shared" ca="1" si="660"/>
        <v>14157.044907075298</v>
      </c>
      <c r="WX22" s="29">
        <f t="shared" ca="1" si="661"/>
        <v>15627.214772802348</v>
      </c>
      <c r="WY22" s="29">
        <f t="shared" ca="1" si="662"/>
        <v>15331.854599036689</v>
      </c>
      <c r="WZ22" s="29">
        <f t="shared" ca="1" si="663"/>
        <v>14650.891160207677</v>
      </c>
      <c r="XA22" s="29">
        <f t="shared" ca="1" si="664"/>
        <v>14651.986558106835</v>
      </c>
      <c r="XB22" s="29">
        <f t="shared" ca="1" si="665"/>
        <v>14798.935095428116</v>
      </c>
      <c r="XC22" s="29">
        <f t="shared" ca="1" si="666"/>
        <v>14443.953498645076</v>
      </c>
      <c r="XD22" s="29">
        <f t="shared" ca="1" si="667"/>
        <v>14288.982997047246</v>
      </c>
      <c r="XE22" s="29">
        <f t="shared" ca="1" si="668"/>
        <v>14135.227153394379</v>
      </c>
      <c r="XF22" s="29">
        <f t="shared" ca="1" si="669"/>
        <v>14699.60502588161</v>
      </c>
      <c r="XG22" s="29">
        <f t="shared" ca="1" si="670"/>
        <v>14521.296858467438</v>
      </c>
      <c r="XH22" s="29">
        <f t="shared" ca="1" si="671"/>
        <v>14648.350804062802</v>
      </c>
      <c r="XI22" s="29">
        <f t="shared" ca="1" si="672"/>
        <v>15371.97573590096</v>
      </c>
      <c r="XJ22" s="29">
        <f t="shared" ca="1" si="673"/>
        <v>14589.901046996914</v>
      </c>
      <c r="XK22" s="29">
        <f t="shared" ca="1" si="674"/>
        <v>13494.957091620068</v>
      </c>
      <c r="XL22" s="29">
        <f t="shared" ca="1" si="675"/>
        <v>14419.769321437772</v>
      </c>
      <c r="XM22" s="29">
        <f t="shared" ca="1" si="676"/>
        <v>14449.858867485196</v>
      </c>
      <c r="XN22" s="29">
        <f t="shared" ca="1" si="677"/>
        <v>13866.810826861707</v>
      </c>
      <c r="XO22" s="29">
        <f t="shared" ca="1" si="678"/>
        <v>15749.579352644427</v>
      </c>
      <c r="XP22" s="29">
        <f t="shared" ca="1" si="679"/>
        <v>13887.974360281596</v>
      </c>
      <c r="XQ22" s="29">
        <f t="shared" ca="1" si="680"/>
        <v>14013.153485140789</v>
      </c>
      <c r="XR22" s="29">
        <f t="shared" ca="1" si="681"/>
        <v>14376.605281171202</v>
      </c>
      <c r="XS22" s="29">
        <f t="shared" ca="1" si="682"/>
        <v>13936.22698530345</v>
      </c>
      <c r="XT22" s="29">
        <f t="shared" ca="1" si="683"/>
        <v>14967.640208538796</v>
      </c>
      <c r="XU22" s="29">
        <f t="shared" ca="1" si="684"/>
        <v>15398.796891960794</v>
      </c>
      <c r="XV22" s="29">
        <f t="shared" ca="1" si="685"/>
        <v>15212.779478060595</v>
      </c>
      <c r="XW22" s="29">
        <f t="shared" ca="1" si="686"/>
        <v>13978.791621360486</v>
      </c>
      <c r="XX22" s="29">
        <f t="shared" ca="1" si="687"/>
        <v>14799.221407428913</v>
      </c>
      <c r="XY22" s="29">
        <f t="shared" ca="1" si="688"/>
        <v>14301.070267847865</v>
      </c>
      <c r="XZ22" s="29">
        <f t="shared" ca="1" si="689"/>
        <v>14628.131270877317</v>
      </c>
      <c r="YA22" s="29">
        <f t="shared" ca="1" si="690"/>
        <v>14896.962754190507</v>
      </c>
      <c r="YB22" s="29">
        <f t="shared" ca="1" si="691"/>
        <v>15020.867718914387</v>
      </c>
      <c r="YC22" s="29">
        <f t="shared" ca="1" si="692"/>
        <v>15131.779010204913</v>
      </c>
      <c r="YD22" s="29">
        <f t="shared" ca="1" si="693"/>
        <v>13520.899089409411</v>
      </c>
      <c r="YE22" s="29">
        <f t="shared" ca="1" si="694"/>
        <v>14956.18379016678</v>
      </c>
      <c r="YF22" s="29">
        <f t="shared" ca="1" si="695"/>
        <v>13703.756682370946</v>
      </c>
      <c r="YG22" s="29">
        <f t="shared" ca="1" si="696"/>
        <v>15436.601948546975</v>
      </c>
      <c r="YH22" s="29">
        <f t="shared" ca="1" si="697"/>
        <v>13881.152849780712</v>
      </c>
      <c r="YI22" s="29">
        <f t="shared" ca="1" si="698"/>
        <v>13478.486720945937</v>
      </c>
      <c r="YJ22" s="29">
        <f t="shared" ca="1" si="699"/>
        <v>14077.599062070001</v>
      </c>
      <c r="YK22" s="29">
        <f t="shared" ca="1" si="700"/>
        <v>13617.750464907738</v>
      </c>
      <c r="YL22" s="29">
        <f t="shared" ca="1" si="701"/>
        <v>13927.655717619486</v>
      </c>
      <c r="YM22" s="29">
        <f t="shared" ca="1" si="702"/>
        <v>15449.558612659263</v>
      </c>
      <c r="YN22" s="29">
        <f t="shared" ca="1" si="703"/>
        <v>15064.353984114812</v>
      </c>
      <c r="YO22" s="29">
        <f t="shared" ca="1" si="704"/>
        <v>13167.86386314944</v>
      </c>
      <c r="YP22" s="29">
        <f t="shared" ca="1" si="705"/>
        <v>14730.205455302657</v>
      </c>
      <c r="YQ22" s="29">
        <f t="shared" ca="1" si="706"/>
        <v>13554.168755418259</v>
      </c>
      <c r="YR22" s="29">
        <f t="shared" ca="1" si="707"/>
        <v>13510.390265087062</v>
      </c>
      <c r="YS22" s="29">
        <f t="shared" ca="1" si="708"/>
        <v>15383.510595766245</v>
      </c>
      <c r="YT22" s="29">
        <f t="shared" ca="1" si="709"/>
        <v>15293.661342525786</v>
      </c>
      <c r="YU22" s="29">
        <f t="shared" ca="1" si="710"/>
        <v>14104.713253725055</v>
      </c>
      <c r="YV22" s="29">
        <f t="shared" ca="1" si="711"/>
        <v>13728.21687637841</v>
      </c>
      <c r="YW22" s="29">
        <f t="shared" ca="1" si="712"/>
        <v>13882.758882812648</v>
      </c>
      <c r="YX22" s="29">
        <f t="shared" ca="1" si="713"/>
        <v>14840.79635161445</v>
      </c>
      <c r="YY22" s="29">
        <f t="shared" ca="1" si="714"/>
        <v>14296.676604912765</v>
      </c>
      <c r="YZ22" s="29">
        <f t="shared" ca="1" si="715"/>
        <v>14139.013461216851</v>
      </c>
      <c r="ZA22" s="29">
        <f t="shared" ca="1" si="716"/>
        <v>14139.346214225998</v>
      </c>
      <c r="ZB22" s="29">
        <f t="shared" ca="1" si="717"/>
        <v>15605.542994874239</v>
      </c>
      <c r="ZC22" s="29">
        <f t="shared" ca="1" si="718"/>
        <v>15493.157204843557</v>
      </c>
      <c r="ZD22" s="29">
        <f t="shared" ca="1" si="719"/>
        <v>14641.55703491888</v>
      </c>
      <c r="ZE22" s="29">
        <f t="shared" ca="1" si="720"/>
        <v>13286.107293446807</v>
      </c>
      <c r="ZF22" s="29">
        <f t="shared" ca="1" si="721"/>
        <v>13724.04708766984</v>
      </c>
      <c r="ZG22" s="29">
        <f t="shared" ca="1" si="722"/>
        <v>13328.494009230142</v>
      </c>
      <c r="ZH22" s="29">
        <f t="shared" ca="1" si="723"/>
        <v>14262.103865489511</v>
      </c>
      <c r="ZI22" s="29">
        <f t="shared" ca="1" si="724"/>
        <v>13788.879643447735</v>
      </c>
      <c r="ZJ22" s="29">
        <f t="shared" ca="1" si="725"/>
        <v>14273.668884688484</v>
      </c>
      <c r="ZK22" s="29">
        <f t="shared" ca="1" si="726"/>
        <v>13639.176608819378</v>
      </c>
      <c r="ZL22" s="29">
        <f t="shared" ca="1" si="727"/>
        <v>14543.574058434757</v>
      </c>
      <c r="ZM22" s="29">
        <f t="shared" ca="1" si="728"/>
        <v>12880.552904197546</v>
      </c>
      <c r="ZN22" s="29">
        <f t="shared" ca="1" si="729"/>
        <v>14593.024886522331</v>
      </c>
      <c r="ZO22" s="29">
        <f t="shared" ca="1" si="730"/>
        <v>14084.098279599239</v>
      </c>
      <c r="ZP22" s="29">
        <f t="shared" ca="1" si="731"/>
        <v>14075.579873343053</v>
      </c>
      <c r="ZQ22" s="29">
        <f t="shared" ca="1" si="732"/>
        <v>13850.316836048471</v>
      </c>
      <c r="ZR22" s="29">
        <f t="shared" ca="1" si="733"/>
        <v>14793.804885377593</v>
      </c>
      <c r="ZS22" s="29">
        <f t="shared" ca="1" si="734"/>
        <v>14434.762485651179</v>
      </c>
      <c r="ZT22" s="29">
        <f t="shared" ca="1" si="735"/>
        <v>14062.719855848372</v>
      </c>
      <c r="ZU22" s="29">
        <f t="shared" ca="1" si="736"/>
        <v>14449.655632935948</v>
      </c>
      <c r="ZV22" s="29">
        <f t="shared" ca="1" si="737"/>
        <v>14370.119373839441</v>
      </c>
      <c r="ZW22" s="29">
        <f t="shared" ca="1" si="738"/>
        <v>13655.934058327532</v>
      </c>
      <c r="ZX22" s="29">
        <f t="shared" ca="1" si="739"/>
        <v>15068.233172087444</v>
      </c>
      <c r="ZY22" s="29">
        <f t="shared" ca="1" si="740"/>
        <v>14132.326951454947</v>
      </c>
      <c r="ZZ22" s="29">
        <f t="shared" ca="1" si="741"/>
        <v>13921.677351719816</v>
      </c>
      <c r="AAA22" s="29">
        <f t="shared" ca="1" si="742"/>
        <v>15204.002187288723</v>
      </c>
      <c r="AAB22" s="29">
        <f t="shared" ca="1" si="743"/>
        <v>15595.048362952099</v>
      </c>
      <c r="AAC22" s="29">
        <f t="shared" ca="1" si="744"/>
        <v>14544.679827182337</v>
      </c>
      <c r="AAD22" s="29">
        <f t="shared" ca="1" si="745"/>
        <v>14091.485244905056</v>
      </c>
      <c r="AAE22" s="29">
        <f t="shared" ca="1" si="746"/>
        <v>13208.710247912759</v>
      </c>
      <c r="AAF22" s="29">
        <f t="shared" ca="1" si="747"/>
        <v>15767.702489369656</v>
      </c>
      <c r="AAG22" s="29">
        <f t="shared" ca="1" si="748"/>
        <v>15311.722779634609</v>
      </c>
      <c r="AAH22" s="29">
        <f t="shared" ca="1" si="749"/>
        <v>15490.220176209736</v>
      </c>
      <c r="AAI22" s="29">
        <f t="shared" ca="1" si="750"/>
        <v>14527.074769532752</v>
      </c>
      <c r="AAJ22" s="29">
        <f t="shared" ca="1" si="751"/>
        <v>15290.642693539088</v>
      </c>
      <c r="AAK22" s="29">
        <f t="shared" ca="1" si="752"/>
        <v>14351.115416923009</v>
      </c>
      <c r="AAL22" s="29">
        <f t="shared" ca="1" si="753"/>
        <v>14775.206338146549</v>
      </c>
      <c r="AAM22" s="29">
        <f t="shared" ca="1" si="754"/>
        <v>14808.136322571669</v>
      </c>
      <c r="AAN22" s="29">
        <f t="shared" ca="1" si="755"/>
        <v>15857.836417641089</v>
      </c>
      <c r="AAO22" s="29">
        <f t="shared" ca="1" si="756"/>
        <v>14526.701597881658</v>
      </c>
      <c r="AAP22" s="29">
        <f t="shared" ca="1" si="757"/>
        <v>16235.107095130475</v>
      </c>
      <c r="AAQ22" s="29">
        <f t="shared" ca="1" si="758"/>
        <v>14001.923207995866</v>
      </c>
      <c r="AAR22" s="29">
        <f t="shared" ca="1" si="759"/>
        <v>15716.51236961892</v>
      </c>
      <c r="AAS22" s="29">
        <f t="shared" ca="1" si="760"/>
        <v>13965.577460974317</v>
      </c>
      <c r="AAT22" s="29">
        <f t="shared" ca="1" si="761"/>
        <v>14301.326530495842</v>
      </c>
      <c r="AAU22" s="29">
        <f t="shared" ca="1" si="762"/>
        <v>14657.286341852738</v>
      </c>
      <c r="AAV22" s="29">
        <f t="shared" ca="1" si="763"/>
        <v>14132.363287014312</v>
      </c>
      <c r="AAW22" s="29">
        <f t="shared" ca="1" si="764"/>
        <v>14276.529690090922</v>
      </c>
      <c r="AAX22" s="29">
        <f t="shared" ca="1" si="765"/>
        <v>14332.726626124957</v>
      </c>
      <c r="AAY22" s="29">
        <f t="shared" ca="1" si="766"/>
        <v>14262.23657454676</v>
      </c>
      <c r="AAZ22" s="29">
        <f t="shared" ca="1" si="767"/>
        <v>14332.228690677724</v>
      </c>
      <c r="ABA22" s="29">
        <f t="shared" ca="1" si="768"/>
        <v>14993.691662192083</v>
      </c>
      <c r="ABB22" s="29">
        <f t="shared" ca="1" si="769"/>
        <v>14595.818498134471</v>
      </c>
      <c r="ABC22" s="29">
        <f t="shared" ca="1" si="770"/>
        <v>14640.27164004899</v>
      </c>
      <c r="ABD22" s="29">
        <f t="shared" ca="1" si="771"/>
        <v>13875.752037184304</v>
      </c>
      <c r="ABE22" s="29">
        <f t="shared" ca="1" si="772"/>
        <v>12358.585850143943</v>
      </c>
      <c r="ABF22" s="29">
        <f t="shared" ca="1" si="773"/>
        <v>14229.007274273305</v>
      </c>
      <c r="ABG22" s="29">
        <f t="shared" ca="1" si="774"/>
        <v>14923.960911485057</v>
      </c>
      <c r="ABH22" s="29">
        <f t="shared" ca="1" si="775"/>
        <v>13736.325379507849</v>
      </c>
      <c r="ABI22" s="29">
        <f t="shared" ca="1" si="776"/>
        <v>13744.679236421925</v>
      </c>
      <c r="ABJ22" s="29">
        <f t="shared" ca="1" si="777"/>
        <v>14758.746967309971</v>
      </c>
      <c r="ABK22" s="29">
        <f t="shared" ca="1" si="778"/>
        <v>15106.938336776881</v>
      </c>
      <c r="ABL22" s="29">
        <f t="shared" ca="1" si="779"/>
        <v>14277.296457149876</v>
      </c>
      <c r="ABM22" s="29">
        <f t="shared" ca="1" si="780"/>
        <v>15036.754640865563</v>
      </c>
      <c r="ABN22" s="29">
        <f t="shared" ca="1" si="781"/>
        <v>13908.557984450788</v>
      </c>
      <c r="ABO22" s="29">
        <f t="shared" ca="1" si="782"/>
        <v>14832.329160117237</v>
      </c>
      <c r="ABP22" s="29">
        <f t="shared" ca="1" si="783"/>
        <v>13799.510170500698</v>
      </c>
      <c r="ABQ22" s="29">
        <f t="shared" ca="1" si="784"/>
        <v>13189.413273094635</v>
      </c>
      <c r="ABR22" s="29">
        <f t="shared" ca="1" si="785"/>
        <v>13369.146889805446</v>
      </c>
      <c r="ABS22" s="29">
        <f t="shared" ca="1" si="786"/>
        <v>13313.002175062813</v>
      </c>
      <c r="ABT22" s="29">
        <f t="shared" ca="1" si="787"/>
        <v>14145.814495091063</v>
      </c>
      <c r="ABU22" s="29">
        <f t="shared" ca="1" si="788"/>
        <v>14529.460886592158</v>
      </c>
      <c r="ABV22" s="29">
        <f t="shared" ca="1" si="789"/>
        <v>15054.790815654329</v>
      </c>
      <c r="ABW22" s="29">
        <f t="shared" ca="1" si="790"/>
        <v>15137.135654649561</v>
      </c>
      <c r="ABX22" s="29">
        <f t="shared" ca="1" si="791"/>
        <v>14806.325541487635</v>
      </c>
      <c r="ABY22" s="29">
        <f t="shared" ca="1" si="792"/>
        <v>14729.22881866127</v>
      </c>
      <c r="ABZ22" s="29">
        <f t="shared" ca="1" si="793"/>
        <v>14773.443026479787</v>
      </c>
      <c r="ACA22" s="29">
        <f t="shared" ca="1" si="794"/>
        <v>14713.890701953598</v>
      </c>
      <c r="ACB22" s="29">
        <f t="shared" ca="1" si="795"/>
        <v>15176.305422234465</v>
      </c>
      <c r="ACC22" s="29">
        <f t="shared" ca="1" si="796"/>
        <v>13951.537714014023</v>
      </c>
      <c r="ACD22" s="29">
        <f t="shared" ca="1" si="797"/>
        <v>14810.164221007932</v>
      </c>
      <c r="ACE22" s="29">
        <f t="shared" ca="1" si="798"/>
        <v>14679.264826343122</v>
      </c>
      <c r="ACF22" s="29">
        <f t="shared" ca="1" si="799"/>
        <v>14491.354192676428</v>
      </c>
      <c r="ACG22" s="29">
        <f t="shared" ca="1" si="800"/>
        <v>14335.029086993574</v>
      </c>
      <c r="ACH22" s="29">
        <f t="shared" ca="1" si="801"/>
        <v>15397.934240401339</v>
      </c>
      <c r="ACI22" s="29">
        <f t="shared" ca="1" si="802"/>
        <v>13796.138039358924</v>
      </c>
      <c r="ACJ22" s="29">
        <f t="shared" ca="1" si="803"/>
        <v>14609.378990753499</v>
      </c>
      <c r="ACK22" s="29">
        <f t="shared" ca="1" si="804"/>
        <v>14194.949647408326</v>
      </c>
      <c r="ACL22" s="29">
        <f t="shared" ca="1" si="805"/>
        <v>13939.139458615839</v>
      </c>
      <c r="ACM22" s="29">
        <f t="shared" ca="1" si="806"/>
        <v>14474.057642769008</v>
      </c>
      <c r="ACN22" s="29">
        <f t="shared" ca="1" si="807"/>
        <v>15267.818570745652</v>
      </c>
      <c r="ACO22" s="29">
        <f t="shared" ca="1" si="808"/>
        <v>16723.924264801313</v>
      </c>
      <c r="ACP22" s="29">
        <f t="shared" ca="1" si="809"/>
        <v>14150.226876268147</v>
      </c>
      <c r="ACQ22" s="29">
        <f t="shared" ca="1" si="810"/>
        <v>15022.111430700448</v>
      </c>
      <c r="ACR22" s="29">
        <f t="shared" ca="1" si="811"/>
        <v>15195.724450231199</v>
      </c>
      <c r="ACS22" s="29">
        <f t="shared" ca="1" si="812"/>
        <v>12976.781490247025</v>
      </c>
      <c r="ACT22" s="29">
        <f t="shared" ca="1" si="813"/>
        <v>14906.128154448988</v>
      </c>
      <c r="ACU22" s="29">
        <f t="shared" ca="1" si="814"/>
        <v>14316.331534139859</v>
      </c>
      <c r="ACV22" s="29">
        <f t="shared" ca="1" si="815"/>
        <v>14148.959002126248</v>
      </c>
      <c r="ACW22" s="29">
        <f t="shared" ca="1" si="816"/>
        <v>14827.518692910904</v>
      </c>
      <c r="ACX22" s="29">
        <f t="shared" ca="1" si="817"/>
        <v>14623.288859429045</v>
      </c>
      <c r="ACY22" s="29">
        <f t="shared" ca="1" si="818"/>
        <v>14438.383317472642</v>
      </c>
      <c r="ACZ22" s="29">
        <f t="shared" ca="1" si="819"/>
        <v>14101.134802407079</v>
      </c>
      <c r="ADA22" s="29">
        <f t="shared" ca="1" si="820"/>
        <v>15644.409216417049</v>
      </c>
      <c r="ADB22" s="29">
        <f t="shared" ca="1" si="821"/>
        <v>14357.405106844666</v>
      </c>
      <c r="ADC22" s="29">
        <f t="shared" ca="1" si="822"/>
        <v>14174.387933724347</v>
      </c>
      <c r="ADD22" s="29">
        <f t="shared" ca="1" si="823"/>
        <v>14600.209160882197</v>
      </c>
      <c r="ADE22" s="29">
        <f t="shared" ca="1" si="824"/>
        <v>14285.534565025808</v>
      </c>
      <c r="ADF22" s="29">
        <f t="shared" ca="1" si="825"/>
        <v>14058.025010967956</v>
      </c>
      <c r="ADG22" s="29">
        <f t="shared" ca="1" si="826"/>
        <v>15300.128475396437</v>
      </c>
      <c r="ADH22" s="29">
        <f t="shared" ca="1" si="827"/>
        <v>14793.926199053116</v>
      </c>
      <c r="ADI22" s="29">
        <f t="shared" ca="1" si="828"/>
        <v>14789.154264986741</v>
      </c>
      <c r="ADJ22" s="29">
        <f t="shared" ca="1" si="829"/>
        <v>15031.878076025401</v>
      </c>
      <c r="ADK22" s="29">
        <f t="shared" ca="1" si="830"/>
        <v>14925.874453341452</v>
      </c>
      <c r="ADL22" s="29">
        <f t="shared" ca="1" si="831"/>
        <v>14171.72158626786</v>
      </c>
      <c r="ADM22" s="29">
        <f t="shared" ca="1" si="832"/>
        <v>14025.196035401492</v>
      </c>
      <c r="ADN22" s="29">
        <f t="shared" ca="1" si="833"/>
        <v>14211.61412581594</v>
      </c>
      <c r="ADO22" s="29">
        <f t="shared" ca="1" si="834"/>
        <v>14624.077810185992</v>
      </c>
      <c r="ADP22" s="29">
        <f t="shared" ca="1" si="835"/>
        <v>15286.89680296842</v>
      </c>
      <c r="ADQ22" s="29">
        <f t="shared" ca="1" si="836"/>
        <v>16792.529461276168</v>
      </c>
      <c r="ADR22" s="29">
        <f t="shared" ca="1" si="837"/>
        <v>14501.328760720235</v>
      </c>
      <c r="ADS22" s="29">
        <f t="shared" ca="1" si="838"/>
        <v>14764.196596067502</v>
      </c>
      <c r="ADT22" s="29">
        <f t="shared" ca="1" si="839"/>
        <v>13821.394859266078</v>
      </c>
      <c r="ADU22" s="29">
        <f t="shared" ca="1" si="840"/>
        <v>15267.108369621514</v>
      </c>
      <c r="ADV22" s="29">
        <f t="shared" ca="1" si="841"/>
        <v>15106.920921032914</v>
      </c>
      <c r="ADW22" s="29">
        <f t="shared" ca="1" si="842"/>
        <v>15452.330920002303</v>
      </c>
      <c r="ADX22" s="29">
        <f t="shared" ca="1" si="843"/>
        <v>13939.787033884553</v>
      </c>
      <c r="ADY22" s="29">
        <f t="shared" ca="1" si="844"/>
        <v>15658.333095869557</v>
      </c>
      <c r="ADZ22" s="29">
        <f t="shared" ca="1" si="845"/>
        <v>14238.50913863781</v>
      </c>
      <c r="AEA22" s="29">
        <f t="shared" ca="1" si="846"/>
        <v>14017.160092212904</v>
      </c>
      <c r="AEB22" s="29">
        <f t="shared" ca="1" si="847"/>
        <v>13114.189009748159</v>
      </c>
      <c r="AEC22" s="29">
        <f t="shared" ca="1" si="848"/>
        <v>14697.373968215505</v>
      </c>
      <c r="AED22" s="29">
        <f t="shared" ca="1" si="849"/>
        <v>15036.661416497001</v>
      </c>
      <c r="AEE22" s="29">
        <f t="shared" ca="1" si="850"/>
        <v>15193.999625825774</v>
      </c>
      <c r="AEF22" s="29">
        <f t="shared" ca="1" si="851"/>
        <v>14040.881086825413</v>
      </c>
      <c r="AEG22" s="29">
        <f t="shared" ca="1" si="852"/>
        <v>16055.335503490198</v>
      </c>
      <c r="AEH22" s="29">
        <f t="shared" ca="1" si="853"/>
        <v>14370.918161391462</v>
      </c>
      <c r="AEI22" s="29">
        <f t="shared" ca="1" si="854"/>
        <v>14868.091659875559</v>
      </c>
      <c r="AEJ22" s="29">
        <f t="shared" ca="1" si="855"/>
        <v>14357.429577352144</v>
      </c>
      <c r="AEK22" s="29">
        <f t="shared" ca="1" si="856"/>
        <v>15088.385635939369</v>
      </c>
      <c r="AEL22" s="29">
        <f t="shared" ca="1" si="857"/>
        <v>14003.351639976549</v>
      </c>
      <c r="AEM22" s="29">
        <f t="shared" ca="1" si="858"/>
        <v>15033.97261305077</v>
      </c>
      <c r="AEN22" s="29">
        <f t="shared" ca="1" si="859"/>
        <v>15196.324167050294</v>
      </c>
      <c r="AEO22" s="29">
        <f t="shared" ca="1" si="860"/>
        <v>14636.811300766927</v>
      </c>
      <c r="AEP22" s="29">
        <f t="shared" ca="1" si="861"/>
        <v>15059.694278019837</v>
      </c>
      <c r="AEQ22" s="29">
        <f t="shared" ca="1" si="862"/>
        <v>14899.575245183325</v>
      </c>
      <c r="AER22" s="29">
        <f t="shared" ca="1" si="863"/>
        <v>14818.440906370204</v>
      </c>
      <c r="AES22" s="29">
        <f t="shared" ca="1" si="864"/>
        <v>13592.007305667155</v>
      </c>
      <c r="AET22" s="29">
        <f t="shared" ca="1" si="865"/>
        <v>15148.657809826025</v>
      </c>
      <c r="AEU22" s="29">
        <f t="shared" ca="1" si="866"/>
        <v>14401.239560056425</v>
      </c>
      <c r="AEV22" s="29">
        <f t="shared" ca="1" si="867"/>
        <v>16191.167758651109</v>
      </c>
      <c r="AEW22" s="29">
        <f t="shared" ca="1" si="868"/>
        <v>14279.391769198272</v>
      </c>
      <c r="AEX22" s="29">
        <f t="shared" ca="1" si="869"/>
        <v>13985.118276312571</v>
      </c>
      <c r="AEY22" s="29">
        <f t="shared" ca="1" si="870"/>
        <v>13057.348694934637</v>
      </c>
      <c r="AEZ22" s="29">
        <f t="shared" ca="1" si="871"/>
        <v>13956.50556825591</v>
      </c>
      <c r="AFA22" s="29">
        <f t="shared" ca="1" si="872"/>
        <v>14960.106091900332</v>
      </c>
      <c r="AFB22" s="29">
        <f t="shared" ca="1" si="873"/>
        <v>14495.355937917617</v>
      </c>
      <c r="AFC22" s="29">
        <f t="shared" ca="1" si="874"/>
        <v>13604.307985041822</v>
      </c>
      <c r="AFD22" s="29">
        <f t="shared" ca="1" si="875"/>
        <v>15184.755040247699</v>
      </c>
      <c r="AFE22" s="29">
        <f t="shared" ca="1" si="876"/>
        <v>15487.868411906755</v>
      </c>
      <c r="AFF22" s="29">
        <f t="shared" ca="1" si="877"/>
        <v>14288.140986319844</v>
      </c>
      <c r="AFG22" s="29">
        <f t="shared" ca="1" si="878"/>
        <v>15060.20796876233</v>
      </c>
      <c r="AFH22" s="29">
        <f t="shared" ca="1" si="879"/>
        <v>15785.646753884765</v>
      </c>
      <c r="AFI22" s="29">
        <f t="shared" ca="1" si="880"/>
        <v>14657.782463212932</v>
      </c>
      <c r="AFJ22" s="29">
        <f t="shared" ca="1" si="881"/>
        <v>13771.396729844735</v>
      </c>
      <c r="AFK22" s="29">
        <f t="shared" ca="1" si="882"/>
        <v>14522.793341620978</v>
      </c>
      <c r="AFL22" s="29">
        <f t="shared" ca="1" si="883"/>
        <v>14798.308388382311</v>
      </c>
      <c r="AFM22" s="29">
        <f t="shared" ca="1" si="884"/>
        <v>14120.493851277975</v>
      </c>
      <c r="AFN22" s="29">
        <f t="shared" ca="1" si="885"/>
        <v>15128.328509837125</v>
      </c>
      <c r="AFO22" s="29">
        <f t="shared" ca="1" si="886"/>
        <v>14788.704218377647</v>
      </c>
      <c r="AFP22" s="29">
        <f t="shared" ca="1" si="887"/>
        <v>14709.355370135778</v>
      </c>
      <c r="AFQ22" s="29">
        <f t="shared" ca="1" si="888"/>
        <v>13676.250594770312</v>
      </c>
      <c r="AFR22" s="29">
        <f t="shared" ca="1" si="889"/>
        <v>15122.349175758305</v>
      </c>
      <c r="AFS22" s="29">
        <f t="shared" ca="1" si="890"/>
        <v>13528.499588244353</v>
      </c>
      <c r="AFT22" s="29">
        <f t="shared" ca="1" si="891"/>
        <v>14469.511591524897</v>
      </c>
      <c r="AFU22" s="29">
        <f t="shared" ca="1" si="892"/>
        <v>14297.003708222754</v>
      </c>
      <c r="AFV22" s="29">
        <f t="shared" ca="1" si="893"/>
        <v>15268.178346020393</v>
      </c>
      <c r="AFW22" s="29">
        <f t="shared" ca="1" si="894"/>
        <v>13764.020174693425</v>
      </c>
      <c r="AFX22" s="29">
        <f t="shared" ca="1" si="895"/>
        <v>15325.089128542144</v>
      </c>
      <c r="AFY22" s="29">
        <f t="shared" ca="1" si="896"/>
        <v>15217.698703604952</v>
      </c>
      <c r="AFZ22" s="29">
        <f t="shared" ca="1" si="897"/>
        <v>14112.688456683867</v>
      </c>
      <c r="AGA22" s="29">
        <f t="shared" ca="1" si="898"/>
        <v>13900.492005632261</v>
      </c>
      <c r="AGB22" s="29">
        <f t="shared" ca="1" si="899"/>
        <v>14796.773042445708</v>
      </c>
      <c r="AGC22" s="29">
        <f t="shared" ca="1" si="900"/>
        <v>13743.607723398227</v>
      </c>
      <c r="AGD22" s="29">
        <f t="shared" ca="1" si="901"/>
        <v>15446.748817417489</v>
      </c>
      <c r="AGE22" s="29">
        <f t="shared" ca="1" si="902"/>
        <v>14369.496637657081</v>
      </c>
      <c r="AGF22" s="29">
        <f t="shared" ca="1" si="903"/>
        <v>14477.474553368582</v>
      </c>
      <c r="AGG22" s="29">
        <f t="shared" ca="1" si="904"/>
        <v>14104.311232083519</v>
      </c>
      <c r="AGH22" s="29">
        <f t="shared" ca="1" si="905"/>
        <v>14955.970953290458</v>
      </c>
      <c r="AGI22" s="29">
        <f t="shared" ca="1" si="906"/>
        <v>13840.617233108242</v>
      </c>
      <c r="AGJ22" s="29">
        <f t="shared" ca="1" si="907"/>
        <v>14517.380102746987</v>
      </c>
      <c r="AGK22" s="29">
        <f t="shared" ca="1" si="908"/>
        <v>15069.554859949179</v>
      </c>
      <c r="AGL22" s="29">
        <f t="shared" ca="1" si="909"/>
        <v>14680.625192365007</v>
      </c>
      <c r="AGM22" s="29">
        <f t="shared" ca="1" si="910"/>
        <v>14153.616297023431</v>
      </c>
      <c r="AGN22" s="29">
        <f t="shared" ca="1" si="911"/>
        <v>14086.773833213063</v>
      </c>
      <c r="AGO22" s="29">
        <f t="shared" ca="1" si="912"/>
        <v>15570.394207417428</v>
      </c>
      <c r="AGP22" s="29">
        <f t="shared" ca="1" si="913"/>
        <v>14075.535668649605</v>
      </c>
      <c r="AGQ22" s="29">
        <f t="shared" ca="1" si="914"/>
        <v>14882.545113319235</v>
      </c>
      <c r="AGR22" s="29">
        <f t="shared" ca="1" si="915"/>
        <v>13732.100262900882</v>
      </c>
      <c r="AGS22" s="29">
        <f t="shared" ca="1" si="916"/>
        <v>14743.036364985419</v>
      </c>
      <c r="AGT22" s="29">
        <f t="shared" ca="1" si="917"/>
        <v>13935.721822249228</v>
      </c>
      <c r="AGU22" s="29">
        <f t="shared" ca="1" si="918"/>
        <v>14120.109176968457</v>
      </c>
      <c r="AGV22" s="29">
        <f t="shared" ca="1" si="919"/>
        <v>14589.837458804739</v>
      </c>
      <c r="AGW22" s="29">
        <f t="shared" ca="1" si="920"/>
        <v>14584.843334194435</v>
      </c>
      <c r="AGX22" s="29">
        <f t="shared" ca="1" si="921"/>
        <v>15018.582049055858</v>
      </c>
      <c r="AGY22" s="29">
        <f t="shared" ca="1" si="922"/>
        <v>14115.725565403682</v>
      </c>
      <c r="AGZ22" s="29">
        <f t="shared" ca="1" si="923"/>
        <v>13373.724034222569</v>
      </c>
      <c r="AHA22" s="29">
        <f t="shared" ca="1" si="924"/>
        <v>13843.468209780989</v>
      </c>
      <c r="AHB22" s="29">
        <f t="shared" ca="1" si="925"/>
        <v>13590.78057504145</v>
      </c>
      <c r="AHC22" s="29">
        <f t="shared" ca="1" si="926"/>
        <v>15173.727026770048</v>
      </c>
      <c r="AHD22" s="29">
        <f t="shared" ca="1" si="927"/>
        <v>14482.291063260391</v>
      </c>
      <c r="AHE22" s="29">
        <f t="shared" ca="1" si="928"/>
        <v>14924.729943191134</v>
      </c>
      <c r="AHF22" s="29">
        <f t="shared" ca="1" si="929"/>
        <v>15576.132302928738</v>
      </c>
      <c r="AHG22" s="29">
        <f t="shared" ca="1" si="930"/>
        <v>15827.079130733659</v>
      </c>
      <c r="AHH22" s="29">
        <f t="shared" ca="1" si="931"/>
        <v>14891.290572802633</v>
      </c>
      <c r="AHI22" s="29">
        <f t="shared" ca="1" si="932"/>
        <v>14830.816532918725</v>
      </c>
      <c r="AHJ22" s="29">
        <f t="shared" ca="1" si="933"/>
        <v>14009.142491713139</v>
      </c>
      <c r="AHK22" s="29">
        <f t="shared" ca="1" si="934"/>
        <v>16233.16139448996</v>
      </c>
      <c r="AHL22" s="29">
        <f t="shared" ca="1" si="935"/>
        <v>14389.73714045795</v>
      </c>
      <c r="AHM22" s="29">
        <f t="shared" ca="1" si="936"/>
        <v>15649.985324207495</v>
      </c>
      <c r="AHN22" s="29">
        <f t="shared" ca="1" si="937"/>
        <v>14281.270833001005</v>
      </c>
      <c r="AHO22" s="29">
        <f t="shared" ca="1" si="938"/>
        <v>15103.959535612034</v>
      </c>
      <c r="AHP22" s="29">
        <f t="shared" ca="1" si="939"/>
        <v>15358.692920030177</v>
      </c>
      <c r="AHQ22" s="29">
        <f t="shared" ca="1" si="940"/>
        <v>14742.83577055209</v>
      </c>
      <c r="AHR22" s="29">
        <f t="shared" ca="1" si="941"/>
        <v>14197.252341036108</v>
      </c>
      <c r="AHS22" s="29">
        <f t="shared" ca="1" si="942"/>
        <v>14262.239867386092</v>
      </c>
      <c r="AHT22" s="29">
        <f t="shared" ca="1" si="943"/>
        <v>14505.329555427546</v>
      </c>
      <c r="AHU22" s="29">
        <f t="shared" ca="1" si="944"/>
        <v>14167.16748450157</v>
      </c>
      <c r="AHV22" s="29">
        <f t="shared" ca="1" si="945"/>
        <v>14965.423050160944</v>
      </c>
      <c r="AHW22" s="29">
        <f t="shared" ca="1" si="946"/>
        <v>14777.28233058082</v>
      </c>
      <c r="AHX22" s="29">
        <f t="shared" ca="1" si="947"/>
        <v>15117.081091411836</v>
      </c>
      <c r="AHY22" s="29">
        <f t="shared" ca="1" si="948"/>
        <v>15056.860641902278</v>
      </c>
      <c r="AHZ22" s="29">
        <f t="shared" ca="1" si="949"/>
        <v>13205.459475353209</v>
      </c>
      <c r="AIA22" s="29">
        <f t="shared" ca="1" si="950"/>
        <v>15554.325628398863</v>
      </c>
      <c r="AIB22" s="29">
        <f t="shared" ca="1" si="951"/>
        <v>15379.552896893189</v>
      </c>
      <c r="AIC22" s="29">
        <f t="shared" ca="1" si="952"/>
        <v>14260.4473695872</v>
      </c>
      <c r="AID22" s="29">
        <f t="shared" ca="1" si="953"/>
        <v>15233.997865469011</v>
      </c>
      <c r="AIE22" s="29">
        <f t="shared" ca="1" si="954"/>
        <v>14388.780533901905</v>
      </c>
      <c r="AIF22" s="29">
        <f t="shared" ca="1" si="955"/>
        <v>14354.890226342106</v>
      </c>
      <c r="AIG22" s="29">
        <f t="shared" ca="1" si="956"/>
        <v>14986.097856213573</v>
      </c>
      <c r="AIH22" s="29">
        <f t="shared" ca="1" si="957"/>
        <v>14943.837134501946</v>
      </c>
      <c r="AII22" s="29">
        <f t="shared" ca="1" si="958"/>
        <v>14709.736868899725</v>
      </c>
      <c r="AIJ22" s="29">
        <f t="shared" ca="1" si="959"/>
        <v>13784.980405850871</v>
      </c>
      <c r="AIK22" s="29">
        <f t="shared" ca="1" si="960"/>
        <v>15127.150369296995</v>
      </c>
      <c r="AIL22" s="29">
        <f t="shared" ca="1" si="961"/>
        <v>14235.962897817193</v>
      </c>
      <c r="AIM22" s="29">
        <f t="shared" ca="1" si="962"/>
        <v>14241.896565912495</v>
      </c>
      <c r="AIN22" s="29">
        <f t="shared" ca="1" si="963"/>
        <v>14477.789988784005</v>
      </c>
      <c r="AIO22" s="29">
        <f t="shared" ca="1" si="964"/>
        <v>13310.261036864475</v>
      </c>
      <c r="AIP22" s="29">
        <f t="shared" ca="1" si="965"/>
        <v>14036.914317583007</v>
      </c>
      <c r="AIQ22" s="29">
        <f t="shared" ca="1" si="966"/>
        <v>13310.471365053316</v>
      </c>
      <c r="AIR22" s="29">
        <f t="shared" ca="1" si="967"/>
        <v>13896.813381249161</v>
      </c>
      <c r="AIS22" s="29">
        <f t="shared" ca="1" si="968"/>
        <v>14164.338175875126</v>
      </c>
      <c r="AIT22" s="29">
        <f t="shared" ca="1" si="969"/>
        <v>15143.159787227851</v>
      </c>
      <c r="AIU22" s="29">
        <f t="shared" ca="1" si="970"/>
        <v>14119.065993281893</v>
      </c>
      <c r="AIV22" s="29">
        <f t="shared" ca="1" si="971"/>
        <v>13992.406951754003</v>
      </c>
      <c r="AIW22" s="29">
        <f t="shared" ca="1" si="972"/>
        <v>14015.840196867368</v>
      </c>
      <c r="AIX22" s="29">
        <f t="shared" ca="1" si="973"/>
        <v>15148.048581617695</v>
      </c>
      <c r="AIY22" s="29">
        <f t="shared" ca="1" si="974"/>
        <v>15488.246220045679</v>
      </c>
      <c r="AIZ22" s="29">
        <f t="shared" ca="1" si="975"/>
        <v>15309.645183122335</v>
      </c>
      <c r="AJA22" s="29">
        <f t="shared" ca="1" si="976"/>
        <v>13776.348763934386</v>
      </c>
      <c r="AJB22" s="29">
        <f t="shared" ca="1" si="977"/>
        <v>14125.1300369906</v>
      </c>
      <c r="AJC22" s="29">
        <f t="shared" ca="1" si="978"/>
        <v>14757.963557351766</v>
      </c>
      <c r="AJD22" s="29">
        <f t="shared" ca="1" si="979"/>
        <v>14383.738088953385</v>
      </c>
      <c r="AJE22" s="29">
        <f t="shared" ca="1" si="980"/>
        <v>15060.33889581002</v>
      </c>
      <c r="AJF22" s="29">
        <f t="shared" ca="1" si="981"/>
        <v>14869.416571755037</v>
      </c>
      <c r="AJG22" s="29">
        <f t="shared" ca="1" si="982"/>
        <v>14655.616721383161</v>
      </c>
      <c r="AJH22" s="29">
        <f t="shared" ca="1" si="983"/>
        <v>13801.895187210323</v>
      </c>
      <c r="AJI22" s="29">
        <f t="shared" ca="1" si="984"/>
        <v>14163.195122645107</v>
      </c>
      <c r="AJJ22" s="29">
        <f t="shared" ca="1" si="985"/>
        <v>15046.249733747763</v>
      </c>
      <c r="AJK22" s="29">
        <f t="shared" ca="1" si="986"/>
        <v>14632.249933576562</v>
      </c>
      <c r="AJL22" s="29">
        <f t="shared" ca="1" si="987"/>
        <v>15027.856570236825</v>
      </c>
      <c r="AJM22" s="29">
        <f t="shared" ca="1" si="988"/>
        <v>13994.353479565667</v>
      </c>
      <c r="AJN22" s="29">
        <f t="shared" ca="1" si="989"/>
        <v>14508.955598665794</v>
      </c>
      <c r="AJO22" s="29">
        <f t="shared" ca="1" si="990"/>
        <v>15253.604639457184</v>
      </c>
      <c r="AJP22" s="29">
        <f t="shared" ca="1" si="991"/>
        <v>15118.724589467014</v>
      </c>
      <c r="AJQ22" s="29">
        <f t="shared" ca="1" si="992"/>
        <v>13683.062112752306</v>
      </c>
      <c r="AJR22" s="29">
        <f t="shared" ca="1" si="993"/>
        <v>14911.817158076383</v>
      </c>
      <c r="AJS22" s="29">
        <f t="shared" ca="1" si="994"/>
        <v>14889.626558539898</v>
      </c>
      <c r="AJT22" s="29">
        <f t="shared" ca="1" si="995"/>
        <v>14708.143888594386</v>
      </c>
      <c r="AJU22" s="29">
        <f t="shared" ca="1" si="996"/>
        <v>13949.532633912861</v>
      </c>
      <c r="AJV22" s="29">
        <f t="shared" ca="1" si="997"/>
        <v>14282.577182259018</v>
      </c>
      <c r="AJW22" s="29">
        <f t="shared" ca="1" si="998"/>
        <v>13882.313617889555</v>
      </c>
      <c r="AJX22" s="29">
        <f t="shared" ca="1" si="999"/>
        <v>14810.904987320748</v>
      </c>
      <c r="AJY22" s="29">
        <f t="shared" ca="1" si="1000"/>
        <v>14170.542242846268</v>
      </c>
      <c r="AJZ22" s="29">
        <f t="shared" ca="1" si="1001"/>
        <v>14670.574146268495</v>
      </c>
      <c r="AKA22" s="29">
        <f t="shared" ca="1" si="1002"/>
        <v>14592.285664565017</v>
      </c>
      <c r="AKB22" s="29">
        <f t="shared" ca="1" si="1003"/>
        <v>13990.411997904768</v>
      </c>
      <c r="AKC22" s="29">
        <f t="shared" ca="1" si="1004"/>
        <v>13557.628099136022</v>
      </c>
      <c r="AKD22" s="29">
        <f t="shared" ca="1" si="1005"/>
        <v>15078.814018178802</v>
      </c>
      <c r="AKE22" s="29">
        <f t="shared" ca="1" si="1006"/>
        <v>13458.035977202431</v>
      </c>
      <c r="AKF22" s="29">
        <f t="shared" ca="1" si="1007"/>
        <v>15486.575470559816</v>
      </c>
      <c r="AKG22" s="29">
        <f t="shared" ca="1" si="1008"/>
        <v>14306.476974959485</v>
      </c>
      <c r="AKH22" s="29">
        <f t="shared" ca="1" si="1009"/>
        <v>13763.271382984585</v>
      </c>
      <c r="AKI22" s="29">
        <f t="shared" ca="1" si="1010"/>
        <v>15249.123823685391</v>
      </c>
      <c r="AKJ22" s="29">
        <f t="shared" ca="1" si="1011"/>
        <v>13177.073314578838</v>
      </c>
      <c r="AKK22" s="29">
        <f t="shared" ca="1" si="1012"/>
        <v>16075.098928114789</v>
      </c>
      <c r="AKL22" s="29">
        <f t="shared" ca="1" si="1013"/>
        <v>14512.585528836211</v>
      </c>
      <c r="AKM22" s="29">
        <f t="shared" ca="1" si="1014"/>
        <v>13668.14232360419</v>
      </c>
      <c r="AKN22" s="29">
        <f t="shared" ca="1" si="1015"/>
        <v>15012.427850019692</v>
      </c>
      <c r="AKO22" s="29">
        <f t="shared" ca="1" si="1016"/>
        <v>14363.673456576682</v>
      </c>
      <c r="AKP22" s="29">
        <f t="shared" ca="1" si="1017"/>
        <v>14895.756352386898</v>
      </c>
      <c r="AKQ22" s="29">
        <f t="shared" ca="1" si="1018"/>
        <v>14069.651444938316</v>
      </c>
      <c r="AKR22" s="29">
        <f t="shared" ca="1" si="1019"/>
        <v>14372.749230824629</v>
      </c>
      <c r="AKS22" s="29">
        <f t="shared" ca="1" si="1020"/>
        <v>15640.613962071357</v>
      </c>
      <c r="AKT22" s="29">
        <f t="shared" ca="1" si="1021"/>
        <v>15092.43316941657</v>
      </c>
      <c r="AKU22" s="29">
        <f t="shared" ca="1" si="1022"/>
        <v>14200.49466623923</v>
      </c>
      <c r="AKV22" s="29">
        <f t="shared" ca="1" si="1023"/>
        <v>12550.004874639284</v>
      </c>
      <c r="AKW22" s="29">
        <f t="shared" ca="1" si="1024"/>
        <v>14157.72589679912</v>
      </c>
      <c r="AKX22" s="29">
        <f t="shared" ca="1" si="1025"/>
        <v>14920.433122925997</v>
      </c>
      <c r="AKY22" s="29">
        <f t="shared" ca="1" si="1026"/>
        <v>13661.657784644476</v>
      </c>
      <c r="AKZ22" s="29">
        <f t="shared" ca="1" si="1027"/>
        <v>14753.557607150957</v>
      </c>
      <c r="ALA22" s="29">
        <f t="shared" ca="1" si="1028"/>
        <v>13935.451280557232</v>
      </c>
      <c r="ALB22" s="29">
        <f t="shared" ca="1" si="1029"/>
        <v>14824.250864970676</v>
      </c>
      <c r="ALC22" s="29">
        <f t="shared" ca="1" si="1030"/>
        <v>14197.016385792529</v>
      </c>
      <c r="ALD22" s="29">
        <f t="shared" ca="1" si="1031"/>
        <v>15455.348213408366</v>
      </c>
      <c r="ALE22" s="29">
        <f t="shared" ca="1" si="1032"/>
        <v>13912.877016325388</v>
      </c>
      <c r="ALF22" s="29">
        <f t="shared" ca="1" si="1033"/>
        <v>13598.853567379025</v>
      </c>
      <c r="ALG22" s="29">
        <f t="shared" ca="1" si="1034"/>
        <v>14250.240550495308</v>
      </c>
      <c r="ALH22" s="29">
        <f t="shared" ca="1" si="1035"/>
        <v>15105.274505767471</v>
      </c>
      <c r="ALI22" s="29">
        <f t="shared" ca="1" si="1036"/>
        <v>14824.755323999108</v>
      </c>
      <c r="ALJ22" s="29">
        <f t="shared" ca="1" si="1037"/>
        <v>14569.567140326759</v>
      </c>
      <c r="ALK22" s="29">
        <f t="shared" ca="1" si="1038"/>
        <v>15102.581840144809</v>
      </c>
      <c r="ALL22" s="29">
        <f t="shared" ca="1" si="1039"/>
        <v>14319.281093800539</v>
      </c>
      <c r="ALM22" s="29">
        <f t="shared" ca="1" si="1040"/>
        <v>13780.924914331596</v>
      </c>
      <c r="ALN22" s="29">
        <f t="shared" ca="1" si="1041"/>
        <v>14067.245890673046</v>
      </c>
      <c r="ALO22" s="29">
        <f t="shared" ca="1" si="1042"/>
        <v>13564.138279931703</v>
      </c>
      <c r="ALP22" s="29">
        <f t="shared" ca="1" si="1043"/>
        <v>14380.971702288682</v>
      </c>
      <c r="ALQ22" s="29">
        <f t="shared" ca="1" si="1044"/>
        <v>14351.562096233736</v>
      </c>
      <c r="ALR22" s="29">
        <f t="shared" ca="1" si="1045"/>
        <v>14929.467161553057</v>
      </c>
      <c r="ALS22" s="29">
        <f t="shared" ca="1" si="1046"/>
        <v>14306.929788573532</v>
      </c>
      <c r="ALT22" s="29">
        <f t="shared" ca="1" si="1047"/>
        <v>13896.870128920045</v>
      </c>
      <c r="ALU22" s="29">
        <f t="shared" ca="1" si="1048"/>
        <v>14362.748304990346</v>
      </c>
      <c r="ALV22" s="29">
        <f t="shared" ca="1" si="1049"/>
        <v>13316.477560178815</v>
      </c>
    </row>
    <row r="23" spans="1:1010" x14ac:dyDescent="0.25">
      <c r="A23" s="1">
        <v>40507</v>
      </c>
      <c r="B23" s="2">
        <v>5799.75</v>
      </c>
      <c r="C23" s="16">
        <f t="shared" si="32"/>
        <v>-1.1315537992575984E-2</v>
      </c>
      <c r="J23" s="31">
        <f t="shared" si="49"/>
        <v>20</v>
      </c>
      <c r="K23" s="31">
        <f t="shared" ca="1" si="50"/>
        <v>14544.886303411608</v>
      </c>
      <c r="L23" s="31">
        <f t="shared" ca="1" si="51"/>
        <v>13793.629663727006</v>
      </c>
      <c r="M23" s="31">
        <f t="shared" ca="1" si="52"/>
        <v>14425.129043012661</v>
      </c>
      <c r="N23" s="31">
        <f t="shared" ca="1" si="53"/>
        <v>13779.236208714816</v>
      </c>
      <c r="O23" s="31">
        <f t="shared" ca="1" si="54"/>
        <v>15631.126682654174</v>
      </c>
      <c r="P23" s="31">
        <f t="shared" ca="1" si="55"/>
        <v>14989.3665270949</v>
      </c>
      <c r="Q23" s="31">
        <f t="shared" ca="1" si="56"/>
        <v>13246.85594509874</v>
      </c>
      <c r="R23" s="31">
        <f t="shared" ca="1" si="57"/>
        <v>14421.145448199681</v>
      </c>
      <c r="S23" s="31">
        <f t="shared" ca="1" si="58"/>
        <v>13668.814576346094</v>
      </c>
      <c r="T23" s="31">
        <f t="shared" ca="1" si="59"/>
        <v>15617.076248043102</v>
      </c>
      <c r="U23" s="31">
        <f t="shared" ca="1" si="60"/>
        <v>15055.382355169253</v>
      </c>
      <c r="V23" s="31">
        <f t="shared" ca="1" si="61"/>
        <v>13847.555322823335</v>
      </c>
      <c r="W23" s="31">
        <f t="shared" ca="1" si="62"/>
        <v>14173.14622906679</v>
      </c>
      <c r="X23" s="31">
        <f t="shared" ca="1" si="63"/>
        <v>15646.282270765158</v>
      </c>
      <c r="Y23" s="31">
        <f t="shared" ca="1" si="64"/>
        <v>14898.765912989982</v>
      </c>
      <c r="Z23" s="31">
        <f t="shared" ca="1" si="65"/>
        <v>14236.3545708856</v>
      </c>
      <c r="AA23" s="31">
        <f t="shared" ca="1" si="66"/>
        <v>15165.581407325591</v>
      </c>
      <c r="AB23" s="31">
        <f t="shared" ca="1" si="67"/>
        <v>16421.266876548969</v>
      </c>
      <c r="AC23" s="31">
        <f t="shared" ca="1" si="68"/>
        <v>15222.289524243315</v>
      </c>
      <c r="AD23" s="31">
        <f t="shared" ca="1" si="69"/>
        <v>14227.331875487045</v>
      </c>
      <c r="AE23" s="31">
        <f t="shared" ca="1" si="70"/>
        <v>15563.402070022808</v>
      </c>
      <c r="AF23" s="31">
        <f t="shared" ca="1" si="71"/>
        <v>15143.929281762305</v>
      </c>
      <c r="AG23" s="31">
        <f t="shared" ca="1" si="72"/>
        <v>14035.210867857091</v>
      </c>
      <c r="AH23" s="31">
        <f t="shared" ca="1" si="73"/>
        <v>15247.918978818539</v>
      </c>
      <c r="AI23" s="31">
        <f t="shared" ca="1" si="74"/>
        <v>13314.012109137513</v>
      </c>
      <c r="AJ23" s="31">
        <f t="shared" ca="1" si="75"/>
        <v>14680.374678894699</v>
      </c>
      <c r="AK23" s="31">
        <f t="shared" ca="1" si="76"/>
        <v>13227.935356296995</v>
      </c>
      <c r="AL23" s="31">
        <f t="shared" ca="1" si="77"/>
        <v>14242.089080652639</v>
      </c>
      <c r="AM23" s="31">
        <f t="shared" ca="1" si="78"/>
        <v>14980.11075736758</v>
      </c>
      <c r="AN23" s="31">
        <f t="shared" ca="1" si="79"/>
        <v>14774.216845884775</v>
      </c>
      <c r="AO23" s="31">
        <f t="shared" ca="1" si="80"/>
        <v>14190.195182636855</v>
      </c>
      <c r="AP23" s="31">
        <f t="shared" ca="1" si="81"/>
        <v>14124.668982002255</v>
      </c>
      <c r="AQ23" s="31">
        <f t="shared" ca="1" si="82"/>
        <v>15751.801878169805</v>
      </c>
      <c r="AR23" s="31">
        <f t="shared" ca="1" si="83"/>
        <v>14346.074551507407</v>
      </c>
      <c r="AS23" s="31">
        <f t="shared" ca="1" si="84"/>
        <v>12818.613100741735</v>
      </c>
      <c r="AT23" s="31">
        <f t="shared" ca="1" si="85"/>
        <v>14559.569107135265</v>
      </c>
      <c r="AU23" s="31">
        <f t="shared" ca="1" si="86"/>
        <v>14031.245772338289</v>
      </c>
      <c r="AV23" s="31">
        <f t="shared" ca="1" si="87"/>
        <v>14522.153710345601</v>
      </c>
      <c r="AW23" s="31">
        <f t="shared" ca="1" si="88"/>
        <v>15449.329626279543</v>
      </c>
      <c r="AX23" s="31">
        <f t="shared" ca="1" si="89"/>
        <v>13660.313854135669</v>
      </c>
      <c r="AY23" s="31">
        <f t="shared" ca="1" si="90"/>
        <v>14103.735715323133</v>
      </c>
      <c r="AZ23" s="31">
        <f t="shared" ca="1" si="91"/>
        <v>13811.873206968661</v>
      </c>
      <c r="BA23" s="31">
        <f t="shared" ca="1" si="92"/>
        <v>14814.470025460747</v>
      </c>
      <c r="BB23" s="31">
        <f t="shared" ca="1" si="93"/>
        <v>13184.905831621923</v>
      </c>
      <c r="BC23" s="31">
        <f t="shared" ca="1" si="94"/>
        <v>13223.237386882767</v>
      </c>
      <c r="BD23" s="31">
        <f t="shared" ca="1" si="95"/>
        <v>14714.403744463925</v>
      </c>
      <c r="BE23" s="31">
        <f t="shared" ca="1" si="96"/>
        <v>15657.722007343726</v>
      </c>
      <c r="BF23" s="31">
        <f t="shared" ca="1" si="97"/>
        <v>16050.184398082736</v>
      </c>
      <c r="BG23" s="31">
        <f t="shared" ca="1" si="98"/>
        <v>14142.036735999924</v>
      </c>
      <c r="BH23" s="31">
        <f t="shared" ca="1" si="99"/>
        <v>14670.505313228374</v>
      </c>
      <c r="BI23" s="31">
        <f t="shared" ca="1" si="100"/>
        <v>14230.025596831696</v>
      </c>
      <c r="BJ23" s="31">
        <f t="shared" ca="1" si="101"/>
        <v>14471.694991734523</v>
      </c>
      <c r="BK23" s="31">
        <f t="shared" ca="1" si="102"/>
        <v>13336.351141441804</v>
      </c>
      <c r="BL23" s="31">
        <f t="shared" ca="1" si="103"/>
        <v>14445.649995437099</v>
      </c>
      <c r="BM23" s="31">
        <f t="shared" ca="1" si="104"/>
        <v>14883.82987280003</v>
      </c>
      <c r="BN23" s="31">
        <f t="shared" ca="1" si="105"/>
        <v>14142.141031534924</v>
      </c>
      <c r="BO23" s="31">
        <f t="shared" ca="1" si="106"/>
        <v>15853.047620312445</v>
      </c>
      <c r="BP23" s="31">
        <f t="shared" ca="1" si="107"/>
        <v>15070.100776829229</v>
      </c>
      <c r="BQ23" s="31">
        <f t="shared" ca="1" si="108"/>
        <v>14719.1244914854</v>
      </c>
      <c r="BR23" s="31">
        <f t="shared" ca="1" si="109"/>
        <v>13244.652720877481</v>
      </c>
      <c r="BS23" s="31">
        <f t="shared" ca="1" si="110"/>
        <v>14714.745445817362</v>
      </c>
      <c r="BT23" s="31">
        <f t="shared" ca="1" si="111"/>
        <v>14774.990566019354</v>
      </c>
      <c r="BU23" s="31">
        <f t="shared" ca="1" si="112"/>
        <v>13643.654585043047</v>
      </c>
      <c r="BV23" s="31">
        <f t="shared" ca="1" si="113"/>
        <v>16069.547511633476</v>
      </c>
      <c r="BW23" s="31">
        <f t="shared" ca="1" si="114"/>
        <v>14341.219082168354</v>
      </c>
      <c r="BX23" s="31">
        <f t="shared" ca="1" si="115"/>
        <v>14240.099099618204</v>
      </c>
      <c r="BY23" s="31">
        <f t="shared" ca="1" si="116"/>
        <v>14176.716412541238</v>
      </c>
      <c r="BZ23" s="31">
        <f t="shared" ca="1" si="117"/>
        <v>14020.143528833907</v>
      </c>
      <c r="CA23" s="31">
        <f t="shared" ca="1" si="118"/>
        <v>14318.001480003275</v>
      </c>
      <c r="CB23" s="31">
        <f t="shared" ca="1" si="119"/>
        <v>15630.783134338726</v>
      </c>
      <c r="CC23" s="31">
        <f t="shared" ca="1" si="120"/>
        <v>13679.682695629579</v>
      </c>
      <c r="CD23" s="31">
        <f t="shared" ca="1" si="121"/>
        <v>14107.732467729888</v>
      </c>
      <c r="CE23" s="31">
        <f t="shared" ca="1" si="122"/>
        <v>16191.446324122386</v>
      </c>
      <c r="CF23" s="31">
        <f t="shared" ca="1" si="123"/>
        <v>15169.435438487348</v>
      </c>
      <c r="CG23" s="31">
        <f t="shared" ca="1" si="124"/>
        <v>14533.762322282637</v>
      </c>
      <c r="CH23" s="31">
        <f t="shared" ca="1" si="125"/>
        <v>15224.555111750118</v>
      </c>
      <c r="CI23" s="31">
        <f t="shared" ca="1" si="126"/>
        <v>15152.36101260567</v>
      </c>
      <c r="CJ23" s="31">
        <f t="shared" ca="1" si="127"/>
        <v>14235.871516703875</v>
      </c>
      <c r="CK23" s="31">
        <f t="shared" ca="1" si="128"/>
        <v>13671.308332166211</v>
      </c>
      <c r="CL23" s="31">
        <f t="shared" ca="1" si="129"/>
        <v>14927.944164355371</v>
      </c>
      <c r="CM23" s="31">
        <f t="shared" ca="1" si="130"/>
        <v>14451.383318993423</v>
      </c>
      <c r="CN23" s="31">
        <f t="shared" ca="1" si="131"/>
        <v>14403.258962667924</v>
      </c>
      <c r="CO23" s="31">
        <f t="shared" ca="1" si="132"/>
        <v>15690.675910929092</v>
      </c>
      <c r="CP23" s="31">
        <f t="shared" ca="1" si="133"/>
        <v>14031.682136611655</v>
      </c>
      <c r="CQ23" s="31">
        <f t="shared" ca="1" si="134"/>
        <v>13905.931587392026</v>
      </c>
      <c r="CR23" s="31">
        <f t="shared" ca="1" si="135"/>
        <v>13503.989876049896</v>
      </c>
      <c r="CS23" s="31">
        <f t="shared" ca="1" si="136"/>
        <v>13878.899248908665</v>
      </c>
      <c r="CT23" s="31">
        <f t="shared" ca="1" si="137"/>
        <v>14609.206927430905</v>
      </c>
      <c r="CU23" s="31">
        <f t="shared" ca="1" si="138"/>
        <v>13928.653301054814</v>
      </c>
      <c r="CV23" s="31">
        <f t="shared" ca="1" si="139"/>
        <v>14360.801687325222</v>
      </c>
      <c r="CW23" s="31">
        <f t="shared" ca="1" si="140"/>
        <v>14026.261146688756</v>
      </c>
      <c r="CX23" s="31">
        <f t="shared" ca="1" si="141"/>
        <v>13448.361415109513</v>
      </c>
      <c r="CY23" s="31">
        <f t="shared" ca="1" si="142"/>
        <v>14296.421158739633</v>
      </c>
      <c r="CZ23" s="31">
        <f t="shared" ca="1" si="143"/>
        <v>12874.688969938932</v>
      </c>
      <c r="DA23" s="31">
        <f t="shared" ca="1" si="144"/>
        <v>14784.138895679836</v>
      </c>
      <c r="DB23" s="31">
        <f t="shared" ca="1" si="145"/>
        <v>16108.064826244909</v>
      </c>
      <c r="DC23" s="31">
        <f t="shared" ca="1" si="146"/>
        <v>15056.756869227544</v>
      </c>
      <c r="DD23" s="31">
        <f t="shared" ca="1" si="147"/>
        <v>13319.47204025131</v>
      </c>
      <c r="DE23" s="31">
        <f t="shared" ca="1" si="148"/>
        <v>14939.798819908023</v>
      </c>
      <c r="DF23" s="31">
        <f t="shared" ca="1" si="149"/>
        <v>14338.578253932781</v>
      </c>
      <c r="DG23" s="31">
        <f t="shared" ca="1" si="150"/>
        <v>14935.796150560735</v>
      </c>
      <c r="DH23" s="31">
        <f t="shared" ca="1" si="151"/>
        <v>13860.788898169336</v>
      </c>
      <c r="DI23" s="31">
        <f t="shared" ca="1" si="152"/>
        <v>15381.36004316539</v>
      </c>
      <c r="DJ23" s="31">
        <f t="shared" ca="1" si="153"/>
        <v>15104.331673601559</v>
      </c>
      <c r="DK23" s="31">
        <f t="shared" ca="1" si="154"/>
        <v>13336.976448398709</v>
      </c>
      <c r="DL23" s="31">
        <f t="shared" ca="1" si="155"/>
        <v>14602.273915538817</v>
      </c>
      <c r="DM23" s="31">
        <f t="shared" ca="1" si="156"/>
        <v>13852.555722845751</v>
      </c>
      <c r="DN23" s="31">
        <f t="shared" ca="1" si="157"/>
        <v>14686.769086036398</v>
      </c>
      <c r="DO23" s="31">
        <f t="shared" ca="1" si="158"/>
        <v>13447.929381158385</v>
      </c>
      <c r="DP23" s="31">
        <f t="shared" ca="1" si="159"/>
        <v>15025.628502387563</v>
      </c>
      <c r="DQ23" s="31">
        <f t="shared" ca="1" si="160"/>
        <v>14416.591469672059</v>
      </c>
      <c r="DR23" s="31">
        <f t="shared" ca="1" si="161"/>
        <v>13061.403846670375</v>
      </c>
      <c r="DS23" s="31">
        <f t="shared" ca="1" si="162"/>
        <v>15579.330220976735</v>
      </c>
      <c r="DT23" s="31">
        <f t="shared" ca="1" si="163"/>
        <v>14161.265774664036</v>
      </c>
      <c r="DU23" s="31">
        <f t="shared" ca="1" si="164"/>
        <v>14374.94544991104</v>
      </c>
      <c r="DV23" s="31">
        <f t="shared" ca="1" si="165"/>
        <v>14401.878184104035</v>
      </c>
      <c r="DW23" s="31">
        <f t="shared" ca="1" si="166"/>
        <v>14499.363940555953</v>
      </c>
      <c r="DX23" s="31">
        <f t="shared" ca="1" si="167"/>
        <v>13659.656993830926</v>
      </c>
      <c r="DY23" s="31">
        <f t="shared" ca="1" si="168"/>
        <v>14263.85071751089</v>
      </c>
      <c r="DZ23" s="31">
        <f t="shared" ca="1" si="169"/>
        <v>14658.473711449393</v>
      </c>
      <c r="EA23" s="31">
        <f t="shared" ca="1" si="170"/>
        <v>14258.573359409545</v>
      </c>
      <c r="EB23" s="31">
        <f t="shared" ca="1" si="171"/>
        <v>13330.505602903439</v>
      </c>
      <c r="EC23" s="31">
        <f t="shared" ca="1" si="172"/>
        <v>14511.448042501501</v>
      </c>
      <c r="ED23" s="31">
        <f t="shared" ca="1" si="173"/>
        <v>15665.128222440233</v>
      </c>
      <c r="EE23" s="31">
        <f t="shared" ca="1" si="174"/>
        <v>13944.992482335136</v>
      </c>
      <c r="EF23" s="31">
        <f t="shared" ca="1" si="175"/>
        <v>15265.203277626746</v>
      </c>
      <c r="EG23" s="31">
        <f t="shared" ca="1" si="176"/>
        <v>14342.010996608224</v>
      </c>
      <c r="EH23" s="31">
        <f t="shared" ca="1" si="177"/>
        <v>13360.542840415474</v>
      </c>
      <c r="EI23" s="31">
        <f t="shared" ca="1" si="178"/>
        <v>13822.020811840994</v>
      </c>
      <c r="EJ23" s="31">
        <f t="shared" ca="1" si="179"/>
        <v>13612.690930620282</v>
      </c>
      <c r="EK23" s="31">
        <f t="shared" ca="1" si="180"/>
        <v>14658.104270453287</v>
      </c>
      <c r="EL23" s="31">
        <f t="shared" ca="1" si="181"/>
        <v>14690.117982290789</v>
      </c>
      <c r="EM23" s="31">
        <f t="shared" ca="1" si="182"/>
        <v>14210.153872779556</v>
      </c>
      <c r="EN23" s="31">
        <f t="shared" ca="1" si="183"/>
        <v>14917.636614279199</v>
      </c>
      <c r="EO23" s="31">
        <f t="shared" ca="1" si="184"/>
        <v>14313.427420007689</v>
      </c>
      <c r="EP23" s="31">
        <f t="shared" ca="1" si="185"/>
        <v>13878.494532379582</v>
      </c>
      <c r="EQ23" s="31">
        <f t="shared" ca="1" si="186"/>
        <v>15296.778781156288</v>
      </c>
      <c r="ER23" s="31">
        <f t="shared" ca="1" si="187"/>
        <v>13208.806287996229</v>
      </c>
      <c r="ES23" s="31">
        <f t="shared" ca="1" si="188"/>
        <v>14772.164911360975</v>
      </c>
      <c r="ET23" s="31">
        <f t="shared" ca="1" si="189"/>
        <v>14801.247467030098</v>
      </c>
      <c r="EU23" s="31">
        <f t="shared" ca="1" si="190"/>
        <v>14371.71463220955</v>
      </c>
      <c r="EV23" s="31">
        <f t="shared" ca="1" si="191"/>
        <v>15366.737438781149</v>
      </c>
      <c r="EW23" s="31">
        <f t="shared" ca="1" si="192"/>
        <v>13600.147963250556</v>
      </c>
      <c r="EX23" s="31">
        <f t="shared" ca="1" si="193"/>
        <v>14710.757577323502</v>
      </c>
      <c r="EY23" s="31">
        <f t="shared" ca="1" si="194"/>
        <v>14543.655326165494</v>
      </c>
      <c r="EZ23" s="31">
        <f t="shared" ca="1" si="195"/>
        <v>14269.701329356854</v>
      </c>
      <c r="FA23" s="31">
        <f t="shared" ca="1" si="196"/>
        <v>14744.720830988084</v>
      </c>
      <c r="FB23" s="31">
        <f t="shared" ca="1" si="197"/>
        <v>15319.915578329441</v>
      </c>
      <c r="FC23" s="31">
        <f t="shared" ca="1" si="198"/>
        <v>15638.18388568933</v>
      </c>
      <c r="FD23" s="31">
        <f t="shared" ca="1" si="199"/>
        <v>14813.771907140139</v>
      </c>
      <c r="FE23" s="31">
        <f t="shared" ca="1" si="200"/>
        <v>15477.563664323514</v>
      </c>
      <c r="FF23" s="31">
        <f t="shared" ca="1" si="201"/>
        <v>14664.368737100627</v>
      </c>
      <c r="FG23" s="31">
        <f t="shared" ca="1" si="202"/>
        <v>14154.072040722029</v>
      </c>
      <c r="FH23" s="31">
        <f t="shared" ca="1" si="203"/>
        <v>13910.552050313534</v>
      </c>
      <c r="FI23" s="31">
        <f t="shared" ca="1" si="204"/>
        <v>14211.043932535069</v>
      </c>
      <c r="FJ23" s="31">
        <f t="shared" ca="1" si="205"/>
        <v>14300.735334892252</v>
      </c>
      <c r="FK23" s="31">
        <f t="shared" ca="1" si="206"/>
        <v>15255.228407096101</v>
      </c>
      <c r="FL23" s="31">
        <f t="shared" ca="1" si="207"/>
        <v>14065.600232877297</v>
      </c>
      <c r="FM23" s="31">
        <f t="shared" ca="1" si="208"/>
        <v>14531.318789400257</v>
      </c>
      <c r="FN23" s="31">
        <f t="shared" ca="1" si="209"/>
        <v>13184.156454707729</v>
      </c>
      <c r="FO23" s="31">
        <f t="shared" ca="1" si="210"/>
        <v>14079.43870319654</v>
      </c>
      <c r="FP23" s="31">
        <f t="shared" ca="1" si="211"/>
        <v>13885.179982364472</v>
      </c>
      <c r="FQ23" s="31">
        <f t="shared" ca="1" si="212"/>
        <v>14173.804438731489</v>
      </c>
      <c r="FR23" s="31">
        <f t="shared" ca="1" si="213"/>
        <v>14994.180739071746</v>
      </c>
      <c r="FS23" s="31">
        <f t="shared" ca="1" si="214"/>
        <v>15375.066162836421</v>
      </c>
      <c r="FT23" s="31">
        <f t="shared" ca="1" si="215"/>
        <v>15123.670624596984</v>
      </c>
      <c r="FU23" s="31">
        <f t="shared" ca="1" si="216"/>
        <v>13801.173235210632</v>
      </c>
      <c r="FV23" s="31">
        <f t="shared" ca="1" si="217"/>
        <v>15492.985889727663</v>
      </c>
      <c r="FW23" s="31">
        <f t="shared" ca="1" si="218"/>
        <v>14080.080394507031</v>
      </c>
      <c r="FX23" s="31">
        <f t="shared" ca="1" si="219"/>
        <v>15641.847326547511</v>
      </c>
      <c r="FY23" s="31">
        <f t="shared" ca="1" si="220"/>
        <v>14455.621058802859</v>
      </c>
      <c r="FZ23" s="31">
        <f t="shared" ca="1" si="221"/>
        <v>13585.888572292124</v>
      </c>
      <c r="GA23" s="31">
        <f t="shared" ca="1" si="222"/>
        <v>13301.549273445828</v>
      </c>
      <c r="GB23" s="31">
        <f t="shared" ca="1" si="223"/>
        <v>15423.790104009462</v>
      </c>
      <c r="GC23" s="31">
        <f t="shared" ca="1" si="224"/>
        <v>15571.379061623464</v>
      </c>
      <c r="GD23" s="31">
        <f t="shared" ca="1" si="225"/>
        <v>14002.581492735086</v>
      </c>
      <c r="GE23" s="31">
        <f t="shared" ca="1" si="226"/>
        <v>15075.642357715427</v>
      </c>
      <c r="GF23" s="31">
        <f t="shared" ca="1" si="227"/>
        <v>13954.137958099303</v>
      </c>
      <c r="GG23" s="31">
        <f t="shared" ca="1" si="228"/>
        <v>14522.241315640806</v>
      </c>
      <c r="GH23" s="31">
        <f t="shared" ca="1" si="229"/>
        <v>13974.691730738767</v>
      </c>
      <c r="GI23" s="31">
        <f t="shared" ca="1" si="230"/>
        <v>14357.790415452017</v>
      </c>
      <c r="GJ23" s="31">
        <f t="shared" ca="1" si="231"/>
        <v>14692.613227181206</v>
      </c>
      <c r="GK23" s="31">
        <f t="shared" ca="1" si="232"/>
        <v>14272.055715027444</v>
      </c>
      <c r="GL23" s="31">
        <f t="shared" ca="1" si="233"/>
        <v>13961.351742408471</v>
      </c>
      <c r="GM23" s="31">
        <f t="shared" ca="1" si="234"/>
        <v>14290.592656475239</v>
      </c>
      <c r="GN23" s="31">
        <f t="shared" ca="1" si="235"/>
        <v>14033.873008511917</v>
      </c>
      <c r="GO23" s="31">
        <f t="shared" ca="1" si="236"/>
        <v>13720.98436786152</v>
      </c>
      <c r="GP23" s="31">
        <f t="shared" ca="1" si="237"/>
        <v>14974.013122716453</v>
      </c>
      <c r="GQ23" s="31">
        <f t="shared" ca="1" si="238"/>
        <v>14248.338567682849</v>
      </c>
      <c r="GR23" s="31">
        <f t="shared" ca="1" si="239"/>
        <v>13915.967003789581</v>
      </c>
      <c r="GS23" s="31">
        <f t="shared" ca="1" si="240"/>
        <v>15230.569826321078</v>
      </c>
      <c r="GT23" s="31">
        <f t="shared" ca="1" si="241"/>
        <v>13927.728412502333</v>
      </c>
      <c r="GU23" s="31">
        <f t="shared" ca="1" si="242"/>
        <v>13596.879379758479</v>
      </c>
      <c r="GV23" s="31">
        <f t="shared" ca="1" si="243"/>
        <v>15224.515200761274</v>
      </c>
      <c r="GW23" s="31">
        <f t="shared" ca="1" si="244"/>
        <v>13508.494551789383</v>
      </c>
      <c r="GX23" s="31">
        <f t="shared" ca="1" si="245"/>
        <v>14750.138376531107</v>
      </c>
      <c r="GY23" s="31">
        <f t="shared" ca="1" si="246"/>
        <v>14606.530601899498</v>
      </c>
      <c r="GZ23" s="31">
        <f t="shared" ca="1" si="247"/>
        <v>14757.378838404084</v>
      </c>
      <c r="HA23" s="31">
        <f t="shared" ca="1" si="248"/>
        <v>15121.50794223397</v>
      </c>
      <c r="HB23" s="31">
        <f t="shared" ca="1" si="249"/>
        <v>14434.942588568454</v>
      </c>
      <c r="HC23" s="31">
        <f t="shared" ca="1" si="250"/>
        <v>15311.167253949094</v>
      </c>
      <c r="HD23" s="31">
        <f t="shared" ca="1" si="251"/>
        <v>13375.172215194198</v>
      </c>
      <c r="HE23" s="31">
        <f t="shared" ca="1" si="252"/>
        <v>14894.297448671628</v>
      </c>
      <c r="HF23" s="31">
        <f t="shared" ca="1" si="253"/>
        <v>13396.409984481965</v>
      </c>
      <c r="HG23" s="31">
        <f t="shared" ca="1" si="254"/>
        <v>14185.469300740808</v>
      </c>
      <c r="HH23" s="31">
        <f t="shared" ca="1" si="255"/>
        <v>13523.459136904961</v>
      </c>
      <c r="HI23" s="31">
        <f t="shared" ca="1" si="256"/>
        <v>13735.214833648004</v>
      </c>
      <c r="HJ23" s="31">
        <f t="shared" ca="1" si="257"/>
        <v>13763.023815065459</v>
      </c>
      <c r="HK23" s="31">
        <f t="shared" ca="1" si="258"/>
        <v>14900.923886176217</v>
      </c>
      <c r="HL23" s="31">
        <f t="shared" ca="1" si="259"/>
        <v>15523.996366446196</v>
      </c>
      <c r="HM23" s="31">
        <f t="shared" ca="1" si="260"/>
        <v>14398.639663257343</v>
      </c>
      <c r="HN23" s="31">
        <f t="shared" ca="1" si="261"/>
        <v>13000.941824454896</v>
      </c>
      <c r="HO23" s="31">
        <f t="shared" ca="1" si="262"/>
        <v>15408.971181071867</v>
      </c>
      <c r="HP23" s="31">
        <f t="shared" ca="1" si="263"/>
        <v>14282.005979345538</v>
      </c>
      <c r="HQ23" s="31">
        <f t="shared" ca="1" si="264"/>
        <v>14133.914752674636</v>
      </c>
      <c r="HR23" s="31">
        <f t="shared" ca="1" si="265"/>
        <v>14961.496959166088</v>
      </c>
      <c r="HS23" s="31">
        <f t="shared" ca="1" si="266"/>
        <v>14555.282233973425</v>
      </c>
      <c r="HT23" s="31">
        <f t="shared" ca="1" si="267"/>
        <v>14577.560631335797</v>
      </c>
      <c r="HU23" s="31">
        <f t="shared" ca="1" si="268"/>
        <v>14705.4433278182</v>
      </c>
      <c r="HV23" s="31">
        <f t="shared" ca="1" si="269"/>
        <v>14425.081456822956</v>
      </c>
      <c r="HW23" s="31">
        <f t="shared" ca="1" si="270"/>
        <v>14943.226425566045</v>
      </c>
      <c r="HX23" s="31">
        <f t="shared" ca="1" si="271"/>
        <v>14511.692443257865</v>
      </c>
      <c r="HY23" s="31">
        <f t="shared" ca="1" si="272"/>
        <v>14787.099370150334</v>
      </c>
      <c r="HZ23" s="31">
        <f t="shared" ca="1" si="273"/>
        <v>13595.32437068774</v>
      </c>
      <c r="IA23" s="31">
        <f t="shared" ca="1" si="274"/>
        <v>14653.770408446435</v>
      </c>
      <c r="IB23" s="31">
        <f t="shared" ca="1" si="275"/>
        <v>15429.656280012372</v>
      </c>
      <c r="IC23" s="31">
        <f t="shared" ca="1" si="276"/>
        <v>13046.160041178895</v>
      </c>
      <c r="ID23" s="31">
        <f t="shared" ca="1" si="277"/>
        <v>14298.467660074592</v>
      </c>
      <c r="IE23" s="31">
        <f t="shared" ca="1" si="278"/>
        <v>12590.872944483306</v>
      </c>
      <c r="IF23" s="31">
        <f t="shared" ca="1" si="279"/>
        <v>15216.070667096392</v>
      </c>
      <c r="IG23" s="31">
        <f t="shared" ca="1" si="280"/>
        <v>13884.31470370137</v>
      </c>
      <c r="IH23" s="31">
        <f t="shared" ca="1" si="281"/>
        <v>14070.426836037472</v>
      </c>
      <c r="II23" s="31">
        <f t="shared" ca="1" si="282"/>
        <v>14498.932519793716</v>
      </c>
      <c r="IJ23" s="31">
        <f t="shared" ca="1" si="283"/>
        <v>14323.295191899066</v>
      </c>
      <c r="IK23" s="31">
        <f t="shared" ca="1" si="284"/>
        <v>13965.202717909331</v>
      </c>
      <c r="IL23" s="31">
        <f t="shared" ca="1" si="285"/>
        <v>16289.545142715455</v>
      </c>
      <c r="IM23" s="31">
        <f t="shared" ca="1" si="286"/>
        <v>13301.660758115953</v>
      </c>
      <c r="IN23" s="31">
        <f t="shared" ca="1" si="287"/>
        <v>15106.234347998276</v>
      </c>
      <c r="IO23" s="31">
        <f t="shared" ca="1" si="288"/>
        <v>14641.885240967664</v>
      </c>
      <c r="IP23" s="31">
        <f t="shared" ca="1" si="289"/>
        <v>14306.706739235964</v>
      </c>
      <c r="IQ23" s="31">
        <f t="shared" ca="1" si="290"/>
        <v>13619.757521165191</v>
      </c>
      <c r="IR23" s="31">
        <f t="shared" ca="1" si="291"/>
        <v>14467.442303659305</v>
      </c>
      <c r="IS23" s="31">
        <f t="shared" ca="1" si="292"/>
        <v>13415.178662969567</v>
      </c>
      <c r="IT23" s="31">
        <f t="shared" ca="1" si="293"/>
        <v>15759.180060524555</v>
      </c>
      <c r="IU23" s="31">
        <f t="shared" ca="1" si="294"/>
        <v>15453.498433231627</v>
      </c>
      <c r="IV23" s="31">
        <f t="shared" ca="1" si="295"/>
        <v>14141.450548364102</v>
      </c>
      <c r="IW23" s="31">
        <f t="shared" ca="1" si="296"/>
        <v>14976.550868459803</v>
      </c>
      <c r="IX23" s="31">
        <f t="shared" ca="1" si="297"/>
        <v>15734.741575170587</v>
      </c>
      <c r="IY23" s="31">
        <f t="shared" ca="1" si="298"/>
        <v>14245.555204554825</v>
      </c>
      <c r="IZ23" s="31">
        <f t="shared" ca="1" si="299"/>
        <v>13882.216447368872</v>
      </c>
      <c r="JA23" s="31">
        <f t="shared" ca="1" si="300"/>
        <v>14315.421913254397</v>
      </c>
      <c r="JB23" s="31">
        <f t="shared" ca="1" si="301"/>
        <v>13723.598139294116</v>
      </c>
      <c r="JC23" s="31">
        <f t="shared" ca="1" si="302"/>
        <v>14313.732278941829</v>
      </c>
      <c r="JD23" s="31">
        <f t="shared" ca="1" si="303"/>
        <v>14344.042537494755</v>
      </c>
      <c r="JE23" s="31">
        <f t="shared" ca="1" si="304"/>
        <v>13903.415073509585</v>
      </c>
      <c r="JF23" s="31">
        <f t="shared" ca="1" si="305"/>
        <v>14379.908536189734</v>
      </c>
      <c r="JG23" s="31">
        <f t="shared" ca="1" si="306"/>
        <v>13701.207173542527</v>
      </c>
      <c r="JH23" s="31">
        <f t="shared" ca="1" si="307"/>
        <v>14210.626586566894</v>
      </c>
      <c r="JI23" s="31">
        <f t="shared" ca="1" si="308"/>
        <v>14130.099136924366</v>
      </c>
      <c r="JJ23" s="31">
        <f t="shared" ca="1" si="309"/>
        <v>15172.299590050443</v>
      </c>
      <c r="JK23" s="31">
        <f t="shared" ca="1" si="310"/>
        <v>14282.624532028842</v>
      </c>
      <c r="JL23" s="31">
        <f t="shared" ca="1" si="311"/>
        <v>15327.358197372519</v>
      </c>
      <c r="JM23" s="31">
        <f t="shared" ca="1" si="312"/>
        <v>13489.108029484003</v>
      </c>
      <c r="JN23" s="31">
        <f t="shared" ca="1" si="313"/>
        <v>14835.283546609449</v>
      </c>
      <c r="JO23" s="31">
        <f t="shared" ca="1" si="314"/>
        <v>15693.34556141724</v>
      </c>
      <c r="JP23" s="31">
        <f t="shared" ca="1" si="315"/>
        <v>14793.676691384446</v>
      </c>
      <c r="JQ23" s="31">
        <f t="shared" ca="1" si="316"/>
        <v>13806.103718112849</v>
      </c>
      <c r="JR23" s="31">
        <f t="shared" ca="1" si="317"/>
        <v>14191.242521927958</v>
      </c>
      <c r="JS23" s="31">
        <f t="shared" ca="1" si="318"/>
        <v>15777.965806608987</v>
      </c>
      <c r="JT23" s="31">
        <f t="shared" ca="1" si="319"/>
        <v>14674.024106131928</v>
      </c>
      <c r="JU23" s="31">
        <f t="shared" ca="1" si="320"/>
        <v>14463.353078335767</v>
      </c>
      <c r="JV23" s="31">
        <f t="shared" ca="1" si="321"/>
        <v>14210.100245382684</v>
      </c>
      <c r="JW23" s="31">
        <f t="shared" ca="1" si="322"/>
        <v>14881.564855737239</v>
      </c>
      <c r="JX23" s="31">
        <f t="shared" ca="1" si="323"/>
        <v>14941.025705145594</v>
      </c>
      <c r="JY23" s="31">
        <f t="shared" ca="1" si="324"/>
        <v>14425.525077330429</v>
      </c>
      <c r="JZ23" s="31">
        <f t="shared" ca="1" si="325"/>
        <v>15028.715140859935</v>
      </c>
      <c r="KA23" s="31">
        <f t="shared" ca="1" si="326"/>
        <v>14587.504788819113</v>
      </c>
      <c r="KB23" s="31">
        <f t="shared" ca="1" si="327"/>
        <v>13045.044067637429</v>
      </c>
      <c r="KC23" s="31">
        <f t="shared" ca="1" si="328"/>
        <v>13920.674083741296</v>
      </c>
      <c r="KD23" s="31">
        <f t="shared" ca="1" si="329"/>
        <v>13681.462455884874</v>
      </c>
      <c r="KE23" s="31">
        <f t="shared" ca="1" si="330"/>
        <v>16415.703084039596</v>
      </c>
      <c r="KF23" s="31">
        <f t="shared" ca="1" si="331"/>
        <v>14901.585507480213</v>
      </c>
      <c r="KG23" s="31">
        <f t="shared" ca="1" si="332"/>
        <v>14459.350867890267</v>
      </c>
      <c r="KH23" s="31">
        <f t="shared" ca="1" si="333"/>
        <v>14423.929850310891</v>
      </c>
      <c r="KI23" s="31">
        <f t="shared" ca="1" si="334"/>
        <v>13448.519609718578</v>
      </c>
      <c r="KJ23" s="31">
        <f t="shared" ca="1" si="335"/>
        <v>14583.906578171513</v>
      </c>
      <c r="KK23" s="31">
        <f t="shared" ca="1" si="336"/>
        <v>14057.508345462627</v>
      </c>
      <c r="KL23" s="31">
        <f t="shared" ca="1" si="337"/>
        <v>14599.269387069438</v>
      </c>
      <c r="KM23" s="31">
        <f t="shared" ca="1" si="338"/>
        <v>15535.220547284473</v>
      </c>
      <c r="KN23" s="31">
        <f t="shared" ca="1" si="339"/>
        <v>14374.036133945503</v>
      </c>
      <c r="KO23" s="31">
        <f t="shared" ca="1" si="340"/>
        <v>14196.781231593781</v>
      </c>
      <c r="KP23" s="31">
        <f t="shared" ca="1" si="341"/>
        <v>14200.809795009534</v>
      </c>
      <c r="KQ23" s="31">
        <f t="shared" ca="1" si="342"/>
        <v>14013.422807442374</v>
      </c>
      <c r="KR23" s="31">
        <f t="shared" ca="1" si="343"/>
        <v>13822.717371520224</v>
      </c>
      <c r="KS23" s="31">
        <f t="shared" ca="1" si="344"/>
        <v>13751.587900496454</v>
      </c>
      <c r="KT23" s="31">
        <f t="shared" ca="1" si="345"/>
        <v>14271.905991694244</v>
      </c>
      <c r="KU23" s="31">
        <f t="shared" ca="1" si="346"/>
        <v>13399.737713475321</v>
      </c>
      <c r="KV23" s="31">
        <f t="shared" ca="1" si="347"/>
        <v>14414.735273981143</v>
      </c>
      <c r="KW23" s="31">
        <f t="shared" ca="1" si="348"/>
        <v>14620.126270438657</v>
      </c>
      <c r="KX23" s="31">
        <f t="shared" ca="1" si="349"/>
        <v>13484.476147624422</v>
      </c>
      <c r="KY23" s="31">
        <f t="shared" ca="1" si="350"/>
        <v>14581.231263837153</v>
      </c>
      <c r="KZ23" s="31">
        <f t="shared" ca="1" si="351"/>
        <v>15507.422004261563</v>
      </c>
      <c r="LA23" s="31">
        <f t="shared" ca="1" si="352"/>
        <v>14754.866601739552</v>
      </c>
      <c r="LB23" s="31">
        <f t="shared" ca="1" si="353"/>
        <v>14166.198191865986</v>
      </c>
      <c r="LC23" s="31">
        <f t="shared" ca="1" si="354"/>
        <v>14273.147405790185</v>
      </c>
      <c r="LD23" s="31">
        <f t="shared" ca="1" si="355"/>
        <v>14092.148005124813</v>
      </c>
      <c r="LE23" s="31">
        <f t="shared" ca="1" si="356"/>
        <v>13848.102021191744</v>
      </c>
      <c r="LF23" s="31">
        <f t="shared" ca="1" si="357"/>
        <v>14224.543509516885</v>
      </c>
      <c r="LG23" s="31">
        <f t="shared" ca="1" si="358"/>
        <v>14654.609697020698</v>
      </c>
      <c r="LH23" s="31">
        <f t="shared" ca="1" si="359"/>
        <v>13256.900379764795</v>
      </c>
      <c r="LI23" s="31">
        <f t="shared" ca="1" si="360"/>
        <v>13730.605817233189</v>
      </c>
      <c r="LJ23" s="31">
        <f t="shared" ca="1" si="361"/>
        <v>14793.764993116232</v>
      </c>
      <c r="LK23" s="31">
        <f t="shared" ca="1" si="362"/>
        <v>14347.449561080055</v>
      </c>
      <c r="LL23" s="31">
        <f t="shared" ca="1" si="363"/>
        <v>15248.912675245661</v>
      </c>
      <c r="LM23" s="31">
        <f t="shared" ca="1" si="364"/>
        <v>15030.228712201997</v>
      </c>
      <c r="LN23" s="31">
        <f t="shared" ca="1" si="365"/>
        <v>15259.672628052309</v>
      </c>
      <c r="LO23" s="31">
        <f t="shared" ca="1" si="366"/>
        <v>14465.748920163645</v>
      </c>
      <c r="LP23" s="31">
        <f t="shared" ca="1" si="367"/>
        <v>14910.182838820205</v>
      </c>
      <c r="LQ23" s="31">
        <f t="shared" ca="1" si="368"/>
        <v>15878.338580760583</v>
      </c>
      <c r="LR23" s="31">
        <f t="shared" ca="1" si="369"/>
        <v>14016.16669310442</v>
      </c>
      <c r="LS23" s="31">
        <f t="shared" ca="1" si="370"/>
        <v>13764.923827837023</v>
      </c>
      <c r="LT23" s="31">
        <f t="shared" ca="1" si="371"/>
        <v>15092.899436987178</v>
      </c>
      <c r="LU23" s="31">
        <f t="shared" ca="1" si="372"/>
        <v>14505.90117199226</v>
      </c>
      <c r="LV23" s="31">
        <f t="shared" ca="1" si="373"/>
        <v>14218.84286398845</v>
      </c>
      <c r="LW23" s="31">
        <f t="shared" ca="1" si="374"/>
        <v>13861.036663415503</v>
      </c>
      <c r="LX23" s="31">
        <f t="shared" ca="1" si="375"/>
        <v>15336.880332470228</v>
      </c>
      <c r="LY23" s="31">
        <f t="shared" ca="1" si="376"/>
        <v>15572.881270749886</v>
      </c>
      <c r="LZ23" s="31">
        <f t="shared" ca="1" si="377"/>
        <v>14695.750155853173</v>
      </c>
      <c r="MA23" s="31">
        <f t="shared" ca="1" si="378"/>
        <v>13988.843824025467</v>
      </c>
      <c r="MB23" s="31">
        <f t="shared" ca="1" si="379"/>
        <v>14123.617488835904</v>
      </c>
      <c r="MC23" s="31">
        <f t="shared" ca="1" si="380"/>
        <v>15177.557218055714</v>
      </c>
      <c r="MD23" s="31">
        <f t="shared" ca="1" si="381"/>
        <v>14979.265510698515</v>
      </c>
      <c r="ME23" s="31">
        <f t="shared" ca="1" si="382"/>
        <v>13383.869033679399</v>
      </c>
      <c r="MF23" s="31">
        <f t="shared" ca="1" si="383"/>
        <v>15287.683675285216</v>
      </c>
      <c r="MG23" s="31">
        <f t="shared" ca="1" si="384"/>
        <v>14307.719521106495</v>
      </c>
      <c r="MH23" s="31">
        <f t="shared" ca="1" si="385"/>
        <v>14182.169805380139</v>
      </c>
      <c r="MI23" s="31">
        <f t="shared" ca="1" si="386"/>
        <v>16032.445209185964</v>
      </c>
      <c r="MJ23" s="31">
        <f t="shared" ca="1" si="387"/>
        <v>15222.319407139641</v>
      </c>
      <c r="MK23" s="31">
        <f t="shared" ca="1" si="388"/>
        <v>14485.955548506336</v>
      </c>
      <c r="ML23" s="31">
        <f t="shared" ca="1" si="389"/>
        <v>16066.791182219693</v>
      </c>
      <c r="MM23" s="31">
        <f t="shared" ca="1" si="390"/>
        <v>16284.083750052554</v>
      </c>
      <c r="MN23" s="31">
        <f t="shared" ca="1" si="391"/>
        <v>13922.892501114718</v>
      </c>
      <c r="MO23" s="31">
        <f t="shared" ca="1" si="392"/>
        <v>13418.491115227353</v>
      </c>
      <c r="MP23" s="31">
        <f t="shared" ca="1" si="393"/>
        <v>14437.606165586338</v>
      </c>
      <c r="MQ23" s="31">
        <f t="shared" ca="1" si="394"/>
        <v>15273.174856683339</v>
      </c>
      <c r="MR23" s="31">
        <f t="shared" ca="1" si="395"/>
        <v>14157.186261577563</v>
      </c>
      <c r="MS23" s="31">
        <f t="shared" ca="1" si="396"/>
        <v>13388.669863416357</v>
      </c>
      <c r="MT23" s="31">
        <f t="shared" ca="1" si="397"/>
        <v>14852.34375737474</v>
      </c>
      <c r="MU23" s="31">
        <f t="shared" ca="1" si="398"/>
        <v>14378.586198518009</v>
      </c>
      <c r="MV23" s="31">
        <f t="shared" ca="1" si="399"/>
        <v>13748.699193582832</v>
      </c>
      <c r="MW23" s="31">
        <f t="shared" ca="1" si="400"/>
        <v>15236.07321485146</v>
      </c>
      <c r="MX23" s="31">
        <f t="shared" ca="1" si="401"/>
        <v>14786.410777863484</v>
      </c>
      <c r="MY23" s="31">
        <f t="shared" ca="1" si="402"/>
        <v>14226.85827819073</v>
      </c>
      <c r="MZ23" s="31">
        <f t="shared" ca="1" si="403"/>
        <v>15611.949197467318</v>
      </c>
      <c r="NA23" s="31">
        <f t="shared" ca="1" si="404"/>
        <v>14580.408603106818</v>
      </c>
      <c r="NB23" s="31">
        <f t="shared" ca="1" si="405"/>
        <v>15461.265418375131</v>
      </c>
      <c r="NC23" s="31">
        <f t="shared" ca="1" si="406"/>
        <v>13146.353002422602</v>
      </c>
      <c r="ND23" s="31">
        <f t="shared" ca="1" si="407"/>
        <v>14675.431876789782</v>
      </c>
      <c r="NE23" s="31">
        <f t="shared" ca="1" si="408"/>
        <v>14229.869200348021</v>
      </c>
      <c r="NF23" s="31">
        <f t="shared" ca="1" si="409"/>
        <v>14462.691766377991</v>
      </c>
      <c r="NG23" s="31">
        <f t="shared" ca="1" si="410"/>
        <v>13830.79385234764</v>
      </c>
      <c r="NH23" s="31">
        <f t="shared" ca="1" si="411"/>
        <v>14217.987135549567</v>
      </c>
      <c r="NI23" s="31">
        <f t="shared" ca="1" si="412"/>
        <v>14279.762409673782</v>
      </c>
      <c r="NJ23" s="31">
        <f t="shared" ca="1" si="413"/>
        <v>14473.736764627487</v>
      </c>
      <c r="NK23" s="31">
        <f t="shared" ca="1" si="414"/>
        <v>14704.063367890205</v>
      </c>
      <c r="NL23" s="31">
        <f t="shared" ca="1" si="415"/>
        <v>13601.126541974816</v>
      </c>
      <c r="NM23" s="31">
        <f t="shared" ca="1" si="416"/>
        <v>14025.051226686905</v>
      </c>
      <c r="NN23" s="31">
        <f t="shared" ca="1" si="417"/>
        <v>14125.662875915743</v>
      </c>
      <c r="NO23" s="31">
        <f t="shared" ca="1" si="418"/>
        <v>14522.559816736479</v>
      </c>
      <c r="NP23" s="31">
        <f t="shared" ca="1" si="419"/>
        <v>14193.880469575988</v>
      </c>
      <c r="NQ23" s="31">
        <f t="shared" ca="1" si="420"/>
        <v>15558.61665678033</v>
      </c>
      <c r="NR23" s="31">
        <f t="shared" ca="1" si="421"/>
        <v>15210.83194456586</v>
      </c>
      <c r="NS23" s="31">
        <f t="shared" ca="1" si="422"/>
        <v>13446.578198701889</v>
      </c>
      <c r="NT23" s="31">
        <f t="shared" ca="1" si="423"/>
        <v>14456.672401974793</v>
      </c>
      <c r="NU23" s="31">
        <f t="shared" ca="1" si="424"/>
        <v>14686.831689202952</v>
      </c>
      <c r="NV23" s="31">
        <f t="shared" ca="1" si="425"/>
        <v>14175.46227312297</v>
      </c>
      <c r="NW23" s="31">
        <f t="shared" ca="1" si="426"/>
        <v>13739.983116564666</v>
      </c>
      <c r="NX23" s="31">
        <f t="shared" ca="1" si="427"/>
        <v>14311.372534250851</v>
      </c>
      <c r="NY23" s="31">
        <f t="shared" ca="1" si="428"/>
        <v>14477.20700164074</v>
      </c>
      <c r="NZ23" s="31">
        <f t="shared" ca="1" si="429"/>
        <v>14057.950651547537</v>
      </c>
      <c r="OA23" s="31">
        <f t="shared" ca="1" si="430"/>
        <v>14227.5959755859</v>
      </c>
      <c r="OB23" s="31">
        <f t="shared" ca="1" si="431"/>
        <v>15401.182372715502</v>
      </c>
      <c r="OC23" s="31">
        <f t="shared" ca="1" si="432"/>
        <v>15082.657508412465</v>
      </c>
      <c r="OD23" s="31">
        <f t="shared" ca="1" si="433"/>
        <v>15185.146833973913</v>
      </c>
      <c r="OE23" s="31">
        <f t="shared" ca="1" si="434"/>
        <v>14884.99690668525</v>
      </c>
      <c r="OF23" s="31">
        <f t="shared" ca="1" si="435"/>
        <v>14149.354938251576</v>
      </c>
      <c r="OG23" s="31">
        <f t="shared" ca="1" si="436"/>
        <v>15108.332614758219</v>
      </c>
      <c r="OH23" s="31">
        <f t="shared" ca="1" si="437"/>
        <v>15369.96556601136</v>
      </c>
      <c r="OI23" s="31">
        <f t="shared" ca="1" si="438"/>
        <v>14379.2476943863</v>
      </c>
      <c r="OJ23" s="31">
        <f t="shared" ca="1" si="439"/>
        <v>15095.621815443248</v>
      </c>
      <c r="OK23" s="31">
        <f t="shared" ca="1" si="440"/>
        <v>14079.097566444138</v>
      </c>
      <c r="OL23" s="31">
        <f t="shared" ca="1" si="441"/>
        <v>15024.125972386364</v>
      </c>
      <c r="OM23" s="31">
        <f t="shared" ca="1" si="442"/>
        <v>13034.369101340597</v>
      </c>
      <c r="ON23" s="31">
        <f t="shared" ca="1" si="443"/>
        <v>14911.715208880878</v>
      </c>
      <c r="OO23" s="31">
        <f t="shared" ca="1" si="444"/>
        <v>13909.203158178254</v>
      </c>
      <c r="OP23" s="31">
        <f t="shared" ca="1" si="445"/>
        <v>15838.131619977401</v>
      </c>
      <c r="OQ23" s="31">
        <f t="shared" ca="1" si="446"/>
        <v>13899.747142606095</v>
      </c>
      <c r="OR23" s="31">
        <f t="shared" ca="1" si="447"/>
        <v>13721.851371317191</v>
      </c>
      <c r="OS23" s="31">
        <f t="shared" ca="1" si="448"/>
        <v>12806.098144679945</v>
      </c>
      <c r="OT23" s="31">
        <f t="shared" ca="1" si="449"/>
        <v>14548.439244684614</v>
      </c>
      <c r="OU23" s="31">
        <f t="shared" ca="1" si="450"/>
        <v>13672.286799656005</v>
      </c>
      <c r="OV23" s="31">
        <f t="shared" ca="1" si="451"/>
        <v>15735.91755989079</v>
      </c>
      <c r="OW23" s="31">
        <f t="shared" ca="1" si="452"/>
        <v>14997.650619863047</v>
      </c>
      <c r="OX23" s="31">
        <f t="shared" ca="1" si="453"/>
        <v>15324.741834983828</v>
      </c>
      <c r="OY23" s="31">
        <f t="shared" ca="1" si="454"/>
        <v>14633.040426103818</v>
      </c>
      <c r="OZ23" s="31">
        <f t="shared" ca="1" si="455"/>
        <v>13901.097210911201</v>
      </c>
      <c r="PA23" s="31">
        <f t="shared" ca="1" si="456"/>
        <v>15171.133997682979</v>
      </c>
      <c r="PB23" s="31">
        <f t="shared" ca="1" si="457"/>
        <v>13893.591806179806</v>
      </c>
      <c r="PC23" s="31">
        <f t="shared" ca="1" si="458"/>
        <v>14498.084578697391</v>
      </c>
      <c r="PD23" s="31">
        <f t="shared" ca="1" si="459"/>
        <v>14768.872534525366</v>
      </c>
      <c r="PE23" s="31">
        <f t="shared" ca="1" si="460"/>
        <v>14066.688575525061</v>
      </c>
      <c r="PF23" s="31">
        <f t="shared" ca="1" si="461"/>
        <v>14311.087062913994</v>
      </c>
      <c r="PG23" s="31">
        <f t="shared" ca="1" si="462"/>
        <v>14353.03588194348</v>
      </c>
      <c r="PH23" s="31">
        <f t="shared" ca="1" si="463"/>
        <v>15251.359881297607</v>
      </c>
      <c r="PI23" s="31">
        <f t="shared" ca="1" si="464"/>
        <v>13847.163444114409</v>
      </c>
      <c r="PJ23" s="31">
        <f t="shared" ca="1" si="465"/>
        <v>14672.924081933656</v>
      </c>
      <c r="PK23" s="31">
        <f t="shared" ca="1" si="466"/>
        <v>14074.057033809648</v>
      </c>
      <c r="PL23" s="31">
        <f t="shared" ca="1" si="467"/>
        <v>13644.433953123418</v>
      </c>
      <c r="PM23" s="31">
        <f t="shared" ca="1" si="468"/>
        <v>13291.779151034791</v>
      </c>
      <c r="PN23" s="31">
        <f t="shared" ca="1" si="469"/>
        <v>13656.949497681979</v>
      </c>
      <c r="PO23" s="31">
        <f t="shared" ca="1" si="470"/>
        <v>14879.366482488402</v>
      </c>
      <c r="PP23" s="31">
        <f t="shared" ca="1" si="471"/>
        <v>13537.035846182886</v>
      </c>
      <c r="PQ23" s="31">
        <f t="shared" ca="1" si="472"/>
        <v>15947.838365456009</v>
      </c>
      <c r="PR23" s="31">
        <f t="shared" ca="1" si="473"/>
        <v>13850.297842573513</v>
      </c>
      <c r="PS23" s="31">
        <f t="shared" ca="1" si="474"/>
        <v>15543.674252502558</v>
      </c>
      <c r="PT23" s="31">
        <f t="shared" ca="1" si="475"/>
        <v>14195.199618533945</v>
      </c>
      <c r="PU23" s="31">
        <f t="shared" ca="1" si="476"/>
        <v>14363.036648097179</v>
      </c>
      <c r="PV23" s="31">
        <f t="shared" ca="1" si="477"/>
        <v>14638.831107782418</v>
      </c>
      <c r="PW23" s="31">
        <f t="shared" ca="1" si="478"/>
        <v>13933.170530837937</v>
      </c>
      <c r="PX23" s="31">
        <f t="shared" ca="1" si="479"/>
        <v>14398.718609546715</v>
      </c>
      <c r="PY23" s="31">
        <f t="shared" ca="1" si="480"/>
        <v>13460.004352492231</v>
      </c>
      <c r="PZ23" s="31">
        <f t="shared" ca="1" si="481"/>
        <v>13239.046749209332</v>
      </c>
      <c r="QA23" s="31">
        <f t="shared" ca="1" si="482"/>
        <v>14586.960004619081</v>
      </c>
      <c r="QB23" s="31">
        <f t="shared" ca="1" si="483"/>
        <v>13853.131394769725</v>
      </c>
      <c r="QC23" s="31">
        <f t="shared" ca="1" si="484"/>
        <v>13810.73265551353</v>
      </c>
      <c r="QD23" s="31">
        <f t="shared" ca="1" si="485"/>
        <v>14003.066339537812</v>
      </c>
      <c r="QE23" s="31">
        <f t="shared" ca="1" si="486"/>
        <v>15702.883023704982</v>
      </c>
      <c r="QF23" s="31">
        <f t="shared" ca="1" si="487"/>
        <v>14671.587830071188</v>
      </c>
      <c r="QG23" s="31">
        <f t="shared" ca="1" si="488"/>
        <v>15130.90134584073</v>
      </c>
      <c r="QH23" s="31">
        <f t="shared" ca="1" si="489"/>
        <v>15795.9061962989</v>
      </c>
      <c r="QI23" s="31">
        <f t="shared" ca="1" si="490"/>
        <v>15253.828531647254</v>
      </c>
      <c r="QJ23" s="31">
        <f t="shared" ca="1" si="491"/>
        <v>14285.654647287813</v>
      </c>
      <c r="QK23" s="31">
        <f t="shared" ca="1" si="492"/>
        <v>15065.479188807059</v>
      </c>
      <c r="QL23" s="31">
        <f t="shared" ca="1" si="493"/>
        <v>13975.782382172705</v>
      </c>
      <c r="QM23" s="31">
        <f t="shared" ca="1" si="494"/>
        <v>14061.120720581132</v>
      </c>
      <c r="QN23" s="31">
        <f t="shared" ca="1" si="495"/>
        <v>15288.148386600958</v>
      </c>
      <c r="QO23" s="31">
        <f t="shared" ca="1" si="496"/>
        <v>14083.284225082434</v>
      </c>
      <c r="QP23" s="31">
        <f t="shared" ca="1" si="497"/>
        <v>14415.87190029175</v>
      </c>
      <c r="QQ23" s="31">
        <f t="shared" ca="1" si="498"/>
        <v>14733.289368928474</v>
      </c>
      <c r="QR23" s="31">
        <f t="shared" ca="1" si="499"/>
        <v>15261.766740982908</v>
      </c>
      <c r="QS23" s="31">
        <f t="shared" ca="1" si="500"/>
        <v>13680.833038765022</v>
      </c>
      <c r="QT23" s="31">
        <f t="shared" ca="1" si="501"/>
        <v>15707.493341392954</v>
      </c>
      <c r="QU23" s="31">
        <f t="shared" ca="1" si="502"/>
        <v>14840.758389281138</v>
      </c>
      <c r="QV23" s="31">
        <f t="shared" ca="1" si="503"/>
        <v>13913.435990478267</v>
      </c>
      <c r="QW23" s="31">
        <f t="shared" ca="1" si="504"/>
        <v>14764.141609095303</v>
      </c>
      <c r="QX23" s="31">
        <f t="shared" ca="1" si="505"/>
        <v>15015.01873689521</v>
      </c>
      <c r="QY23" s="31">
        <f t="shared" ca="1" si="506"/>
        <v>14905.98513205332</v>
      </c>
      <c r="QZ23" s="31">
        <f t="shared" ca="1" si="507"/>
        <v>14412.003841692125</v>
      </c>
      <c r="RA23" s="31">
        <f t="shared" ca="1" si="508"/>
        <v>13958.703948177725</v>
      </c>
      <c r="RB23" s="31">
        <f t="shared" ca="1" si="509"/>
        <v>13540.644018921468</v>
      </c>
      <c r="RC23" s="31">
        <f t="shared" ca="1" si="510"/>
        <v>14354.86551910187</v>
      </c>
      <c r="RD23" s="31">
        <f t="shared" ca="1" si="511"/>
        <v>13651.491019096633</v>
      </c>
      <c r="RE23" s="31">
        <f t="shared" ca="1" si="512"/>
        <v>15521.038172487517</v>
      </c>
      <c r="RF23" s="31">
        <f t="shared" ca="1" si="513"/>
        <v>14950.766729588709</v>
      </c>
      <c r="RG23" s="31">
        <f t="shared" ca="1" si="514"/>
        <v>13707.256555703909</v>
      </c>
      <c r="RH23" s="31">
        <f t="shared" ca="1" si="515"/>
        <v>14641.923958648189</v>
      </c>
      <c r="RI23" s="31">
        <f t="shared" ca="1" si="516"/>
        <v>14150.132785469961</v>
      </c>
      <c r="RJ23" s="31">
        <f t="shared" ca="1" si="517"/>
        <v>14677.590510137316</v>
      </c>
      <c r="RK23" s="31">
        <f t="shared" ca="1" si="518"/>
        <v>13778.877067197254</v>
      </c>
      <c r="RL23" s="31">
        <f t="shared" ca="1" si="519"/>
        <v>13800.089894068191</v>
      </c>
      <c r="RM23" s="31">
        <f t="shared" ca="1" si="520"/>
        <v>14037.833727195255</v>
      </c>
      <c r="RN23" s="31">
        <f t="shared" ca="1" si="521"/>
        <v>13843.745091103972</v>
      </c>
      <c r="RO23" s="31">
        <f t="shared" ca="1" si="522"/>
        <v>14178.450385046688</v>
      </c>
      <c r="RP23" s="31">
        <f t="shared" ca="1" si="523"/>
        <v>14621.485122532285</v>
      </c>
      <c r="RQ23" s="31">
        <f t="shared" ca="1" si="524"/>
        <v>13891.433692568873</v>
      </c>
      <c r="RR23" s="31">
        <f t="shared" ca="1" si="525"/>
        <v>15181.923123115686</v>
      </c>
      <c r="RS23" s="31">
        <f t="shared" ca="1" si="526"/>
        <v>14217.422755930245</v>
      </c>
      <c r="RT23" s="31">
        <f t="shared" ca="1" si="527"/>
        <v>15102.221329490638</v>
      </c>
      <c r="RU23" s="31">
        <f t="shared" ca="1" si="528"/>
        <v>13938.345940632034</v>
      </c>
      <c r="RV23" s="31">
        <f t="shared" ca="1" si="529"/>
        <v>13869.478716606818</v>
      </c>
      <c r="RW23" s="31">
        <f t="shared" ca="1" si="530"/>
        <v>15513.258819221926</v>
      </c>
      <c r="RX23" s="31">
        <f t="shared" ca="1" si="531"/>
        <v>14990.619051310254</v>
      </c>
      <c r="RY23" s="31">
        <f t="shared" ca="1" si="532"/>
        <v>14510.810720564014</v>
      </c>
      <c r="RZ23" s="31">
        <f t="shared" ca="1" si="533"/>
        <v>17005.251605841593</v>
      </c>
      <c r="SA23" s="31">
        <f t="shared" ca="1" si="534"/>
        <v>14425.801020694989</v>
      </c>
      <c r="SB23" s="31">
        <f t="shared" ca="1" si="535"/>
        <v>13652.60941125524</v>
      </c>
      <c r="SC23" s="31">
        <f t="shared" ca="1" si="536"/>
        <v>14534.003243309739</v>
      </c>
      <c r="SD23" s="31">
        <f t="shared" ca="1" si="537"/>
        <v>15354.501020059677</v>
      </c>
      <c r="SE23" s="31">
        <f t="shared" ca="1" si="538"/>
        <v>13281.932028936326</v>
      </c>
      <c r="SF23" s="31">
        <f t="shared" ca="1" si="539"/>
        <v>14325.379938516033</v>
      </c>
      <c r="SG23" s="31">
        <f t="shared" ca="1" si="540"/>
        <v>14420.325794601267</v>
      </c>
      <c r="SH23" s="31">
        <f t="shared" ca="1" si="541"/>
        <v>14836.844483949571</v>
      </c>
      <c r="SI23" s="31">
        <f t="shared" ca="1" si="542"/>
        <v>13892.807000033903</v>
      </c>
      <c r="SJ23" s="31">
        <f t="shared" ca="1" si="543"/>
        <v>13316.693312767235</v>
      </c>
      <c r="SK23" s="31">
        <f t="shared" ca="1" si="544"/>
        <v>15081.134372064038</v>
      </c>
      <c r="SL23" s="31">
        <f t="shared" ca="1" si="545"/>
        <v>14456.789635451927</v>
      </c>
      <c r="SM23" s="31">
        <f t="shared" ca="1" si="546"/>
        <v>14250.978385503571</v>
      </c>
      <c r="SN23" s="31">
        <f t="shared" ca="1" si="547"/>
        <v>14578.768515421145</v>
      </c>
      <c r="SO23" s="31">
        <f t="shared" ca="1" si="548"/>
        <v>14714.970215091462</v>
      </c>
      <c r="SP23" s="31">
        <f t="shared" ca="1" si="549"/>
        <v>14952.83495166076</v>
      </c>
      <c r="SQ23" s="31">
        <f t="shared" ca="1" si="550"/>
        <v>15631.409781622559</v>
      </c>
      <c r="SR23" s="31">
        <f t="shared" ca="1" si="551"/>
        <v>14156.857967369153</v>
      </c>
      <c r="SS23" s="31">
        <f t="shared" ca="1" si="552"/>
        <v>15007.925929470141</v>
      </c>
      <c r="ST23" s="31">
        <f t="shared" ca="1" si="553"/>
        <v>13911.002478466597</v>
      </c>
      <c r="SU23" s="31">
        <f t="shared" ca="1" si="554"/>
        <v>13931.897016496023</v>
      </c>
      <c r="SV23" s="31">
        <f t="shared" ca="1" si="555"/>
        <v>14888.076708033273</v>
      </c>
      <c r="SW23" s="31">
        <f t="shared" ca="1" si="556"/>
        <v>14295.634396275125</v>
      </c>
      <c r="SX23" s="31">
        <f t="shared" ca="1" si="557"/>
        <v>13371.196531539934</v>
      </c>
      <c r="SY23" s="31">
        <f t="shared" ca="1" si="558"/>
        <v>14584.0371953461</v>
      </c>
      <c r="SZ23" s="31">
        <f t="shared" ca="1" si="559"/>
        <v>15283.436628252044</v>
      </c>
      <c r="TA23" s="31">
        <f t="shared" ca="1" si="560"/>
        <v>14559.07623593045</v>
      </c>
      <c r="TB23" s="31">
        <f t="shared" ca="1" si="561"/>
        <v>14603.710408710282</v>
      </c>
      <c r="TC23" s="31">
        <f t="shared" ca="1" si="562"/>
        <v>15097.744150693738</v>
      </c>
      <c r="TD23" s="31">
        <f t="shared" ca="1" si="563"/>
        <v>14386.741218777399</v>
      </c>
      <c r="TE23" s="31">
        <f t="shared" ca="1" si="564"/>
        <v>14593.456898538254</v>
      </c>
      <c r="TF23" s="31">
        <f t="shared" ca="1" si="565"/>
        <v>13770.51435787562</v>
      </c>
      <c r="TG23" s="31">
        <f t="shared" ca="1" si="566"/>
        <v>14742.454463967601</v>
      </c>
      <c r="TH23" s="31">
        <f t="shared" ca="1" si="567"/>
        <v>14440.303471330142</v>
      </c>
      <c r="TI23" s="31">
        <f t="shared" ca="1" si="568"/>
        <v>13968.453716651011</v>
      </c>
      <c r="TJ23" s="31">
        <f t="shared" ca="1" si="569"/>
        <v>15173.960846180542</v>
      </c>
      <c r="TK23" s="31">
        <f t="shared" ca="1" si="570"/>
        <v>14474.160315138766</v>
      </c>
      <c r="TL23" s="31">
        <f t="shared" ca="1" si="571"/>
        <v>14381.350535050948</v>
      </c>
      <c r="TM23" s="31">
        <f t="shared" ca="1" si="572"/>
        <v>13848.082649891932</v>
      </c>
      <c r="TN23" s="31">
        <f t="shared" ca="1" si="573"/>
        <v>12958.714915933622</v>
      </c>
      <c r="TO23" s="31">
        <f t="shared" ca="1" si="574"/>
        <v>14005.793565725578</v>
      </c>
      <c r="TP23" s="31">
        <f t="shared" ca="1" si="575"/>
        <v>15477.895815506308</v>
      </c>
      <c r="TQ23" s="31">
        <f t="shared" ca="1" si="576"/>
        <v>15447.640160806233</v>
      </c>
      <c r="TR23" s="31">
        <f t="shared" ca="1" si="577"/>
        <v>13485.042944192412</v>
      </c>
      <c r="TS23" s="31">
        <f t="shared" ca="1" si="578"/>
        <v>14346.560395565924</v>
      </c>
      <c r="TT23" s="31">
        <f t="shared" ca="1" si="579"/>
        <v>14651.429595410309</v>
      </c>
      <c r="TU23" s="31">
        <f t="shared" ca="1" si="580"/>
        <v>13854.769991655285</v>
      </c>
      <c r="TV23" s="31">
        <f t="shared" ca="1" si="581"/>
        <v>13659.61954443385</v>
      </c>
      <c r="TW23" s="31">
        <f t="shared" ca="1" si="582"/>
        <v>15233.289863937982</v>
      </c>
      <c r="TX23" s="31">
        <f t="shared" ca="1" si="583"/>
        <v>15836.057229199791</v>
      </c>
      <c r="TY23" s="31">
        <f t="shared" ca="1" si="584"/>
        <v>13818.083788477214</v>
      </c>
      <c r="TZ23" s="31">
        <f t="shared" ca="1" si="585"/>
        <v>14740.836937292899</v>
      </c>
      <c r="UA23" s="31">
        <f t="shared" ca="1" si="586"/>
        <v>14684.312699867456</v>
      </c>
      <c r="UB23" s="31">
        <f t="shared" ca="1" si="587"/>
        <v>15156.082260982193</v>
      </c>
      <c r="UC23" s="31">
        <f t="shared" ca="1" si="588"/>
        <v>13478.832748686811</v>
      </c>
      <c r="UD23" s="31">
        <f t="shared" ca="1" si="589"/>
        <v>15888.600284220012</v>
      </c>
      <c r="UE23" s="31">
        <f t="shared" ca="1" si="590"/>
        <v>13437.940275627359</v>
      </c>
      <c r="UF23" s="31">
        <f t="shared" ca="1" si="591"/>
        <v>14038.599679461071</v>
      </c>
      <c r="UG23" s="31">
        <f t="shared" ca="1" si="592"/>
        <v>15171.978390515696</v>
      </c>
      <c r="UH23" s="31">
        <f t="shared" ca="1" si="593"/>
        <v>14101.647042883835</v>
      </c>
      <c r="UI23" s="31">
        <f t="shared" ca="1" si="594"/>
        <v>15079.911146245116</v>
      </c>
      <c r="UJ23" s="31">
        <f t="shared" ca="1" si="595"/>
        <v>14231.510974552901</v>
      </c>
      <c r="UK23" s="31">
        <f t="shared" ca="1" si="596"/>
        <v>14412.160995272392</v>
      </c>
      <c r="UL23" s="31">
        <f t="shared" ca="1" si="597"/>
        <v>15559.630594198345</v>
      </c>
      <c r="UM23" s="31">
        <f t="shared" ca="1" si="598"/>
        <v>12850.739942596458</v>
      </c>
      <c r="UN23" s="31">
        <f t="shared" ca="1" si="599"/>
        <v>13367.996641251941</v>
      </c>
      <c r="UO23" s="31">
        <f t="shared" ca="1" si="600"/>
        <v>16088.68853339098</v>
      </c>
      <c r="UP23" s="31">
        <f t="shared" ca="1" si="601"/>
        <v>13591.70927563128</v>
      </c>
      <c r="UQ23" s="31">
        <f t="shared" ca="1" si="602"/>
        <v>14137.336411767359</v>
      </c>
      <c r="UR23" s="31">
        <f t="shared" ca="1" si="603"/>
        <v>13985.32292573847</v>
      </c>
      <c r="US23" s="31">
        <f t="shared" ca="1" si="604"/>
        <v>14153.831798763193</v>
      </c>
      <c r="UT23" s="31">
        <f t="shared" ca="1" si="605"/>
        <v>14326.948367915942</v>
      </c>
      <c r="UU23" s="31">
        <f t="shared" ca="1" si="606"/>
        <v>13876.169584653218</v>
      </c>
      <c r="UV23" s="31">
        <f t="shared" ca="1" si="607"/>
        <v>14830.185562793313</v>
      </c>
      <c r="UW23" s="31">
        <f t="shared" ca="1" si="608"/>
        <v>14384.74280486759</v>
      </c>
      <c r="UX23" s="31">
        <f t="shared" ca="1" si="609"/>
        <v>14020.165348174176</v>
      </c>
      <c r="UY23" s="31">
        <f t="shared" ca="1" si="610"/>
        <v>14178.479438209655</v>
      </c>
      <c r="UZ23" s="31">
        <f t="shared" ca="1" si="611"/>
        <v>13756.001238231895</v>
      </c>
      <c r="VA23" s="31">
        <f t="shared" ca="1" si="612"/>
        <v>13920.510643111029</v>
      </c>
      <c r="VB23" s="31">
        <f t="shared" ca="1" si="613"/>
        <v>15364.837263541005</v>
      </c>
      <c r="VC23" s="31">
        <f t="shared" ca="1" si="614"/>
        <v>14602.067381451483</v>
      </c>
      <c r="VD23" s="31">
        <f t="shared" ca="1" si="615"/>
        <v>13936.508951399917</v>
      </c>
      <c r="VE23" s="31">
        <f t="shared" ca="1" si="616"/>
        <v>15029.285714081041</v>
      </c>
      <c r="VF23" s="31">
        <f t="shared" ca="1" si="617"/>
        <v>14106.174807237421</v>
      </c>
      <c r="VG23" s="31">
        <f t="shared" ca="1" si="618"/>
        <v>14715.420131324139</v>
      </c>
      <c r="VH23" s="31">
        <f t="shared" ca="1" si="619"/>
        <v>15115.197079163188</v>
      </c>
      <c r="VI23" s="31">
        <f t="shared" ca="1" si="620"/>
        <v>14639.87024764026</v>
      </c>
      <c r="VJ23" s="31">
        <f t="shared" ca="1" si="621"/>
        <v>13858.687468932558</v>
      </c>
      <c r="VK23" s="31">
        <f t="shared" ca="1" si="622"/>
        <v>13742.671607933116</v>
      </c>
      <c r="VL23" s="31">
        <f t="shared" ca="1" si="623"/>
        <v>14226.913580486638</v>
      </c>
      <c r="VM23" s="31">
        <f t="shared" ca="1" si="624"/>
        <v>14419.913218601729</v>
      </c>
      <c r="VN23" s="31">
        <f t="shared" ca="1" si="625"/>
        <v>14602.727073503267</v>
      </c>
      <c r="VO23" s="31">
        <f t="shared" ca="1" si="626"/>
        <v>15905.642791874685</v>
      </c>
      <c r="VP23" s="31">
        <f t="shared" ca="1" si="627"/>
        <v>13900.911369028043</v>
      </c>
      <c r="VQ23" s="31">
        <f t="shared" ca="1" si="628"/>
        <v>14771.784504839239</v>
      </c>
      <c r="VR23" s="31">
        <f t="shared" ca="1" si="629"/>
        <v>14497.828806079593</v>
      </c>
      <c r="VS23" s="31">
        <f t="shared" ca="1" si="630"/>
        <v>14053.994985342031</v>
      </c>
      <c r="VT23" s="31">
        <f t="shared" ca="1" si="631"/>
        <v>14529.401655681186</v>
      </c>
      <c r="VU23" s="31">
        <f t="shared" ca="1" si="632"/>
        <v>14273.257911876621</v>
      </c>
      <c r="VV23" s="31">
        <f t="shared" ca="1" si="633"/>
        <v>15094.251629162694</v>
      </c>
      <c r="VW23" s="31">
        <f t="shared" ca="1" si="634"/>
        <v>13938.824646421932</v>
      </c>
      <c r="VX23" s="31">
        <f t="shared" ca="1" si="635"/>
        <v>14384.668784477331</v>
      </c>
      <c r="VY23" s="31">
        <f t="shared" ca="1" si="636"/>
        <v>14162.563786964913</v>
      </c>
      <c r="VZ23" s="31">
        <f t="shared" ca="1" si="637"/>
        <v>13585.529876750321</v>
      </c>
      <c r="WA23" s="31">
        <f t="shared" ca="1" si="638"/>
        <v>14215.045553562233</v>
      </c>
      <c r="WB23" s="31">
        <f t="shared" ca="1" si="639"/>
        <v>13436.162327616737</v>
      </c>
      <c r="WC23" s="31">
        <f t="shared" ca="1" si="640"/>
        <v>13772.138183434847</v>
      </c>
      <c r="WD23" s="31">
        <f t="shared" ca="1" si="641"/>
        <v>15175.204274414338</v>
      </c>
      <c r="WE23" s="31">
        <f t="shared" ca="1" si="642"/>
        <v>13993.192391470191</v>
      </c>
      <c r="WF23" s="31">
        <f t="shared" ca="1" si="643"/>
        <v>15460.21101597139</v>
      </c>
      <c r="WG23" s="31">
        <f t="shared" ca="1" si="644"/>
        <v>14198.211180349475</v>
      </c>
      <c r="WH23" s="31">
        <f t="shared" ca="1" si="645"/>
        <v>14572.447190781366</v>
      </c>
      <c r="WI23" s="31">
        <f t="shared" ca="1" si="646"/>
        <v>15678.407553823288</v>
      </c>
      <c r="WJ23" s="31">
        <f t="shared" ca="1" si="647"/>
        <v>15608.341601414382</v>
      </c>
      <c r="WK23" s="31">
        <f t="shared" ca="1" si="648"/>
        <v>14874.516632708655</v>
      </c>
      <c r="WL23" s="31">
        <f t="shared" ca="1" si="649"/>
        <v>13575.989907218504</v>
      </c>
      <c r="WM23" s="31">
        <f t="shared" ca="1" si="650"/>
        <v>15289.219139662933</v>
      </c>
      <c r="WN23" s="31">
        <f t="shared" ca="1" si="651"/>
        <v>14872.156712627171</v>
      </c>
      <c r="WO23" s="31">
        <f t="shared" ca="1" si="652"/>
        <v>15709.47344817159</v>
      </c>
      <c r="WP23" s="31">
        <f t="shared" ca="1" si="653"/>
        <v>14294.216428609041</v>
      </c>
      <c r="WQ23" s="31">
        <f t="shared" ca="1" si="654"/>
        <v>13700.589046000277</v>
      </c>
      <c r="WR23" s="31">
        <f t="shared" ca="1" si="655"/>
        <v>14452.820677165311</v>
      </c>
      <c r="WS23" s="31">
        <f t="shared" ca="1" si="656"/>
        <v>14576.835979349657</v>
      </c>
      <c r="WT23" s="31">
        <f t="shared" ca="1" si="657"/>
        <v>14379.477274395835</v>
      </c>
      <c r="WU23" s="31">
        <f t="shared" ca="1" si="658"/>
        <v>14392.916186767436</v>
      </c>
      <c r="WV23" s="31">
        <f t="shared" ca="1" si="659"/>
        <v>15627.194951396008</v>
      </c>
      <c r="WW23" s="31">
        <f t="shared" ca="1" si="660"/>
        <v>14108.270826258049</v>
      </c>
      <c r="WX23" s="31">
        <f t="shared" ca="1" si="661"/>
        <v>15444.797324730089</v>
      </c>
      <c r="WY23" s="31">
        <f t="shared" ca="1" si="662"/>
        <v>15366.720594267232</v>
      </c>
      <c r="WZ23" s="31">
        <f t="shared" ca="1" si="663"/>
        <v>14750.254218656764</v>
      </c>
      <c r="XA23" s="31">
        <f t="shared" ca="1" si="664"/>
        <v>14734.572756771031</v>
      </c>
      <c r="XB23" s="31">
        <f t="shared" ca="1" si="665"/>
        <v>14911.561795332709</v>
      </c>
      <c r="XC23" s="31">
        <f t="shared" ca="1" si="666"/>
        <v>14458.21776319558</v>
      </c>
      <c r="XD23" s="31">
        <f t="shared" ca="1" si="667"/>
        <v>14167.164364708147</v>
      </c>
      <c r="XE23" s="31">
        <f t="shared" ca="1" si="668"/>
        <v>14115.241039573655</v>
      </c>
      <c r="XF23" s="31">
        <f t="shared" ca="1" si="669"/>
        <v>14353.670352329196</v>
      </c>
      <c r="XG23" s="31">
        <f t="shared" ca="1" si="670"/>
        <v>14036.198984624569</v>
      </c>
      <c r="XH23" s="31">
        <f t="shared" ca="1" si="671"/>
        <v>14607.844919371673</v>
      </c>
      <c r="XI23" s="31">
        <f t="shared" ca="1" si="672"/>
        <v>15519.721235433764</v>
      </c>
      <c r="XJ23" s="31">
        <f t="shared" ca="1" si="673"/>
        <v>14279.874308608894</v>
      </c>
      <c r="XK23" s="31">
        <f t="shared" ca="1" si="674"/>
        <v>13413.207942194056</v>
      </c>
      <c r="XL23" s="31">
        <f t="shared" ca="1" si="675"/>
        <v>14633.675591841968</v>
      </c>
      <c r="XM23" s="31">
        <f t="shared" ca="1" si="676"/>
        <v>14619.680158702542</v>
      </c>
      <c r="XN23" s="31">
        <f t="shared" ca="1" si="677"/>
        <v>14022.111831855058</v>
      </c>
      <c r="XO23" s="31">
        <f t="shared" ca="1" si="678"/>
        <v>15818.829698621767</v>
      </c>
      <c r="XP23" s="31">
        <f t="shared" ca="1" si="679"/>
        <v>13874.863873341421</v>
      </c>
      <c r="XQ23" s="31">
        <f t="shared" ca="1" si="680"/>
        <v>14072.508481014725</v>
      </c>
      <c r="XR23" s="31">
        <f t="shared" ca="1" si="681"/>
        <v>14374.151514739235</v>
      </c>
      <c r="XS23" s="31">
        <f t="shared" ca="1" si="682"/>
        <v>13961.48590417014</v>
      </c>
      <c r="XT23" s="31">
        <f t="shared" ca="1" si="683"/>
        <v>14926.060959110857</v>
      </c>
      <c r="XU23" s="31">
        <f t="shared" ca="1" si="684"/>
        <v>15354.748774065554</v>
      </c>
      <c r="XV23" s="31">
        <f t="shared" ca="1" si="685"/>
        <v>15122.646869553966</v>
      </c>
      <c r="XW23" s="31">
        <f t="shared" ca="1" si="686"/>
        <v>14141.206618756334</v>
      </c>
      <c r="XX23" s="31">
        <f t="shared" ca="1" si="687"/>
        <v>14714.89875440719</v>
      </c>
      <c r="XY23" s="31">
        <f t="shared" ca="1" si="688"/>
        <v>14279.528439757221</v>
      </c>
      <c r="XZ23" s="31">
        <f t="shared" ca="1" si="689"/>
        <v>14764.381236202573</v>
      </c>
      <c r="YA23" s="31">
        <f t="shared" ca="1" si="690"/>
        <v>14981.842211035057</v>
      </c>
      <c r="YB23" s="31">
        <f t="shared" ca="1" si="691"/>
        <v>14980.385398541819</v>
      </c>
      <c r="YC23" s="31">
        <f t="shared" ca="1" si="692"/>
        <v>15063.816764742183</v>
      </c>
      <c r="YD23" s="31">
        <f t="shared" ca="1" si="693"/>
        <v>13617.726644859515</v>
      </c>
      <c r="YE23" s="31">
        <f t="shared" ca="1" si="694"/>
        <v>14875.651643712308</v>
      </c>
      <c r="YF23" s="31">
        <f t="shared" ca="1" si="695"/>
        <v>13848.760220070755</v>
      </c>
      <c r="YG23" s="31">
        <f t="shared" ca="1" si="696"/>
        <v>15180.419125965434</v>
      </c>
      <c r="YH23" s="31">
        <f t="shared" ca="1" si="697"/>
        <v>13925.183324156098</v>
      </c>
      <c r="YI23" s="31">
        <f t="shared" ca="1" si="698"/>
        <v>13491.1827117352</v>
      </c>
      <c r="YJ23" s="31">
        <f t="shared" ca="1" si="699"/>
        <v>14072.327488444978</v>
      </c>
      <c r="YK23" s="31">
        <f t="shared" ca="1" si="700"/>
        <v>13305.517337277692</v>
      </c>
      <c r="YL23" s="31">
        <f t="shared" ca="1" si="701"/>
        <v>13901.575031968858</v>
      </c>
      <c r="YM23" s="31">
        <f t="shared" ca="1" si="702"/>
        <v>15603.583581212588</v>
      </c>
      <c r="YN23" s="31">
        <f t="shared" ca="1" si="703"/>
        <v>14753.099323125778</v>
      </c>
      <c r="YO23" s="31">
        <f t="shared" ca="1" si="704"/>
        <v>12998.431691080177</v>
      </c>
      <c r="YP23" s="31">
        <f t="shared" ca="1" si="705"/>
        <v>14662.824047307862</v>
      </c>
      <c r="YQ23" s="31">
        <f t="shared" ca="1" si="706"/>
        <v>13428.469943589733</v>
      </c>
      <c r="YR23" s="31">
        <f t="shared" ca="1" si="707"/>
        <v>13332.946798312119</v>
      </c>
      <c r="YS23" s="31">
        <f t="shared" ca="1" si="708"/>
        <v>15312.117657779479</v>
      </c>
      <c r="YT23" s="31">
        <f t="shared" ca="1" si="709"/>
        <v>15465.925490630612</v>
      </c>
      <c r="YU23" s="31">
        <f t="shared" ca="1" si="710"/>
        <v>13814.828129966629</v>
      </c>
      <c r="YV23" s="31">
        <f t="shared" ca="1" si="711"/>
        <v>13806.828011658406</v>
      </c>
      <c r="YW23" s="31">
        <f t="shared" ca="1" si="712"/>
        <v>14003.100079199248</v>
      </c>
      <c r="YX23" s="31">
        <f t="shared" ca="1" si="713"/>
        <v>14863.392784512151</v>
      </c>
      <c r="YY23" s="31">
        <f t="shared" ca="1" si="714"/>
        <v>14204.451247890731</v>
      </c>
      <c r="YZ23" s="31">
        <f t="shared" ca="1" si="715"/>
        <v>14025.309188466908</v>
      </c>
      <c r="ZA23" s="31">
        <f t="shared" ca="1" si="716"/>
        <v>14169.572138281163</v>
      </c>
      <c r="ZB23" s="31">
        <f t="shared" ca="1" si="717"/>
        <v>15540.168809133833</v>
      </c>
      <c r="ZC23" s="31">
        <f t="shared" ca="1" si="718"/>
        <v>15524.686506435974</v>
      </c>
      <c r="ZD23" s="31">
        <f t="shared" ca="1" si="719"/>
        <v>14492.311048152069</v>
      </c>
      <c r="ZE23" s="31">
        <f t="shared" ca="1" si="720"/>
        <v>13495.638331414419</v>
      </c>
      <c r="ZF23" s="31">
        <f t="shared" ca="1" si="721"/>
        <v>13687.333821719038</v>
      </c>
      <c r="ZG23" s="31">
        <f t="shared" ca="1" si="722"/>
        <v>13344.525947181413</v>
      </c>
      <c r="ZH23" s="31">
        <f t="shared" ca="1" si="723"/>
        <v>14175.513924052062</v>
      </c>
      <c r="ZI23" s="31">
        <f t="shared" ca="1" si="724"/>
        <v>13432.18069924118</v>
      </c>
      <c r="ZJ23" s="31">
        <f t="shared" ca="1" si="725"/>
        <v>14424.620762718301</v>
      </c>
      <c r="ZK23" s="31">
        <f t="shared" ca="1" si="726"/>
        <v>13577.1679066132</v>
      </c>
      <c r="ZL23" s="31">
        <f t="shared" ca="1" si="727"/>
        <v>14553.780972950091</v>
      </c>
      <c r="ZM23" s="31">
        <f t="shared" ca="1" si="728"/>
        <v>12835.64984832009</v>
      </c>
      <c r="ZN23" s="31">
        <f t="shared" ca="1" si="729"/>
        <v>14422.753772455018</v>
      </c>
      <c r="ZO23" s="31">
        <f t="shared" ca="1" si="730"/>
        <v>14152.335772356821</v>
      </c>
      <c r="ZP23" s="31">
        <f t="shared" ca="1" si="731"/>
        <v>13876.445498272378</v>
      </c>
      <c r="ZQ23" s="31">
        <f t="shared" ca="1" si="732"/>
        <v>13846.235092531582</v>
      </c>
      <c r="ZR23" s="31">
        <f t="shared" ca="1" si="733"/>
        <v>14489.185794032779</v>
      </c>
      <c r="ZS23" s="31">
        <f t="shared" ca="1" si="734"/>
        <v>14533.935734655892</v>
      </c>
      <c r="ZT23" s="31">
        <f t="shared" ca="1" si="735"/>
        <v>14558.451871022626</v>
      </c>
      <c r="ZU23" s="31">
        <f t="shared" ca="1" si="736"/>
        <v>14160.251001770837</v>
      </c>
      <c r="ZV23" s="31">
        <f t="shared" ca="1" si="737"/>
        <v>14305.156757571291</v>
      </c>
      <c r="ZW23" s="31">
        <f t="shared" ca="1" si="738"/>
        <v>13597.021874426098</v>
      </c>
      <c r="ZX23" s="31">
        <f t="shared" ca="1" si="739"/>
        <v>14973.155326231668</v>
      </c>
      <c r="ZY23" s="31">
        <f t="shared" ca="1" si="740"/>
        <v>14028.21232184353</v>
      </c>
      <c r="ZZ23" s="31">
        <f t="shared" ca="1" si="741"/>
        <v>13635.234546526364</v>
      </c>
      <c r="AAA23" s="31">
        <f t="shared" ca="1" si="742"/>
        <v>15148.00512995916</v>
      </c>
      <c r="AAB23" s="31">
        <f t="shared" ca="1" si="743"/>
        <v>15466.741683275388</v>
      </c>
      <c r="AAC23" s="31">
        <f t="shared" ca="1" si="744"/>
        <v>14792.291218645716</v>
      </c>
      <c r="AAD23" s="31">
        <f t="shared" ca="1" si="745"/>
        <v>13679.72695963003</v>
      </c>
      <c r="AAE23" s="31">
        <f t="shared" ca="1" si="746"/>
        <v>13455.730049928725</v>
      </c>
      <c r="AAF23" s="31">
        <f t="shared" ca="1" si="747"/>
        <v>16006.676779689335</v>
      </c>
      <c r="AAG23" s="31">
        <f t="shared" ca="1" si="748"/>
        <v>15304.103553418097</v>
      </c>
      <c r="AAH23" s="31">
        <f t="shared" ca="1" si="749"/>
        <v>15095.893577299958</v>
      </c>
      <c r="AAI23" s="31">
        <f t="shared" ca="1" si="750"/>
        <v>14704.473334152051</v>
      </c>
      <c r="AAJ23" s="31">
        <f t="shared" ca="1" si="751"/>
        <v>15310.28956143908</v>
      </c>
      <c r="AAK23" s="31">
        <f t="shared" ca="1" si="752"/>
        <v>14384.76818258883</v>
      </c>
      <c r="AAL23" s="31">
        <f t="shared" ca="1" si="753"/>
        <v>14712.954307465654</v>
      </c>
      <c r="AAM23" s="31">
        <f t="shared" ca="1" si="754"/>
        <v>14730.168493750463</v>
      </c>
      <c r="AAN23" s="31">
        <f t="shared" ca="1" si="755"/>
        <v>15573.770457854556</v>
      </c>
      <c r="AAO23" s="31">
        <f t="shared" ca="1" si="756"/>
        <v>14372.187028646533</v>
      </c>
      <c r="AAP23" s="31">
        <f t="shared" ca="1" si="757"/>
        <v>16501.016452640197</v>
      </c>
      <c r="AAQ23" s="31">
        <f t="shared" ca="1" si="758"/>
        <v>14326.052385724028</v>
      </c>
      <c r="AAR23" s="31">
        <f t="shared" ca="1" si="759"/>
        <v>15573.838723302953</v>
      </c>
      <c r="AAS23" s="31">
        <f t="shared" ca="1" si="760"/>
        <v>13947.595533180185</v>
      </c>
      <c r="AAT23" s="31">
        <f t="shared" ca="1" si="761"/>
        <v>14455.796196169294</v>
      </c>
      <c r="AAU23" s="31">
        <f t="shared" ca="1" si="762"/>
        <v>14773.403007498646</v>
      </c>
      <c r="AAV23" s="31">
        <f t="shared" ca="1" si="763"/>
        <v>14194.968395796028</v>
      </c>
      <c r="AAW23" s="31">
        <f t="shared" ca="1" si="764"/>
        <v>14205.98010432165</v>
      </c>
      <c r="AAX23" s="31">
        <f t="shared" ca="1" si="765"/>
        <v>14328.723033320168</v>
      </c>
      <c r="AAY23" s="31">
        <f t="shared" ca="1" si="766"/>
        <v>14176.239599872079</v>
      </c>
      <c r="AAZ23" s="31">
        <f t="shared" ca="1" si="767"/>
        <v>14106.913865079943</v>
      </c>
      <c r="ABA23" s="31">
        <f t="shared" ca="1" si="768"/>
        <v>14881.17646072244</v>
      </c>
      <c r="ABB23" s="31">
        <f t="shared" ca="1" si="769"/>
        <v>14527.546558273087</v>
      </c>
      <c r="ABC23" s="31">
        <f t="shared" ca="1" si="770"/>
        <v>14615.941757636483</v>
      </c>
      <c r="ABD23" s="31">
        <f t="shared" ca="1" si="771"/>
        <v>14029.28524965928</v>
      </c>
      <c r="ABE23" s="31">
        <f t="shared" ca="1" si="772"/>
        <v>12679.984246562561</v>
      </c>
      <c r="ABF23" s="31">
        <f t="shared" ca="1" si="773"/>
        <v>13847.852128235088</v>
      </c>
      <c r="ABG23" s="31">
        <f t="shared" ca="1" si="774"/>
        <v>14789.147295386972</v>
      </c>
      <c r="ABH23" s="31">
        <f t="shared" ca="1" si="775"/>
        <v>13719.393532445732</v>
      </c>
      <c r="ABI23" s="31">
        <f t="shared" ca="1" si="776"/>
        <v>13798.174635378615</v>
      </c>
      <c r="ABJ23" s="31">
        <f t="shared" ca="1" si="777"/>
        <v>14815.583336493695</v>
      </c>
      <c r="ABK23" s="31">
        <f t="shared" ca="1" si="778"/>
        <v>15106.385655636788</v>
      </c>
      <c r="ABL23" s="31">
        <f t="shared" ca="1" si="779"/>
        <v>14199.31239053128</v>
      </c>
      <c r="ABM23" s="31">
        <f t="shared" ca="1" si="780"/>
        <v>14847.166943712033</v>
      </c>
      <c r="ABN23" s="31">
        <f t="shared" ca="1" si="781"/>
        <v>13959.464159493757</v>
      </c>
      <c r="ABO23" s="31">
        <f t="shared" ca="1" si="782"/>
        <v>14780.150538238075</v>
      </c>
      <c r="ABP23" s="31">
        <f t="shared" ca="1" si="783"/>
        <v>13778.478326035298</v>
      </c>
      <c r="ABQ23" s="31">
        <f t="shared" ca="1" si="784"/>
        <v>13075.484210479821</v>
      </c>
      <c r="ABR23" s="31">
        <f t="shared" ca="1" si="785"/>
        <v>13332.769644873715</v>
      </c>
      <c r="ABS23" s="31">
        <f t="shared" ca="1" si="786"/>
        <v>12955.002239060916</v>
      </c>
      <c r="ABT23" s="31">
        <f t="shared" ca="1" si="787"/>
        <v>14096.610305304788</v>
      </c>
      <c r="ABU23" s="31">
        <f t="shared" ca="1" si="788"/>
        <v>14284.000767424948</v>
      </c>
      <c r="ABV23" s="31">
        <f t="shared" ca="1" si="789"/>
        <v>14985.793740908413</v>
      </c>
      <c r="ABW23" s="31">
        <f t="shared" ca="1" si="790"/>
        <v>15183.394449959764</v>
      </c>
      <c r="ABX23" s="31">
        <f t="shared" ca="1" si="791"/>
        <v>15062.993671847547</v>
      </c>
      <c r="ABY23" s="31">
        <f t="shared" ca="1" si="792"/>
        <v>14722.213516349253</v>
      </c>
      <c r="ABZ23" s="31">
        <f t="shared" ca="1" si="793"/>
        <v>14716.398159130169</v>
      </c>
      <c r="ACA23" s="31">
        <f t="shared" ca="1" si="794"/>
        <v>14430.457590422695</v>
      </c>
      <c r="ACB23" s="31">
        <f t="shared" ca="1" si="795"/>
        <v>15310.87876565716</v>
      </c>
      <c r="ACC23" s="31">
        <f t="shared" ca="1" si="796"/>
        <v>14075.471445458812</v>
      </c>
      <c r="ACD23" s="31">
        <f t="shared" ca="1" si="797"/>
        <v>15138.7382992078</v>
      </c>
      <c r="ACE23" s="31">
        <f t="shared" ca="1" si="798"/>
        <v>14318.745162512811</v>
      </c>
      <c r="ACF23" s="31">
        <f t="shared" ca="1" si="799"/>
        <v>14677.580692188512</v>
      </c>
      <c r="ACG23" s="31">
        <f t="shared" ca="1" si="800"/>
        <v>14331.568033261101</v>
      </c>
      <c r="ACH23" s="31">
        <f t="shared" ca="1" si="801"/>
        <v>15370.753713997387</v>
      </c>
      <c r="ACI23" s="31">
        <f t="shared" ca="1" si="802"/>
        <v>13923.963673957734</v>
      </c>
      <c r="ACJ23" s="31">
        <f t="shared" ca="1" si="803"/>
        <v>14501.743357110912</v>
      </c>
      <c r="ACK23" s="31">
        <f t="shared" ca="1" si="804"/>
        <v>14189.738015644825</v>
      </c>
      <c r="ACL23" s="31">
        <f t="shared" ca="1" si="805"/>
        <v>13695.66385502919</v>
      </c>
      <c r="ACM23" s="31">
        <f t="shared" ca="1" si="806"/>
        <v>14623.46625234834</v>
      </c>
      <c r="ACN23" s="31">
        <f t="shared" ca="1" si="807"/>
        <v>15472.869159381009</v>
      </c>
      <c r="ACO23" s="31">
        <f t="shared" ca="1" si="808"/>
        <v>17041.725840628547</v>
      </c>
      <c r="ACP23" s="31">
        <f t="shared" ca="1" si="809"/>
        <v>14347.540186051761</v>
      </c>
      <c r="ACQ23" s="31">
        <f t="shared" ca="1" si="810"/>
        <v>15052.675659539571</v>
      </c>
      <c r="ACR23" s="31">
        <f t="shared" ca="1" si="811"/>
        <v>15204.940531000831</v>
      </c>
      <c r="ACS23" s="31">
        <f t="shared" ca="1" si="812"/>
        <v>12899.425481750683</v>
      </c>
      <c r="ACT23" s="31">
        <f t="shared" ca="1" si="813"/>
        <v>14817.546332430593</v>
      </c>
      <c r="ACU23" s="31">
        <f t="shared" ca="1" si="814"/>
        <v>14558.483026261505</v>
      </c>
      <c r="ACV23" s="31">
        <f t="shared" ca="1" si="815"/>
        <v>14077.248745907607</v>
      </c>
      <c r="ACW23" s="31">
        <f t="shared" ca="1" si="816"/>
        <v>15175.289297715359</v>
      </c>
      <c r="ACX23" s="31">
        <f t="shared" ca="1" si="817"/>
        <v>14500.867763072929</v>
      </c>
      <c r="ACY23" s="31">
        <f t="shared" ca="1" si="818"/>
        <v>14535.815538723444</v>
      </c>
      <c r="ACZ23" s="31">
        <f t="shared" ca="1" si="819"/>
        <v>14042.075259493688</v>
      </c>
      <c r="ADA23" s="31">
        <f t="shared" ca="1" si="820"/>
        <v>15852.570797751432</v>
      </c>
      <c r="ADB23" s="31">
        <f t="shared" ca="1" si="821"/>
        <v>14347.633150489404</v>
      </c>
      <c r="ADC23" s="31">
        <f t="shared" ca="1" si="822"/>
        <v>14194.839668006472</v>
      </c>
      <c r="ADD23" s="31">
        <f t="shared" ca="1" si="823"/>
        <v>14630.36604581336</v>
      </c>
      <c r="ADE23" s="31">
        <f t="shared" ca="1" si="824"/>
        <v>14171.3962070335</v>
      </c>
      <c r="ADF23" s="31">
        <f t="shared" ca="1" si="825"/>
        <v>13886.138005684505</v>
      </c>
      <c r="ADG23" s="31">
        <f t="shared" ca="1" si="826"/>
        <v>15096.383061590737</v>
      </c>
      <c r="ADH23" s="31">
        <f t="shared" ca="1" si="827"/>
        <v>15002.370868264425</v>
      </c>
      <c r="ADI23" s="31">
        <f t="shared" ca="1" si="828"/>
        <v>15155.781127690148</v>
      </c>
      <c r="ADJ23" s="31">
        <f t="shared" ca="1" si="829"/>
        <v>14938.115606052161</v>
      </c>
      <c r="ADK23" s="31">
        <f t="shared" ca="1" si="830"/>
        <v>14930.589860421131</v>
      </c>
      <c r="ADL23" s="31">
        <f t="shared" ca="1" si="831"/>
        <v>14451.77666591165</v>
      </c>
      <c r="ADM23" s="31">
        <f t="shared" ca="1" si="832"/>
        <v>13786.72244820684</v>
      </c>
      <c r="ADN23" s="31">
        <f t="shared" ca="1" si="833"/>
        <v>13792.84323465653</v>
      </c>
      <c r="ADO23" s="31">
        <f t="shared" ca="1" si="834"/>
        <v>14515.841861925601</v>
      </c>
      <c r="ADP23" s="31">
        <f t="shared" ca="1" si="835"/>
        <v>15207.510702336076</v>
      </c>
      <c r="ADQ23" s="31">
        <f t="shared" ca="1" si="836"/>
        <v>16779.304196370154</v>
      </c>
      <c r="ADR23" s="31">
        <f t="shared" ca="1" si="837"/>
        <v>14601.70699088077</v>
      </c>
      <c r="ADS23" s="31">
        <f t="shared" ca="1" si="838"/>
        <v>14853.406480052367</v>
      </c>
      <c r="ADT23" s="31">
        <f t="shared" ca="1" si="839"/>
        <v>13986.450618744979</v>
      </c>
      <c r="ADU23" s="31">
        <f t="shared" ca="1" si="840"/>
        <v>15196.41312448759</v>
      </c>
      <c r="ADV23" s="31">
        <f t="shared" ca="1" si="841"/>
        <v>15212.47368781194</v>
      </c>
      <c r="ADW23" s="31">
        <f t="shared" ca="1" si="842"/>
        <v>15712.294198136677</v>
      </c>
      <c r="ADX23" s="31">
        <f t="shared" ca="1" si="843"/>
        <v>13968.046459386627</v>
      </c>
      <c r="ADY23" s="31">
        <f t="shared" ca="1" si="844"/>
        <v>15733.250427635949</v>
      </c>
      <c r="ADZ23" s="31">
        <f t="shared" ca="1" si="845"/>
        <v>14483.184470908418</v>
      </c>
      <c r="AEA23" s="31">
        <f t="shared" ca="1" si="846"/>
        <v>14044.459689614596</v>
      </c>
      <c r="AEB23" s="31">
        <f t="shared" ca="1" si="847"/>
        <v>13310.119409616795</v>
      </c>
      <c r="AEC23" s="31">
        <f t="shared" ca="1" si="848"/>
        <v>14690.262455430529</v>
      </c>
      <c r="AED23" s="31">
        <f t="shared" ca="1" si="849"/>
        <v>14949.178709479182</v>
      </c>
      <c r="AEE23" s="31">
        <f t="shared" ca="1" si="850"/>
        <v>15123.135983936681</v>
      </c>
      <c r="AEF23" s="31">
        <f t="shared" ca="1" si="851"/>
        <v>14220.041575431245</v>
      </c>
      <c r="AEG23" s="31">
        <f t="shared" ca="1" si="852"/>
        <v>15961.619895749349</v>
      </c>
      <c r="AEH23" s="31">
        <f t="shared" ca="1" si="853"/>
        <v>14222.823402538792</v>
      </c>
      <c r="AEI23" s="31">
        <f t="shared" ca="1" si="854"/>
        <v>15043.36657191491</v>
      </c>
      <c r="AEJ23" s="31">
        <f t="shared" ca="1" si="855"/>
        <v>14418.282038958792</v>
      </c>
      <c r="AEK23" s="31">
        <f t="shared" ca="1" si="856"/>
        <v>15147.3172901176</v>
      </c>
      <c r="AEL23" s="31">
        <f t="shared" ca="1" si="857"/>
        <v>14140.919628922986</v>
      </c>
      <c r="AEM23" s="31">
        <f t="shared" ca="1" si="858"/>
        <v>14972.888917555674</v>
      </c>
      <c r="AEN23" s="31">
        <f t="shared" ca="1" si="859"/>
        <v>15264.359949566562</v>
      </c>
      <c r="AEO23" s="31">
        <f t="shared" ca="1" si="860"/>
        <v>14420.570859379666</v>
      </c>
      <c r="AEP23" s="31">
        <f t="shared" ca="1" si="861"/>
        <v>14857.099153600913</v>
      </c>
      <c r="AEQ23" s="31">
        <f t="shared" ca="1" si="862"/>
        <v>15001.254227871186</v>
      </c>
      <c r="AER23" s="31">
        <f t="shared" ca="1" si="863"/>
        <v>14882.518833049706</v>
      </c>
      <c r="AES23" s="31">
        <f t="shared" ca="1" si="864"/>
        <v>13456.580277351562</v>
      </c>
      <c r="AET23" s="31">
        <f t="shared" ca="1" si="865"/>
        <v>15114.506665704959</v>
      </c>
      <c r="AEU23" s="31">
        <f t="shared" ca="1" si="866"/>
        <v>14294.05175678022</v>
      </c>
      <c r="AEV23" s="31">
        <f t="shared" ca="1" si="867"/>
        <v>16336.544111033447</v>
      </c>
      <c r="AEW23" s="31">
        <f t="shared" ca="1" si="868"/>
        <v>14306.153076258406</v>
      </c>
      <c r="AEX23" s="31">
        <f t="shared" ca="1" si="869"/>
        <v>14100.347537490667</v>
      </c>
      <c r="AEY23" s="31">
        <f t="shared" ca="1" si="870"/>
        <v>12883.484100341548</v>
      </c>
      <c r="AEZ23" s="31">
        <f t="shared" ca="1" si="871"/>
        <v>14222.814629187489</v>
      </c>
      <c r="AFA23" s="31">
        <f t="shared" ca="1" si="872"/>
        <v>15147.003075616745</v>
      </c>
      <c r="AFB23" s="31">
        <f t="shared" ca="1" si="873"/>
        <v>14437.640787713304</v>
      </c>
      <c r="AFC23" s="31">
        <f t="shared" ca="1" si="874"/>
        <v>13610.849013538087</v>
      </c>
      <c r="AFD23" s="31">
        <f t="shared" ca="1" si="875"/>
        <v>15268.810287108787</v>
      </c>
      <c r="AFE23" s="31">
        <f t="shared" ca="1" si="876"/>
        <v>15386.440581127579</v>
      </c>
      <c r="AFF23" s="31">
        <f t="shared" ca="1" si="877"/>
        <v>14074.181746121996</v>
      </c>
      <c r="AFG23" s="31">
        <f t="shared" ca="1" si="878"/>
        <v>15166.994419078626</v>
      </c>
      <c r="AFH23" s="31">
        <f t="shared" ca="1" si="879"/>
        <v>16110.478119388958</v>
      </c>
      <c r="AFI23" s="31">
        <f t="shared" ca="1" si="880"/>
        <v>14565.986582434762</v>
      </c>
      <c r="AFJ23" s="31">
        <f t="shared" ca="1" si="881"/>
        <v>13854.653467848617</v>
      </c>
      <c r="AFK23" s="31">
        <f t="shared" ca="1" si="882"/>
        <v>14704.988477201254</v>
      </c>
      <c r="AFL23" s="31">
        <f t="shared" ca="1" si="883"/>
        <v>14735.794433772007</v>
      </c>
      <c r="AFM23" s="31">
        <f t="shared" ca="1" si="884"/>
        <v>14266.656898239415</v>
      </c>
      <c r="AFN23" s="31">
        <f t="shared" ca="1" si="885"/>
        <v>15352.223163351835</v>
      </c>
      <c r="AFO23" s="31">
        <f t="shared" ca="1" si="886"/>
        <v>14691.302774156673</v>
      </c>
      <c r="AFP23" s="31">
        <f t="shared" ca="1" si="887"/>
        <v>14689.187424952832</v>
      </c>
      <c r="AFQ23" s="31">
        <f t="shared" ca="1" si="888"/>
        <v>13592.695230268568</v>
      </c>
      <c r="AFR23" s="31">
        <f t="shared" ca="1" si="889"/>
        <v>15188.48928118774</v>
      </c>
      <c r="AFS23" s="31">
        <f t="shared" ca="1" si="890"/>
        <v>13632.191626868063</v>
      </c>
      <c r="AFT23" s="31">
        <f t="shared" ca="1" si="891"/>
        <v>14542.951091757586</v>
      </c>
      <c r="AFU23" s="31">
        <f t="shared" ca="1" si="892"/>
        <v>14158.463147613578</v>
      </c>
      <c r="AFV23" s="31">
        <f t="shared" ca="1" si="893"/>
        <v>15352.961443146989</v>
      </c>
      <c r="AFW23" s="31">
        <f t="shared" ca="1" si="894"/>
        <v>13969.48015798805</v>
      </c>
      <c r="AFX23" s="31">
        <f t="shared" ca="1" si="895"/>
        <v>15054.847918891963</v>
      </c>
      <c r="AFY23" s="31">
        <f t="shared" ca="1" si="896"/>
        <v>15177.865601681015</v>
      </c>
      <c r="AFZ23" s="31">
        <f t="shared" ca="1" si="897"/>
        <v>14065.979754457408</v>
      </c>
      <c r="AGA23" s="31">
        <f t="shared" ca="1" si="898"/>
        <v>14091.798806002545</v>
      </c>
      <c r="AGB23" s="31">
        <f t="shared" ca="1" si="899"/>
        <v>14988.384230255779</v>
      </c>
      <c r="AGC23" s="31">
        <f t="shared" ca="1" si="900"/>
        <v>13761.375550978013</v>
      </c>
      <c r="AGD23" s="31">
        <f t="shared" ca="1" si="901"/>
        <v>15550.726428566462</v>
      </c>
      <c r="AGE23" s="31">
        <f t="shared" ca="1" si="902"/>
        <v>14241.261776699328</v>
      </c>
      <c r="AGF23" s="31">
        <f t="shared" ca="1" si="903"/>
        <v>14710.580065640914</v>
      </c>
      <c r="AGG23" s="31">
        <f t="shared" ca="1" si="904"/>
        <v>14158.376285992541</v>
      </c>
      <c r="AGH23" s="31">
        <f t="shared" ca="1" si="905"/>
        <v>14821.297429423757</v>
      </c>
      <c r="AGI23" s="31">
        <f t="shared" ca="1" si="906"/>
        <v>13778.313284793148</v>
      </c>
      <c r="AGJ23" s="31">
        <f t="shared" ca="1" si="907"/>
        <v>14548.154412358881</v>
      </c>
      <c r="AGK23" s="31">
        <f t="shared" ca="1" si="908"/>
        <v>14837.356968523756</v>
      </c>
      <c r="AGL23" s="31">
        <f t="shared" ca="1" si="909"/>
        <v>14807.902507594283</v>
      </c>
      <c r="AGM23" s="31">
        <f t="shared" ca="1" si="910"/>
        <v>13976.870055458749</v>
      </c>
      <c r="AGN23" s="31">
        <f t="shared" ca="1" si="911"/>
        <v>14111.098299955915</v>
      </c>
      <c r="AGO23" s="31">
        <f t="shared" ca="1" si="912"/>
        <v>15765.373065424241</v>
      </c>
      <c r="AGP23" s="31">
        <f t="shared" ca="1" si="913"/>
        <v>14381.242184638639</v>
      </c>
      <c r="AGQ23" s="31">
        <f t="shared" ca="1" si="914"/>
        <v>14902.880826330638</v>
      </c>
      <c r="AGR23" s="31">
        <f t="shared" ca="1" si="915"/>
        <v>14001.177848643749</v>
      </c>
      <c r="AGS23" s="31">
        <f t="shared" ca="1" si="916"/>
        <v>14704.74089802426</v>
      </c>
      <c r="AGT23" s="31">
        <f t="shared" ca="1" si="917"/>
        <v>14014.153766057567</v>
      </c>
      <c r="AGU23" s="31">
        <f t="shared" ca="1" si="918"/>
        <v>14368.652778796575</v>
      </c>
      <c r="AGV23" s="31">
        <f t="shared" ca="1" si="919"/>
        <v>14590.09503065681</v>
      </c>
      <c r="AGW23" s="31">
        <f t="shared" ca="1" si="920"/>
        <v>14599.009144705227</v>
      </c>
      <c r="AGX23" s="31">
        <f t="shared" ca="1" si="921"/>
        <v>14923.641754486704</v>
      </c>
      <c r="AGY23" s="31">
        <f t="shared" ca="1" si="922"/>
        <v>13968.15843550968</v>
      </c>
      <c r="AGZ23" s="31">
        <f t="shared" ca="1" si="923"/>
        <v>13395.289646289639</v>
      </c>
      <c r="AHA23" s="31">
        <f t="shared" ca="1" si="924"/>
        <v>13816.690164553658</v>
      </c>
      <c r="AHB23" s="31">
        <f t="shared" ca="1" si="925"/>
        <v>13639.120335712494</v>
      </c>
      <c r="AHC23" s="31">
        <f t="shared" ca="1" si="926"/>
        <v>14870.009812414546</v>
      </c>
      <c r="AHD23" s="31">
        <f t="shared" ca="1" si="927"/>
        <v>14186.919771623736</v>
      </c>
      <c r="AHE23" s="31">
        <f t="shared" ca="1" si="928"/>
        <v>15023.751537589424</v>
      </c>
      <c r="AHF23" s="31">
        <f t="shared" ca="1" si="929"/>
        <v>15641.185638806934</v>
      </c>
      <c r="AHG23" s="31">
        <f t="shared" ca="1" si="930"/>
        <v>15954.96575694648</v>
      </c>
      <c r="AHH23" s="31">
        <f t="shared" ca="1" si="931"/>
        <v>14863.452143787341</v>
      </c>
      <c r="AHI23" s="31">
        <f t="shared" ca="1" si="932"/>
        <v>14692.547172927996</v>
      </c>
      <c r="AHJ23" s="31">
        <f t="shared" ca="1" si="933"/>
        <v>14237.85075127494</v>
      </c>
      <c r="AHK23" s="31">
        <f t="shared" ca="1" si="934"/>
        <v>16142.256149227811</v>
      </c>
      <c r="AHL23" s="31">
        <f t="shared" ca="1" si="935"/>
        <v>14270.829430488075</v>
      </c>
      <c r="AHM23" s="31">
        <f t="shared" ca="1" si="936"/>
        <v>15399.535004238931</v>
      </c>
      <c r="AHN23" s="31">
        <f t="shared" ca="1" si="937"/>
        <v>14113.31387694522</v>
      </c>
      <c r="AHO23" s="31">
        <f t="shared" ca="1" si="938"/>
        <v>14885.778347285437</v>
      </c>
      <c r="AHP23" s="31">
        <f t="shared" ca="1" si="939"/>
        <v>15273.022605625338</v>
      </c>
      <c r="AHQ23" s="31">
        <f t="shared" ca="1" si="940"/>
        <v>14781.726809210342</v>
      </c>
      <c r="AHR23" s="31">
        <f t="shared" ca="1" si="941"/>
        <v>14309.392729998246</v>
      </c>
      <c r="AHS23" s="31">
        <f t="shared" ca="1" si="942"/>
        <v>14186.257811613581</v>
      </c>
      <c r="AHT23" s="31">
        <f t="shared" ca="1" si="943"/>
        <v>14558.785124871101</v>
      </c>
      <c r="AHU23" s="31">
        <f t="shared" ca="1" si="944"/>
        <v>14235.717098964658</v>
      </c>
      <c r="AHV23" s="31">
        <f t="shared" ca="1" si="945"/>
        <v>14731.693874724362</v>
      </c>
      <c r="AHW23" s="31">
        <f t="shared" ca="1" si="946"/>
        <v>14525.680578667203</v>
      </c>
      <c r="AHX23" s="31">
        <f t="shared" ca="1" si="947"/>
        <v>15302.060282489774</v>
      </c>
      <c r="AHY23" s="31">
        <f t="shared" ca="1" si="948"/>
        <v>15204.21635285475</v>
      </c>
      <c r="AHZ23" s="31">
        <f t="shared" ca="1" si="949"/>
        <v>13023.469434425278</v>
      </c>
      <c r="AIA23" s="31">
        <f t="shared" ca="1" si="950"/>
        <v>15536.460695794096</v>
      </c>
      <c r="AIB23" s="31">
        <f t="shared" ca="1" si="951"/>
        <v>15235.172648963384</v>
      </c>
      <c r="AIC23" s="31">
        <f t="shared" ca="1" si="952"/>
        <v>14259.365744601933</v>
      </c>
      <c r="AID23" s="31">
        <f t="shared" ca="1" si="953"/>
        <v>15331.384107953778</v>
      </c>
      <c r="AIE23" s="31">
        <f t="shared" ca="1" si="954"/>
        <v>14612.308913312463</v>
      </c>
      <c r="AIF23" s="31">
        <f t="shared" ca="1" si="955"/>
        <v>14267.463009164372</v>
      </c>
      <c r="AIG23" s="31">
        <f t="shared" ca="1" si="956"/>
        <v>15159.091636902342</v>
      </c>
      <c r="AIH23" s="31">
        <f t="shared" ca="1" si="957"/>
        <v>14764.549699369862</v>
      </c>
      <c r="AII23" s="31">
        <f t="shared" ca="1" si="958"/>
        <v>14939.257633994381</v>
      </c>
      <c r="AIJ23" s="31">
        <f t="shared" ca="1" si="959"/>
        <v>13804.323385756541</v>
      </c>
      <c r="AIK23" s="31">
        <f t="shared" ca="1" si="960"/>
        <v>14949.541636920341</v>
      </c>
      <c r="AIL23" s="31">
        <f t="shared" ca="1" si="961"/>
        <v>14303.661910651095</v>
      </c>
      <c r="AIM23" s="31">
        <f t="shared" ca="1" si="962"/>
        <v>14324.735765852774</v>
      </c>
      <c r="AIN23" s="31">
        <f t="shared" ca="1" si="963"/>
        <v>14530.092233122154</v>
      </c>
      <c r="AIO23" s="31">
        <f t="shared" ca="1" si="964"/>
        <v>13119.704425802143</v>
      </c>
      <c r="AIP23" s="31">
        <f t="shared" ca="1" si="965"/>
        <v>14138.031793918273</v>
      </c>
      <c r="AIQ23" s="31">
        <f t="shared" ca="1" si="966"/>
        <v>13227.930948834273</v>
      </c>
      <c r="AIR23" s="31">
        <f t="shared" ca="1" si="967"/>
        <v>13970.13571149175</v>
      </c>
      <c r="AIS23" s="31">
        <f t="shared" ca="1" si="968"/>
        <v>14051.87196028061</v>
      </c>
      <c r="AIT23" s="31">
        <f t="shared" ca="1" si="969"/>
        <v>15136.672506302068</v>
      </c>
      <c r="AIU23" s="31">
        <f t="shared" ca="1" si="970"/>
        <v>14246.724013392795</v>
      </c>
      <c r="AIV23" s="31">
        <f t="shared" ca="1" si="971"/>
        <v>13817.34254275666</v>
      </c>
      <c r="AIW23" s="31">
        <f t="shared" ca="1" si="972"/>
        <v>13956.300345134647</v>
      </c>
      <c r="AIX23" s="31">
        <f t="shared" ca="1" si="973"/>
        <v>15013.876947232302</v>
      </c>
      <c r="AIY23" s="31">
        <f t="shared" ca="1" si="974"/>
        <v>15751.369048160857</v>
      </c>
      <c r="AIZ23" s="31">
        <f t="shared" ca="1" si="975"/>
        <v>15216.597412555911</v>
      </c>
      <c r="AJA23" s="31">
        <f t="shared" ca="1" si="976"/>
        <v>13826.294437041281</v>
      </c>
      <c r="AJB23" s="31">
        <f t="shared" ca="1" si="977"/>
        <v>14229.457195694871</v>
      </c>
      <c r="AJC23" s="31">
        <f t="shared" ca="1" si="978"/>
        <v>15023.161108479564</v>
      </c>
      <c r="AJD23" s="31">
        <f t="shared" ca="1" si="979"/>
        <v>14500.330323908924</v>
      </c>
      <c r="AJE23" s="31">
        <f t="shared" ca="1" si="980"/>
        <v>15008.450027466855</v>
      </c>
      <c r="AJF23" s="31">
        <f t="shared" ca="1" si="981"/>
        <v>14646.966123747825</v>
      </c>
      <c r="AJG23" s="31">
        <f t="shared" ca="1" si="982"/>
        <v>14751.75850445475</v>
      </c>
      <c r="AJH23" s="31">
        <f t="shared" ca="1" si="983"/>
        <v>14019.143935721955</v>
      </c>
      <c r="AJI23" s="31">
        <f t="shared" ca="1" si="984"/>
        <v>14246.12672974365</v>
      </c>
      <c r="AJJ23" s="31">
        <f t="shared" ca="1" si="985"/>
        <v>14892.937380713593</v>
      </c>
      <c r="AJK23" s="31">
        <f t="shared" ca="1" si="986"/>
        <v>14448.196609437968</v>
      </c>
      <c r="AJL23" s="31">
        <f t="shared" ca="1" si="987"/>
        <v>15092.298525749939</v>
      </c>
      <c r="AJM23" s="31">
        <f t="shared" ca="1" si="988"/>
        <v>13973.459110002648</v>
      </c>
      <c r="AJN23" s="31">
        <f t="shared" ca="1" si="989"/>
        <v>14695.840228115056</v>
      </c>
      <c r="AJO23" s="31">
        <f t="shared" ca="1" si="990"/>
        <v>15716.78299018195</v>
      </c>
      <c r="AJP23" s="31">
        <f t="shared" ca="1" si="991"/>
        <v>14898.215176369325</v>
      </c>
      <c r="AJQ23" s="31">
        <f t="shared" ca="1" si="992"/>
        <v>13879.51452225118</v>
      </c>
      <c r="AJR23" s="31">
        <f t="shared" ca="1" si="993"/>
        <v>15235.890552541379</v>
      </c>
      <c r="AJS23" s="31">
        <f t="shared" ca="1" si="994"/>
        <v>15000.114042367979</v>
      </c>
      <c r="AJT23" s="31">
        <f t="shared" ca="1" si="995"/>
        <v>14747.699410670788</v>
      </c>
      <c r="AJU23" s="31">
        <f t="shared" ca="1" si="996"/>
        <v>13967.001164315603</v>
      </c>
      <c r="AJV23" s="31">
        <f t="shared" ca="1" si="997"/>
        <v>14373.585088144939</v>
      </c>
      <c r="AJW23" s="31">
        <f t="shared" ca="1" si="998"/>
        <v>13919.178463901131</v>
      </c>
      <c r="AJX23" s="31">
        <f t="shared" ca="1" si="999"/>
        <v>14647.226050697975</v>
      </c>
      <c r="AJY23" s="31">
        <f t="shared" ca="1" si="1000"/>
        <v>14240.114811300127</v>
      </c>
      <c r="AJZ23" s="31">
        <f t="shared" ca="1" si="1001"/>
        <v>14529.666988837429</v>
      </c>
      <c r="AKA23" s="31">
        <f t="shared" ca="1" si="1002"/>
        <v>14436.583231066004</v>
      </c>
      <c r="AKB23" s="31">
        <f t="shared" ca="1" si="1003"/>
        <v>13895.418613143223</v>
      </c>
      <c r="AKC23" s="31">
        <f t="shared" ca="1" si="1004"/>
        <v>13535.299165351456</v>
      </c>
      <c r="AKD23" s="31">
        <f t="shared" ca="1" si="1005"/>
        <v>15018.223141708651</v>
      </c>
      <c r="AKE23" s="31">
        <f t="shared" ca="1" si="1006"/>
        <v>13417.715804314634</v>
      </c>
      <c r="AKF23" s="31">
        <f t="shared" ca="1" si="1007"/>
        <v>15295.078677651862</v>
      </c>
      <c r="AKG23" s="31">
        <f t="shared" ca="1" si="1008"/>
        <v>14200.168042810094</v>
      </c>
      <c r="AKH23" s="31">
        <f t="shared" ca="1" si="1009"/>
        <v>13640.317359069664</v>
      </c>
      <c r="AKI23" s="31">
        <f t="shared" ca="1" si="1010"/>
        <v>14927.092620168158</v>
      </c>
      <c r="AKJ23" s="31">
        <f t="shared" ca="1" si="1011"/>
        <v>13041.056578059823</v>
      </c>
      <c r="AKK23" s="31">
        <f t="shared" ca="1" si="1012"/>
        <v>16134.829105648019</v>
      </c>
      <c r="AKL23" s="31">
        <f t="shared" ca="1" si="1013"/>
        <v>14422.427706381175</v>
      </c>
      <c r="AKM23" s="31">
        <f t="shared" ca="1" si="1014"/>
        <v>13552.568348322609</v>
      </c>
      <c r="AKN23" s="31">
        <f t="shared" ca="1" si="1015"/>
        <v>15046.659863752251</v>
      </c>
      <c r="AKO23" s="31">
        <f t="shared" ca="1" si="1016"/>
        <v>14663.55514451737</v>
      </c>
      <c r="AKP23" s="31">
        <f t="shared" ca="1" si="1017"/>
        <v>14969.393283490052</v>
      </c>
      <c r="AKQ23" s="31">
        <f t="shared" ca="1" si="1018"/>
        <v>14365.684064255509</v>
      </c>
      <c r="AKR23" s="31">
        <f t="shared" ca="1" si="1019"/>
        <v>14332.021804076427</v>
      </c>
      <c r="AKS23" s="31">
        <f t="shared" ca="1" si="1020"/>
        <v>15400.450647259244</v>
      </c>
      <c r="AKT23" s="31">
        <f t="shared" ca="1" si="1021"/>
        <v>15389.934174253547</v>
      </c>
      <c r="AKU23" s="31">
        <f t="shared" ca="1" si="1022"/>
        <v>14272.765534019845</v>
      </c>
      <c r="AKV23" s="31">
        <f t="shared" ca="1" si="1023"/>
        <v>12337.574197985468</v>
      </c>
      <c r="AKW23" s="31">
        <f t="shared" ca="1" si="1024"/>
        <v>14003.432874022204</v>
      </c>
      <c r="AKX23" s="31">
        <f t="shared" ca="1" si="1025"/>
        <v>14986.453004188188</v>
      </c>
      <c r="AKY23" s="31">
        <f t="shared" ca="1" si="1026"/>
        <v>13688.337912781621</v>
      </c>
      <c r="AKZ23" s="31">
        <f t="shared" ca="1" si="1027"/>
        <v>14618.444582176311</v>
      </c>
      <c r="ALA23" s="31">
        <f t="shared" ca="1" si="1028"/>
        <v>14090.31163767939</v>
      </c>
      <c r="ALB23" s="31">
        <f t="shared" ca="1" si="1029"/>
        <v>14909.984385472486</v>
      </c>
      <c r="ALC23" s="31">
        <f t="shared" ca="1" si="1030"/>
        <v>14182.078282046103</v>
      </c>
      <c r="ALD23" s="31">
        <f t="shared" ca="1" si="1031"/>
        <v>15543.660855385035</v>
      </c>
      <c r="ALE23" s="31">
        <f t="shared" ca="1" si="1032"/>
        <v>14003.520196032936</v>
      </c>
      <c r="ALF23" s="31">
        <f t="shared" ca="1" si="1033"/>
        <v>13331.096093771788</v>
      </c>
      <c r="ALG23" s="31">
        <f t="shared" ca="1" si="1034"/>
        <v>14108.977842295119</v>
      </c>
      <c r="ALH23" s="31">
        <f t="shared" ca="1" si="1035"/>
        <v>15120.951063390243</v>
      </c>
      <c r="ALI23" s="31">
        <f t="shared" ca="1" si="1036"/>
        <v>14613.406612268209</v>
      </c>
      <c r="ALJ23" s="31">
        <f t="shared" ca="1" si="1037"/>
        <v>14832.575369965452</v>
      </c>
      <c r="ALK23" s="31">
        <f t="shared" ca="1" si="1038"/>
        <v>14861.749517952689</v>
      </c>
      <c r="ALL23" s="31">
        <f t="shared" ca="1" si="1039"/>
        <v>14075.302941299287</v>
      </c>
      <c r="ALM23" s="31">
        <f t="shared" ca="1" si="1040"/>
        <v>13983.234155686025</v>
      </c>
      <c r="ALN23" s="31">
        <f t="shared" ca="1" si="1041"/>
        <v>13962.026691751735</v>
      </c>
      <c r="ALO23" s="31">
        <f t="shared" ca="1" si="1042"/>
        <v>13755.83691934524</v>
      </c>
      <c r="ALP23" s="31">
        <f t="shared" ca="1" si="1043"/>
        <v>14438.257765103033</v>
      </c>
      <c r="ALQ23" s="31">
        <f t="shared" ca="1" si="1044"/>
        <v>14286.59223784226</v>
      </c>
      <c r="ALR23" s="31">
        <f t="shared" ca="1" si="1045"/>
        <v>14841.67797952673</v>
      </c>
      <c r="ALS23" s="31">
        <f t="shared" ca="1" si="1046"/>
        <v>14210.044813116121</v>
      </c>
      <c r="ALT23" s="31">
        <f t="shared" ca="1" si="1047"/>
        <v>13857.279823305957</v>
      </c>
      <c r="ALU23" s="31">
        <f t="shared" ca="1" si="1048"/>
        <v>14105.487661463936</v>
      </c>
      <c r="ALV23" s="31">
        <f t="shared" ca="1" si="1049"/>
        <v>12899.685663869412</v>
      </c>
    </row>
    <row r="24" spans="1:1010" x14ac:dyDescent="0.25">
      <c r="A24" s="1">
        <v>40508</v>
      </c>
      <c r="B24" s="2">
        <v>5751.9501950000003</v>
      </c>
      <c r="C24" s="16">
        <f t="shared" si="32"/>
        <v>-8.2758515212580409E-3</v>
      </c>
    </row>
    <row r="25" spans="1:1010" x14ac:dyDescent="0.25">
      <c r="A25" s="1">
        <v>40511</v>
      </c>
      <c r="B25" s="2">
        <v>5830</v>
      </c>
      <c r="C25" s="16">
        <f t="shared" si="32"/>
        <v>1.3478038708541492E-2</v>
      </c>
      <c r="E25" t="s">
        <v>68</v>
      </c>
      <c r="H25" s="37" t="s">
        <v>70</v>
      </c>
      <c r="I25" s="37">
        <f>F3</f>
        <v>14371.900390999999</v>
      </c>
    </row>
    <row r="26" spans="1:1010" x14ac:dyDescent="0.25">
      <c r="A26" s="1">
        <v>40512</v>
      </c>
      <c r="B26" s="2">
        <v>5862.7001950000003</v>
      </c>
      <c r="C26" s="16">
        <f t="shared" si="32"/>
        <v>5.5932812278063808E-3</v>
      </c>
      <c r="E26" t="s">
        <v>69</v>
      </c>
      <c r="F26" s="23">
        <f ca="1">PERCENTILE(K4:ALV23,5%)</f>
        <v>13592.004627023702</v>
      </c>
      <c r="H26" s="37" t="s">
        <v>71</v>
      </c>
    </row>
    <row r="27" spans="1:1010" x14ac:dyDescent="0.25">
      <c r="A27" s="1">
        <v>40513</v>
      </c>
      <c r="B27" s="2">
        <v>5960.8999020000001</v>
      </c>
      <c r="C27" s="16">
        <f t="shared" si="32"/>
        <v>1.6611178357624129E-2</v>
      </c>
    </row>
    <row r="28" spans="1:1010" x14ac:dyDescent="0.25">
      <c r="A28" s="1">
        <v>40514</v>
      </c>
      <c r="B28" s="2">
        <v>6011.7001950000003</v>
      </c>
      <c r="C28" s="16">
        <f t="shared" si="32"/>
        <v>8.4861429349873552E-3</v>
      </c>
      <c r="E28" s="37" t="s">
        <v>77</v>
      </c>
      <c r="F28" s="37">
        <f ca="1">SUMIF($K$4:$ALV$23,"&lt;"&amp;F26)/(COUNTIF($K$4:$ALV$23,"&lt;"&amp;F26))</f>
        <v>13342.263382723917</v>
      </c>
    </row>
    <row r="29" spans="1:1010" x14ac:dyDescent="0.25">
      <c r="A29" s="1">
        <v>40515</v>
      </c>
      <c r="B29" s="2">
        <v>5992.7998049999997</v>
      </c>
      <c r="C29" s="16">
        <f t="shared" si="32"/>
        <v>-3.1488867703300888E-3</v>
      </c>
      <c r="F29" s="38" t="s">
        <v>75</v>
      </c>
    </row>
    <row r="30" spans="1:1010" x14ac:dyDescent="0.25">
      <c r="A30" s="1">
        <v>40518</v>
      </c>
      <c r="B30" s="2">
        <v>5992.25</v>
      </c>
      <c r="C30" s="16">
        <f t="shared" si="32"/>
        <v>-9.1748471525890222E-5</v>
      </c>
    </row>
    <row r="31" spans="1:1010" x14ac:dyDescent="0.25">
      <c r="A31" s="1">
        <v>40519</v>
      </c>
      <c r="B31" s="2">
        <v>5976.5498049999997</v>
      </c>
      <c r="C31" s="16">
        <f t="shared" si="32"/>
        <v>-2.623521867019096E-3</v>
      </c>
      <c r="E31" s="37" t="s">
        <v>78</v>
      </c>
    </row>
    <row r="32" spans="1:1010" x14ac:dyDescent="0.25">
      <c r="A32" s="1">
        <v>40520</v>
      </c>
      <c r="B32" s="2">
        <v>5903.7001950000003</v>
      </c>
      <c r="C32" s="16">
        <f t="shared" si="32"/>
        <v>-1.2264139744793833E-2</v>
      </c>
      <c r="F32" s="33">
        <f ca="1">I25-F28</f>
        <v>1029.6370082760823</v>
      </c>
    </row>
    <row r="33" spans="1:6" x14ac:dyDescent="0.25">
      <c r="A33" s="1">
        <v>40521</v>
      </c>
      <c r="B33" s="2">
        <v>5766.5</v>
      </c>
      <c r="C33" s="16">
        <f t="shared" si="32"/>
        <v>-2.3513995345293404E-2</v>
      </c>
    </row>
    <row r="34" spans="1:6" x14ac:dyDescent="0.25">
      <c r="A34" s="1">
        <v>40522</v>
      </c>
      <c r="B34" s="2">
        <v>5857.3500979999999</v>
      </c>
      <c r="C34" s="16">
        <f t="shared" si="32"/>
        <v>1.5631988924555165E-2</v>
      </c>
    </row>
    <row r="35" spans="1:6" x14ac:dyDescent="0.25">
      <c r="A35" s="1">
        <v>40525</v>
      </c>
      <c r="B35" s="2">
        <v>5907.6499020000001</v>
      </c>
      <c r="C35" s="16">
        <f t="shared" si="32"/>
        <v>8.5508050110410586E-3</v>
      </c>
      <c r="E35" s="36" t="s">
        <v>79</v>
      </c>
      <c r="F35" s="36"/>
    </row>
    <row r="36" spans="1:6" x14ac:dyDescent="0.25">
      <c r="A36" s="1">
        <v>40526</v>
      </c>
      <c r="B36" s="2">
        <v>5944.1000979999999</v>
      </c>
      <c r="C36" s="16">
        <f t="shared" si="32"/>
        <v>6.1510428291776499E-3</v>
      </c>
      <c r="E36" s="36" t="s">
        <v>69</v>
      </c>
      <c r="F36" s="23">
        <f ca="1">PERCENTILE(K4:ALV23,95%)</f>
        <v>15329.851606182227</v>
      </c>
    </row>
    <row r="37" spans="1:6" x14ac:dyDescent="0.25">
      <c r="A37" s="1">
        <v>40527</v>
      </c>
      <c r="B37" s="2">
        <v>5892.2998049999997</v>
      </c>
      <c r="C37" s="16">
        <f t="shared" si="32"/>
        <v>-8.7527667415408274E-3</v>
      </c>
    </row>
    <row r="38" spans="1:6" x14ac:dyDescent="0.25">
      <c r="A38" s="1">
        <v>40528</v>
      </c>
      <c r="B38" s="2">
        <v>5948.75</v>
      </c>
      <c r="C38" s="16">
        <f t="shared" si="32"/>
        <v>9.5347327460937568E-3</v>
      </c>
    </row>
    <row r="39" spans="1:6" x14ac:dyDescent="0.25">
      <c r="A39" s="1">
        <v>40532</v>
      </c>
      <c r="B39" s="2">
        <v>5947.0498049999997</v>
      </c>
      <c r="C39" s="16">
        <f t="shared" si="32"/>
        <v>-2.8584795296616072E-4</v>
      </c>
    </row>
    <row r="40" spans="1:6" x14ac:dyDescent="0.25">
      <c r="A40" s="1">
        <v>40533</v>
      </c>
      <c r="B40" s="2">
        <v>6000.6499020000001</v>
      </c>
      <c r="C40" s="16">
        <f t="shared" si="32"/>
        <v>8.972514861975308E-3</v>
      </c>
    </row>
    <row r="41" spans="1:6" x14ac:dyDescent="0.25">
      <c r="A41" s="1">
        <v>40534</v>
      </c>
      <c r="B41" s="2">
        <v>5984.3999020000001</v>
      </c>
      <c r="C41" s="16">
        <f t="shared" si="32"/>
        <v>-2.7117133801631017E-3</v>
      </c>
    </row>
    <row r="42" spans="1:6" x14ac:dyDescent="0.25">
      <c r="A42" s="1">
        <v>40535</v>
      </c>
      <c r="B42" s="2">
        <v>5980</v>
      </c>
      <c r="C42" s="16">
        <f t="shared" si="32"/>
        <v>-7.3549901948888807E-4</v>
      </c>
    </row>
    <row r="43" spans="1:6" x14ac:dyDescent="0.25">
      <c r="A43" s="1">
        <v>40536</v>
      </c>
      <c r="B43" s="2">
        <v>6011.6000979999999</v>
      </c>
      <c r="C43" s="16">
        <f t="shared" si="32"/>
        <v>5.2703844170781987E-3</v>
      </c>
    </row>
    <row r="44" spans="1:6" x14ac:dyDescent="0.25">
      <c r="A44" s="1">
        <v>40539</v>
      </c>
      <c r="B44" s="2">
        <v>5998.1000979999999</v>
      </c>
      <c r="C44" s="16">
        <f t="shared" si="32"/>
        <v>-2.2481836291994533E-3</v>
      </c>
    </row>
    <row r="45" spans="1:6" x14ac:dyDescent="0.25">
      <c r="A45" s="1">
        <v>40540</v>
      </c>
      <c r="B45" s="2">
        <v>5996</v>
      </c>
      <c r="C45" s="16">
        <f t="shared" si="32"/>
        <v>-3.5018851006782221E-4</v>
      </c>
    </row>
    <row r="46" spans="1:6" x14ac:dyDescent="0.25">
      <c r="A46" s="1">
        <v>40541</v>
      </c>
      <c r="B46" s="2">
        <v>6060.3500979999999</v>
      </c>
      <c r="C46" s="16">
        <f t="shared" si="32"/>
        <v>1.0674990119331795E-2</v>
      </c>
    </row>
    <row r="47" spans="1:6" x14ac:dyDescent="0.25">
      <c r="A47" s="1">
        <v>40542</v>
      </c>
      <c r="B47" s="2">
        <v>6101.8500979999999</v>
      </c>
      <c r="C47" s="16">
        <f t="shared" si="32"/>
        <v>6.8244495891246143E-3</v>
      </c>
    </row>
    <row r="48" spans="1:6" x14ac:dyDescent="0.25">
      <c r="A48" s="1">
        <v>40543</v>
      </c>
      <c r="B48" s="2">
        <v>6134.5</v>
      </c>
      <c r="C48" s="16">
        <f t="shared" si="32"/>
        <v>5.3365553002929058E-3</v>
      </c>
    </row>
    <row r="49" spans="1:3" x14ac:dyDescent="0.25">
      <c r="A49" s="1">
        <v>40546</v>
      </c>
      <c r="B49" s="2">
        <v>6157.6000979999999</v>
      </c>
      <c r="C49" s="16">
        <f t="shared" si="32"/>
        <v>3.7585319041616161E-3</v>
      </c>
    </row>
    <row r="50" spans="1:3" x14ac:dyDescent="0.25">
      <c r="A50" s="1">
        <v>40547</v>
      </c>
      <c r="B50" s="2">
        <v>6146.3500979999999</v>
      </c>
      <c r="C50" s="16">
        <f t="shared" si="32"/>
        <v>-1.828681513800066E-3</v>
      </c>
    </row>
    <row r="51" spans="1:3" x14ac:dyDescent="0.25">
      <c r="A51" s="1">
        <v>40548</v>
      </c>
      <c r="B51" s="2">
        <v>6079.7998049999997</v>
      </c>
      <c r="C51" s="16">
        <f t="shared" si="32"/>
        <v>-1.0886657012696314E-2</v>
      </c>
    </row>
    <row r="52" spans="1:3" x14ac:dyDescent="0.25">
      <c r="A52" s="1">
        <v>40549</v>
      </c>
      <c r="B52" s="2">
        <v>6048.25</v>
      </c>
      <c r="C52" s="16">
        <f t="shared" si="32"/>
        <v>-5.2027946250059959E-3</v>
      </c>
    </row>
    <row r="53" spans="1:3" x14ac:dyDescent="0.25">
      <c r="A53" s="1">
        <v>40550</v>
      </c>
      <c r="B53" s="2">
        <v>5904.6000979999999</v>
      </c>
      <c r="C53" s="16">
        <f t="shared" si="32"/>
        <v>-2.4037249253672958E-2</v>
      </c>
    </row>
    <row r="54" spans="1:3" x14ac:dyDescent="0.25">
      <c r="A54" s="1">
        <v>40553</v>
      </c>
      <c r="B54" s="2">
        <v>5762.8500979999999</v>
      </c>
      <c r="C54" s="16">
        <f t="shared" si="32"/>
        <v>-2.4299563737179362E-2</v>
      </c>
    </row>
    <row r="55" spans="1:3" x14ac:dyDescent="0.25">
      <c r="A55" s="1">
        <v>40554</v>
      </c>
      <c r="B55" s="2">
        <v>5754.1000979999999</v>
      </c>
      <c r="C55" s="16">
        <f t="shared" si="32"/>
        <v>-1.5194997867746436E-3</v>
      </c>
    </row>
    <row r="56" spans="1:3" x14ac:dyDescent="0.25">
      <c r="A56" s="1">
        <v>40555</v>
      </c>
      <c r="B56" s="2">
        <v>5863.25</v>
      </c>
      <c r="C56" s="16">
        <f t="shared" si="32"/>
        <v>1.8791396135416617E-2</v>
      </c>
    </row>
    <row r="57" spans="1:3" x14ac:dyDescent="0.25">
      <c r="A57" s="1">
        <v>40556</v>
      </c>
      <c r="B57" s="2">
        <v>5751.8999020000001</v>
      </c>
      <c r="C57" s="16">
        <f t="shared" si="32"/>
        <v>-1.9173839387079648E-2</v>
      </c>
    </row>
    <row r="58" spans="1:3" x14ac:dyDescent="0.25">
      <c r="A58" s="1">
        <v>40557</v>
      </c>
      <c r="B58" s="2">
        <v>5654.5498049999997</v>
      </c>
      <c r="C58" s="16">
        <f t="shared" si="32"/>
        <v>-1.7069721653012356E-2</v>
      </c>
    </row>
    <row r="59" spans="1:3" x14ac:dyDescent="0.25">
      <c r="A59" s="1">
        <v>40560</v>
      </c>
      <c r="B59" s="2">
        <v>5654.75</v>
      </c>
      <c r="C59" s="16">
        <f t="shared" si="32"/>
        <v>3.5403606496061292E-5</v>
      </c>
    </row>
    <row r="60" spans="1:3" x14ac:dyDescent="0.25">
      <c r="A60" s="1">
        <v>40561</v>
      </c>
      <c r="B60" s="2">
        <v>5724.0498049999997</v>
      </c>
      <c r="C60" s="16">
        <f t="shared" si="32"/>
        <v>1.2180662813555305E-2</v>
      </c>
    </row>
    <row r="61" spans="1:3" x14ac:dyDescent="0.25">
      <c r="A61" s="1">
        <v>40562</v>
      </c>
      <c r="B61" s="2">
        <v>5691.0498049999997</v>
      </c>
      <c r="C61" s="16">
        <f t="shared" si="32"/>
        <v>-5.7818316193012044E-3</v>
      </c>
    </row>
    <row r="62" spans="1:3" x14ac:dyDescent="0.25">
      <c r="A62" s="1">
        <v>40563</v>
      </c>
      <c r="B62" s="2">
        <v>5711.6000979999999</v>
      </c>
      <c r="C62" s="16">
        <f t="shared" si="32"/>
        <v>3.6044806118596309E-3</v>
      </c>
    </row>
    <row r="63" spans="1:3" x14ac:dyDescent="0.25">
      <c r="A63" s="1">
        <v>40564</v>
      </c>
      <c r="B63" s="2">
        <v>5696.5</v>
      </c>
      <c r="C63" s="16">
        <f t="shared" si="32"/>
        <v>-2.6472605760338129E-3</v>
      </c>
    </row>
    <row r="64" spans="1:3" x14ac:dyDescent="0.25">
      <c r="A64" s="1">
        <v>40567</v>
      </c>
      <c r="B64" s="2">
        <v>5743.25</v>
      </c>
      <c r="C64" s="16">
        <f t="shared" si="32"/>
        <v>8.173301034109938E-3</v>
      </c>
    </row>
    <row r="65" spans="1:3" x14ac:dyDescent="0.25">
      <c r="A65" s="1">
        <v>40568</v>
      </c>
      <c r="B65" s="2">
        <v>5687.3999020000001</v>
      </c>
      <c r="C65" s="16">
        <f t="shared" si="32"/>
        <v>-9.7720677163017095E-3</v>
      </c>
    </row>
    <row r="66" spans="1:3" x14ac:dyDescent="0.25">
      <c r="A66" s="1">
        <v>40570</v>
      </c>
      <c r="B66" s="2">
        <v>5604.2998049999997</v>
      </c>
      <c r="C66" s="16">
        <f t="shared" si="32"/>
        <v>-1.471905903606475E-2</v>
      </c>
    </row>
    <row r="67" spans="1:3" x14ac:dyDescent="0.25">
      <c r="A67" s="1">
        <v>40571</v>
      </c>
      <c r="B67" s="2">
        <v>5512.1499020000001</v>
      </c>
      <c r="C67" s="16">
        <f t="shared" si="32"/>
        <v>-1.6579396522917518E-2</v>
      </c>
    </row>
    <row r="68" spans="1:3" x14ac:dyDescent="0.25">
      <c r="A68" s="1">
        <v>40574</v>
      </c>
      <c r="B68" s="2">
        <v>5505.8999020000001</v>
      </c>
      <c r="C68" s="16">
        <f t="shared" ref="C68:C131" si="1050">LN(B68/B67)</f>
        <v>-1.134502163548606E-3</v>
      </c>
    </row>
    <row r="69" spans="1:3" x14ac:dyDescent="0.25">
      <c r="A69" s="1">
        <v>40575</v>
      </c>
      <c r="B69" s="2">
        <v>5417.2001950000003</v>
      </c>
      <c r="C69" s="16">
        <f t="shared" si="1050"/>
        <v>-1.6241113955776189E-2</v>
      </c>
    </row>
    <row r="70" spans="1:3" x14ac:dyDescent="0.25">
      <c r="A70" s="1">
        <v>40576</v>
      </c>
      <c r="B70" s="2">
        <v>5432</v>
      </c>
      <c r="C70" s="16">
        <f t="shared" si="1050"/>
        <v>2.7282774608606074E-3</v>
      </c>
    </row>
    <row r="71" spans="1:3" x14ac:dyDescent="0.25">
      <c r="A71" s="1">
        <v>40577</v>
      </c>
      <c r="B71" s="2">
        <v>5526.75</v>
      </c>
      <c r="C71" s="16">
        <f t="shared" si="1050"/>
        <v>1.7292549076686366E-2</v>
      </c>
    </row>
    <row r="72" spans="1:3" x14ac:dyDescent="0.25">
      <c r="A72" s="1">
        <v>40578</v>
      </c>
      <c r="B72" s="2">
        <v>5395.75</v>
      </c>
      <c r="C72" s="16">
        <f t="shared" si="1050"/>
        <v>-2.3988332676138546E-2</v>
      </c>
    </row>
    <row r="73" spans="1:3" x14ac:dyDescent="0.25">
      <c r="A73" s="1">
        <v>40581</v>
      </c>
      <c r="B73" s="2">
        <v>5396</v>
      </c>
      <c r="C73" s="16">
        <f t="shared" si="1050"/>
        <v>4.633168856676948E-5</v>
      </c>
    </row>
    <row r="74" spans="1:3" x14ac:dyDescent="0.25">
      <c r="A74" s="1">
        <v>40582</v>
      </c>
      <c r="B74" s="2">
        <v>5312.5498049999997</v>
      </c>
      <c r="C74" s="16">
        <f t="shared" si="1050"/>
        <v>-1.5586029080096389E-2</v>
      </c>
    </row>
    <row r="75" spans="1:3" x14ac:dyDescent="0.25">
      <c r="A75" s="1">
        <v>40583</v>
      </c>
      <c r="B75" s="2">
        <v>5253.5498049999997</v>
      </c>
      <c r="C75" s="16">
        <f t="shared" si="1050"/>
        <v>-1.1167907817222796E-2</v>
      </c>
    </row>
    <row r="76" spans="1:3" x14ac:dyDescent="0.25">
      <c r="A76" s="1">
        <v>40584</v>
      </c>
      <c r="B76" s="2">
        <v>5225.7998049999997</v>
      </c>
      <c r="C76" s="16">
        <f t="shared" si="1050"/>
        <v>-5.2961425844774606E-3</v>
      </c>
    </row>
    <row r="77" spans="1:3" x14ac:dyDescent="0.25">
      <c r="A77" s="1">
        <v>40585</v>
      </c>
      <c r="B77" s="2">
        <v>5310</v>
      </c>
      <c r="C77" s="16">
        <f t="shared" si="1050"/>
        <v>1.5983976390134533E-2</v>
      </c>
    </row>
    <row r="78" spans="1:3" x14ac:dyDescent="0.25">
      <c r="A78" s="1">
        <v>40588</v>
      </c>
      <c r="B78" s="2">
        <v>5456</v>
      </c>
      <c r="C78" s="16">
        <f t="shared" si="1050"/>
        <v>2.7124085287313617E-2</v>
      </c>
    </row>
    <row r="79" spans="1:3" x14ac:dyDescent="0.25">
      <c r="A79" s="1">
        <v>40589</v>
      </c>
      <c r="B79" s="2">
        <v>5481</v>
      </c>
      <c r="C79" s="16">
        <f t="shared" si="1050"/>
        <v>4.5716455228184301E-3</v>
      </c>
    </row>
    <row r="80" spans="1:3" x14ac:dyDescent="0.25">
      <c r="A80" s="1">
        <v>40590</v>
      </c>
      <c r="B80" s="2">
        <v>5481.7001950000003</v>
      </c>
      <c r="C80" s="16">
        <f t="shared" si="1050"/>
        <v>1.2774133899450571E-4</v>
      </c>
    </row>
    <row r="81" spans="1:3" x14ac:dyDescent="0.25">
      <c r="A81" s="1">
        <v>40591</v>
      </c>
      <c r="B81" s="2">
        <v>5546.4501950000003</v>
      </c>
      <c r="C81" s="16">
        <f t="shared" si="1050"/>
        <v>1.1742811216642364E-2</v>
      </c>
    </row>
    <row r="82" spans="1:3" x14ac:dyDescent="0.25">
      <c r="A82" s="1">
        <v>40592</v>
      </c>
      <c r="B82" s="2">
        <v>5458.9501950000003</v>
      </c>
      <c r="C82" s="16">
        <f t="shared" si="1050"/>
        <v>-1.590161932745102E-2</v>
      </c>
    </row>
    <row r="83" spans="1:3" x14ac:dyDescent="0.25">
      <c r="A83" s="1">
        <v>40595</v>
      </c>
      <c r="B83" s="2">
        <v>5518.6000979999999</v>
      </c>
      <c r="C83" s="16">
        <f t="shared" si="1050"/>
        <v>1.0867723398759658E-2</v>
      </c>
    </row>
    <row r="84" spans="1:3" x14ac:dyDescent="0.25">
      <c r="A84" s="1">
        <v>40596</v>
      </c>
      <c r="B84" s="2">
        <v>5469.2001950000003</v>
      </c>
      <c r="C84" s="16">
        <f t="shared" si="1050"/>
        <v>-8.9918335839271162E-3</v>
      </c>
    </row>
    <row r="85" spans="1:3" x14ac:dyDescent="0.25">
      <c r="A85" s="1">
        <v>40597</v>
      </c>
      <c r="B85" s="2">
        <v>5437.3500979999999</v>
      </c>
      <c r="C85" s="16">
        <f t="shared" si="1050"/>
        <v>-5.8405612561128958E-3</v>
      </c>
    </row>
    <row r="86" spans="1:3" x14ac:dyDescent="0.25">
      <c r="A86" s="1">
        <v>40598</v>
      </c>
      <c r="B86" s="2">
        <v>5262.7001950000003</v>
      </c>
      <c r="C86" s="16">
        <f t="shared" si="1050"/>
        <v>-3.2647587760730616E-2</v>
      </c>
    </row>
    <row r="87" spans="1:3" x14ac:dyDescent="0.25">
      <c r="A87" s="1">
        <v>40599</v>
      </c>
      <c r="B87" s="2">
        <v>5303.5498049999997</v>
      </c>
      <c r="C87" s="16">
        <f t="shared" si="1050"/>
        <v>7.7321307973669895E-3</v>
      </c>
    </row>
    <row r="88" spans="1:3" x14ac:dyDescent="0.25">
      <c r="A88" s="1">
        <v>40602</v>
      </c>
      <c r="B88" s="2">
        <v>5333.25</v>
      </c>
      <c r="C88" s="16">
        <f t="shared" si="1050"/>
        <v>5.5844375620784171E-3</v>
      </c>
    </row>
    <row r="89" spans="1:3" x14ac:dyDescent="0.25">
      <c r="A89" s="1">
        <v>40603</v>
      </c>
      <c r="B89" s="2">
        <v>5522.2998049999997</v>
      </c>
      <c r="C89" s="16">
        <f t="shared" si="1050"/>
        <v>3.4833596413245724E-2</v>
      </c>
    </row>
    <row r="90" spans="1:3" x14ac:dyDescent="0.25">
      <c r="A90" s="1">
        <v>40605</v>
      </c>
      <c r="B90" s="2">
        <v>5536.2001950000003</v>
      </c>
      <c r="C90" s="16">
        <f t="shared" si="1050"/>
        <v>2.513975190297842E-3</v>
      </c>
    </row>
    <row r="91" spans="1:3" x14ac:dyDescent="0.25">
      <c r="A91" s="1">
        <v>40606</v>
      </c>
      <c r="B91" s="2">
        <v>5538.75</v>
      </c>
      <c r="C91" s="16">
        <f t="shared" si="1050"/>
        <v>4.6046347841867104E-4</v>
      </c>
    </row>
    <row r="92" spans="1:3" x14ac:dyDescent="0.25">
      <c r="A92" s="1">
        <v>40609</v>
      </c>
      <c r="B92" s="2">
        <v>5463.1499020000001</v>
      </c>
      <c r="C92" s="16">
        <f t="shared" si="1050"/>
        <v>-1.3743314992332799E-2</v>
      </c>
    </row>
    <row r="93" spans="1:3" x14ac:dyDescent="0.25">
      <c r="A93" s="1">
        <v>40610</v>
      </c>
      <c r="B93" s="2">
        <v>5520.7998049999997</v>
      </c>
      <c r="C93" s="16">
        <f t="shared" si="1050"/>
        <v>1.049721346405693E-2</v>
      </c>
    </row>
    <row r="94" spans="1:3" x14ac:dyDescent="0.25">
      <c r="A94" s="1">
        <v>40611</v>
      </c>
      <c r="B94" s="2">
        <v>5531</v>
      </c>
      <c r="C94" s="16">
        <f t="shared" si="1050"/>
        <v>1.8458890092546377E-3</v>
      </c>
    </row>
    <row r="95" spans="1:3" x14ac:dyDescent="0.25">
      <c r="A95" s="1">
        <v>40612</v>
      </c>
      <c r="B95" s="2">
        <v>5494.3999020000001</v>
      </c>
      <c r="C95" s="16">
        <f t="shared" si="1050"/>
        <v>-6.6392571278641932E-3</v>
      </c>
    </row>
    <row r="96" spans="1:3" x14ac:dyDescent="0.25">
      <c r="A96" s="1">
        <v>40613</v>
      </c>
      <c r="B96" s="2">
        <v>5445.4501950000003</v>
      </c>
      <c r="C96" s="16">
        <f t="shared" si="1050"/>
        <v>-8.9489404768207693E-3</v>
      </c>
    </row>
    <row r="97" spans="1:3" x14ac:dyDescent="0.25">
      <c r="A97" s="1">
        <v>40616</v>
      </c>
      <c r="B97" s="2">
        <v>5531.5</v>
      </c>
      <c r="C97" s="16">
        <f t="shared" si="1050"/>
        <v>1.5678593084972516E-2</v>
      </c>
    </row>
    <row r="98" spans="1:3" x14ac:dyDescent="0.25">
      <c r="A98" s="1">
        <v>40617</v>
      </c>
      <c r="B98" s="2">
        <v>5449.6499020000001</v>
      </c>
      <c r="C98" s="16">
        <f t="shared" si="1050"/>
        <v>-1.4907658046172686E-2</v>
      </c>
    </row>
    <row r="99" spans="1:3" x14ac:dyDescent="0.25">
      <c r="A99" s="1">
        <v>40618</v>
      </c>
      <c r="B99" s="2">
        <v>5511.1499020000001</v>
      </c>
      <c r="C99" s="16">
        <f t="shared" si="1050"/>
        <v>1.1221926592590052E-2</v>
      </c>
    </row>
    <row r="100" spans="1:3" x14ac:dyDescent="0.25">
      <c r="A100" s="1">
        <v>40619</v>
      </c>
      <c r="B100" s="2">
        <v>5446.6499020000001</v>
      </c>
      <c r="C100" s="16">
        <f t="shared" si="1050"/>
        <v>-1.177257224841197E-2</v>
      </c>
    </row>
    <row r="101" spans="1:3" x14ac:dyDescent="0.25">
      <c r="A101" s="1">
        <v>40620</v>
      </c>
      <c r="B101" s="2">
        <v>5373.7001950000003</v>
      </c>
      <c r="C101" s="16">
        <f t="shared" si="1050"/>
        <v>-1.3484002207337106E-2</v>
      </c>
    </row>
    <row r="102" spans="1:3" x14ac:dyDescent="0.25">
      <c r="A102" s="1">
        <v>40623</v>
      </c>
      <c r="B102" s="2">
        <v>5364.75</v>
      </c>
      <c r="C102" s="16">
        <f t="shared" si="1050"/>
        <v>-1.666943909030949E-3</v>
      </c>
    </row>
    <row r="103" spans="1:3" x14ac:dyDescent="0.25">
      <c r="A103" s="1">
        <v>40624</v>
      </c>
      <c r="B103" s="2">
        <v>5413.8500979999999</v>
      </c>
      <c r="C103" s="16">
        <f t="shared" si="1050"/>
        <v>9.1107262880037263E-3</v>
      </c>
    </row>
    <row r="104" spans="1:3" x14ac:dyDescent="0.25">
      <c r="A104" s="1">
        <v>40625</v>
      </c>
      <c r="B104" s="2">
        <v>5480.25</v>
      </c>
      <c r="C104" s="16">
        <f t="shared" si="1050"/>
        <v>1.2190217394830231E-2</v>
      </c>
    </row>
    <row r="105" spans="1:3" x14ac:dyDescent="0.25">
      <c r="A105" s="1">
        <v>40626</v>
      </c>
      <c r="B105" s="2">
        <v>5522.3999020000001</v>
      </c>
      <c r="C105" s="16">
        <f t="shared" si="1050"/>
        <v>7.6618103039211814E-3</v>
      </c>
    </row>
    <row r="106" spans="1:3" x14ac:dyDescent="0.25">
      <c r="A106" s="1">
        <v>40627</v>
      </c>
      <c r="B106" s="2">
        <v>5654.25</v>
      </c>
      <c r="C106" s="16">
        <f t="shared" si="1050"/>
        <v>2.3594944116562835E-2</v>
      </c>
    </row>
    <row r="107" spans="1:3" x14ac:dyDescent="0.25">
      <c r="A107" s="1">
        <v>40630</v>
      </c>
      <c r="B107" s="2">
        <v>5687.25</v>
      </c>
      <c r="C107" s="16">
        <f t="shared" si="1050"/>
        <v>5.819352489233676E-3</v>
      </c>
    </row>
    <row r="108" spans="1:3" x14ac:dyDescent="0.25">
      <c r="A108" s="1">
        <v>40631</v>
      </c>
      <c r="B108" s="2">
        <v>5736.3500979999999</v>
      </c>
      <c r="C108" s="16">
        <f t="shared" si="1050"/>
        <v>8.5963093839072184E-3</v>
      </c>
    </row>
    <row r="109" spans="1:3" x14ac:dyDescent="0.25">
      <c r="A109" s="1">
        <v>40632</v>
      </c>
      <c r="B109" s="2">
        <v>5787.6499020000001</v>
      </c>
      <c r="C109" s="16">
        <f t="shared" si="1050"/>
        <v>8.9031834195232723E-3</v>
      </c>
    </row>
    <row r="110" spans="1:3" x14ac:dyDescent="0.25">
      <c r="A110" s="1">
        <v>40633</v>
      </c>
      <c r="B110" s="2">
        <v>5833.75</v>
      </c>
      <c r="C110" s="16">
        <f t="shared" si="1050"/>
        <v>7.9336982114402276E-3</v>
      </c>
    </row>
    <row r="111" spans="1:3" x14ac:dyDescent="0.25">
      <c r="A111" s="1">
        <v>40634</v>
      </c>
      <c r="B111" s="2">
        <v>5826.0498049999997</v>
      </c>
      <c r="C111" s="16">
        <f t="shared" si="1050"/>
        <v>-1.3208110341896397E-3</v>
      </c>
    </row>
    <row r="112" spans="1:3" x14ac:dyDescent="0.25">
      <c r="A112" s="1">
        <v>40637</v>
      </c>
      <c r="B112" s="2">
        <v>5908.4501950000003</v>
      </c>
      <c r="C112" s="16">
        <f t="shared" si="1050"/>
        <v>1.404435543230749E-2</v>
      </c>
    </row>
    <row r="113" spans="1:3" x14ac:dyDescent="0.25">
      <c r="A113" s="1">
        <v>40638</v>
      </c>
      <c r="B113" s="2">
        <v>5910.0498049999997</v>
      </c>
      <c r="C113" s="16">
        <f t="shared" si="1050"/>
        <v>2.7069594445437863E-4</v>
      </c>
    </row>
    <row r="114" spans="1:3" x14ac:dyDescent="0.25">
      <c r="A114" s="1">
        <v>40639</v>
      </c>
      <c r="B114" s="2">
        <v>5891.75</v>
      </c>
      <c r="C114" s="16">
        <f t="shared" si="1050"/>
        <v>-3.1011913383929934E-3</v>
      </c>
    </row>
    <row r="115" spans="1:3" x14ac:dyDescent="0.25">
      <c r="A115" s="1">
        <v>40640</v>
      </c>
      <c r="B115" s="2">
        <v>5885.7001950000003</v>
      </c>
      <c r="C115" s="16">
        <f t="shared" si="1050"/>
        <v>-1.0273540421638317E-3</v>
      </c>
    </row>
    <row r="116" spans="1:3" x14ac:dyDescent="0.25">
      <c r="A116" s="1">
        <v>40641</v>
      </c>
      <c r="B116" s="2">
        <v>5842</v>
      </c>
      <c r="C116" s="16">
        <f t="shared" si="1050"/>
        <v>-7.452509278354464E-3</v>
      </c>
    </row>
    <row r="117" spans="1:3" x14ac:dyDescent="0.25">
      <c r="A117" s="1">
        <v>40644</v>
      </c>
      <c r="B117" s="2">
        <v>5785.7001950000003</v>
      </c>
      <c r="C117" s="16">
        <f t="shared" si="1050"/>
        <v>-9.6838143434334958E-3</v>
      </c>
    </row>
    <row r="118" spans="1:3" x14ac:dyDescent="0.25">
      <c r="A118" s="1">
        <v>40646</v>
      </c>
      <c r="B118" s="2">
        <v>5911.5</v>
      </c>
      <c r="C118" s="16">
        <f t="shared" si="1050"/>
        <v>2.1510216698915313E-2</v>
      </c>
    </row>
    <row r="119" spans="1:3" x14ac:dyDescent="0.25">
      <c r="A119" s="1">
        <v>40648</v>
      </c>
      <c r="B119" s="2">
        <v>5824.5498049999997</v>
      </c>
      <c r="C119" s="16">
        <f t="shared" si="1050"/>
        <v>-1.4817896551316288E-2</v>
      </c>
    </row>
    <row r="120" spans="1:3" x14ac:dyDescent="0.25">
      <c r="A120" s="1">
        <v>40651</v>
      </c>
      <c r="B120" s="2">
        <v>5729.1000979999999</v>
      </c>
      <c r="C120" s="16">
        <f t="shared" si="1050"/>
        <v>-1.6523242336720333E-2</v>
      </c>
    </row>
    <row r="121" spans="1:3" x14ac:dyDescent="0.25">
      <c r="A121" s="1">
        <v>40652</v>
      </c>
      <c r="B121" s="2">
        <v>5740.75</v>
      </c>
      <c r="C121" s="16">
        <f t="shared" si="1050"/>
        <v>2.0313963838482114E-3</v>
      </c>
    </row>
    <row r="122" spans="1:3" x14ac:dyDescent="0.25">
      <c r="A122" s="1">
        <v>40653</v>
      </c>
      <c r="B122" s="2">
        <v>5851.6499020000001</v>
      </c>
      <c r="C122" s="16">
        <f t="shared" si="1050"/>
        <v>1.9133792192575442E-2</v>
      </c>
    </row>
    <row r="123" spans="1:3" x14ac:dyDescent="0.25">
      <c r="A123" s="1">
        <v>40654</v>
      </c>
      <c r="B123" s="2">
        <v>5884.7001950000003</v>
      </c>
      <c r="C123" s="16">
        <f t="shared" si="1050"/>
        <v>5.6321394799026502E-3</v>
      </c>
    </row>
    <row r="124" spans="1:3" x14ac:dyDescent="0.25">
      <c r="A124" s="1">
        <v>40658</v>
      </c>
      <c r="B124" s="2">
        <v>5874.5</v>
      </c>
      <c r="C124" s="16">
        <f t="shared" si="1050"/>
        <v>-1.7348454638304374E-3</v>
      </c>
    </row>
    <row r="125" spans="1:3" x14ac:dyDescent="0.25">
      <c r="A125" s="1">
        <v>40659</v>
      </c>
      <c r="B125" s="2">
        <v>5868.3999020000001</v>
      </c>
      <c r="C125" s="16">
        <f t="shared" si="1050"/>
        <v>-1.0389424417498717E-3</v>
      </c>
    </row>
    <row r="126" spans="1:3" x14ac:dyDescent="0.25">
      <c r="A126" s="1">
        <v>40660</v>
      </c>
      <c r="B126" s="2">
        <v>5833.8999020000001</v>
      </c>
      <c r="C126" s="16">
        <f t="shared" si="1050"/>
        <v>-5.8962939816688048E-3</v>
      </c>
    </row>
    <row r="127" spans="1:3" x14ac:dyDescent="0.25">
      <c r="A127" s="1">
        <v>40661</v>
      </c>
      <c r="B127" s="2">
        <v>5785.4501950000003</v>
      </c>
      <c r="C127" s="16">
        <f t="shared" si="1050"/>
        <v>-8.339534895311999E-3</v>
      </c>
    </row>
    <row r="128" spans="1:3" x14ac:dyDescent="0.25">
      <c r="A128" s="1">
        <v>40662</v>
      </c>
      <c r="B128" s="2">
        <v>5749.5</v>
      </c>
      <c r="C128" s="16">
        <f t="shared" si="1050"/>
        <v>-6.2332842001770203E-3</v>
      </c>
    </row>
    <row r="129" spans="1:3" x14ac:dyDescent="0.25">
      <c r="A129" s="1">
        <v>40665</v>
      </c>
      <c r="B129" s="2">
        <v>5701.2998049999997</v>
      </c>
      <c r="C129" s="16">
        <f t="shared" si="1050"/>
        <v>-8.4187096974144508E-3</v>
      </c>
    </row>
    <row r="130" spans="1:3" x14ac:dyDescent="0.25">
      <c r="A130" s="1">
        <v>40666</v>
      </c>
      <c r="B130" s="2">
        <v>5565.25</v>
      </c>
      <c r="C130" s="16">
        <f t="shared" si="1050"/>
        <v>-2.4152277460866664E-2</v>
      </c>
    </row>
    <row r="131" spans="1:3" x14ac:dyDescent="0.25">
      <c r="A131" s="1">
        <v>40667</v>
      </c>
      <c r="B131" s="2">
        <v>5537.1499020000001</v>
      </c>
      <c r="C131" s="16">
        <f t="shared" si="1050"/>
        <v>-5.0619970908369416E-3</v>
      </c>
    </row>
    <row r="132" spans="1:3" x14ac:dyDescent="0.25">
      <c r="A132" s="1">
        <v>40668</v>
      </c>
      <c r="B132" s="2">
        <v>5459.8500979999999</v>
      </c>
      <c r="C132" s="16">
        <f t="shared" ref="C132:C195" si="1051">LN(B132/B131)</f>
        <v>-1.4058575456289314E-2</v>
      </c>
    </row>
    <row r="133" spans="1:3" x14ac:dyDescent="0.25">
      <c r="A133" s="1">
        <v>40669</v>
      </c>
      <c r="B133" s="2">
        <v>5551.4501950000003</v>
      </c>
      <c r="C133" s="16">
        <f t="shared" si="1051"/>
        <v>1.6637855221606622E-2</v>
      </c>
    </row>
    <row r="134" spans="1:3" x14ac:dyDescent="0.25">
      <c r="A134" s="1">
        <v>40672</v>
      </c>
      <c r="B134" s="2">
        <v>5551.1000979999999</v>
      </c>
      <c r="C134" s="16">
        <f t="shared" si="1051"/>
        <v>-6.3066050749988625E-5</v>
      </c>
    </row>
    <row r="135" spans="1:3" x14ac:dyDescent="0.25">
      <c r="A135" s="1">
        <v>40673</v>
      </c>
      <c r="B135" s="2">
        <v>5541.25</v>
      </c>
      <c r="C135" s="16">
        <f t="shared" si="1051"/>
        <v>-1.7760168949055852E-3</v>
      </c>
    </row>
    <row r="136" spans="1:3" x14ac:dyDescent="0.25">
      <c r="A136" s="1">
        <v>40674</v>
      </c>
      <c r="B136" s="2">
        <v>5565.0498049999997</v>
      </c>
      <c r="C136" s="16">
        <f t="shared" si="1051"/>
        <v>4.2858272958682846E-3</v>
      </c>
    </row>
    <row r="137" spans="1:3" x14ac:dyDescent="0.25">
      <c r="A137" s="1">
        <v>40675</v>
      </c>
      <c r="B137" s="2">
        <v>5486.1499020000001</v>
      </c>
      <c r="C137" s="16">
        <f t="shared" si="1051"/>
        <v>-1.42792177686217E-2</v>
      </c>
    </row>
    <row r="138" spans="1:3" x14ac:dyDescent="0.25">
      <c r="A138" s="1">
        <v>40676</v>
      </c>
      <c r="B138" s="2">
        <v>5544.75</v>
      </c>
      <c r="C138" s="16">
        <f t="shared" si="1051"/>
        <v>1.0624817518809226E-2</v>
      </c>
    </row>
    <row r="139" spans="1:3" x14ac:dyDescent="0.25">
      <c r="A139" s="1">
        <v>40679</v>
      </c>
      <c r="B139" s="2">
        <v>5499</v>
      </c>
      <c r="C139" s="16">
        <f t="shared" si="1051"/>
        <v>-8.2852765975044464E-3</v>
      </c>
    </row>
    <row r="140" spans="1:3" x14ac:dyDescent="0.25">
      <c r="A140" s="1">
        <v>40680</v>
      </c>
      <c r="B140" s="2">
        <v>5438.9501950000003</v>
      </c>
      <c r="C140" s="16">
        <f t="shared" si="1051"/>
        <v>-1.0980194140936577E-2</v>
      </c>
    </row>
    <row r="141" spans="1:3" x14ac:dyDescent="0.25">
      <c r="A141" s="1">
        <v>40681</v>
      </c>
      <c r="B141" s="2">
        <v>5420.6000979999999</v>
      </c>
      <c r="C141" s="16">
        <f t="shared" si="1051"/>
        <v>-3.379534873911268E-3</v>
      </c>
    </row>
    <row r="142" spans="1:3" x14ac:dyDescent="0.25">
      <c r="A142" s="1">
        <v>40682</v>
      </c>
      <c r="B142" s="2">
        <v>5428.1000979999999</v>
      </c>
      <c r="C142" s="16">
        <f t="shared" si="1051"/>
        <v>1.3826543381849552E-3</v>
      </c>
    </row>
    <row r="143" spans="1:3" x14ac:dyDescent="0.25">
      <c r="A143" s="1">
        <v>40683</v>
      </c>
      <c r="B143" s="2">
        <v>5486.3500979999999</v>
      </c>
      <c r="C143" s="16">
        <f t="shared" si="1051"/>
        <v>1.0674024254336851E-2</v>
      </c>
    </row>
    <row r="144" spans="1:3" x14ac:dyDescent="0.25">
      <c r="A144" s="1">
        <v>40686</v>
      </c>
      <c r="B144" s="2">
        <v>5386.5498049999997</v>
      </c>
      <c r="C144" s="16">
        <f t="shared" si="1051"/>
        <v>-1.8358137530180133E-2</v>
      </c>
    </row>
    <row r="145" spans="1:3" x14ac:dyDescent="0.25">
      <c r="A145" s="1">
        <v>40687</v>
      </c>
      <c r="B145" s="2">
        <v>5394.8500979999999</v>
      </c>
      <c r="C145" s="16">
        <f t="shared" si="1051"/>
        <v>1.5397433940946713E-3</v>
      </c>
    </row>
    <row r="146" spans="1:3" x14ac:dyDescent="0.25">
      <c r="A146" s="1">
        <v>40688</v>
      </c>
      <c r="B146" s="2">
        <v>5348.9501950000003</v>
      </c>
      <c r="C146" s="16">
        <f t="shared" si="1051"/>
        <v>-8.5444965476855535E-3</v>
      </c>
    </row>
    <row r="147" spans="1:3" x14ac:dyDescent="0.25">
      <c r="A147" s="1">
        <v>40689</v>
      </c>
      <c r="B147" s="2">
        <v>5412.3500979999999</v>
      </c>
      <c r="C147" s="16">
        <f t="shared" si="1051"/>
        <v>1.1783081005869335E-2</v>
      </c>
    </row>
    <row r="148" spans="1:3" x14ac:dyDescent="0.25">
      <c r="A148" s="1">
        <v>40690</v>
      </c>
      <c r="B148" s="2">
        <v>5476.1000979999999</v>
      </c>
      <c r="C148" s="16">
        <f t="shared" si="1051"/>
        <v>1.1709789234709091E-2</v>
      </c>
    </row>
    <row r="149" spans="1:3" x14ac:dyDescent="0.25">
      <c r="A149" s="1">
        <v>40693</v>
      </c>
      <c r="B149" s="2">
        <v>5473.1000979999999</v>
      </c>
      <c r="C149" s="16">
        <f t="shared" si="1051"/>
        <v>-5.4798524483426307E-4</v>
      </c>
    </row>
    <row r="150" spans="1:3" x14ac:dyDescent="0.25">
      <c r="A150" s="1">
        <v>40695</v>
      </c>
      <c r="B150" s="2">
        <v>5592</v>
      </c>
      <c r="C150" s="16">
        <f t="shared" si="1051"/>
        <v>2.1491803516184443E-2</v>
      </c>
    </row>
    <row r="151" spans="1:3" x14ac:dyDescent="0.25">
      <c r="A151" s="1">
        <v>40696</v>
      </c>
      <c r="B151" s="2">
        <v>5550.3500979999999</v>
      </c>
      <c r="C151" s="16">
        <f t="shared" si="1051"/>
        <v>-7.4759984419503229E-3</v>
      </c>
    </row>
    <row r="152" spans="1:3" x14ac:dyDescent="0.25">
      <c r="A152" s="1">
        <v>40697</v>
      </c>
      <c r="B152" s="2">
        <v>5516.75</v>
      </c>
      <c r="C152" s="16">
        <f t="shared" si="1051"/>
        <v>-6.0720877085058897E-3</v>
      </c>
    </row>
    <row r="153" spans="1:3" x14ac:dyDescent="0.25">
      <c r="A153" s="1">
        <v>40700</v>
      </c>
      <c r="B153" s="2">
        <v>5532.0498049999997</v>
      </c>
      <c r="C153" s="16">
        <f t="shared" si="1051"/>
        <v>2.7694980539609781E-3</v>
      </c>
    </row>
    <row r="154" spans="1:3" x14ac:dyDescent="0.25">
      <c r="A154" s="1">
        <v>40701</v>
      </c>
      <c r="B154" s="2">
        <v>5556.1499020000001</v>
      </c>
      <c r="C154" s="16">
        <f t="shared" si="1051"/>
        <v>4.3469878947081852E-3</v>
      </c>
    </row>
    <row r="155" spans="1:3" x14ac:dyDescent="0.25">
      <c r="A155" s="1">
        <v>40702</v>
      </c>
      <c r="B155" s="2">
        <v>5526.8500979999999</v>
      </c>
      <c r="C155" s="16">
        <f t="shared" si="1051"/>
        <v>-5.287354012274639E-3</v>
      </c>
    </row>
    <row r="156" spans="1:3" x14ac:dyDescent="0.25">
      <c r="A156" s="1">
        <v>40703</v>
      </c>
      <c r="B156" s="2">
        <v>5521.0498049999997</v>
      </c>
      <c r="C156" s="16">
        <f t="shared" si="1051"/>
        <v>-1.0500264455426316E-3</v>
      </c>
    </row>
    <row r="157" spans="1:3" x14ac:dyDescent="0.25">
      <c r="A157" s="1">
        <v>40704</v>
      </c>
      <c r="B157" s="2">
        <v>5485.7998049999997</v>
      </c>
      <c r="C157" s="16">
        <f t="shared" si="1051"/>
        <v>-6.4051244019263376E-3</v>
      </c>
    </row>
    <row r="158" spans="1:3" x14ac:dyDescent="0.25">
      <c r="A158" s="1">
        <v>40707</v>
      </c>
      <c r="B158" s="2">
        <v>5482.7998049999997</v>
      </c>
      <c r="C158" s="16">
        <f t="shared" si="1051"/>
        <v>-5.470160606594924E-4</v>
      </c>
    </row>
    <row r="159" spans="1:3" x14ac:dyDescent="0.25">
      <c r="A159" s="1">
        <v>40708</v>
      </c>
      <c r="B159" s="2">
        <v>5500.5</v>
      </c>
      <c r="C159" s="16">
        <f t="shared" si="1051"/>
        <v>3.2231133880343005E-3</v>
      </c>
    </row>
    <row r="160" spans="1:3" x14ac:dyDescent="0.25">
      <c r="A160" s="1">
        <v>40709</v>
      </c>
      <c r="B160" s="2">
        <v>5447.5</v>
      </c>
      <c r="C160" s="16">
        <f t="shared" si="1051"/>
        <v>-9.6822093607154096E-3</v>
      </c>
    </row>
    <row r="161" spans="1:3" x14ac:dyDescent="0.25">
      <c r="A161" s="1">
        <v>40710</v>
      </c>
      <c r="B161" s="2">
        <v>5396.75</v>
      </c>
      <c r="C161" s="16">
        <f t="shared" si="1051"/>
        <v>-9.3598673037883946E-3</v>
      </c>
    </row>
    <row r="162" spans="1:3" x14ac:dyDescent="0.25">
      <c r="A162" s="1">
        <v>40711</v>
      </c>
      <c r="B162" s="2">
        <v>5366.3999020000001</v>
      </c>
      <c r="C162" s="16">
        <f t="shared" si="1051"/>
        <v>-5.6396461478739586E-3</v>
      </c>
    </row>
    <row r="163" spans="1:3" x14ac:dyDescent="0.25">
      <c r="A163" s="1">
        <v>40714</v>
      </c>
      <c r="B163" s="2">
        <v>5257.8999020000001</v>
      </c>
      <c r="C163" s="16">
        <f t="shared" si="1051"/>
        <v>-2.0425585535028268E-2</v>
      </c>
    </row>
    <row r="164" spans="1:3" x14ac:dyDescent="0.25">
      <c r="A164" s="1">
        <v>40715</v>
      </c>
      <c r="B164" s="2">
        <v>5275.8500979999999</v>
      </c>
      <c r="C164" s="16">
        <f t="shared" si="1051"/>
        <v>3.4081335469040397E-3</v>
      </c>
    </row>
    <row r="165" spans="1:3" x14ac:dyDescent="0.25">
      <c r="A165" s="1">
        <v>40716</v>
      </c>
      <c r="B165" s="2">
        <v>5278.2998049999997</v>
      </c>
      <c r="C165" s="16">
        <f t="shared" si="1051"/>
        <v>4.6421683726421606E-4</v>
      </c>
    </row>
    <row r="166" spans="1:3" x14ac:dyDescent="0.25">
      <c r="A166" s="1">
        <v>40717</v>
      </c>
      <c r="B166" s="2">
        <v>5320</v>
      </c>
      <c r="C166" s="16">
        <f t="shared" si="1051"/>
        <v>7.8692641194374954E-3</v>
      </c>
    </row>
    <row r="167" spans="1:3" x14ac:dyDescent="0.25">
      <c r="A167" s="1">
        <v>40718</v>
      </c>
      <c r="B167" s="2">
        <v>5471.25</v>
      </c>
      <c r="C167" s="16">
        <f t="shared" si="1051"/>
        <v>2.8033806169414976E-2</v>
      </c>
    </row>
    <row r="168" spans="1:3" x14ac:dyDescent="0.25">
      <c r="A168" s="1">
        <v>40721</v>
      </c>
      <c r="B168" s="2">
        <v>5526.6000979999999</v>
      </c>
      <c r="C168" s="16">
        <f t="shared" si="1051"/>
        <v>1.0065706449560974E-2</v>
      </c>
    </row>
    <row r="169" spans="1:3" x14ac:dyDescent="0.25">
      <c r="A169" s="1">
        <v>40722</v>
      </c>
      <c r="B169" s="2">
        <v>5545.2998049999997</v>
      </c>
      <c r="C169" s="16">
        <f t="shared" si="1051"/>
        <v>3.3778709966937716E-3</v>
      </c>
    </row>
    <row r="170" spans="1:3" x14ac:dyDescent="0.25">
      <c r="A170" s="1">
        <v>40723</v>
      </c>
      <c r="B170" s="2">
        <v>5600.4501950000003</v>
      </c>
      <c r="C170" s="16">
        <f t="shared" si="1051"/>
        <v>9.8962995049055869E-3</v>
      </c>
    </row>
    <row r="171" spans="1:3" x14ac:dyDescent="0.25">
      <c r="A171" s="1">
        <v>40724</v>
      </c>
      <c r="B171" s="2">
        <v>5647.3999020000001</v>
      </c>
      <c r="C171" s="16">
        <f t="shared" si="1051"/>
        <v>8.348258426026536E-3</v>
      </c>
    </row>
    <row r="172" spans="1:3" x14ac:dyDescent="0.25">
      <c r="A172" s="1">
        <v>40725</v>
      </c>
      <c r="B172" s="2">
        <v>5627.2001950000003</v>
      </c>
      <c r="C172" s="16">
        <f t="shared" si="1051"/>
        <v>-3.5832275094612558E-3</v>
      </c>
    </row>
    <row r="173" spans="1:3" x14ac:dyDescent="0.25">
      <c r="A173" s="1">
        <v>40728</v>
      </c>
      <c r="B173" s="2">
        <v>5650.5</v>
      </c>
      <c r="C173" s="16">
        <f t="shared" si="1051"/>
        <v>4.1320194273746025E-3</v>
      </c>
    </row>
    <row r="174" spans="1:3" x14ac:dyDescent="0.25">
      <c r="A174" s="1">
        <v>40729</v>
      </c>
      <c r="B174" s="2">
        <v>5632.1000979999999</v>
      </c>
      <c r="C174" s="16">
        <f t="shared" si="1051"/>
        <v>-3.2616450378801067E-3</v>
      </c>
    </row>
    <row r="175" spans="1:3" x14ac:dyDescent="0.25">
      <c r="A175" s="1">
        <v>40730</v>
      </c>
      <c r="B175" s="2">
        <v>5625.4501950000003</v>
      </c>
      <c r="C175" s="16">
        <f t="shared" si="1051"/>
        <v>-1.1814122256407743E-3</v>
      </c>
    </row>
    <row r="176" spans="1:3" x14ac:dyDescent="0.25">
      <c r="A176" s="1">
        <v>40731</v>
      </c>
      <c r="B176" s="2">
        <v>5728.9501950000003</v>
      </c>
      <c r="C176" s="16">
        <f t="shared" si="1051"/>
        <v>1.8231322344839641E-2</v>
      </c>
    </row>
    <row r="177" spans="1:3" x14ac:dyDescent="0.25">
      <c r="A177" s="1">
        <v>40732</v>
      </c>
      <c r="B177" s="2">
        <v>5660.6499020000001</v>
      </c>
      <c r="C177" s="16">
        <f t="shared" si="1051"/>
        <v>-1.1993592601117448E-2</v>
      </c>
    </row>
    <row r="178" spans="1:3" x14ac:dyDescent="0.25">
      <c r="A178" s="1">
        <v>40735</v>
      </c>
      <c r="B178" s="2">
        <v>5616.1000979999999</v>
      </c>
      <c r="C178" s="16">
        <f t="shared" si="1051"/>
        <v>-7.9012190156515019E-3</v>
      </c>
    </row>
    <row r="179" spans="1:3" x14ac:dyDescent="0.25">
      <c r="A179" s="1">
        <v>40736</v>
      </c>
      <c r="B179" s="2">
        <v>5526.1499020000001</v>
      </c>
      <c r="C179" s="16">
        <f t="shared" si="1051"/>
        <v>-1.6146137475409664E-2</v>
      </c>
    </row>
    <row r="180" spans="1:3" x14ac:dyDescent="0.25">
      <c r="A180" s="1">
        <v>40737</v>
      </c>
      <c r="B180" s="2">
        <v>5585.4501950000003</v>
      </c>
      <c r="C180" s="16">
        <f t="shared" si="1051"/>
        <v>1.0673684343560599E-2</v>
      </c>
    </row>
    <row r="181" spans="1:3" x14ac:dyDescent="0.25">
      <c r="A181" s="1">
        <v>40738</v>
      </c>
      <c r="B181" s="2">
        <v>5512.2998049999997</v>
      </c>
      <c r="C181" s="16">
        <f t="shared" si="1051"/>
        <v>-1.3183113590554633E-2</v>
      </c>
    </row>
    <row r="182" spans="1:3" x14ac:dyDescent="0.25">
      <c r="A182" s="1">
        <v>40739</v>
      </c>
      <c r="B182" s="2">
        <v>5581.1000979999999</v>
      </c>
      <c r="C182" s="16">
        <f t="shared" si="1051"/>
        <v>1.2403983580674056E-2</v>
      </c>
    </row>
    <row r="183" spans="1:3" x14ac:dyDescent="0.25">
      <c r="A183" s="1">
        <v>40742</v>
      </c>
      <c r="B183" s="2">
        <v>5567.0498049999997</v>
      </c>
      <c r="C183" s="16">
        <f t="shared" si="1051"/>
        <v>-2.5206515092659212E-3</v>
      </c>
    </row>
    <row r="184" spans="1:3" x14ac:dyDescent="0.25">
      <c r="A184" s="1">
        <v>40743</v>
      </c>
      <c r="B184" s="2">
        <v>5613.5498049999997</v>
      </c>
      <c r="C184" s="16">
        <f t="shared" si="1051"/>
        <v>8.3180276069872924E-3</v>
      </c>
    </row>
    <row r="185" spans="1:3" x14ac:dyDescent="0.25">
      <c r="A185" s="1">
        <v>40744</v>
      </c>
      <c r="B185" s="2">
        <v>5567.0498049999997</v>
      </c>
      <c r="C185" s="16">
        <f t="shared" si="1051"/>
        <v>-8.3180276069873983E-3</v>
      </c>
    </row>
    <row r="186" spans="1:3" x14ac:dyDescent="0.25">
      <c r="A186" s="1">
        <v>40745</v>
      </c>
      <c r="B186" s="2">
        <v>5541.6000979999999</v>
      </c>
      <c r="C186" s="16">
        <f t="shared" si="1051"/>
        <v>-4.581970220941145E-3</v>
      </c>
    </row>
    <row r="187" spans="1:3" x14ac:dyDescent="0.25">
      <c r="A187" s="1">
        <v>40746</v>
      </c>
      <c r="B187" s="2">
        <v>5633.9501950000003</v>
      </c>
      <c r="C187" s="16">
        <f t="shared" si="1051"/>
        <v>1.6527543926328658E-2</v>
      </c>
    </row>
    <row r="188" spans="1:3" x14ac:dyDescent="0.25">
      <c r="A188" s="1">
        <v>40749</v>
      </c>
      <c r="B188" s="2">
        <v>5680.2998049999997</v>
      </c>
      <c r="C188" s="16">
        <f t="shared" si="1051"/>
        <v>8.1931845735217102E-3</v>
      </c>
    </row>
    <row r="189" spans="1:3" x14ac:dyDescent="0.25">
      <c r="A189" s="1">
        <v>40750</v>
      </c>
      <c r="B189" s="2">
        <v>5574.8500979999999</v>
      </c>
      <c r="C189" s="16">
        <f t="shared" si="1051"/>
        <v>-1.873858517696575E-2</v>
      </c>
    </row>
    <row r="190" spans="1:3" x14ac:dyDescent="0.25">
      <c r="A190" s="1">
        <v>40751</v>
      </c>
      <c r="B190" s="2">
        <v>5546.7998049999997</v>
      </c>
      <c r="C190" s="16">
        <f t="shared" si="1051"/>
        <v>-5.0442789913992953E-3</v>
      </c>
    </row>
    <row r="191" spans="1:3" x14ac:dyDescent="0.25">
      <c r="A191" s="1">
        <v>40752</v>
      </c>
      <c r="B191" s="2">
        <v>5487.75</v>
      </c>
      <c r="C191" s="16">
        <f t="shared" si="1051"/>
        <v>-1.0702814292054486E-2</v>
      </c>
    </row>
    <row r="192" spans="1:3" x14ac:dyDescent="0.25">
      <c r="A192" s="1">
        <v>40753</v>
      </c>
      <c r="B192" s="2">
        <v>5482</v>
      </c>
      <c r="C192" s="16">
        <f t="shared" si="1051"/>
        <v>-1.0483375695179318E-3</v>
      </c>
    </row>
    <row r="193" spans="1:3" x14ac:dyDescent="0.25">
      <c r="A193" s="1">
        <v>40756</v>
      </c>
      <c r="B193" s="2">
        <v>5516.7998049999997</v>
      </c>
      <c r="C193" s="16">
        <f t="shared" si="1051"/>
        <v>6.3279488200096877E-3</v>
      </c>
    </row>
    <row r="194" spans="1:3" x14ac:dyDescent="0.25">
      <c r="A194" s="1">
        <v>40757</v>
      </c>
      <c r="B194" s="2">
        <v>5456.5498049999997</v>
      </c>
      <c r="C194" s="16">
        <f t="shared" si="1051"/>
        <v>-1.0981260525326187E-2</v>
      </c>
    </row>
    <row r="195" spans="1:3" x14ac:dyDescent="0.25">
      <c r="A195" s="1">
        <v>40758</v>
      </c>
      <c r="B195" s="2">
        <v>5404.7998049999997</v>
      </c>
      <c r="C195" s="16">
        <f t="shared" si="1051"/>
        <v>-9.5292746229752659E-3</v>
      </c>
    </row>
    <row r="196" spans="1:3" x14ac:dyDescent="0.25">
      <c r="A196" s="1">
        <v>40759</v>
      </c>
      <c r="B196" s="2">
        <v>5331.7998049999997</v>
      </c>
      <c r="C196" s="16">
        <f t="shared" ref="C196:C259" si="1052">LN(B196/B195)</f>
        <v>-1.3598555889694127E-2</v>
      </c>
    </row>
    <row r="197" spans="1:3" x14ac:dyDescent="0.25">
      <c r="A197" s="1">
        <v>40760</v>
      </c>
      <c r="B197" s="2">
        <v>5211.25</v>
      </c>
      <c r="C197" s="16">
        <f t="shared" si="1052"/>
        <v>-2.2869105449738487E-2</v>
      </c>
    </row>
    <row r="198" spans="1:3" x14ac:dyDescent="0.25">
      <c r="A198" s="1">
        <v>40763</v>
      </c>
      <c r="B198" s="2">
        <v>5118.5</v>
      </c>
      <c r="C198" s="16">
        <f t="shared" si="1052"/>
        <v>-1.7958322835181201E-2</v>
      </c>
    </row>
    <row r="199" spans="1:3" x14ac:dyDescent="0.25">
      <c r="A199" s="1">
        <v>40764</v>
      </c>
      <c r="B199" s="2">
        <v>5072.8500979999999</v>
      </c>
      <c r="C199" s="16">
        <f t="shared" si="1052"/>
        <v>-8.9586182145369661E-3</v>
      </c>
    </row>
    <row r="200" spans="1:3" x14ac:dyDescent="0.25">
      <c r="A200" s="1">
        <v>40765</v>
      </c>
      <c r="B200" s="2">
        <v>5161</v>
      </c>
      <c r="C200" s="16">
        <f t="shared" si="1052"/>
        <v>1.7227550003438556E-2</v>
      </c>
    </row>
    <row r="201" spans="1:3" x14ac:dyDescent="0.25">
      <c r="A201" s="1">
        <v>40766</v>
      </c>
      <c r="B201" s="2">
        <v>5138.2998049999997</v>
      </c>
      <c r="C201" s="16">
        <f t="shared" si="1052"/>
        <v>-4.4081116557277734E-3</v>
      </c>
    </row>
    <row r="202" spans="1:3" x14ac:dyDescent="0.25">
      <c r="A202" s="1">
        <v>40767</v>
      </c>
      <c r="B202" s="2">
        <v>5072.9501950000003</v>
      </c>
      <c r="C202" s="16">
        <f t="shared" si="1052"/>
        <v>-1.2799706636635841E-2</v>
      </c>
    </row>
    <row r="203" spans="1:3" x14ac:dyDescent="0.25">
      <c r="A203" s="1">
        <v>40771</v>
      </c>
      <c r="B203" s="2">
        <v>5035.7998049999997</v>
      </c>
      <c r="C203" s="16">
        <f t="shared" si="1052"/>
        <v>-7.3501782622727389E-3</v>
      </c>
    </row>
    <row r="204" spans="1:3" x14ac:dyDescent="0.25">
      <c r="A204" s="1">
        <v>40772</v>
      </c>
      <c r="B204" s="2">
        <v>5056.6000979999999</v>
      </c>
      <c r="C204" s="16">
        <f t="shared" si="1052"/>
        <v>4.1219774584570368E-3</v>
      </c>
    </row>
    <row r="205" spans="1:3" x14ac:dyDescent="0.25">
      <c r="A205" s="1">
        <v>40773</v>
      </c>
      <c r="B205" s="2">
        <v>4944.1499020000001</v>
      </c>
      <c r="C205" s="16">
        <f t="shared" si="1052"/>
        <v>-2.2489300390843955E-2</v>
      </c>
    </row>
    <row r="206" spans="1:3" x14ac:dyDescent="0.25">
      <c r="A206" s="1">
        <v>40774</v>
      </c>
      <c r="B206" s="2">
        <v>4845.6499020000001</v>
      </c>
      <c r="C206" s="16">
        <f t="shared" si="1052"/>
        <v>-2.012366463293799E-2</v>
      </c>
    </row>
    <row r="207" spans="1:3" x14ac:dyDescent="0.25">
      <c r="A207" s="1">
        <v>40777</v>
      </c>
      <c r="B207" s="2">
        <v>4898.7998049999997</v>
      </c>
      <c r="C207" s="16">
        <f t="shared" si="1052"/>
        <v>1.0908862312698529E-2</v>
      </c>
    </row>
    <row r="208" spans="1:3" x14ac:dyDescent="0.25">
      <c r="A208" s="1">
        <v>40778</v>
      </c>
      <c r="B208" s="2">
        <v>4948.8999020000001</v>
      </c>
      <c r="C208" s="16">
        <f t="shared" si="1052"/>
        <v>1.0175072501651897E-2</v>
      </c>
    </row>
    <row r="209" spans="1:3" x14ac:dyDescent="0.25">
      <c r="A209" s="1">
        <v>40779</v>
      </c>
      <c r="B209" s="2">
        <v>4888.8999020000001</v>
      </c>
      <c r="C209" s="16">
        <f t="shared" si="1052"/>
        <v>-1.2198000599656891E-2</v>
      </c>
    </row>
    <row r="210" spans="1:3" x14ac:dyDescent="0.25">
      <c r="A210" s="1">
        <v>40780</v>
      </c>
      <c r="B210" s="2">
        <v>4839.6000979999999</v>
      </c>
      <c r="C210" s="16">
        <f t="shared" si="1052"/>
        <v>-1.0135216326529793E-2</v>
      </c>
    </row>
    <row r="211" spans="1:3" x14ac:dyDescent="0.25">
      <c r="A211" s="1">
        <v>40781</v>
      </c>
      <c r="B211" s="2">
        <v>4747.7998049999997</v>
      </c>
      <c r="C211" s="16">
        <f t="shared" si="1052"/>
        <v>-1.9150781145382392E-2</v>
      </c>
    </row>
    <row r="212" spans="1:3" x14ac:dyDescent="0.25">
      <c r="A212" s="1">
        <v>40784</v>
      </c>
      <c r="B212" s="2">
        <v>4919.6000979999999</v>
      </c>
      <c r="C212" s="16">
        <f t="shared" si="1052"/>
        <v>3.5545934517026319E-2</v>
      </c>
    </row>
    <row r="213" spans="1:3" x14ac:dyDescent="0.25">
      <c r="A213" s="1">
        <v>40785</v>
      </c>
      <c r="B213" s="2">
        <v>5001</v>
      </c>
      <c r="C213" s="16">
        <f t="shared" si="1052"/>
        <v>1.6410646130329765E-2</v>
      </c>
    </row>
    <row r="214" spans="1:3" x14ac:dyDescent="0.25">
      <c r="A214" s="1">
        <v>40788</v>
      </c>
      <c r="B214" s="2">
        <v>5040</v>
      </c>
      <c r="C214" s="16">
        <f t="shared" si="1052"/>
        <v>7.7681896465105439E-3</v>
      </c>
    </row>
    <row r="215" spans="1:3" x14ac:dyDescent="0.25">
      <c r="A215" s="1">
        <v>40791</v>
      </c>
      <c r="B215" s="2">
        <v>5017.2001950000003</v>
      </c>
      <c r="C215" s="16">
        <f t="shared" si="1052"/>
        <v>-4.5340340485953727E-3</v>
      </c>
    </row>
    <row r="216" spans="1:3" x14ac:dyDescent="0.25">
      <c r="A216" s="1">
        <v>40792</v>
      </c>
      <c r="B216" s="2">
        <v>5064.2998049999997</v>
      </c>
      <c r="C216" s="16">
        <f t="shared" si="1052"/>
        <v>9.3438382538051316E-3</v>
      </c>
    </row>
    <row r="217" spans="1:3" x14ac:dyDescent="0.25">
      <c r="A217" s="1">
        <v>40793</v>
      </c>
      <c r="B217" s="2">
        <v>5124.6499020000001</v>
      </c>
      <c r="C217" s="16">
        <f t="shared" si="1052"/>
        <v>1.1846324597749255E-2</v>
      </c>
    </row>
    <row r="218" spans="1:3" x14ac:dyDescent="0.25">
      <c r="A218" s="1">
        <v>40794</v>
      </c>
      <c r="B218" s="2">
        <v>5153.25</v>
      </c>
      <c r="C218" s="16">
        <f t="shared" si="1052"/>
        <v>5.5653727109216383E-3</v>
      </c>
    </row>
    <row r="219" spans="1:3" x14ac:dyDescent="0.25">
      <c r="A219" s="1">
        <v>40795</v>
      </c>
      <c r="B219" s="2">
        <v>5059.4501950000003</v>
      </c>
      <c r="C219" s="16">
        <f t="shared" si="1052"/>
        <v>-1.8369763316020131E-2</v>
      </c>
    </row>
    <row r="220" spans="1:3" x14ac:dyDescent="0.25">
      <c r="A220" s="1">
        <v>40798</v>
      </c>
      <c r="B220" s="2">
        <v>4946.7998049999997</v>
      </c>
      <c r="C220" s="16">
        <f t="shared" si="1052"/>
        <v>-2.2516956814796315E-2</v>
      </c>
    </row>
    <row r="221" spans="1:3" x14ac:dyDescent="0.25">
      <c r="A221" s="1">
        <v>40799</v>
      </c>
      <c r="B221" s="2">
        <v>4940.9501950000003</v>
      </c>
      <c r="C221" s="16">
        <f t="shared" si="1052"/>
        <v>-1.1832035968626997E-3</v>
      </c>
    </row>
    <row r="222" spans="1:3" x14ac:dyDescent="0.25">
      <c r="A222" s="1">
        <v>40800</v>
      </c>
      <c r="B222" s="2">
        <v>5012.5498049999997</v>
      </c>
      <c r="C222" s="16">
        <f t="shared" si="1052"/>
        <v>1.4387068873446424E-2</v>
      </c>
    </row>
    <row r="223" spans="1:3" x14ac:dyDescent="0.25">
      <c r="A223" s="1">
        <v>40801</v>
      </c>
      <c r="B223" s="2">
        <v>5075.7001950000003</v>
      </c>
      <c r="C223" s="16">
        <f t="shared" si="1052"/>
        <v>1.2519756126143674E-2</v>
      </c>
    </row>
    <row r="224" spans="1:3" x14ac:dyDescent="0.25">
      <c r="A224" s="1">
        <v>40802</v>
      </c>
      <c r="B224" s="2">
        <v>5084.25</v>
      </c>
      <c r="C224" s="16">
        <f t="shared" si="1052"/>
        <v>1.6830411279787081E-3</v>
      </c>
    </row>
    <row r="225" spans="1:3" x14ac:dyDescent="0.25">
      <c r="A225" s="1">
        <v>40805</v>
      </c>
      <c r="B225" s="2">
        <v>5031.9501950000003</v>
      </c>
      <c r="C225" s="16">
        <f t="shared" si="1052"/>
        <v>-1.0339904302898179E-2</v>
      </c>
    </row>
    <row r="226" spans="1:3" x14ac:dyDescent="0.25">
      <c r="A226" s="1">
        <v>40806</v>
      </c>
      <c r="B226" s="2">
        <v>5140.2001950000003</v>
      </c>
      <c r="C226" s="16">
        <f t="shared" si="1052"/>
        <v>2.128440545803325E-2</v>
      </c>
    </row>
    <row r="227" spans="1:3" x14ac:dyDescent="0.25">
      <c r="A227" s="1">
        <v>40807</v>
      </c>
      <c r="B227" s="2">
        <v>5133.25</v>
      </c>
      <c r="C227" s="16">
        <f t="shared" si="1052"/>
        <v>-1.3530402987116305E-3</v>
      </c>
    </row>
    <row r="228" spans="1:3" x14ac:dyDescent="0.25">
      <c r="A228" s="1">
        <v>40808</v>
      </c>
      <c r="B228" s="2">
        <v>4923.6499020000001</v>
      </c>
      <c r="C228" s="16">
        <f t="shared" si="1052"/>
        <v>-4.1688881383950896E-2</v>
      </c>
    </row>
    <row r="229" spans="1:3" x14ac:dyDescent="0.25">
      <c r="A229" s="1">
        <v>40809</v>
      </c>
      <c r="B229" s="2">
        <v>4867.75</v>
      </c>
      <c r="C229" s="16">
        <f t="shared" si="1052"/>
        <v>-1.1418287455926643E-2</v>
      </c>
    </row>
    <row r="230" spans="1:3" x14ac:dyDescent="0.25">
      <c r="A230" s="1">
        <v>40812</v>
      </c>
      <c r="B230" s="2">
        <v>4835.3999020000001</v>
      </c>
      <c r="C230" s="16">
        <f t="shared" si="1052"/>
        <v>-6.6679827044061127E-3</v>
      </c>
    </row>
    <row r="231" spans="1:3" x14ac:dyDescent="0.25">
      <c r="A231" s="1">
        <v>40813</v>
      </c>
      <c r="B231" s="2">
        <v>4971.25</v>
      </c>
      <c r="C231" s="16">
        <f t="shared" si="1052"/>
        <v>2.7707482230576109E-2</v>
      </c>
    </row>
    <row r="232" spans="1:3" x14ac:dyDescent="0.25">
      <c r="A232" s="1">
        <v>40814</v>
      </c>
      <c r="B232" s="2">
        <v>4945.8999020000001</v>
      </c>
      <c r="C232" s="16">
        <f t="shared" si="1052"/>
        <v>-5.112386817593793E-3</v>
      </c>
    </row>
    <row r="233" spans="1:3" x14ac:dyDescent="0.25">
      <c r="A233" s="1">
        <v>40815</v>
      </c>
      <c r="B233" s="2">
        <v>5015.4501950000003</v>
      </c>
      <c r="C233" s="16">
        <f t="shared" si="1052"/>
        <v>1.3964256353599E-2</v>
      </c>
    </row>
    <row r="234" spans="1:3" x14ac:dyDescent="0.25">
      <c r="A234" s="1">
        <v>40816</v>
      </c>
      <c r="B234" s="2">
        <v>4943.25</v>
      </c>
      <c r="C234" s="16">
        <f t="shared" si="1052"/>
        <v>-1.4500177456966681E-2</v>
      </c>
    </row>
    <row r="235" spans="1:3" x14ac:dyDescent="0.25">
      <c r="A235" s="1">
        <v>40819</v>
      </c>
      <c r="B235" s="2">
        <v>4849.5</v>
      </c>
      <c r="C235" s="16">
        <f t="shared" si="1052"/>
        <v>-1.9147402767341518E-2</v>
      </c>
    </row>
    <row r="236" spans="1:3" x14ac:dyDescent="0.25">
      <c r="A236" s="1">
        <v>40820</v>
      </c>
      <c r="B236" s="2">
        <v>4772.1499020000001</v>
      </c>
      <c r="C236" s="16">
        <f t="shared" si="1052"/>
        <v>-1.6078690284351729E-2</v>
      </c>
    </row>
    <row r="237" spans="1:3" x14ac:dyDescent="0.25">
      <c r="A237" s="1">
        <v>40821</v>
      </c>
      <c r="B237" s="2">
        <v>4751.2998049999997</v>
      </c>
      <c r="C237" s="16">
        <f t="shared" si="1052"/>
        <v>-4.3786927961242672E-3</v>
      </c>
    </row>
    <row r="238" spans="1:3" x14ac:dyDescent="0.25">
      <c r="A238" s="1">
        <v>40823</v>
      </c>
      <c r="B238" s="2">
        <v>4888.0498049999997</v>
      </c>
      <c r="C238" s="16">
        <f t="shared" si="1052"/>
        <v>2.8375187285352384E-2</v>
      </c>
    </row>
    <row r="239" spans="1:3" x14ac:dyDescent="0.25">
      <c r="A239" s="1">
        <v>40826</v>
      </c>
      <c r="B239" s="2">
        <v>4979.6000979999999</v>
      </c>
      <c r="C239" s="16">
        <f t="shared" si="1052"/>
        <v>1.8556175149452559E-2</v>
      </c>
    </row>
    <row r="240" spans="1:3" x14ac:dyDescent="0.25">
      <c r="A240" s="1">
        <v>40827</v>
      </c>
      <c r="B240" s="2">
        <v>4974.3500979999999</v>
      </c>
      <c r="C240" s="16">
        <f t="shared" si="1052"/>
        <v>-1.0548576963799793E-3</v>
      </c>
    </row>
    <row r="241" spans="1:3" x14ac:dyDescent="0.25">
      <c r="A241" s="1">
        <v>40828</v>
      </c>
      <c r="B241" s="2">
        <v>5099.3999020000001</v>
      </c>
      <c r="C241" s="16">
        <f t="shared" si="1052"/>
        <v>2.4828138023141919E-2</v>
      </c>
    </row>
    <row r="242" spans="1:3" x14ac:dyDescent="0.25">
      <c r="A242" s="1">
        <v>40829</v>
      </c>
      <c r="B242" s="2">
        <v>5077.8500979999999</v>
      </c>
      <c r="C242" s="16">
        <f t="shared" si="1052"/>
        <v>-4.2349035755053516E-3</v>
      </c>
    </row>
    <row r="243" spans="1:3" x14ac:dyDescent="0.25">
      <c r="A243" s="1">
        <v>40830</v>
      </c>
      <c r="B243" s="2">
        <v>5132.2998049999997</v>
      </c>
      <c r="C243" s="16">
        <f t="shared" si="1052"/>
        <v>1.0665900835164346E-2</v>
      </c>
    </row>
    <row r="244" spans="1:3" x14ac:dyDescent="0.25">
      <c r="A244" s="1">
        <v>40833</v>
      </c>
      <c r="B244" s="2">
        <v>5118.25</v>
      </c>
      <c r="C244" s="16">
        <f t="shared" si="1052"/>
        <v>-2.7412800416590694E-3</v>
      </c>
    </row>
    <row r="245" spans="1:3" x14ac:dyDescent="0.25">
      <c r="A245" s="1">
        <v>40834</v>
      </c>
      <c r="B245" s="2">
        <v>5037.5</v>
      </c>
      <c r="C245" s="16">
        <f t="shared" si="1052"/>
        <v>-1.5902656477749584E-2</v>
      </c>
    </row>
    <row r="246" spans="1:3" x14ac:dyDescent="0.25">
      <c r="A246" s="1">
        <v>40835</v>
      </c>
      <c r="B246" s="2">
        <v>5139.1499020000001</v>
      </c>
      <c r="C246" s="16">
        <f t="shared" si="1052"/>
        <v>1.9977749800097248E-2</v>
      </c>
    </row>
    <row r="247" spans="1:3" x14ac:dyDescent="0.25">
      <c r="A247" s="1">
        <v>40836</v>
      </c>
      <c r="B247" s="2">
        <v>5091.8999020000001</v>
      </c>
      <c r="C247" s="16">
        <f t="shared" si="1052"/>
        <v>-9.2366544656943255E-3</v>
      </c>
    </row>
    <row r="248" spans="1:3" x14ac:dyDescent="0.25">
      <c r="A248" s="1">
        <v>40837</v>
      </c>
      <c r="B248" s="2">
        <v>5049.9501950000003</v>
      </c>
      <c r="C248" s="16">
        <f t="shared" si="1052"/>
        <v>-8.2726417448069998E-3</v>
      </c>
    </row>
    <row r="249" spans="1:3" x14ac:dyDescent="0.25">
      <c r="A249" s="1">
        <v>40840</v>
      </c>
      <c r="B249" s="2">
        <v>5098.3500979999999</v>
      </c>
      <c r="C249" s="16">
        <f t="shared" si="1052"/>
        <v>9.5385963310920183E-3</v>
      </c>
    </row>
    <row r="250" spans="1:3" x14ac:dyDescent="0.25">
      <c r="A250" s="1">
        <v>40841</v>
      </c>
      <c r="B250" s="2">
        <v>5191.6000979999999</v>
      </c>
      <c r="C250" s="16">
        <f t="shared" si="1052"/>
        <v>1.8124976514624094E-2</v>
      </c>
    </row>
    <row r="251" spans="1:3" x14ac:dyDescent="0.25">
      <c r="A251" s="1">
        <v>40844</v>
      </c>
      <c r="B251" s="2">
        <v>5360.7001950000003</v>
      </c>
      <c r="C251" s="16">
        <f t="shared" si="1052"/>
        <v>3.2052646238320555E-2</v>
      </c>
    </row>
    <row r="252" spans="1:3" x14ac:dyDescent="0.25">
      <c r="A252" s="1">
        <v>40847</v>
      </c>
      <c r="B252" s="2">
        <v>5326.6000979999999</v>
      </c>
      <c r="C252" s="16">
        <f t="shared" si="1052"/>
        <v>-6.3814456010646368E-3</v>
      </c>
    </row>
    <row r="253" spans="1:3" x14ac:dyDescent="0.25">
      <c r="A253" s="1">
        <v>40848</v>
      </c>
      <c r="B253" s="2">
        <v>5257.9501950000003</v>
      </c>
      <c r="C253" s="16">
        <f t="shared" si="1052"/>
        <v>-1.2971900315329892E-2</v>
      </c>
    </row>
    <row r="254" spans="1:3" x14ac:dyDescent="0.25">
      <c r="A254" s="1">
        <v>40849</v>
      </c>
      <c r="B254" s="2">
        <v>5258.4501950000003</v>
      </c>
      <c r="C254" s="16">
        <f t="shared" si="1052"/>
        <v>9.5089570924418646E-5</v>
      </c>
    </row>
    <row r="255" spans="1:3" x14ac:dyDescent="0.25">
      <c r="A255" s="1">
        <v>40850</v>
      </c>
      <c r="B255" s="2">
        <v>5265.75</v>
      </c>
      <c r="C255" s="16">
        <f t="shared" si="1052"/>
        <v>1.3872419823671052E-3</v>
      </c>
    </row>
    <row r="256" spans="1:3" x14ac:dyDescent="0.25">
      <c r="A256" s="1">
        <v>40851</v>
      </c>
      <c r="B256" s="2">
        <v>5284.2001950000003</v>
      </c>
      <c r="C256" s="16">
        <f t="shared" si="1052"/>
        <v>3.497687376464189E-3</v>
      </c>
    </row>
    <row r="257" spans="1:3" x14ac:dyDescent="0.25">
      <c r="A257" s="1">
        <v>40855</v>
      </c>
      <c r="B257" s="2">
        <v>5289.3500979999999</v>
      </c>
      <c r="C257" s="16">
        <f t="shared" si="1052"/>
        <v>9.7411054272539786E-4</v>
      </c>
    </row>
    <row r="258" spans="1:3" x14ac:dyDescent="0.25">
      <c r="A258" s="1">
        <v>40856</v>
      </c>
      <c r="B258" s="2">
        <v>5221.0498049999997</v>
      </c>
      <c r="C258" s="16">
        <f t="shared" si="1052"/>
        <v>-1.299688975932886E-2</v>
      </c>
    </row>
    <row r="259" spans="1:3" x14ac:dyDescent="0.25">
      <c r="A259" s="1">
        <v>40858</v>
      </c>
      <c r="B259" s="2">
        <v>5168.8500979999999</v>
      </c>
      <c r="C259" s="16">
        <f t="shared" si="1052"/>
        <v>-1.0048248143264195E-2</v>
      </c>
    </row>
    <row r="260" spans="1:3" x14ac:dyDescent="0.25">
      <c r="A260" s="1">
        <v>40861</v>
      </c>
      <c r="B260" s="2">
        <v>5148.3500979999999</v>
      </c>
      <c r="C260" s="16">
        <f t="shared" ref="C260:C323" si="1053">LN(B260/B259)</f>
        <v>-3.9739515738850097E-3</v>
      </c>
    </row>
    <row r="261" spans="1:3" x14ac:dyDescent="0.25">
      <c r="A261" s="1">
        <v>40862</v>
      </c>
      <c r="B261" s="2">
        <v>5068.5</v>
      </c>
      <c r="C261" s="16">
        <f t="shared" si="1053"/>
        <v>-1.5631378185725235E-2</v>
      </c>
    </row>
    <row r="262" spans="1:3" x14ac:dyDescent="0.25">
      <c r="A262" s="1">
        <v>40863</v>
      </c>
      <c r="B262" s="2">
        <v>5030.4501950000003</v>
      </c>
      <c r="C262" s="16">
        <f t="shared" si="1053"/>
        <v>-7.535433745661786E-3</v>
      </c>
    </row>
    <row r="263" spans="1:3" x14ac:dyDescent="0.25">
      <c r="A263" s="1">
        <v>40864</v>
      </c>
      <c r="B263" s="2">
        <v>4934.75</v>
      </c>
      <c r="C263" s="16">
        <f t="shared" si="1053"/>
        <v>-1.9207469053695705E-2</v>
      </c>
    </row>
    <row r="264" spans="1:3" x14ac:dyDescent="0.25">
      <c r="A264" s="1">
        <v>40865</v>
      </c>
      <c r="B264" s="2">
        <v>4905.7998049999997</v>
      </c>
      <c r="C264" s="16">
        <f t="shared" si="1053"/>
        <v>-5.8838741929838154E-3</v>
      </c>
    </row>
    <row r="265" spans="1:3" x14ac:dyDescent="0.25">
      <c r="A265" s="1">
        <v>40868</v>
      </c>
      <c r="B265" s="2">
        <v>4778.3500979999999</v>
      </c>
      <c r="C265" s="16">
        <f t="shared" si="1053"/>
        <v>-2.6322819711148623E-2</v>
      </c>
    </row>
    <row r="266" spans="1:3" x14ac:dyDescent="0.25">
      <c r="A266" s="1">
        <v>40869</v>
      </c>
      <c r="B266" s="2">
        <v>4812.3500979999999</v>
      </c>
      <c r="C266" s="16">
        <f t="shared" si="1053"/>
        <v>7.0902315244192179E-3</v>
      </c>
    </row>
    <row r="267" spans="1:3" x14ac:dyDescent="0.25">
      <c r="A267" s="1">
        <v>40870</v>
      </c>
      <c r="B267" s="2">
        <v>4706.4501950000003</v>
      </c>
      <c r="C267" s="16">
        <f t="shared" si="1053"/>
        <v>-2.2251600885689844E-2</v>
      </c>
    </row>
    <row r="268" spans="1:3" x14ac:dyDescent="0.25">
      <c r="A268" s="1">
        <v>40872</v>
      </c>
      <c r="B268" s="2">
        <v>4710.0498049999997</v>
      </c>
      <c r="C268" s="16">
        <f t="shared" si="1053"/>
        <v>7.6453250684073936E-4</v>
      </c>
    </row>
    <row r="269" spans="1:3" x14ac:dyDescent="0.25">
      <c r="A269" s="1">
        <v>40875</v>
      </c>
      <c r="B269" s="2">
        <v>4851.2998049999997</v>
      </c>
      <c r="C269" s="16">
        <f t="shared" si="1053"/>
        <v>2.9548187792060962E-2</v>
      </c>
    </row>
    <row r="270" spans="1:3" x14ac:dyDescent="0.25">
      <c r="A270" s="1">
        <v>40876</v>
      </c>
      <c r="B270" s="2">
        <v>4805.1000979999999</v>
      </c>
      <c r="C270" s="16">
        <f t="shared" si="1053"/>
        <v>-9.5687958192387772E-3</v>
      </c>
    </row>
    <row r="271" spans="1:3" x14ac:dyDescent="0.25">
      <c r="A271" s="1">
        <v>40877</v>
      </c>
      <c r="B271" s="2">
        <v>4832.0498049999997</v>
      </c>
      <c r="C271" s="16">
        <f t="shared" si="1053"/>
        <v>5.592893650332941E-3</v>
      </c>
    </row>
    <row r="272" spans="1:3" x14ac:dyDescent="0.25">
      <c r="A272" s="1">
        <v>40878</v>
      </c>
      <c r="B272" s="2">
        <v>4936.8500979999999</v>
      </c>
      <c r="C272" s="16">
        <f t="shared" si="1053"/>
        <v>2.1456727936743178E-2</v>
      </c>
    </row>
    <row r="273" spans="1:3" x14ac:dyDescent="0.25">
      <c r="A273" s="1">
        <v>40879</v>
      </c>
      <c r="B273" s="2">
        <v>5050.1499020000001</v>
      </c>
      <c r="C273" s="16">
        <f t="shared" si="1053"/>
        <v>2.2690430568780857E-2</v>
      </c>
    </row>
    <row r="274" spans="1:3" x14ac:dyDescent="0.25">
      <c r="A274" s="1">
        <v>40882</v>
      </c>
      <c r="B274" s="2">
        <v>5039.1499020000001</v>
      </c>
      <c r="C274" s="16">
        <f t="shared" si="1053"/>
        <v>-2.1805287923189081E-3</v>
      </c>
    </row>
    <row r="275" spans="1:3" x14ac:dyDescent="0.25">
      <c r="A275" s="1">
        <v>40884</v>
      </c>
      <c r="B275" s="2">
        <v>5062.6000979999999</v>
      </c>
      <c r="C275" s="16">
        <f t="shared" si="1053"/>
        <v>4.6428070628721351E-3</v>
      </c>
    </row>
    <row r="276" spans="1:3" x14ac:dyDescent="0.25">
      <c r="A276" s="1">
        <v>40885</v>
      </c>
      <c r="B276" s="2">
        <v>4943.6499020000001</v>
      </c>
      <c r="C276" s="16">
        <f t="shared" si="1053"/>
        <v>-2.377629973584322E-2</v>
      </c>
    </row>
    <row r="277" spans="1:3" x14ac:dyDescent="0.25">
      <c r="A277" s="1">
        <v>40886</v>
      </c>
      <c r="B277" s="2">
        <v>4866.7001950000003</v>
      </c>
      <c r="C277" s="16">
        <f t="shared" si="1053"/>
        <v>-1.5687775539775465E-2</v>
      </c>
    </row>
    <row r="278" spans="1:3" x14ac:dyDescent="0.25">
      <c r="A278" s="1">
        <v>40889</v>
      </c>
      <c r="B278" s="2">
        <v>4764.6000979999999</v>
      </c>
      <c r="C278" s="16">
        <f t="shared" si="1053"/>
        <v>-2.1202520690569753E-2</v>
      </c>
    </row>
    <row r="279" spans="1:3" x14ac:dyDescent="0.25">
      <c r="A279" s="1">
        <v>40890</v>
      </c>
      <c r="B279" s="2">
        <v>4800.6000979999999</v>
      </c>
      <c r="C279" s="16">
        <f t="shared" si="1053"/>
        <v>7.5273218006695264E-3</v>
      </c>
    </row>
    <row r="280" spans="1:3" x14ac:dyDescent="0.25">
      <c r="A280" s="1">
        <v>40891</v>
      </c>
      <c r="B280" s="2">
        <v>4763.25</v>
      </c>
      <c r="C280" s="16">
        <f t="shared" si="1053"/>
        <v>-7.8107221470540512E-3</v>
      </c>
    </row>
    <row r="281" spans="1:3" x14ac:dyDescent="0.25">
      <c r="A281" s="1">
        <v>40892</v>
      </c>
      <c r="B281" s="2">
        <v>4746.3500979999999</v>
      </c>
      <c r="C281" s="16">
        <f t="shared" si="1053"/>
        <v>-3.5542861144816458E-3</v>
      </c>
    </row>
    <row r="282" spans="1:3" x14ac:dyDescent="0.25">
      <c r="A282" s="1">
        <v>40893</v>
      </c>
      <c r="B282" s="2">
        <v>4651.6000979999999</v>
      </c>
      <c r="C282" s="16">
        <f t="shared" si="1053"/>
        <v>-2.0164654749804705E-2</v>
      </c>
    </row>
    <row r="283" spans="1:3" x14ac:dyDescent="0.25">
      <c r="A283" s="1">
        <v>40896</v>
      </c>
      <c r="B283" s="2">
        <v>4613.1000979999999</v>
      </c>
      <c r="C283" s="16">
        <f t="shared" si="1053"/>
        <v>-8.3111640533018154E-3</v>
      </c>
    </row>
    <row r="284" spans="1:3" x14ac:dyDescent="0.25">
      <c r="A284" s="1">
        <v>40897</v>
      </c>
      <c r="B284" s="2">
        <v>4544.2001950000003</v>
      </c>
      <c r="C284" s="16">
        <f t="shared" si="1053"/>
        <v>-1.5048366004859873E-2</v>
      </c>
    </row>
    <row r="285" spans="1:3" x14ac:dyDescent="0.25">
      <c r="A285" s="1">
        <v>40898</v>
      </c>
      <c r="B285" s="2">
        <v>4693.1499020000001</v>
      </c>
      <c r="C285" s="16">
        <f t="shared" si="1053"/>
        <v>3.2252240470720901E-2</v>
      </c>
    </row>
    <row r="286" spans="1:3" x14ac:dyDescent="0.25">
      <c r="A286" s="1">
        <v>40899</v>
      </c>
      <c r="B286" s="2">
        <v>4733.8500979999999</v>
      </c>
      <c r="C286" s="16">
        <f t="shared" si="1053"/>
        <v>8.6348676963527351E-3</v>
      </c>
    </row>
    <row r="287" spans="1:3" x14ac:dyDescent="0.25">
      <c r="A287" s="1">
        <v>40900</v>
      </c>
      <c r="B287" s="2">
        <v>4714</v>
      </c>
      <c r="C287" s="16">
        <f t="shared" si="1053"/>
        <v>-4.2020410997430369E-3</v>
      </c>
    </row>
    <row r="288" spans="1:3" x14ac:dyDescent="0.25">
      <c r="A288" s="1">
        <v>40904</v>
      </c>
      <c r="B288" s="2">
        <v>4750.5</v>
      </c>
      <c r="C288" s="16">
        <f t="shared" si="1053"/>
        <v>7.7130711507276493E-3</v>
      </c>
    </row>
    <row r="289" spans="1:3" x14ac:dyDescent="0.25">
      <c r="A289" s="1">
        <v>40905</v>
      </c>
      <c r="B289" s="2">
        <v>4705.7998049999997</v>
      </c>
      <c r="C289" s="16">
        <f t="shared" si="1053"/>
        <v>-9.454126638354465E-3</v>
      </c>
    </row>
    <row r="290" spans="1:3" x14ac:dyDescent="0.25">
      <c r="A290" s="1">
        <v>40906</v>
      </c>
      <c r="B290" s="2">
        <v>4646.25</v>
      </c>
      <c r="C290" s="16">
        <f t="shared" si="1053"/>
        <v>-1.2735306396987753E-2</v>
      </c>
    </row>
    <row r="291" spans="1:3" x14ac:dyDescent="0.25">
      <c r="A291" s="1">
        <v>40907</v>
      </c>
      <c r="B291" s="2">
        <v>4624.2998049999997</v>
      </c>
      <c r="C291" s="16">
        <f t="shared" si="1053"/>
        <v>-4.7354766396047092E-3</v>
      </c>
    </row>
    <row r="292" spans="1:3" x14ac:dyDescent="0.25">
      <c r="A292" s="1">
        <v>40911</v>
      </c>
      <c r="B292" s="2">
        <v>4765.2998049999997</v>
      </c>
      <c r="C292" s="16">
        <f t="shared" si="1053"/>
        <v>3.0035487290381649E-2</v>
      </c>
    </row>
    <row r="293" spans="1:3" x14ac:dyDescent="0.25">
      <c r="A293" s="1">
        <v>40912</v>
      </c>
      <c r="B293" s="2">
        <v>4749.6499020000001</v>
      </c>
      <c r="C293" s="16">
        <f t="shared" si="1053"/>
        <v>-3.2895427919925561E-3</v>
      </c>
    </row>
    <row r="294" spans="1:3" x14ac:dyDescent="0.25">
      <c r="A294" s="1">
        <v>40913</v>
      </c>
      <c r="B294" s="2">
        <v>4749.9501950000003</v>
      </c>
      <c r="C294" s="16">
        <f t="shared" si="1053"/>
        <v>6.3222240312102437E-5</v>
      </c>
    </row>
    <row r="295" spans="1:3" x14ac:dyDescent="0.25">
      <c r="A295" s="1">
        <v>40914</v>
      </c>
      <c r="B295" s="2">
        <v>4754.1000979999999</v>
      </c>
      <c r="C295" s="16">
        <f t="shared" si="1053"/>
        <v>8.7329152009971178E-4</v>
      </c>
    </row>
    <row r="296" spans="1:3" x14ac:dyDescent="0.25">
      <c r="A296" s="1">
        <v>40917</v>
      </c>
      <c r="B296" s="2">
        <v>4742.7998049999997</v>
      </c>
      <c r="C296" s="16">
        <f t="shared" si="1053"/>
        <v>-2.3797867616966958E-3</v>
      </c>
    </row>
    <row r="297" spans="1:3" x14ac:dyDescent="0.25">
      <c r="A297" s="1">
        <v>40918</v>
      </c>
      <c r="B297" s="2">
        <v>4849.5498049999997</v>
      </c>
      <c r="C297" s="16">
        <f t="shared" si="1053"/>
        <v>2.2258239442839875E-2</v>
      </c>
    </row>
    <row r="298" spans="1:3" x14ac:dyDescent="0.25">
      <c r="A298" s="1">
        <v>40919</v>
      </c>
      <c r="B298" s="2">
        <v>4860.9501950000003</v>
      </c>
      <c r="C298" s="16">
        <f t="shared" si="1053"/>
        <v>2.3480552469747531E-3</v>
      </c>
    </row>
    <row r="299" spans="1:3" x14ac:dyDescent="0.25">
      <c r="A299" s="1">
        <v>40920</v>
      </c>
      <c r="B299" s="2">
        <v>4831.25</v>
      </c>
      <c r="C299" s="16">
        <f t="shared" si="1053"/>
        <v>-6.128698823044113E-3</v>
      </c>
    </row>
    <row r="300" spans="1:3" x14ac:dyDescent="0.25">
      <c r="A300" s="1">
        <v>40921</v>
      </c>
      <c r="B300" s="2">
        <v>4866</v>
      </c>
      <c r="C300" s="16">
        <f t="shared" si="1053"/>
        <v>7.1670110077358545E-3</v>
      </c>
    </row>
    <row r="301" spans="1:3" x14ac:dyDescent="0.25">
      <c r="A301" s="1">
        <v>40924</v>
      </c>
      <c r="B301" s="2">
        <v>4873.8999020000001</v>
      </c>
      <c r="C301" s="16">
        <f t="shared" si="1053"/>
        <v>1.6221734949711118E-3</v>
      </c>
    </row>
    <row r="302" spans="1:3" x14ac:dyDescent="0.25">
      <c r="A302" s="1">
        <v>40925</v>
      </c>
      <c r="B302" s="2">
        <v>4967.2998049999997</v>
      </c>
      <c r="C302" s="16">
        <f t="shared" si="1053"/>
        <v>1.8981975819212123E-2</v>
      </c>
    </row>
    <row r="303" spans="1:3" x14ac:dyDescent="0.25">
      <c r="A303" s="1">
        <v>40926</v>
      </c>
      <c r="B303" s="2">
        <v>4955.7998049999997</v>
      </c>
      <c r="C303" s="16">
        <f t="shared" si="1053"/>
        <v>-2.3178251958446035E-3</v>
      </c>
    </row>
    <row r="304" spans="1:3" x14ac:dyDescent="0.25">
      <c r="A304" s="1">
        <v>40927</v>
      </c>
      <c r="B304" s="2">
        <v>5018.3999020000001</v>
      </c>
      <c r="C304" s="16">
        <f t="shared" si="1053"/>
        <v>1.2552569792590318E-2</v>
      </c>
    </row>
    <row r="305" spans="1:3" x14ac:dyDescent="0.25">
      <c r="A305" s="1">
        <v>40928</v>
      </c>
      <c r="B305" s="2">
        <v>5048.6000979999999</v>
      </c>
      <c r="C305" s="16">
        <f t="shared" si="1053"/>
        <v>5.9998582688492565E-3</v>
      </c>
    </row>
    <row r="306" spans="1:3" x14ac:dyDescent="0.25">
      <c r="A306" s="1">
        <v>40931</v>
      </c>
      <c r="B306" s="2">
        <v>5046.25</v>
      </c>
      <c r="C306" s="16">
        <f t="shared" si="1053"/>
        <v>-4.6560335609566205E-4</v>
      </c>
    </row>
    <row r="307" spans="1:3" x14ac:dyDescent="0.25">
      <c r="A307" s="1">
        <v>40932</v>
      </c>
      <c r="B307" s="2">
        <v>5127.3500979999999</v>
      </c>
      <c r="C307" s="16">
        <f t="shared" si="1053"/>
        <v>1.5943582442236707E-2</v>
      </c>
    </row>
    <row r="308" spans="1:3" x14ac:dyDescent="0.25">
      <c r="A308" s="1">
        <v>40933</v>
      </c>
      <c r="B308" s="2">
        <v>5158.2998049999997</v>
      </c>
      <c r="C308" s="16">
        <f t="shared" si="1053"/>
        <v>6.0180544157266442E-3</v>
      </c>
    </row>
    <row r="309" spans="1:3" x14ac:dyDescent="0.25">
      <c r="A309" s="1">
        <v>40935</v>
      </c>
      <c r="B309" s="2">
        <v>5204.7001950000003</v>
      </c>
      <c r="C309" s="16">
        <f t="shared" si="1053"/>
        <v>8.9550709414138417E-3</v>
      </c>
    </row>
    <row r="310" spans="1:3" x14ac:dyDescent="0.25">
      <c r="A310" s="1">
        <v>40938</v>
      </c>
      <c r="B310" s="2">
        <v>5087.2998049999997</v>
      </c>
      <c r="C310" s="16">
        <f t="shared" si="1053"/>
        <v>-2.2814901358473805E-2</v>
      </c>
    </row>
    <row r="311" spans="1:3" x14ac:dyDescent="0.25">
      <c r="A311" s="1">
        <v>40939</v>
      </c>
      <c r="B311" s="2">
        <v>5199.25</v>
      </c>
      <c r="C311" s="16">
        <f t="shared" si="1053"/>
        <v>2.1767184789976499E-2</v>
      </c>
    </row>
    <row r="312" spans="1:3" x14ac:dyDescent="0.25">
      <c r="A312" s="1">
        <v>40940</v>
      </c>
      <c r="B312" s="2">
        <v>5235.7001950000003</v>
      </c>
      <c r="C312" s="16">
        <f t="shared" si="1053"/>
        <v>6.9862035890739856E-3</v>
      </c>
    </row>
    <row r="313" spans="1:3" x14ac:dyDescent="0.25">
      <c r="A313" s="1">
        <v>40941</v>
      </c>
      <c r="B313" s="2">
        <v>5269.8999020000001</v>
      </c>
      <c r="C313" s="16">
        <f t="shared" si="1053"/>
        <v>6.5107804400230656E-3</v>
      </c>
    </row>
    <row r="314" spans="1:3" x14ac:dyDescent="0.25">
      <c r="A314" s="1">
        <v>40942</v>
      </c>
      <c r="B314" s="2">
        <v>5325.8500979999999</v>
      </c>
      <c r="C314" s="16">
        <f t="shared" si="1053"/>
        <v>1.0560973225841486E-2</v>
      </c>
    </row>
    <row r="315" spans="1:3" x14ac:dyDescent="0.25">
      <c r="A315" s="1">
        <v>40945</v>
      </c>
      <c r="B315" s="2">
        <v>5361.6499020000001</v>
      </c>
      <c r="C315" s="16">
        <f t="shared" si="1053"/>
        <v>6.6994035830939772E-3</v>
      </c>
    </row>
    <row r="316" spans="1:3" x14ac:dyDescent="0.25">
      <c r="A316" s="1">
        <v>40946</v>
      </c>
      <c r="B316" s="2">
        <v>5335.1499020000001</v>
      </c>
      <c r="C316" s="16">
        <f t="shared" si="1053"/>
        <v>-4.9547630505225237E-3</v>
      </c>
    </row>
    <row r="317" spans="1:3" x14ac:dyDescent="0.25">
      <c r="A317" s="1">
        <v>40947</v>
      </c>
      <c r="B317" s="2">
        <v>5368.1499020000001</v>
      </c>
      <c r="C317" s="16">
        <f t="shared" si="1053"/>
        <v>6.1663421878520959E-3</v>
      </c>
    </row>
    <row r="318" spans="1:3" x14ac:dyDescent="0.25">
      <c r="A318" s="1">
        <v>40948</v>
      </c>
      <c r="B318" s="2">
        <v>5412.3500979999999</v>
      </c>
      <c r="C318" s="16">
        <f t="shared" si="1053"/>
        <v>8.2000730341943318E-3</v>
      </c>
    </row>
    <row r="319" spans="1:3" x14ac:dyDescent="0.25">
      <c r="A319" s="1">
        <v>40949</v>
      </c>
      <c r="B319" s="2">
        <v>5381.6000979999999</v>
      </c>
      <c r="C319" s="16">
        <f t="shared" si="1053"/>
        <v>-5.6976514859932445E-3</v>
      </c>
    </row>
    <row r="320" spans="1:3" x14ac:dyDescent="0.25">
      <c r="A320" s="1">
        <v>40952</v>
      </c>
      <c r="B320" s="2">
        <v>5390.2001950000003</v>
      </c>
      <c r="C320" s="16">
        <f t="shared" si="1053"/>
        <v>1.5967802212039609E-3</v>
      </c>
    </row>
    <row r="321" spans="1:3" x14ac:dyDescent="0.25">
      <c r="A321" s="1">
        <v>40953</v>
      </c>
      <c r="B321" s="2">
        <v>5416.0498049999997</v>
      </c>
      <c r="C321" s="16">
        <f t="shared" si="1053"/>
        <v>4.7842053080650983E-3</v>
      </c>
    </row>
    <row r="322" spans="1:3" x14ac:dyDescent="0.25">
      <c r="A322" s="1">
        <v>40954</v>
      </c>
      <c r="B322" s="2">
        <v>5531.9501950000003</v>
      </c>
      <c r="C322" s="16">
        <f t="shared" si="1053"/>
        <v>2.1173679220228593E-2</v>
      </c>
    </row>
    <row r="323" spans="1:3" x14ac:dyDescent="0.25">
      <c r="A323" s="1">
        <v>40955</v>
      </c>
      <c r="B323" s="2">
        <v>5521.9501950000003</v>
      </c>
      <c r="C323" s="16">
        <f t="shared" si="1053"/>
        <v>-1.8093165987037145E-3</v>
      </c>
    </row>
    <row r="324" spans="1:3" x14ac:dyDescent="0.25">
      <c r="A324" s="1">
        <v>40956</v>
      </c>
      <c r="B324" s="2">
        <v>5564.2998049999997</v>
      </c>
      <c r="C324" s="16">
        <f t="shared" ref="C324:C387" si="1054">LN(B324/B323)</f>
        <v>7.6400615171525075E-3</v>
      </c>
    </row>
    <row r="325" spans="1:3" x14ac:dyDescent="0.25">
      <c r="A325" s="1">
        <v>40960</v>
      </c>
      <c r="B325" s="2">
        <v>5607.1499020000001</v>
      </c>
      <c r="C325" s="16">
        <f t="shared" si="1054"/>
        <v>7.6713959725549837E-3</v>
      </c>
    </row>
    <row r="326" spans="1:3" x14ac:dyDescent="0.25">
      <c r="A326" s="1">
        <v>40961</v>
      </c>
      <c r="B326" s="2">
        <v>5505.3500979999999</v>
      </c>
      <c r="C326" s="16">
        <f t="shared" si="1054"/>
        <v>-1.8322187060538998E-2</v>
      </c>
    </row>
    <row r="327" spans="1:3" x14ac:dyDescent="0.25">
      <c r="A327" s="1">
        <v>40962</v>
      </c>
      <c r="B327" s="2">
        <v>5483.2998049999997</v>
      </c>
      <c r="C327" s="16">
        <f t="shared" si="1054"/>
        <v>-4.0132905845078832E-3</v>
      </c>
    </row>
    <row r="328" spans="1:3" x14ac:dyDescent="0.25">
      <c r="A328" s="1">
        <v>40963</v>
      </c>
      <c r="B328" s="2">
        <v>5429.2998049999997</v>
      </c>
      <c r="C328" s="16">
        <f t="shared" si="1054"/>
        <v>-9.8968976591830449E-3</v>
      </c>
    </row>
    <row r="329" spans="1:3" x14ac:dyDescent="0.25">
      <c r="A329" s="1">
        <v>40966</v>
      </c>
      <c r="B329" s="2">
        <v>5281.2001950000003</v>
      </c>
      <c r="C329" s="16">
        <f t="shared" si="1054"/>
        <v>-2.7656794729393482E-2</v>
      </c>
    </row>
    <row r="330" spans="1:3" x14ac:dyDescent="0.25">
      <c r="A330" s="1">
        <v>40967</v>
      </c>
      <c r="B330" s="2">
        <v>5375.5</v>
      </c>
      <c r="C330" s="16">
        <f t="shared" si="1054"/>
        <v>1.7698211396810791E-2</v>
      </c>
    </row>
    <row r="331" spans="1:3" x14ac:dyDescent="0.25">
      <c r="A331" s="1">
        <v>40968</v>
      </c>
      <c r="B331" s="2">
        <v>5385.2001950000003</v>
      </c>
      <c r="C331" s="16">
        <f t="shared" si="1054"/>
        <v>1.8028933901506159E-3</v>
      </c>
    </row>
    <row r="332" spans="1:3" x14ac:dyDescent="0.25">
      <c r="A332" s="1">
        <v>40969</v>
      </c>
      <c r="B332" s="2">
        <v>5339.75</v>
      </c>
      <c r="C332" s="16">
        <f t="shared" si="1054"/>
        <v>-8.4756509365192748E-3</v>
      </c>
    </row>
    <row r="333" spans="1:3" x14ac:dyDescent="0.25">
      <c r="A333" s="1">
        <v>40970</v>
      </c>
      <c r="B333" s="2">
        <v>5359.3500979999999</v>
      </c>
      <c r="C333" s="16">
        <f t="shared" si="1054"/>
        <v>3.6638819613784065E-3</v>
      </c>
    </row>
    <row r="334" spans="1:3" x14ac:dyDescent="0.25">
      <c r="A334" s="1">
        <v>40973</v>
      </c>
      <c r="B334" s="2">
        <v>5280.3500979999999</v>
      </c>
      <c r="C334" s="16">
        <f t="shared" si="1054"/>
        <v>-1.4850315398766328E-2</v>
      </c>
    </row>
    <row r="335" spans="1:3" x14ac:dyDescent="0.25">
      <c r="A335" s="1">
        <v>40974</v>
      </c>
      <c r="B335" s="2">
        <v>5222.3999020000001</v>
      </c>
      <c r="C335" s="16">
        <f t="shared" si="1054"/>
        <v>-1.1035354377111881E-2</v>
      </c>
    </row>
    <row r="336" spans="1:3" x14ac:dyDescent="0.25">
      <c r="A336" s="1">
        <v>40975</v>
      </c>
      <c r="B336" s="2">
        <v>5220.4501950000003</v>
      </c>
      <c r="C336" s="16">
        <f t="shared" si="1054"/>
        <v>-3.7340515367810805E-4</v>
      </c>
    </row>
    <row r="337" spans="1:3" x14ac:dyDescent="0.25">
      <c r="A337" s="1">
        <v>40977</v>
      </c>
      <c r="B337" s="2">
        <v>5333.5498049999997</v>
      </c>
      <c r="C337" s="16">
        <f t="shared" si="1054"/>
        <v>2.1433378756883836E-2</v>
      </c>
    </row>
    <row r="338" spans="1:3" x14ac:dyDescent="0.25">
      <c r="A338" s="1">
        <v>40980</v>
      </c>
      <c r="B338" s="2">
        <v>5359.5498049999997</v>
      </c>
      <c r="C338" s="16">
        <f t="shared" si="1054"/>
        <v>4.8629587652574899E-3</v>
      </c>
    </row>
    <row r="339" spans="1:3" x14ac:dyDescent="0.25">
      <c r="A339" s="1">
        <v>40981</v>
      </c>
      <c r="B339" s="2">
        <v>5429.5</v>
      </c>
      <c r="C339" s="16">
        <f t="shared" si="1054"/>
        <v>1.2967068724077553E-2</v>
      </c>
    </row>
    <row r="340" spans="1:3" x14ac:dyDescent="0.25">
      <c r="A340" s="1">
        <v>40982</v>
      </c>
      <c r="B340" s="2">
        <v>5463.8999020000001</v>
      </c>
      <c r="C340" s="16">
        <f t="shared" si="1054"/>
        <v>6.3157538797458867E-3</v>
      </c>
    </row>
    <row r="341" spans="1:3" x14ac:dyDescent="0.25">
      <c r="A341" s="1">
        <v>40983</v>
      </c>
      <c r="B341" s="2">
        <v>5380.5</v>
      </c>
      <c r="C341" s="16">
        <f t="shared" si="1054"/>
        <v>-1.5381495896254012E-2</v>
      </c>
    </row>
    <row r="342" spans="1:3" x14ac:dyDescent="0.25">
      <c r="A342" s="1">
        <v>40984</v>
      </c>
      <c r="B342" s="2">
        <v>5317.8999020000001</v>
      </c>
      <c r="C342" s="16">
        <f t="shared" si="1054"/>
        <v>-1.1702836504284849E-2</v>
      </c>
    </row>
    <row r="343" spans="1:3" x14ac:dyDescent="0.25">
      <c r="A343" s="1">
        <v>40987</v>
      </c>
      <c r="B343" s="2">
        <v>5257.0498049999997</v>
      </c>
      <c r="C343" s="16">
        <f t="shared" si="1054"/>
        <v>-1.1508474326971939E-2</v>
      </c>
    </row>
    <row r="344" spans="1:3" x14ac:dyDescent="0.25">
      <c r="A344" s="1">
        <v>40988</v>
      </c>
      <c r="B344" s="2">
        <v>5274.8500979999999</v>
      </c>
      <c r="C344" s="16">
        <f t="shared" si="1054"/>
        <v>3.3802656905358073E-3</v>
      </c>
    </row>
    <row r="345" spans="1:3" x14ac:dyDescent="0.25">
      <c r="A345" s="1">
        <v>40989</v>
      </c>
      <c r="B345" s="2">
        <v>5364.9501950000003</v>
      </c>
      <c r="C345" s="16">
        <f t="shared" si="1054"/>
        <v>1.6936831204182184E-2</v>
      </c>
    </row>
    <row r="346" spans="1:3" x14ac:dyDescent="0.25">
      <c r="A346" s="1">
        <v>40990</v>
      </c>
      <c r="B346" s="2">
        <v>5228.4501950000003</v>
      </c>
      <c r="C346" s="16">
        <f t="shared" si="1054"/>
        <v>-2.5772188387214408E-2</v>
      </c>
    </row>
    <row r="347" spans="1:3" x14ac:dyDescent="0.25">
      <c r="A347" s="1">
        <v>40991</v>
      </c>
      <c r="B347" s="2">
        <v>5278.2001950000003</v>
      </c>
      <c r="C347" s="16">
        <f t="shared" si="1054"/>
        <v>9.4702631144024992E-3</v>
      </c>
    </row>
    <row r="348" spans="1:3" x14ac:dyDescent="0.25">
      <c r="A348" s="1">
        <v>40994</v>
      </c>
      <c r="B348" s="2">
        <v>5184.25</v>
      </c>
      <c r="C348" s="16">
        <f t="shared" si="1054"/>
        <v>-1.7959984253146325E-2</v>
      </c>
    </row>
    <row r="349" spans="1:3" x14ac:dyDescent="0.25">
      <c r="A349" s="1">
        <v>40995</v>
      </c>
      <c r="B349" s="2">
        <v>5243.1499020000001</v>
      </c>
      <c r="C349" s="16">
        <f t="shared" si="1054"/>
        <v>1.1297260868953794E-2</v>
      </c>
    </row>
    <row r="350" spans="1:3" x14ac:dyDescent="0.25">
      <c r="A350" s="1">
        <v>40996</v>
      </c>
      <c r="B350" s="2">
        <v>5194.75</v>
      </c>
      <c r="C350" s="16">
        <f t="shared" si="1054"/>
        <v>-9.2739438669140369E-3</v>
      </c>
    </row>
    <row r="351" spans="1:3" x14ac:dyDescent="0.25">
      <c r="A351" s="1">
        <v>40997</v>
      </c>
      <c r="B351" s="2">
        <v>5178.8500979999999</v>
      </c>
      <c r="C351" s="16">
        <f t="shared" si="1054"/>
        <v>-3.0654573727109239E-3</v>
      </c>
    </row>
    <row r="352" spans="1:3" x14ac:dyDescent="0.25">
      <c r="A352" s="1">
        <v>40998</v>
      </c>
      <c r="B352" s="2">
        <v>5295.5498049999997</v>
      </c>
      <c r="C352" s="16">
        <f t="shared" si="1054"/>
        <v>2.2283765587537769E-2</v>
      </c>
    </row>
    <row r="353" spans="1:3" x14ac:dyDescent="0.25">
      <c r="A353" s="1">
        <v>41001</v>
      </c>
      <c r="B353" s="2">
        <v>5317.8999020000001</v>
      </c>
      <c r="C353" s="16">
        <f t="shared" si="1054"/>
        <v>4.2116617413459805E-3</v>
      </c>
    </row>
    <row r="354" spans="1:3" x14ac:dyDescent="0.25">
      <c r="A354" s="1">
        <v>41002</v>
      </c>
      <c r="B354" s="2">
        <v>5358.5</v>
      </c>
      <c r="C354" s="16">
        <f t="shared" si="1054"/>
        <v>7.6056150168895562E-3</v>
      </c>
    </row>
    <row r="355" spans="1:3" x14ac:dyDescent="0.25">
      <c r="A355" s="1">
        <v>41003</v>
      </c>
      <c r="B355" s="2">
        <v>5322.8999020000001</v>
      </c>
      <c r="C355" s="16">
        <f t="shared" si="1054"/>
        <v>-6.6658359664250729E-3</v>
      </c>
    </row>
    <row r="356" spans="1:3" x14ac:dyDescent="0.25">
      <c r="A356" s="1">
        <v>41008</v>
      </c>
      <c r="B356" s="2">
        <v>5234.3999020000001</v>
      </c>
      <c r="C356" s="16">
        <f t="shared" si="1054"/>
        <v>-1.6766043353396543E-2</v>
      </c>
    </row>
    <row r="357" spans="1:3" x14ac:dyDescent="0.25">
      <c r="A357" s="1">
        <v>41009</v>
      </c>
      <c r="B357" s="2">
        <v>5243.6000979999999</v>
      </c>
      <c r="C357" s="16">
        <f t="shared" si="1054"/>
        <v>1.7560981798738044E-3</v>
      </c>
    </row>
    <row r="358" spans="1:3" x14ac:dyDescent="0.25">
      <c r="A358" s="1">
        <v>41010</v>
      </c>
      <c r="B358" s="2">
        <v>5226.8500979999999</v>
      </c>
      <c r="C358" s="16">
        <f t="shared" si="1054"/>
        <v>-3.1994831120274892E-3</v>
      </c>
    </row>
    <row r="359" spans="1:3" x14ac:dyDescent="0.25">
      <c r="A359" s="1">
        <v>41011</v>
      </c>
      <c r="B359" s="2">
        <v>5276.8500979999999</v>
      </c>
      <c r="C359" s="16">
        <f t="shared" si="1054"/>
        <v>9.5205264306576689E-3</v>
      </c>
    </row>
    <row r="360" spans="1:3" x14ac:dyDescent="0.25">
      <c r="A360" s="1">
        <v>41012</v>
      </c>
      <c r="B360" s="2">
        <v>5207.4501950000003</v>
      </c>
      <c r="C360" s="16">
        <f t="shared" si="1054"/>
        <v>-1.3239017332597554E-2</v>
      </c>
    </row>
    <row r="361" spans="1:3" x14ac:dyDescent="0.25">
      <c r="A361" s="1">
        <v>41015</v>
      </c>
      <c r="B361" s="2">
        <v>5226.2001950000003</v>
      </c>
      <c r="C361" s="16">
        <f t="shared" si="1054"/>
        <v>3.5941438486644666E-3</v>
      </c>
    </row>
    <row r="362" spans="1:3" x14ac:dyDescent="0.25">
      <c r="A362" s="1">
        <v>41016</v>
      </c>
      <c r="B362" s="2">
        <v>5289.7001950000003</v>
      </c>
      <c r="C362" s="16">
        <f t="shared" si="1054"/>
        <v>1.2077096485473806E-2</v>
      </c>
    </row>
    <row r="363" spans="1:3" x14ac:dyDescent="0.25">
      <c r="A363" s="1">
        <v>41017</v>
      </c>
      <c r="B363" s="2">
        <v>5300</v>
      </c>
      <c r="C363" s="16">
        <f t="shared" si="1054"/>
        <v>1.945250206938406E-3</v>
      </c>
    </row>
    <row r="364" spans="1:3" x14ac:dyDescent="0.25">
      <c r="A364" s="1">
        <v>41018</v>
      </c>
      <c r="B364" s="2">
        <v>5332.3999020000001</v>
      </c>
      <c r="C364" s="16">
        <f t="shared" si="1054"/>
        <v>6.0945793210923135E-3</v>
      </c>
    </row>
    <row r="365" spans="1:3" x14ac:dyDescent="0.25">
      <c r="A365" s="1">
        <v>41019</v>
      </c>
      <c r="B365" s="2">
        <v>5290.8500979999999</v>
      </c>
      <c r="C365" s="16">
        <f t="shared" si="1054"/>
        <v>-7.8224678648500315E-3</v>
      </c>
    </row>
    <row r="366" spans="1:3" x14ac:dyDescent="0.25">
      <c r="A366" s="1">
        <v>41022</v>
      </c>
      <c r="B366" s="2">
        <v>5200.6000979999999</v>
      </c>
      <c r="C366" s="16">
        <f t="shared" si="1054"/>
        <v>-1.7204909623865474E-2</v>
      </c>
    </row>
    <row r="367" spans="1:3" x14ac:dyDescent="0.25">
      <c r="A367" s="1">
        <v>41023</v>
      </c>
      <c r="B367" s="2">
        <v>5222.6499020000001</v>
      </c>
      <c r="C367" s="16">
        <f t="shared" si="1054"/>
        <v>4.2308947577412159E-3</v>
      </c>
    </row>
    <row r="368" spans="1:3" x14ac:dyDescent="0.25">
      <c r="A368" s="1">
        <v>41024</v>
      </c>
      <c r="B368" s="2">
        <v>5202</v>
      </c>
      <c r="C368" s="16">
        <f t="shared" si="1054"/>
        <v>-3.961750121734259E-3</v>
      </c>
    </row>
    <row r="369" spans="1:3" x14ac:dyDescent="0.25">
      <c r="A369" s="1">
        <v>41025</v>
      </c>
      <c r="B369" s="2">
        <v>5189</v>
      </c>
      <c r="C369" s="16">
        <f t="shared" si="1054"/>
        <v>-2.5021666408571708E-3</v>
      </c>
    </row>
    <row r="370" spans="1:3" x14ac:dyDescent="0.25">
      <c r="A370" s="1">
        <v>41026</v>
      </c>
      <c r="B370" s="2">
        <v>5190.6000979999999</v>
      </c>
      <c r="C370" s="16">
        <f t="shared" si="1054"/>
        <v>3.0831592692734351E-4</v>
      </c>
    </row>
    <row r="371" spans="1:3" x14ac:dyDescent="0.25">
      <c r="A371" s="1">
        <v>41029</v>
      </c>
      <c r="B371" s="2">
        <v>5248.1499020000001</v>
      </c>
      <c r="C371" s="16">
        <f t="shared" si="1054"/>
        <v>1.1026298564617613E-2</v>
      </c>
    </row>
    <row r="372" spans="1:3" x14ac:dyDescent="0.25">
      <c r="A372" s="1">
        <v>41031</v>
      </c>
      <c r="B372" s="2">
        <v>5239.1499020000001</v>
      </c>
      <c r="C372" s="16">
        <f t="shared" si="1054"/>
        <v>-1.7163621480510516E-3</v>
      </c>
    </row>
    <row r="373" spans="1:3" x14ac:dyDescent="0.25">
      <c r="A373" s="1">
        <v>41032</v>
      </c>
      <c r="B373" s="2">
        <v>5188.3999020000001</v>
      </c>
      <c r="C373" s="16">
        <f t="shared" si="1054"/>
        <v>-9.7339071330049976E-3</v>
      </c>
    </row>
    <row r="374" spans="1:3" x14ac:dyDescent="0.25">
      <c r="A374" s="1">
        <v>41033</v>
      </c>
      <c r="B374" s="2">
        <v>5086.8500979999999</v>
      </c>
      <c r="C374" s="16">
        <f t="shared" si="1054"/>
        <v>-1.9766547852313271E-2</v>
      </c>
    </row>
    <row r="375" spans="1:3" x14ac:dyDescent="0.25">
      <c r="A375" s="1">
        <v>41036</v>
      </c>
      <c r="B375" s="2">
        <v>5114.1499020000001</v>
      </c>
      <c r="C375" s="16">
        <f t="shared" si="1054"/>
        <v>5.352390780099821E-3</v>
      </c>
    </row>
    <row r="376" spans="1:3" x14ac:dyDescent="0.25">
      <c r="A376" s="1">
        <v>41037</v>
      </c>
      <c r="B376" s="2">
        <v>4999.9501950000003</v>
      </c>
      <c r="C376" s="16">
        <f t="shared" si="1054"/>
        <v>-2.2583237139388729E-2</v>
      </c>
    </row>
    <row r="377" spans="1:3" x14ac:dyDescent="0.25">
      <c r="A377" s="1">
        <v>41038</v>
      </c>
      <c r="B377" s="2">
        <v>4974.7998049999997</v>
      </c>
      <c r="C377" s="16">
        <f t="shared" si="1054"/>
        <v>-5.0428217845969407E-3</v>
      </c>
    </row>
    <row r="378" spans="1:3" x14ac:dyDescent="0.25">
      <c r="A378" s="1">
        <v>41039</v>
      </c>
      <c r="B378" s="2">
        <v>4965.7001950000003</v>
      </c>
      <c r="C378" s="16">
        <f t="shared" si="1054"/>
        <v>-1.8308158627307481E-3</v>
      </c>
    </row>
    <row r="379" spans="1:3" x14ac:dyDescent="0.25">
      <c r="A379" s="1">
        <v>41040</v>
      </c>
      <c r="B379" s="2">
        <v>4928.8999020000001</v>
      </c>
      <c r="C379" s="16">
        <f t="shared" si="1054"/>
        <v>-7.4384941933502875E-3</v>
      </c>
    </row>
    <row r="380" spans="1:3" x14ac:dyDescent="0.25">
      <c r="A380" s="1">
        <v>41043</v>
      </c>
      <c r="B380" s="2">
        <v>4907.7998049999997</v>
      </c>
      <c r="C380" s="16">
        <f t="shared" si="1054"/>
        <v>-4.2900830543642068E-3</v>
      </c>
    </row>
    <row r="381" spans="1:3" x14ac:dyDescent="0.25">
      <c r="A381" s="1">
        <v>41044</v>
      </c>
      <c r="B381" s="2">
        <v>4942.7998049999997</v>
      </c>
      <c r="C381" s="16">
        <f t="shared" si="1054"/>
        <v>7.1061963071270611E-3</v>
      </c>
    </row>
    <row r="382" spans="1:3" x14ac:dyDescent="0.25">
      <c r="A382" s="1">
        <v>41045</v>
      </c>
      <c r="B382" s="2">
        <v>4858.25</v>
      </c>
      <c r="C382" s="16">
        <f t="shared" si="1054"/>
        <v>-1.7253642033898592E-2</v>
      </c>
    </row>
    <row r="383" spans="1:3" x14ac:dyDescent="0.25">
      <c r="A383" s="1">
        <v>41046</v>
      </c>
      <c r="B383" s="2">
        <v>4870.2001950000003</v>
      </c>
      <c r="C383" s="16">
        <f t="shared" si="1054"/>
        <v>2.456753289794977E-3</v>
      </c>
    </row>
    <row r="384" spans="1:3" x14ac:dyDescent="0.25">
      <c r="A384" s="1">
        <v>41047</v>
      </c>
      <c r="B384" s="2">
        <v>4891.4501950000003</v>
      </c>
      <c r="C384" s="16">
        <f t="shared" si="1054"/>
        <v>4.3537788627619495E-3</v>
      </c>
    </row>
    <row r="385" spans="1:3" x14ac:dyDescent="0.25">
      <c r="A385" s="1">
        <v>41051</v>
      </c>
      <c r="B385" s="2">
        <v>4860.5</v>
      </c>
      <c r="C385" s="16">
        <f t="shared" si="1054"/>
        <v>-6.347509636245907E-3</v>
      </c>
    </row>
    <row r="386" spans="1:3" x14ac:dyDescent="0.25">
      <c r="A386" s="1">
        <v>41052</v>
      </c>
      <c r="B386" s="2">
        <v>4835.6499020000001</v>
      </c>
      <c r="C386" s="16">
        <f t="shared" si="1054"/>
        <v>-5.1257772743996477E-3</v>
      </c>
    </row>
    <row r="387" spans="1:3" x14ac:dyDescent="0.25">
      <c r="A387" s="1">
        <v>41053</v>
      </c>
      <c r="B387" s="2">
        <v>4921.3999020000001</v>
      </c>
      <c r="C387" s="16">
        <f t="shared" si="1054"/>
        <v>1.7577486954642819E-2</v>
      </c>
    </row>
    <row r="388" spans="1:3" x14ac:dyDescent="0.25">
      <c r="A388" s="1">
        <v>41054</v>
      </c>
      <c r="B388" s="2">
        <v>4920.3999020000001</v>
      </c>
      <c r="C388" s="16">
        <f t="shared" ref="C388:C451" si="1055">LN(B388/B387)</f>
        <v>-2.032148638168817E-4</v>
      </c>
    </row>
    <row r="389" spans="1:3" x14ac:dyDescent="0.25">
      <c r="A389" s="1">
        <v>41057</v>
      </c>
      <c r="B389" s="2">
        <v>4985.6499020000001</v>
      </c>
      <c r="C389" s="16">
        <f t="shared" si="1055"/>
        <v>1.3173958335305089E-2</v>
      </c>
    </row>
    <row r="390" spans="1:3" x14ac:dyDescent="0.25">
      <c r="A390" s="1">
        <v>41058</v>
      </c>
      <c r="B390" s="2">
        <v>4990.1000979999999</v>
      </c>
      <c r="C390" s="16">
        <f t="shared" si="1055"/>
        <v>8.9220285095478443E-4</v>
      </c>
    </row>
    <row r="391" spans="1:3" x14ac:dyDescent="0.25">
      <c r="A391" s="1">
        <v>41059</v>
      </c>
      <c r="B391" s="2">
        <v>4950.75</v>
      </c>
      <c r="C391" s="16">
        <f t="shared" si="1055"/>
        <v>-7.9168890268198986E-3</v>
      </c>
    </row>
    <row r="392" spans="1:3" x14ac:dyDescent="0.25">
      <c r="A392" s="1">
        <v>41060</v>
      </c>
      <c r="B392" s="2">
        <v>4924.25</v>
      </c>
      <c r="C392" s="16">
        <f t="shared" si="1055"/>
        <v>-5.3671014911858871E-3</v>
      </c>
    </row>
    <row r="393" spans="1:3" x14ac:dyDescent="0.25">
      <c r="A393" s="1">
        <v>41061</v>
      </c>
      <c r="B393" s="2">
        <v>4841.6000979999999</v>
      </c>
      <c r="C393" s="16">
        <f t="shared" si="1055"/>
        <v>-1.6926713910524905E-2</v>
      </c>
    </row>
    <row r="394" spans="1:3" x14ac:dyDescent="0.25">
      <c r="A394" s="1">
        <v>41064</v>
      </c>
      <c r="B394" s="2">
        <v>4848.1499020000001</v>
      </c>
      <c r="C394" s="16">
        <f t="shared" si="1055"/>
        <v>1.351903815384068E-3</v>
      </c>
    </row>
    <row r="395" spans="1:3" x14ac:dyDescent="0.25">
      <c r="A395" s="1">
        <v>41065</v>
      </c>
      <c r="B395" s="2">
        <v>4863.2998049999997</v>
      </c>
      <c r="C395" s="16">
        <f t="shared" si="1055"/>
        <v>3.1200110687420691E-3</v>
      </c>
    </row>
    <row r="396" spans="1:3" x14ac:dyDescent="0.25">
      <c r="A396" s="1">
        <v>41066</v>
      </c>
      <c r="B396" s="2">
        <v>4997.1000979999999</v>
      </c>
      <c r="C396" s="16">
        <f t="shared" si="1055"/>
        <v>2.7140584043140743E-2</v>
      </c>
    </row>
    <row r="397" spans="1:3" x14ac:dyDescent="0.25">
      <c r="A397" s="1">
        <v>41067</v>
      </c>
      <c r="B397" s="2">
        <v>5049.6499020000001</v>
      </c>
      <c r="C397" s="16">
        <f t="shared" si="1055"/>
        <v>1.0461150767044122E-2</v>
      </c>
    </row>
    <row r="398" spans="1:3" x14ac:dyDescent="0.25">
      <c r="A398" s="1">
        <v>41068</v>
      </c>
      <c r="B398" s="2">
        <v>5068.3500979999999</v>
      </c>
      <c r="C398" s="16">
        <f t="shared" si="1055"/>
        <v>3.6964256360156717E-3</v>
      </c>
    </row>
    <row r="399" spans="1:3" x14ac:dyDescent="0.25">
      <c r="A399" s="1">
        <v>41071</v>
      </c>
      <c r="B399" s="2">
        <v>5054.1000979999999</v>
      </c>
      <c r="C399" s="16">
        <f t="shared" si="1055"/>
        <v>-2.815525715140035E-3</v>
      </c>
    </row>
    <row r="400" spans="1:3" x14ac:dyDescent="0.25">
      <c r="A400" s="1">
        <v>41072</v>
      </c>
      <c r="B400" s="2">
        <v>5115.8999020000001</v>
      </c>
      <c r="C400" s="16">
        <f t="shared" si="1055"/>
        <v>1.2153503380547362E-2</v>
      </c>
    </row>
    <row r="401" spans="1:3" x14ac:dyDescent="0.25">
      <c r="A401" s="1">
        <v>41073</v>
      </c>
      <c r="B401" s="2">
        <v>5121.4501950000003</v>
      </c>
      <c r="C401" s="16">
        <f t="shared" si="1055"/>
        <v>1.0843223082587514E-3</v>
      </c>
    </row>
    <row r="402" spans="1:3" x14ac:dyDescent="0.25">
      <c r="A402" s="1">
        <v>41074</v>
      </c>
      <c r="B402" s="2">
        <v>5054.75</v>
      </c>
      <c r="C402" s="16">
        <f t="shared" si="1055"/>
        <v>-1.3109244891861804E-2</v>
      </c>
    </row>
    <row r="403" spans="1:3" x14ac:dyDescent="0.25">
      <c r="A403" s="1">
        <v>41075</v>
      </c>
      <c r="B403" s="2">
        <v>5139.0498049999997</v>
      </c>
      <c r="C403" s="16">
        <f t="shared" si="1055"/>
        <v>1.6539804272092513E-2</v>
      </c>
    </row>
    <row r="404" spans="1:3" x14ac:dyDescent="0.25">
      <c r="A404" s="1">
        <v>41078</v>
      </c>
      <c r="B404" s="2">
        <v>5064.25</v>
      </c>
      <c r="C404" s="16">
        <f t="shared" si="1055"/>
        <v>-1.4662147825586955E-2</v>
      </c>
    </row>
    <row r="405" spans="1:3" x14ac:dyDescent="0.25">
      <c r="A405" s="1">
        <v>41079</v>
      </c>
      <c r="B405" s="2">
        <v>5103.8500979999999</v>
      </c>
      <c r="C405" s="16">
        <f t="shared" si="1055"/>
        <v>7.789124385310868E-3</v>
      </c>
    </row>
    <row r="406" spans="1:3" x14ac:dyDescent="0.25">
      <c r="A406" s="1">
        <v>41080</v>
      </c>
      <c r="B406" s="2">
        <v>5120.5498049999997</v>
      </c>
      <c r="C406" s="16">
        <f t="shared" si="1055"/>
        <v>3.2666409781630075E-3</v>
      </c>
    </row>
    <row r="407" spans="1:3" x14ac:dyDescent="0.25">
      <c r="A407" s="1">
        <v>41081</v>
      </c>
      <c r="B407" s="2">
        <v>5165</v>
      </c>
      <c r="C407" s="16">
        <f t="shared" si="1055"/>
        <v>8.643285496349358E-3</v>
      </c>
    </row>
    <row r="408" spans="1:3" x14ac:dyDescent="0.25">
      <c r="A408" s="1">
        <v>41082</v>
      </c>
      <c r="B408" s="2">
        <v>5146.0498049999997</v>
      </c>
      <c r="C408" s="16">
        <f t="shared" si="1055"/>
        <v>-3.6757103679015551E-3</v>
      </c>
    </row>
    <row r="409" spans="1:3" x14ac:dyDescent="0.25">
      <c r="A409" s="1">
        <v>41085</v>
      </c>
      <c r="B409" s="2">
        <v>5114.6499020000001</v>
      </c>
      <c r="C409" s="16">
        <f t="shared" si="1055"/>
        <v>-6.1204404993945583E-3</v>
      </c>
    </row>
    <row r="410" spans="1:3" x14ac:dyDescent="0.25">
      <c r="A410" s="1">
        <v>41086</v>
      </c>
      <c r="B410" s="2">
        <v>5120.7998049999997</v>
      </c>
      <c r="C410" s="16">
        <f t="shared" si="1055"/>
        <v>1.2016870613625508E-3</v>
      </c>
    </row>
    <row r="411" spans="1:3" x14ac:dyDescent="0.25">
      <c r="A411" s="1">
        <v>41087</v>
      </c>
      <c r="B411" s="2">
        <v>5141.8999020000001</v>
      </c>
      <c r="C411" s="16">
        <f t="shared" si="1055"/>
        <v>4.1120031440924762E-3</v>
      </c>
    </row>
    <row r="412" spans="1:3" x14ac:dyDescent="0.25">
      <c r="A412" s="1">
        <v>41088</v>
      </c>
      <c r="B412" s="2">
        <v>5149.1499020000001</v>
      </c>
      <c r="C412" s="16">
        <f t="shared" si="1055"/>
        <v>1.4089915679172608E-3</v>
      </c>
    </row>
    <row r="413" spans="1:3" x14ac:dyDescent="0.25">
      <c r="A413" s="1">
        <v>41089</v>
      </c>
      <c r="B413" s="2">
        <v>5278.8999020000001</v>
      </c>
      <c r="C413" s="16">
        <f t="shared" si="1055"/>
        <v>2.4886090638281462E-2</v>
      </c>
    </row>
    <row r="414" spans="1:3" x14ac:dyDescent="0.25">
      <c r="A414" s="1">
        <v>41092</v>
      </c>
      <c r="B414" s="2">
        <v>5278.6000979999999</v>
      </c>
      <c r="C414" s="16">
        <f t="shared" si="1055"/>
        <v>-5.6794506290453476E-5</v>
      </c>
    </row>
    <row r="415" spans="1:3" x14ac:dyDescent="0.25">
      <c r="A415" s="1">
        <v>41093</v>
      </c>
      <c r="B415" s="2">
        <v>5287.9501950000003</v>
      </c>
      <c r="C415" s="16">
        <f t="shared" si="1055"/>
        <v>1.7697544006569316E-3</v>
      </c>
    </row>
    <row r="416" spans="1:3" x14ac:dyDescent="0.25">
      <c r="A416" s="1">
        <v>41094</v>
      </c>
      <c r="B416" s="2">
        <v>5302.5498049999997</v>
      </c>
      <c r="C416" s="16">
        <f t="shared" si="1055"/>
        <v>2.7571161415369909E-3</v>
      </c>
    </row>
    <row r="417" spans="1:3" x14ac:dyDescent="0.25">
      <c r="A417" s="1">
        <v>41095</v>
      </c>
      <c r="B417" s="2">
        <v>5327.2998049999997</v>
      </c>
      <c r="C417" s="16">
        <f t="shared" si="1055"/>
        <v>4.6567064696451466E-3</v>
      </c>
    </row>
    <row r="418" spans="1:3" x14ac:dyDescent="0.25">
      <c r="A418" s="1">
        <v>41096</v>
      </c>
      <c r="B418" s="2">
        <v>5316.9501950000003</v>
      </c>
      <c r="C418" s="16">
        <f t="shared" si="1055"/>
        <v>-1.9446392674965863E-3</v>
      </c>
    </row>
    <row r="419" spans="1:3" x14ac:dyDescent="0.25">
      <c r="A419" s="1">
        <v>41099</v>
      </c>
      <c r="B419" s="2">
        <v>5275.1499020000001</v>
      </c>
      <c r="C419" s="16">
        <f t="shared" si="1055"/>
        <v>-7.8927709548907658E-3</v>
      </c>
    </row>
    <row r="420" spans="1:3" x14ac:dyDescent="0.25">
      <c r="A420" s="1">
        <v>41100</v>
      </c>
      <c r="B420" s="2">
        <v>5345.3500979999999</v>
      </c>
      <c r="C420" s="16">
        <f t="shared" si="1055"/>
        <v>1.3219946026395795E-2</v>
      </c>
    </row>
    <row r="421" spans="1:3" x14ac:dyDescent="0.25">
      <c r="A421" s="1">
        <v>41101</v>
      </c>
      <c r="B421" s="2">
        <v>5306.2998049999997</v>
      </c>
      <c r="C421" s="16">
        <f t="shared" si="1055"/>
        <v>-7.3322852907496822E-3</v>
      </c>
    </row>
    <row r="422" spans="1:3" x14ac:dyDescent="0.25">
      <c r="A422" s="1">
        <v>41102</v>
      </c>
      <c r="B422" s="2">
        <v>5235.25</v>
      </c>
      <c r="C422" s="16">
        <f t="shared" si="1055"/>
        <v>-1.348015846064222E-2</v>
      </c>
    </row>
    <row r="423" spans="1:3" x14ac:dyDescent="0.25">
      <c r="A423" s="1">
        <v>41103</v>
      </c>
      <c r="B423" s="2">
        <v>5227.25</v>
      </c>
      <c r="C423" s="16">
        <f t="shared" si="1055"/>
        <v>-1.5292715047290589E-3</v>
      </c>
    </row>
    <row r="424" spans="1:3" x14ac:dyDescent="0.25">
      <c r="A424" s="1">
        <v>41106</v>
      </c>
      <c r="B424" s="2">
        <v>5197.25</v>
      </c>
      <c r="C424" s="16">
        <f t="shared" si="1055"/>
        <v>-5.7556876243089784E-3</v>
      </c>
    </row>
    <row r="425" spans="1:3" x14ac:dyDescent="0.25">
      <c r="A425" s="1">
        <v>41107</v>
      </c>
      <c r="B425" s="2">
        <v>5192.8500979999999</v>
      </c>
      <c r="C425" s="16">
        <f t="shared" si="1055"/>
        <v>-8.4694126553310877E-4</v>
      </c>
    </row>
    <row r="426" spans="1:3" x14ac:dyDescent="0.25">
      <c r="A426" s="1">
        <v>41108</v>
      </c>
      <c r="B426" s="2">
        <v>5216.2998049999997</v>
      </c>
      <c r="C426" s="16">
        <f t="shared" si="1055"/>
        <v>4.5056026454580837E-3</v>
      </c>
    </row>
    <row r="427" spans="1:3" x14ac:dyDescent="0.25">
      <c r="A427" s="1">
        <v>41109</v>
      </c>
      <c r="B427" s="2">
        <v>5242.7001950000003</v>
      </c>
      <c r="C427" s="16">
        <f t="shared" si="1055"/>
        <v>5.0483690735389688E-3</v>
      </c>
    </row>
    <row r="428" spans="1:3" x14ac:dyDescent="0.25">
      <c r="A428" s="1">
        <v>41110</v>
      </c>
      <c r="B428" s="2">
        <v>5205.1000979999999</v>
      </c>
      <c r="C428" s="16">
        <f t="shared" si="1055"/>
        <v>-7.1977369926146516E-3</v>
      </c>
    </row>
    <row r="429" spans="1:3" x14ac:dyDescent="0.25">
      <c r="A429" s="1">
        <v>41113</v>
      </c>
      <c r="B429" s="2">
        <v>5117.9501950000003</v>
      </c>
      <c r="C429" s="16">
        <f t="shared" si="1055"/>
        <v>-1.6884926656055808E-2</v>
      </c>
    </row>
    <row r="430" spans="1:3" x14ac:dyDescent="0.25">
      <c r="A430" s="1">
        <v>41114</v>
      </c>
      <c r="B430" s="2">
        <v>5128.2001950000003</v>
      </c>
      <c r="C430" s="16">
        <f t="shared" si="1055"/>
        <v>2.0007520930476596E-3</v>
      </c>
    </row>
    <row r="431" spans="1:3" x14ac:dyDescent="0.25">
      <c r="A431" s="1">
        <v>41115</v>
      </c>
      <c r="B431" s="2">
        <v>5109.6000979999999</v>
      </c>
      <c r="C431" s="16">
        <f t="shared" si="1055"/>
        <v>-3.6336159981019268E-3</v>
      </c>
    </row>
    <row r="432" spans="1:3" x14ac:dyDescent="0.25">
      <c r="A432" s="1">
        <v>41116</v>
      </c>
      <c r="B432" s="2">
        <v>5043</v>
      </c>
      <c r="C432" s="16">
        <f t="shared" si="1055"/>
        <v>-1.3119999350237452E-2</v>
      </c>
    </row>
    <row r="433" spans="1:3" x14ac:dyDescent="0.25">
      <c r="A433" s="1">
        <v>41117</v>
      </c>
      <c r="B433" s="2">
        <v>5099.8500979999999</v>
      </c>
      <c r="C433" s="16">
        <f t="shared" si="1055"/>
        <v>1.1210003654702838E-2</v>
      </c>
    </row>
    <row r="434" spans="1:3" x14ac:dyDescent="0.25">
      <c r="A434" s="1">
        <v>41120</v>
      </c>
      <c r="B434" s="2">
        <v>5199.7998049999997</v>
      </c>
      <c r="C434" s="16">
        <f t="shared" si="1055"/>
        <v>1.9408979058522048E-2</v>
      </c>
    </row>
    <row r="435" spans="1:3" x14ac:dyDescent="0.25">
      <c r="A435" s="1">
        <v>41121</v>
      </c>
      <c r="B435" s="2">
        <v>5229</v>
      </c>
      <c r="C435" s="16">
        <f t="shared" si="1055"/>
        <v>5.5999293981804747E-3</v>
      </c>
    </row>
    <row r="436" spans="1:3" x14ac:dyDescent="0.25">
      <c r="A436" s="1">
        <v>41122</v>
      </c>
      <c r="B436" s="2">
        <v>5240.5</v>
      </c>
      <c r="C436" s="16">
        <f t="shared" si="1055"/>
        <v>2.1968584221014834E-3</v>
      </c>
    </row>
    <row r="437" spans="1:3" x14ac:dyDescent="0.25">
      <c r="A437" s="1">
        <v>41123</v>
      </c>
      <c r="B437" s="2">
        <v>5227.75</v>
      </c>
      <c r="C437" s="16">
        <f t="shared" si="1055"/>
        <v>-2.4359384433229802E-3</v>
      </c>
    </row>
    <row r="438" spans="1:3" x14ac:dyDescent="0.25">
      <c r="A438" s="1">
        <v>41124</v>
      </c>
      <c r="B438" s="2">
        <v>5215.7001950000003</v>
      </c>
      <c r="C438" s="16">
        <f t="shared" si="1055"/>
        <v>-2.3076301647949648E-3</v>
      </c>
    </row>
    <row r="439" spans="1:3" x14ac:dyDescent="0.25">
      <c r="A439" s="1">
        <v>41127</v>
      </c>
      <c r="B439" s="2">
        <v>5282.5498049999997</v>
      </c>
      <c r="C439" s="16">
        <f t="shared" si="1055"/>
        <v>1.2735553744645176E-2</v>
      </c>
    </row>
    <row r="440" spans="1:3" x14ac:dyDescent="0.25">
      <c r="A440" s="1">
        <v>41128</v>
      </c>
      <c r="B440" s="2">
        <v>5336.7001950000003</v>
      </c>
      <c r="C440" s="16">
        <f t="shared" si="1055"/>
        <v>1.0198622192008367E-2</v>
      </c>
    </row>
    <row r="441" spans="1:3" x14ac:dyDescent="0.25">
      <c r="A441" s="1">
        <v>41129</v>
      </c>
      <c r="B441" s="2">
        <v>5338</v>
      </c>
      <c r="C441" s="16">
        <f t="shared" si="1055"/>
        <v>2.4353002570174547E-4</v>
      </c>
    </row>
    <row r="442" spans="1:3" x14ac:dyDescent="0.25">
      <c r="A442" s="1">
        <v>41130</v>
      </c>
      <c r="B442" s="2">
        <v>5322.9501950000003</v>
      </c>
      <c r="C442" s="16">
        <f t="shared" si="1055"/>
        <v>-2.8233534013312116E-3</v>
      </c>
    </row>
    <row r="443" spans="1:3" x14ac:dyDescent="0.25">
      <c r="A443" s="1">
        <v>41131</v>
      </c>
      <c r="B443" s="2">
        <v>5320.3999020000001</v>
      </c>
      <c r="C443" s="16">
        <f t="shared" si="1055"/>
        <v>-4.7922750366484799E-4</v>
      </c>
    </row>
    <row r="444" spans="1:3" x14ac:dyDescent="0.25">
      <c r="A444" s="1">
        <v>41134</v>
      </c>
      <c r="B444" s="2">
        <v>5347.8999020000001</v>
      </c>
      <c r="C444" s="16">
        <f t="shared" si="1055"/>
        <v>5.1554720836818058E-3</v>
      </c>
    </row>
    <row r="445" spans="1:3" x14ac:dyDescent="0.25">
      <c r="A445" s="1">
        <v>41135</v>
      </c>
      <c r="B445" s="2">
        <v>5380.3500979999999</v>
      </c>
      <c r="C445" s="16">
        <f t="shared" si="1055"/>
        <v>6.0495038731506719E-3</v>
      </c>
    </row>
    <row r="446" spans="1:3" x14ac:dyDescent="0.25">
      <c r="A446" s="1">
        <v>41137</v>
      </c>
      <c r="B446" s="2">
        <v>5362.9501950000003</v>
      </c>
      <c r="C446" s="16">
        <f t="shared" si="1055"/>
        <v>-3.239212856290342E-3</v>
      </c>
    </row>
    <row r="447" spans="1:3" x14ac:dyDescent="0.25">
      <c r="A447" s="1">
        <v>41138</v>
      </c>
      <c r="B447" s="2">
        <v>5366.2998049999997</v>
      </c>
      <c r="C447" s="16">
        <f t="shared" si="1055"/>
        <v>6.2438849105446079E-4</v>
      </c>
    </row>
    <row r="448" spans="1:3" x14ac:dyDescent="0.25">
      <c r="A448" s="1">
        <v>41142</v>
      </c>
      <c r="B448" s="2">
        <v>5421</v>
      </c>
      <c r="C448" s="16">
        <f t="shared" si="1055"/>
        <v>1.0141678609268238E-2</v>
      </c>
    </row>
    <row r="449" spans="1:3" x14ac:dyDescent="0.25">
      <c r="A449" s="1">
        <v>41143</v>
      </c>
      <c r="B449" s="2">
        <v>5412.8500979999999</v>
      </c>
      <c r="C449" s="16">
        <f t="shared" si="1055"/>
        <v>-1.5045258082066872E-3</v>
      </c>
    </row>
    <row r="450" spans="1:3" x14ac:dyDescent="0.25">
      <c r="A450" s="1">
        <v>41144</v>
      </c>
      <c r="B450" s="2">
        <v>5415.3500979999999</v>
      </c>
      <c r="C450" s="16">
        <f t="shared" si="1055"/>
        <v>4.6175726328828899E-4</v>
      </c>
    </row>
    <row r="451" spans="1:3" x14ac:dyDescent="0.25">
      <c r="A451" s="1">
        <v>41145</v>
      </c>
      <c r="B451" s="2">
        <v>5386.7001950000003</v>
      </c>
      <c r="C451" s="16">
        <f t="shared" si="1055"/>
        <v>-5.3045430085069912E-3</v>
      </c>
    </row>
    <row r="452" spans="1:3" x14ac:dyDescent="0.25">
      <c r="A452" s="1">
        <v>41148</v>
      </c>
      <c r="B452" s="2">
        <v>5350.25</v>
      </c>
      <c r="C452" s="16">
        <f t="shared" ref="C452:C515" si="1056">LN(B452/B451)</f>
        <v>-6.78969993666227E-3</v>
      </c>
    </row>
    <row r="453" spans="1:3" x14ac:dyDescent="0.25">
      <c r="A453" s="1">
        <v>41150</v>
      </c>
      <c r="B453" s="2">
        <v>5287.7998049999997</v>
      </c>
      <c r="C453" s="16">
        <f t="shared" si="1056"/>
        <v>-1.1741045313921724E-2</v>
      </c>
    </row>
    <row r="454" spans="1:3" x14ac:dyDescent="0.25">
      <c r="A454" s="1">
        <v>41151</v>
      </c>
      <c r="B454" s="2">
        <v>5315.0498049999997</v>
      </c>
      <c r="C454" s="16">
        <f t="shared" si="1056"/>
        <v>5.1401389249216252E-3</v>
      </c>
    </row>
    <row r="455" spans="1:3" x14ac:dyDescent="0.25">
      <c r="A455" s="1">
        <v>41152</v>
      </c>
      <c r="B455" s="2">
        <v>5258.5</v>
      </c>
      <c r="C455" s="16">
        <f t="shared" si="1056"/>
        <v>-1.0696567421167131E-2</v>
      </c>
    </row>
    <row r="456" spans="1:3" x14ac:dyDescent="0.25">
      <c r="A456" s="1">
        <v>41155</v>
      </c>
      <c r="B456" s="2">
        <v>5253.75</v>
      </c>
      <c r="C456" s="16">
        <f t="shared" si="1056"/>
        <v>-9.0370764075665836E-4</v>
      </c>
    </row>
    <row r="457" spans="1:3" x14ac:dyDescent="0.25">
      <c r="A457" s="1">
        <v>41156</v>
      </c>
      <c r="B457" s="2">
        <v>5274</v>
      </c>
      <c r="C457" s="16">
        <f t="shared" si="1056"/>
        <v>3.8469805939055769E-3</v>
      </c>
    </row>
    <row r="458" spans="1:3" x14ac:dyDescent="0.25">
      <c r="A458" s="1">
        <v>41157</v>
      </c>
      <c r="B458" s="2">
        <v>5225.7001950000003</v>
      </c>
      <c r="C458" s="16">
        <f t="shared" si="1056"/>
        <v>-9.2002904461319403E-3</v>
      </c>
    </row>
    <row r="459" spans="1:3" x14ac:dyDescent="0.25">
      <c r="A459" s="1">
        <v>41158</v>
      </c>
      <c r="B459" s="2">
        <v>5238.3999020000001</v>
      </c>
      <c r="C459" s="16">
        <f t="shared" si="1056"/>
        <v>2.4272920017132178E-3</v>
      </c>
    </row>
    <row r="460" spans="1:3" x14ac:dyDescent="0.25">
      <c r="A460" s="1">
        <v>41159</v>
      </c>
      <c r="B460" s="2">
        <v>5342.1000979999999</v>
      </c>
      <c r="C460" s="16">
        <f t="shared" si="1056"/>
        <v>1.9602762951410606E-2</v>
      </c>
    </row>
    <row r="461" spans="1:3" x14ac:dyDescent="0.25">
      <c r="A461" s="1">
        <v>41162</v>
      </c>
      <c r="B461" s="2">
        <v>5363.4501950000003</v>
      </c>
      <c r="C461" s="16">
        <f t="shared" si="1056"/>
        <v>3.9886086600971569E-3</v>
      </c>
    </row>
    <row r="462" spans="1:3" x14ac:dyDescent="0.25">
      <c r="A462" s="1">
        <v>41163</v>
      </c>
      <c r="B462" s="2">
        <v>5390</v>
      </c>
      <c r="C462" s="16">
        <f t="shared" si="1056"/>
        <v>4.9379238227217964E-3</v>
      </c>
    </row>
    <row r="463" spans="1:3" x14ac:dyDescent="0.25">
      <c r="A463" s="1">
        <v>41164</v>
      </c>
      <c r="B463" s="2">
        <v>5431</v>
      </c>
      <c r="C463" s="16">
        <f t="shared" si="1056"/>
        <v>7.5778941318024474E-3</v>
      </c>
    </row>
    <row r="464" spans="1:3" x14ac:dyDescent="0.25">
      <c r="A464" s="1">
        <v>41165</v>
      </c>
      <c r="B464" s="2">
        <v>5435.3500979999999</v>
      </c>
      <c r="C464" s="16">
        <f t="shared" si="1056"/>
        <v>8.0065490126004916E-4</v>
      </c>
    </row>
    <row r="465" spans="1:3" x14ac:dyDescent="0.25">
      <c r="A465" s="1">
        <v>41166</v>
      </c>
      <c r="B465" s="2">
        <v>5577.6499020000001</v>
      </c>
      <c r="C465" s="16">
        <f t="shared" si="1056"/>
        <v>2.5843589208437663E-2</v>
      </c>
    </row>
    <row r="466" spans="1:3" x14ac:dyDescent="0.25">
      <c r="A466" s="1">
        <v>41169</v>
      </c>
      <c r="B466" s="2">
        <v>5610</v>
      </c>
      <c r="C466" s="16">
        <f t="shared" si="1056"/>
        <v>5.7831963721990502E-3</v>
      </c>
    </row>
    <row r="467" spans="1:3" x14ac:dyDescent="0.25">
      <c r="A467" s="1">
        <v>41170</v>
      </c>
      <c r="B467" s="2">
        <v>5600.0498049999997</v>
      </c>
      <c r="C467" s="16">
        <f t="shared" si="1056"/>
        <v>-1.7752280830506024E-3</v>
      </c>
    </row>
    <row r="468" spans="1:3" x14ac:dyDescent="0.25">
      <c r="A468" s="1">
        <v>41172</v>
      </c>
      <c r="B468" s="2">
        <v>5554.25</v>
      </c>
      <c r="C468" s="16">
        <f t="shared" si="1056"/>
        <v>-8.2120909764543289E-3</v>
      </c>
    </row>
    <row r="469" spans="1:3" x14ac:dyDescent="0.25">
      <c r="A469" s="1">
        <v>41173</v>
      </c>
      <c r="B469" s="2">
        <v>5691.1499020000001</v>
      </c>
      <c r="C469" s="16">
        <f t="shared" si="1056"/>
        <v>2.4348918985249268E-2</v>
      </c>
    </row>
    <row r="470" spans="1:3" x14ac:dyDescent="0.25">
      <c r="A470" s="1">
        <v>41176</v>
      </c>
      <c r="B470" s="2">
        <v>5669.6000979999999</v>
      </c>
      <c r="C470" s="16">
        <f t="shared" si="1056"/>
        <v>-3.7937336612701958E-3</v>
      </c>
    </row>
    <row r="471" spans="1:3" x14ac:dyDescent="0.25">
      <c r="A471" s="1">
        <v>41177</v>
      </c>
      <c r="B471" s="2">
        <v>5673.8999020000001</v>
      </c>
      <c r="C471" s="16">
        <f t="shared" si="1056"/>
        <v>7.5810890923183637E-4</v>
      </c>
    </row>
    <row r="472" spans="1:3" x14ac:dyDescent="0.25">
      <c r="A472" s="1">
        <v>41178</v>
      </c>
      <c r="B472" s="2">
        <v>5663.4501950000003</v>
      </c>
      <c r="C472" s="16">
        <f t="shared" si="1056"/>
        <v>-1.843413120306341E-3</v>
      </c>
    </row>
    <row r="473" spans="1:3" x14ac:dyDescent="0.25">
      <c r="A473" s="1">
        <v>41179</v>
      </c>
      <c r="B473" s="2">
        <v>5649.5</v>
      </c>
      <c r="C473" s="16">
        <f t="shared" si="1056"/>
        <v>-2.4662359208406826E-3</v>
      </c>
    </row>
    <row r="474" spans="1:3" x14ac:dyDescent="0.25">
      <c r="A474" s="1">
        <v>41180</v>
      </c>
      <c r="B474" s="2">
        <v>5703.2998049999997</v>
      </c>
      <c r="C474" s="16">
        <f t="shared" si="1056"/>
        <v>9.4778748256573869E-3</v>
      </c>
    </row>
    <row r="475" spans="1:3" x14ac:dyDescent="0.25">
      <c r="A475" s="1">
        <v>41183</v>
      </c>
      <c r="B475" s="2">
        <v>5718.7998049999997</v>
      </c>
      <c r="C475" s="16">
        <f t="shared" si="1056"/>
        <v>2.7140385819875985E-3</v>
      </c>
    </row>
    <row r="476" spans="1:3" x14ac:dyDescent="0.25">
      <c r="A476" s="1">
        <v>41185</v>
      </c>
      <c r="B476" s="2">
        <v>5731.25</v>
      </c>
      <c r="C476" s="16">
        <f t="shared" si="1056"/>
        <v>2.1746979478291608E-3</v>
      </c>
    </row>
    <row r="477" spans="1:3" x14ac:dyDescent="0.25">
      <c r="A477" s="1">
        <v>41186</v>
      </c>
      <c r="B477" s="2">
        <v>5787.6000979999999</v>
      </c>
      <c r="C477" s="16">
        <f t="shared" si="1056"/>
        <v>9.7840577909040806E-3</v>
      </c>
    </row>
    <row r="478" spans="1:3" x14ac:dyDescent="0.25">
      <c r="A478" s="1">
        <v>41187</v>
      </c>
      <c r="B478" s="2">
        <v>5746.9501950000003</v>
      </c>
      <c r="C478" s="16">
        <f t="shared" si="1056"/>
        <v>-7.0484015861474918E-3</v>
      </c>
    </row>
    <row r="479" spans="1:3" x14ac:dyDescent="0.25">
      <c r="A479" s="1">
        <v>41190</v>
      </c>
      <c r="B479" s="2">
        <v>5676</v>
      </c>
      <c r="C479" s="16">
        <f t="shared" si="1056"/>
        <v>-1.2422553929598361E-2</v>
      </c>
    </row>
    <row r="480" spans="1:3" x14ac:dyDescent="0.25">
      <c r="A480" s="1">
        <v>41191</v>
      </c>
      <c r="B480" s="2">
        <v>5704.6000979999999</v>
      </c>
      <c r="C480" s="16">
        <f t="shared" si="1056"/>
        <v>5.0261248021198175E-3</v>
      </c>
    </row>
    <row r="481" spans="1:3" x14ac:dyDescent="0.25">
      <c r="A481" s="1">
        <v>41192</v>
      </c>
      <c r="B481" s="2">
        <v>5652.1499020000001</v>
      </c>
      <c r="C481" s="16">
        <f t="shared" si="1056"/>
        <v>-9.2368976901986838E-3</v>
      </c>
    </row>
    <row r="482" spans="1:3" x14ac:dyDescent="0.25">
      <c r="A482" s="1">
        <v>41193</v>
      </c>
      <c r="B482" s="2">
        <v>5708.0498049999997</v>
      </c>
      <c r="C482" s="16">
        <f t="shared" si="1056"/>
        <v>9.8414386398263422E-3</v>
      </c>
    </row>
    <row r="483" spans="1:3" x14ac:dyDescent="0.25">
      <c r="A483" s="1">
        <v>41194</v>
      </c>
      <c r="B483" s="2">
        <v>5676.0498049999997</v>
      </c>
      <c r="C483" s="16">
        <f t="shared" si="1056"/>
        <v>-5.6218911249872744E-3</v>
      </c>
    </row>
    <row r="484" spans="1:3" x14ac:dyDescent="0.25">
      <c r="A484" s="1">
        <v>41197</v>
      </c>
      <c r="B484" s="2">
        <v>5687.25</v>
      </c>
      <c r="C484" s="16">
        <f t="shared" si="1056"/>
        <v>1.9712933424613291E-3</v>
      </c>
    </row>
    <row r="485" spans="1:3" x14ac:dyDescent="0.25">
      <c r="A485" s="1">
        <v>41198</v>
      </c>
      <c r="B485" s="2">
        <v>5648</v>
      </c>
      <c r="C485" s="16">
        <f t="shared" si="1056"/>
        <v>-6.9253270760766469E-3</v>
      </c>
    </row>
    <row r="486" spans="1:3" x14ac:dyDescent="0.25">
      <c r="A486" s="1">
        <v>41199</v>
      </c>
      <c r="B486" s="2">
        <v>5660.25</v>
      </c>
      <c r="C486" s="16">
        <f t="shared" si="1056"/>
        <v>2.1665606600093767E-3</v>
      </c>
    </row>
    <row r="487" spans="1:3" x14ac:dyDescent="0.25">
      <c r="A487" s="1">
        <v>41200</v>
      </c>
      <c r="B487" s="2">
        <v>5718.7001950000003</v>
      </c>
      <c r="C487" s="16">
        <f t="shared" si="1056"/>
        <v>1.0273480081781687E-2</v>
      </c>
    </row>
    <row r="488" spans="1:3" x14ac:dyDescent="0.25">
      <c r="A488" s="1">
        <v>41201</v>
      </c>
      <c r="B488" s="2">
        <v>5684.25</v>
      </c>
      <c r="C488" s="16">
        <f t="shared" si="1056"/>
        <v>-6.0423485546208687E-3</v>
      </c>
    </row>
    <row r="489" spans="1:3" x14ac:dyDescent="0.25">
      <c r="A489" s="1">
        <v>41204</v>
      </c>
      <c r="B489" s="2">
        <v>5717.1499020000001</v>
      </c>
      <c r="C489" s="16">
        <f t="shared" si="1056"/>
        <v>5.7712199552867188E-3</v>
      </c>
    </row>
    <row r="490" spans="1:3" x14ac:dyDescent="0.25">
      <c r="A490" s="1">
        <v>41205</v>
      </c>
      <c r="B490" s="2">
        <v>5691.3999020000001</v>
      </c>
      <c r="C490" s="16">
        <f t="shared" si="1056"/>
        <v>-4.5141659841977481E-3</v>
      </c>
    </row>
    <row r="491" spans="1:3" x14ac:dyDescent="0.25">
      <c r="A491" s="1">
        <v>41207</v>
      </c>
      <c r="B491" s="2">
        <v>5705.2998049999997</v>
      </c>
      <c r="C491" s="16">
        <f t="shared" si="1056"/>
        <v>2.4392868548841306E-3</v>
      </c>
    </row>
    <row r="492" spans="1:3" x14ac:dyDescent="0.25">
      <c r="A492" s="1">
        <v>41211</v>
      </c>
      <c r="B492" s="2">
        <v>5665.6000979999999</v>
      </c>
      <c r="C492" s="16">
        <f t="shared" si="1056"/>
        <v>-6.9827135312086055E-3</v>
      </c>
    </row>
    <row r="493" spans="1:3" x14ac:dyDescent="0.25">
      <c r="A493" s="1">
        <v>41212</v>
      </c>
      <c r="B493" s="2">
        <v>5597.8999020000001</v>
      </c>
      <c r="C493" s="16">
        <f t="shared" si="1056"/>
        <v>-1.2021309768420353E-2</v>
      </c>
    </row>
    <row r="494" spans="1:3" x14ac:dyDescent="0.25">
      <c r="A494" s="1">
        <v>41213</v>
      </c>
      <c r="B494" s="2">
        <v>5619.7001950000003</v>
      </c>
      <c r="C494" s="16">
        <f t="shared" si="1056"/>
        <v>3.8868064927822165E-3</v>
      </c>
    </row>
    <row r="495" spans="1:3" x14ac:dyDescent="0.25">
      <c r="A495" s="1">
        <v>41214</v>
      </c>
      <c r="B495" s="2">
        <v>5645.0498049999997</v>
      </c>
      <c r="C495" s="16">
        <f t="shared" si="1056"/>
        <v>4.5007040175482002E-3</v>
      </c>
    </row>
    <row r="496" spans="1:3" x14ac:dyDescent="0.25">
      <c r="A496" s="1">
        <v>41215</v>
      </c>
      <c r="B496" s="2">
        <v>5697.7001950000003</v>
      </c>
      <c r="C496" s="16">
        <f t="shared" si="1056"/>
        <v>9.2835984465538483E-3</v>
      </c>
    </row>
    <row r="497" spans="1:3" x14ac:dyDescent="0.25">
      <c r="A497" s="1">
        <v>41218</v>
      </c>
      <c r="B497" s="2">
        <v>5704.2001950000003</v>
      </c>
      <c r="C497" s="16">
        <f t="shared" si="1056"/>
        <v>1.1401609348998401E-3</v>
      </c>
    </row>
    <row r="498" spans="1:3" x14ac:dyDescent="0.25">
      <c r="A498" s="1">
        <v>41219</v>
      </c>
      <c r="B498" s="2">
        <v>5724.3999020000001</v>
      </c>
      <c r="C498" s="16">
        <f t="shared" si="1056"/>
        <v>3.5349435386461386E-3</v>
      </c>
    </row>
    <row r="499" spans="1:3" x14ac:dyDescent="0.25">
      <c r="A499" s="1">
        <v>41220</v>
      </c>
      <c r="B499" s="2">
        <v>5760.1000979999999</v>
      </c>
      <c r="C499" s="16">
        <f t="shared" si="1056"/>
        <v>6.2171293469165173E-3</v>
      </c>
    </row>
    <row r="500" spans="1:3" x14ac:dyDescent="0.25">
      <c r="A500" s="1">
        <v>41221</v>
      </c>
      <c r="B500" s="2">
        <v>5738.75</v>
      </c>
      <c r="C500" s="16">
        <f t="shared" si="1056"/>
        <v>-3.7134361005072268E-3</v>
      </c>
    </row>
    <row r="501" spans="1:3" x14ac:dyDescent="0.25">
      <c r="A501" s="1">
        <v>41222</v>
      </c>
      <c r="B501" s="2">
        <v>5686.25</v>
      </c>
      <c r="C501" s="16">
        <f t="shared" si="1056"/>
        <v>-9.1904366792179889E-3</v>
      </c>
    </row>
    <row r="502" spans="1:3" x14ac:dyDescent="0.25">
      <c r="A502" s="1">
        <v>41225</v>
      </c>
      <c r="B502" s="2">
        <v>5683.7001950000003</v>
      </c>
      <c r="C502" s="16">
        <f t="shared" si="1056"/>
        <v>-4.4851648406789133E-4</v>
      </c>
    </row>
    <row r="503" spans="1:3" x14ac:dyDescent="0.25">
      <c r="A503" s="1">
        <v>41228</v>
      </c>
      <c r="B503" s="2">
        <v>5631</v>
      </c>
      <c r="C503" s="16">
        <f t="shared" si="1056"/>
        <v>-9.3154171455273761E-3</v>
      </c>
    </row>
    <row r="504" spans="1:3" x14ac:dyDescent="0.25">
      <c r="A504" s="1">
        <v>41229</v>
      </c>
      <c r="B504" s="2">
        <v>5574.0498049999997</v>
      </c>
      <c r="C504" s="16">
        <f t="shared" si="1056"/>
        <v>-1.0165182017624312E-2</v>
      </c>
    </row>
    <row r="505" spans="1:3" x14ac:dyDescent="0.25">
      <c r="A505" s="1">
        <v>41232</v>
      </c>
      <c r="B505" s="2">
        <v>5571.3999020000001</v>
      </c>
      <c r="C505" s="16">
        <f t="shared" si="1056"/>
        <v>-4.7551298863542855E-4</v>
      </c>
    </row>
    <row r="506" spans="1:3" x14ac:dyDescent="0.25">
      <c r="A506" s="1">
        <v>41233</v>
      </c>
      <c r="B506" s="2">
        <v>5571.5498049999997</v>
      </c>
      <c r="C506" s="16">
        <f t="shared" si="1056"/>
        <v>2.6905443163644762E-5</v>
      </c>
    </row>
    <row r="507" spans="1:3" x14ac:dyDescent="0.25">
      <c r="A507" s="1">
        <v>41234</v>
      </c>
      <c r="B507" s="2">
        <v>5614.7998049999997</v>
      </c>
      <c r="C507" s="16">
        <f t="shared" si="1056"/>
        <v>7.7326772390047807E-3</v>
      </c>
    </row>
    <row r="508" spans="1:3" x14ac:dyDescent="0.25">
      <c r="A508" s="1">
        <v>41235</v>
      </c>
      <c r="B508" s="2">
        <v>5627.75</v>
      </c>
      <c r="C508" s="16">
        <f t="shared" si="1056"/>
        <v>2.3037835637456207E-3</v>
      </c>
    </row>
    <row r="509" spans="1:3" x14ac:dyDescent="0.25">
      <c r="A509" s="1">
        <v>41236</v>
      </c>
      <c r="B509" s="2">
        <v>5626.6000979999999</v>
      </c>
      <c r="C509" s="16">
        <f t="shared" si="1056"/>
        <v>-2.0434800659101016E-4</v>
      </c>
    </row>
    <row r="510" spans="1:3" x14ac:dyDescent="0.25">
      <c r="A510" s="1">
        <v>41239</v>
      </c>
      <c r="B510" s="2">
        <v>5635.8999020000001</v>
      </c>
      <c r="C510" s="16">
        <f t="shared" si="1056"/>
        <v>1.6514639047525996E-3</v>
      </c>
    </row>
    <row r="511" spans="1:3" x14ac:dyDescent="0.25">
      <c r="A511" s="1">
        <v>41240</v>
      </c>
      <c r="B511" s="2">
        <v>5727.4501950000003</v>
      </c>
      <c r="C511" s="16">
        <f t="shared" si="1056"/>
        <v>1.611360613136675E-2</v>
      </c>
    </row>
    <row r="512" spans="1:3" x14ac:dyDescent="0.25">
      <c r="A512" s="1">
        <v>41242</v>
      </c>
      <c r="B512" s="2">
        <v>5825</v>
      </c>
      <c r="C512" s="16">
        <f t="shared" si="1056"/>
        <v>1.6888559910100107E-2</v>
      </c>
    </row>
    <row r="513" spans="1:3" x14ac:dyDescent="0.25">
      <c r="A513" s="1">
        <v>41243</v>
      </c>
      <c r="B513" s="2">
        <v>5879.8500979999999</v>
      </c>
      <c r="C513" s="16">
        <f t="shared" si="1056"/>
        <v>9.372268596390473E-3</v>
      </c>
    </row>
    <row r="514" spans="1:3" x14ac:dyDescent="0.25">
      <c r="A514" s="1">
        <v>41246</v>
      </c>
      <c r="B514" s="2">
        <v>5870.9501950000003</v>
      </c>
      <c r="C514" s="16">
        <f t="shared" si="1056"/>
        <v>-1.5147742247082886E-3</v>
      </c>
    </row>
    <row r="515" spans="1:3" x14ac:dyDescent="0.25">
      <c r="A515" s="1">
        <v>41247</v>
      </c>
      <c r="B515" s="2">
        <v>5889.25</v>
      </c>
      <c r="C515" s="16">
        <f t="shared" si="1056"/>
        <v>3.1121612671323067E-3</v>
      </c>
    </row>
    <row r="516" spans="1:3" x14ac:dyDescent="0.25">
      <c r="A516" s="1">
        <v>41248</v>
      </c>
      <c r="B516" s="2">
        <v>5900.5</v>
      </c>
      <c r="C516" s="16">
        <f t="shared" ref="C516:C579" si="1057">LN(B516/B515)</f>
        <v>1.9084379930875174E-3</v>
      </c>
    </row>
    <row r="517" spans="1:3" x14ac:dyDescent="0.25">
      <c r="A517" s="1">
        <v>41249</v>
      </c>
      <c r="B517" s="2">
        <v>5930.8999020000001</v>
      </c>
      <c r="C517" s="16">
        <f t="shared" si="1057"/>
        <v>5.1388625440088346E-3</v>
      </c>
    </row>
    <row r="518" spans="1:3" x14ac:dyDescent="0.25">
      <c r="A518" s="1">
        <v>41250</v>
      </c>
      <c r="B518" s="2">
        <v>5907.3999020000001</v>
      </c>
      <c r="C518" s="16">
        <f t="shared" si="1057"/>
        <v>-3.9701699157491596E-3</v>
      </c>
    </row>
    <row r="519" spans="1:3" x14ac:dyDescent="0.25">
      <c r="A519" s="1">
        <v>41253</v>
      </c>
      <c r="B519" s="2">
        <v>5908.8999020000001</v>
      </c>
      <c r="C519" s="16">
        <f t="shared" si="1057"/>
        <v>2.5388658597663482E-4</v>
      </c>
    </row>
    <row r="520" spans="1:3" x14ac:dyDescent="0.25">
      <c r="A520" s="1">
        <v>41254</v>
      </c>
      <c r="B520" s="2">
        <v>5898.7998049999997</v>
      </c>
      <c r="C520" s="16">
        <f t="shared" si="1057"/>
        <v>-1.7107649608257038E-3</v>
      </c>
    </row>
    <row r="521" spans="1:3" x14ac:dyDescent="0.25">
      <c r="A521" s="1">
        <v>41255</v>
      </c>
      <c r="B521" s="2">
        <v>5888</v>
      </c>
      <c r="C521" s="16">
        <f t="shared" si="1057"/>
        <v>-1.8325259105020021E-3</v>
      </c>
    </row>
    <row r="522" spans="1:3" x14ac:dyDescent="0.25">
      <c r="A522" s="1">
        <v>41256</v>
      </c>
      <c r="B522" s="2">
        <v>5851.5</v>
      </c>
      <c r="C522" s="16">
        <f t="shared" si="1057"/>
        <v>-6.2183427938912548E-3</v>
      </c>
    </row>
    <row r="523" spans="1:3" x14ac:dyDescent="0.25">
      <c r="A523" s="1">
        <v>41257</v>
      </c>
      <c r="B523" s="2">
        <v>5879.6000979999999</v>
      </c>
      <c r="C523" s="16">
        <f t="shared" si="1057"/>
        <v>4.7907104208119696E-3</v>
      </c>
    </row>
    <row r="524" spans="1:3" x14ac:dyDescent="0.25">
      <c r="A524" s="1">
        <v>41260</v>
      </c>
      <c r="B524" s="2">
        <v>5857.8999020000001</v>
      </c>
      <c r="C524" s="16">
        <f t="shared" si="1057"/>
        <v>-3.6975881957891621E-3</v>
      </c>
    </row>
    <row r="525" spans="1:3" x14ac:dyDescent="0.25">
      <c r="A525" s="1">
        <v>41261</v>
      </c>
      <c r="B525" s="2">
        <v>5896.7998049999997</v>
      </c>
      <c r="C525" s="16">
        <f t="shared" si="1057"/>
        <v>6.6186369664515202E-3</v>
      </c>
    </row>
    <row r="526" spans="1:3" x14ac:dyDescent="0.25">
      <c r="A526" s="1">
        <v>41262</v>
      </c>
      <c r="B526" s="2">
        <v>5929.6000979999999</v>
      </c>
      <c r="C526" s="16">
        <f t="shared" si="1057"/>
        <v>5.5469758119981371E-3</v>
      </c>
    </row>
    <row r="527" spans="1:3" x14ac:dyDescent="0.25">
      <c r="A527" s="1">
        <v>41263</v>
      </c>
      <c r="B527" s="2">
        <v>5916.3999020000001</v>
      </c>
      <c r="C527" s="16">
        <f t="shared" si="1057"/>
        <v>-2.2286343852055863E-3</v>
      </c>
    </row>
    <row r="528" spans="1:3" x14ac:dyDescent="0.25">
      <c r="A528" s="1">
        <v>41264</v>
      </c>
      <c r="B528" s="2">
        <v>5847.7001950000003</v>
      </c>
      <c r="C528" s="16">
        <f t="shared" si="1057"/>
        <v>-1.1679684362502361E-2</v>
      </c>
    </row>
    <row r="529" spans="1:3" x14ac:dyDescent="0.25">
      <c r="A529" s="1">
        <v>41267</v>
      </c>
      <c r="B529" s="2">
        <v>5855.75</v>
      </c>
      <c r="C529" s="16">
        <f t="shared" si="1057"/>
        <v>1.3756296024336333E-3</v>
      </c>
    </row>
    <row r="530" spans="1:3" x14ac:dyDescent="0.25">
      <c r="A530" s="1">
        <v>41269</v>
      </c>
      <c r="B530" s="2">
        <v>5905.6000979999999</v>
      </c>
      <c r="C530" s="16">
        <f t="shared" si="1057"/>
        <v>8.4769853971336084E-3</v>
      </c>
    </row>
    <row r="531" spans="1:3" x14ac:dyDescent="0.25">
      <c r="A531" s="1">
        <v>41270</v>
      </c>
      <c r="B531" s="2">
        <v>5870.1000979999999</v>
      </c>
      <c r="C531" s="16">
        <f t="shared" si="1057"/>
        <v>-6.0293837232150895E-3</v>
      </c>
    </row>
    <row r="532" spans="1:3" x14ac:dyDescent="0.25">
      <c r="A532" s="1">
        <v>41271</v>
      </c>
      <c r="B532" s="2">
        <v>5908.3500979999999</v>
      </c>
      <c r="C532" s="16">
        <f t="shared" si="1057"/>
        <v>6.4949350424681482E-3</v>
      </c>
    </row>
    <row r="533" spans="1:3" x14ac:dyDescent="0.25">
      <c r="A533" s="1">
        <v>41274</v>
      </c>
      <c r="B533" s="2">
        <v>5905.1000979999999</v>
      </c>
      <c r="C533" s="16">
        <f t="shared" si="1057"/>
        <v>-5.5022030449552344E-4</v>
      </c>
    </row>
    <row r="534" spans="1:3" x14ac:dyDescent="0.25">
      <c r="A534" s="1">
        <v>41276</v>
      </c>
      <c r="B534" s="2">
        <v>5993.25</v>
      </c>
      <c r="C534" s="16">
        <f t="shared" si="1057"/>
        <v>1.4817435037771326E-2</v>
      </c>
    </row>
    <row r="535" spans="1:3" x14ac:dyDescent="0.25">
      <c r="A535" s="1">
        <v>41277</v>
      </c>
      <c r="B535" s="2">
        <v>6009.5</v>
      </c>
      <c r="C535" s="16">
        <f t="shared" si="1057"/>
        <v>2.7077144701615867E-3</v>
      </c>
    </row>
    <row r="536" spans="1:3" x14ac:dyDescent="0.25">
      <c r="A536" s="1">
        <v>41278</v>
      </c>
      <c r="B536" s="2">
        <v>6016.1499020000001</v>
      </c>
      <c r="C536" s="16">
        <f t="shared" si="1057"/>
        <v>1.1059531471481585E-3</v>
      </c>
    </row>
    <row r="537" spans="1:3" x14ac:dyDescent="0.25">
      <c r="A537" s="1">
        <v>41281</v>
      </c>
      <c r="B537" s="2">
        <v>5988.3999020000001</v>
      </c>
      <c r="C537" s="16">
        <f t="shared" si="1057"/>
        <v>-4.6232553292824743E-3</v>
      </c>
    </row>
    <row r="538" spans="1:3" x14ac:dyDescent="0.25">
      <c r="A538" s="1">
        <v>41282</v>
      </c>
      <c r="B538" s="2">
        <v>6001.7001950000003</v>
      </c>
      <c r="C538" s="16">
        <f t="shared" si="1057"/>
        <v>2.2185466923014289E-3</v>
      </c>
    </row>
    <row r="539" spans="1:3" x14ac:dyDescent="0.25">
      <c r="A539" s="1">
        <v>41283</v>
      </c>
      <c r="B539" s="2">
        <v>5971.5</v>
      </c>
      <c r="C539" s="16">
        <f t="shared" si="1057"/>
        <v>-5.0446427945288804E-3</v>
      </c>
    </row>
    <row r="540" spans="1:3" x14ac:dyDescent="0.25">
      <c r="A540" s="1">
        <v>41284</v>
      </c>
      <c r="B540" s="2">
        <v>5968.6499020000001</v>
      </c>
      <c r="C540" s="16">
        <f t="shared" si="1057"/>
        <v>-4.7739736561476628E-4</v>
      </c>
    </row>
    <row r="541" spans="1:3" x14ac:dyDescent="0.25">
      <c r="A541" s="1">
        <v>41285</v>
      </c>
      <c r="B541" s="2">
        <v>5951.2998049999997</v>
      </c>
      <c r="C541" s="16">
        <f t="shared" si="1057"/>
        <v>-2.9111044390791353E-3</v>
      </c>
    </row>
    <row r="542" spans="1:3" x14ac:dyDescent="0.25">
      <c r="A542" s="1">
        <v>41288</v>
      </c>
      <c r="B542" s="2">
        <v>6024.0498049999997</v>
      </c>
      <c r="C542" s="16">
        <f t="shared" si="1057"/>
        <v>1.2150107904048186E-2</v>
      </c>
    </row>
    <row r="543" spans="1:3" x14ac:dyDescent="0.25">
      <c r="A543" s="1">
        <v>41289</v>
      </c>
      <c r="B543" s="2">
        <v>6056.6000979999999</v>
      </c>
      <c r="C543" s="16">
        <f t="shared" si="1057"/>
        <v>5.3888444797369267E-3</v>
      </c>
    </row>
    <row r="544" spans="1:3" x14ac:dyDescent="0.25">
      <c r="A544" s="1">
        <v>41290</v>
      </c>
      <c r="B544" s="2">
        <v>6001.8500979999999</v>
      </c>
      <c r="C544" s="16">
        <f t="shared" si="1057"/>
        <v>-9.080831340702266E-3</v>
      </c>
    </row>
    <row r="545" spans="1:3" x14ac:dyDescent="0.25">
      <c r="A545" s="1">
        <v>41291</v>
      </c>
      <c r="B545" s="2">
        <v>6039.2001950000003</v>
      </c>
      <c r="C545" s="16">
        <f t="shared" si="1057"/>
        <v>6.2038137675890373E-3</v>
      </c>
    </row>
    <row r="546" spans="1:3" x14ac:dyDescent="0.25">
      <c r="A546" s="1">
        <v>41292</v>
      </c>
      <c r="B546" s="2">
        <v>6064.3999020000001</v>
      </c>
      <c r="C546" s="16">
        <f t="shared" si="1057"/>
        <v>4.1640079330830335E-3</v>
      </c>
    </row>
    <row r="547" spans="1:3" x14ac:dyDescent="0.25">
      <c r="A547" s="1">
        <v>41295</v>
      </c>
      <c r="B547" s="2">
        <v>6082.2998049999997</v>
      </c>
      <c r="C547" s="16">
        <f t="shared" si="1057"/>
        <v>2.9472887926901142E-3</v>
      </c>
    </row>
    <row r="548" spans="1:3" x14ac:dyDescent="0.25">
      <c r="A548" s="1">
        <v>41296</v>
      </c>
      <c r="B548" s="2">
        <v>6048.5</v>
      </c>
      <c r="C548" s="16">
        <f t="shared" si="1057"/>
        <v>-5.5725744403297018E-3</v>
      </c>
    </row>
    <row r="549" spans="1:3" x14ac:dyDescent="0.25">
      <c r="A549" s="1">
        <v>41297</v>
      </c>
      <c r="B549" s="2">
        <v>6054.2998049999997</v>
      </c>
      <c r="C549" s="16">
        <f t="shared" si="1057"/>
        <v>9.5842375936296869E-4</v>
      </c>
    </row>
    <row r="550" spans="1:3" x14ac:dyDescent="0.25">
      <c r="A550" s="1">
        <v>41298</v>
      </c>
      <c r="B550" s="2">
        <v>6019.3500979999999</v>
      </c>
      <c r="C550" s="16">
        <f t="shared" si="1057"/>
        <v>-5.7894348270481717E-3</v>
      </c>
    </row>
    <row r="551" spans="1:3" x14ac:dyDescent="0.25">
      <c r="A551" s="1">
        <v>41299</v>
      </c>
      <c r="B551" s="2">
        <v>6074.6499020000001</v>
      </c>
      <c r="C551" s="16">
        <f t="shared" si="1057"/>
        <v>9.1450619154879193E-3</v>
      </c>
    </row>
    <row r="552" spans="1:3" x14ac:dyDescent="0.25">
      <c r="A552" s="1">
        <v>41302</v>
      </c>
      <c r="B552" s="2">
        <v>6074.7998049999997</v>
      </c>
      <c r="C552" s="16">
        <f t="shared" si="1057"/>
        <v>2.4676508586305325E-5</v>
      </c>
    </row>
    <row r="553" spans="1:3" x14ac:dyDescent="0.25">
      <c r="A553" s="1">
        <v>41303</v>
      </c>
      <c r="B553" s="2">
        <v>6049.8999020000001</v>
      </c>
      <c r="C553" s="16">
        <f t="shared" si="1057"/>
        <v>-4.107307992243985E-3</v>
      </c>
    </row>
    <row r="554" spans="1:3" x14ac:dyDescent="0.25">
      <c r="A554" s="1">
        <v>41304</v>
      </c>
      <c r="B554" s="2">
        <v>6055.75</v>
      </c>
      <c r="C554" s="16">
        <f t="shared" si="1057"/>
        <v>9.6650712729305351E-4</v>
      </c>
    </row>
    <row r="555" spans="1:3" x14ac:dyDescent="0.25">
      <c r="A555" s="1">
        <v>41305</v>
      </c>
      <c r="B555" s="2">
        <v>6034.75</v>
      </c>
      <c r="C555" s="16">
        <f t="shared" si="1057"/>
        <v>-3.4738052384617689E-3</v>
      </c>
    </row>
    <row r="556" spans="1:3" x14ac:dyDescent="0.25">
      <c r="A556" s="1">
        <v>41306</v>
      </c>
      <c r="B556" s="2">
        <v>5998.8999020000001</v>
      </c>
      <c r="C556" s="16">
        <f t="shared" si="1057"/>
        <v>-5.958325919959072E-3</v>
      </c>
    </row>
    <row r="557" spans="1:3" x14ac:dyDescent="0.25">
      <c r="A557" s="1">
        <v>41309</v>
      </c>
      <c r="B557" s="2">
        <v>5987.25</v>
      </c>
      <c r="C557" s="16">
        <f t="shared" si="1057"/>
        <v>-1.9438945389024323E-3</v>
      </c>
    </row>
    <row r="558" spans="1:3" x14ac:dyDescent="0.25">
      <c r="A558" s="1">
        <v>41310</v>
      </c>
      <c r="B558" s="2">
        <v>5956.8999020000001</v>
      </c>
      <c r="C558" s="16">
        <f t="shared" si="1057"/>
        <v>-5.0820131310521568E-3</v>
      </c>
    </row>
    <row r="559" spans="1:3" x14ac:dyDescent="0.25">
      <c r="A559" s="1">
        <v>41311</v>
      </c>
      <c r="B559" s="2">
        <v>5959.2001950000003</v>
      </c>
      <c r="C559" s="16">
        <f t="shared" si="1057"/>
        <v>3.8608152161330391E-4</v>
      </c>
    </row>
    <row r="560" spans="1:3" x14ac:dyDescent="0.25">
      <c r="A560" s="1">
        <v>41312</v>
      </c>
      <c r="B560" s="2">
        <v>5938.7998049999997</v>
      </c>
      <c r="C560" s="16">
        <f t="shared" si="1057"/>
        <v>-3.4292166736551765E-3</v>
      </c>
    </row>
    <row r="561" spans="1:3" x14ac:dyDescent="0.25">
      <c r="A561" s="1">
        <v>41313</v>
      </c>
      <c r="B561" s="2">
        <v>5903.5</v>
      </c>
      <c r="C561" s="16">
        <f t="shared" si="1057"/>
        <v>-5.9616645637594933E-3</v>
      </c>
    </row>
    <row r="562" spans="1:3" x14ac:dyDescent="0.25">
      <c r="A562" s="1">
        <v>41316</v>
      </c>
      <c r="B562" s="2">
        <v>5897.8500979999999</v>
      </c>
      <c r="C562" s="16">
        <f t="shared" si="1057"/>
        <v>-9.5750102907531305E-4</v>
      </c>
    </row>
    <row r="563" spans="1:3" x14ac:dyDescent="0.25">
      <c r="A563" s="1">
        <v>41317</v>
      </c>
      <c r="B563" s="2">
        <v>5922.5</v>
      </c>
      <c r="C563" s="16">
        <f t="shared" si="1057"/>
        <v>4.1707627148514547E-3</v>
      </c>
    </row>
    <row r="564" spans="1:3" x14ac:dyDescent="0.25">
      <c r="A564" s="1">
        <v>41318</v>
      </c>
      <c r="B564" s="2">
        <v>5932.9501950000003</v>
      </c>
      <c r="C564" s="16">
        <f t="shared" si="1057"/>
        <v>1.7629356177393811E-3</v>
      </c>
    </row>
    <row r="565" spans="1:3" x14ac:dyDescent="0.25">
      <c r="A565" s="1">
        <v>41319</v>
      </c>
      <c r="B565" s="2">
        <v>5896.9501950000003</v>
      </c>
      <c r="C565" s="16">
        <f t="shared" si="1057"/>
        <v>-6.0862915057502982E-3</v>
      </c>
    </row>
    <row r="566" spans="1:3" x14ac:dyDescent="0.25">
      <c r="A566" s="1">
        <v>41320</v>
      </c>
      <c r="B566" s="2">
        <v>5887.3999020000001</v>
      </c>
      <c r="C566" s="16">
        <f t="shared" si="1057"/>
        <v>-1.62084374822783E-3</v>
      </c>
    </row>
    <row r="567" spans="1:3" x14ac:dyDescent="0.25">
      <c r="A567" s="1">
        <v>41323</v>
      </c>
      <c r="B567" s="2">
        <v>5898.2001950000003</v>
      </c>
      <c r="C567" s="16">
        <f t="shared" si="1057"/>
        <v>1.8327952644609572E-3</v>
      </c>
    </row>
    <row r="568" spans="1:3" x14ac:dyDescent="0.25">
      <c r="A568" s="1">
        <v>41324</v>
      </c>
      <c r="B568" s="2">
        <v>5939.7001950000003</v>
      </c>
      <c r="C568" s="16">
        <f t="shared" si="1057"/>
        <v>7.0114071995400987E-3</v>
      </c>
    </row>
    <row r="569" spans="1:3" x14ac:dyDescent="0.25">
      <c r="A569" s="1">
        <v>41325</v>
      </c>
      <c r="B569" s="2">
        <v>5943.0498049999997</v>
      </c>
      <c r="C569" s="16">
        <f t="shared" si="1057"/>
        <v>5.6377691842720819E-4</v>
      </c>
    </row>
    <row r="570" spans="1:3" x14ac:dyDescent="0.25">
      <c r="A570" s="1">
        <v>41326</v>
      </c>
      <c r="B570" s="2">
        <v>5852.25</v>
      </c>
      <c r="C570" s="16">
        <f t="shared" si="1057"/>
        <v>-1.5396234114149917E-2</v>
      </c>
    </row>
    <row r="571" spans="1:3" x14ac:dyDescent="0.25">
      <c r="A571" s="1">
        <v>41327</v>
      </c>
      <c r="B571" s="2">
        <v>5850.2998049999997</v>
      </c>
      <c r="C571" s="16">
        <f t="shared" si="1057"/>
        <v>-3.3329403430020703E-4</v>
      </c>
    </row>
    <row r="572" spans="1:3" x14ac:dyDescent="0.25">
      <c r="A572" s="1">
        <v>41330</v>
      </c>
      <c r="B572" s="2">
        <v>5854.75</v>
      </c>
      <c r="C572" s="16">
        <f t="shared" si="1057"/>
        <v>7.6038894127917404E-4</v>
      </c>
    </row>
    <row r="573" spans="1:3" x14ac:dyDescent="0.25">
      <c r="A573" s="1">
        <v>41331</v>
      </c>
      <c r="B573" s="2">
        <v>5761.3500979999999</v>
      </c>
      <c r="C573" s="16">
        <f t="shared" si="1057"/>
        <v>-1.6081458333649965E-2</v>
      </c>
    </row>
    <row r="574" spans="1:3" x14ac:dyDescent="0.25">
      <c r="A574" s="1">
        <v>41332</v>
      </c>
      <c r="B574" s="2">
        <v>5796.8999020000001</v>
      </c>
      <c r="C574" s="16">
        <f t="shared" si="1057"/>
        <v>6.1514357451674783E-3</v>
      </c>
    </row>
    <row r="575" spans="1:3" x14ac:dyDescent="0.25">
      <c r="A575" s="1">
        <v>41333</v>
      </c>
      <c r="B575" s="2">
        <v>5693.0498049999997</v>
      </c>
      <c r="C575" s="16">
        <f t="shared" si="1057"/>
        <v>-1.8077176607637836E-2</v>
      </c>
    </row>
    <row r="576" spans="1:3" x14ac:dyDescent="0.25">
      <c r="A576" s="1">
        <v>41334</v>
      </c>
      <c r="B576" s="2">
        <v>5719.7001950000003</v>
      </c>
      <c r="C576" s="16">
        <f t="shared" si="1057"/>
        <v>4.6702921628328075E-3</v>
      </c>
    </row>
    <row r="577" spans="1:3" x14ac:dyDescent="0.25">
      <c r="A577" s="1">
        <v>41337</v>
      </c>
      <c r="B577" s="2">
        <v>5698.5</v>
      </c>
      <c r="C577" s="16">
        <f t="shared" si="1057"/>
        <v>-3.7134082428818011E-3</v>
      </c>
    </row>
    <row r="578" spans="1:3" x14ac:dyDescent="0.25">
      <c r="A578" s="1">
        <v>41338</v>
      </c>
      <c r="B578" s="2">
        <v>5784.25</v>
      </c>
      <c r="C578" s="16">
        <f t="shared" si="1057"/>
        <v>1.4935724292001495E-2</v>
      </c>
    </row>
    <row r="579" spans="1:3" x14ac:dyDescent="0.25">
      <c r="A579" s="1">
        <v>41339</v>
      </c>
      <c r="B579" s="2">
        <v>5818.6000979999999</v>
      </c>
      <c r="C579" s="16">
        <f t="shared" si="1057"/>
        <v>5.9209932153019527E-3</v>
      </c>
    </row>
    <row r="580" spans="1:3" x14ac:dyDescent="0.25">
      <c r="A580" s="1">
        <v>41340</v>
      </c>
      <c r="B580" s="2">
        <v>5863.2998049999997</v>
      </c>
      <c r="C580" s="16">
        <f t="shared" ref="C580:C643" si="1058">LN(B580/B579)</f>
        <v>7.6528519381952771E-3</v>
      </c>
    </row>
    <row r="581" spans="1:3" x14ac:dyDescent="0.25">
      <c r="A581" s="1">
        <v>41341</v>
      </c>
      <c r="B581" s="2">
        <v>5945.7001950000003</v>
      </c>
      <c r="C581" s="16">
        <f t="shared" si="1058"/>
        <v>1.3955750253933499E-2</v>
      </c>
    </row>
    <row r="582" spans="1:3" x14ac:dyDescent="0.25">
      <c r="A582" s="1">
        <v>41344</v>
      </c>
      <c r="B582" s="2">
        <v>5942.3500979999999</v>
      </c>
      <c r="C582" s="16">
        <f t="shared" si="1058"/>
        <v>-5.6360748922032445E-4</v>
      </c>
    </row>
    <row r="583" spans="1:3" x14ac:dyDescent="0.25">
      <c r="A583" s="1">
        <v>41345</v>
      </c>
      <c r="B583" s="2">
        <v>5914.1000979999999</v>
      </c>
      <c r="C583" s="16">
        <f t="shared" si="1058"/>
        <v>-4.765347636545336E-3</v>
      </c>
    </row>
    <row r="584" spans="1:3" x14ac:dyDescent="0.25">
      <c r="A584" s="1">
        <v>41346</v>
      </c>
      <c r="B584" s="2">
        <v>5851.2001950000003</v>
      </c>
      <c r="C584" s="16">
        <f t="shared" si="1058"/>
        <v>-1.0692545147843258E-2</v>
      </c>
    </row>
    <row r="585" spans="1:3" x14ac:dyDescent="0.25">
      <c r="A585" s="1">
        <v>41347</v>
      </c>
      <c r="B585" s="2">
        <v>5908.9501950000003</v>
      </c>
      <c r="C585" s="16">
        <f t="shared" si="1058"/>
        <v>9.8213819204064998E-3</v>
      </c>
    </row>
    <row r="586" spans="1:3" x14ac:dyDescent="0.25">
      <c r="A586" s="1">
        <v>41348</v>
      </c>
      <c r="B586" s="2">
        <v>5872.6000979999999</v>
      </c>
      <c r="C586" s="16">
        <f t="shared" si="1058"/>
        <v>-6.1707010434919711E-3</v>
      </c>
    </row>
    <row r="587" spans="1:3" x14ac:dyDescent="0.25">
      <c r="A587" s="1">
        <v>41351</v>
      </c>
      <c r="B587" s="2">
        <v>5835.25</v>
      </c>
      <c r="C587" s="16">
        <f t="shared" si="1058"/>
        <v>-6.3803728942313492E-3</v>
      </c>
    </row>
    <row r="588" spans="1:3" x14ac:dyDescent="0.25">
      <c r="A588" s="1">
        <v>41352</v>
      </c>
      <c r="B588" s="2">
        <v>5745.9501950000003</v>
      </c>
      <c r="C588" s="16">
        <f t="shared" si="1058"/>
        <v>-1.5421816971509591E-2</v>
      </c>
    </row>
    <row r="589" spans="1:3" x14ac:dyDescent="0.25">
      <c r="A589" s="1">
        <v>41353</v>
      </c>
      <c r="B589" s="2">
        <v>5694.3999020000001</v>
      </c>
      <c r="C589" s="16">
        <f t="shared" si="1058"/>
        <v>-9.0120741867492186E-3</v>
      </c>
    </row>
    <row r="590" spans="1:3" x14ac:dyDescent="0.25">
      <c r="A590" s="1">
        <v>41354</v>
      </c>
      <c r="B590" s="2">
        <v>5658.75</v>
      </c>
      <c r="C590" s="16">
        <f t="shared" si="1058"/>
        <v>-6.2801987958693234E-3</v>
      </c>
    </row>
    <row r="591" spans="1:3" x14ac:dyDescent="0.25">
      <c r="A591" s="1">
        <v>41355</v>
      </c>
      <c r="B591" s="2">
        <v>5651.3500979999999</v>
      </c>
      <c r="C591" s="16">
        <f t="shared" si="1058"/>
        <v>-1.3085477567455056E-3</v>
      </c>
    </row>
    <row r="592" spans="1:3" x14ac:dyDescent="0.25">
      <c r="A592" s="1">
        <v>41358</v>
      </c>
      <c r="B592" s="2">
        <v>5633.8500979999999</v>
      </c>
      <c r="C592" s="16">
        <f t="shared" si="1058"/>
        <v>-3.1014095848351506E-3</v>
      </c>
    </row>
    <row r="593" spans="1:3" x14ac:dyDescent="0.25">
      <c r="A593" s="1">
        <v>41359</v>
      </c>
      <c r="B593" s="2">
        <v>5641.6000979999999</v>
      </c>
      <c r="C593" s="16">
        <f t="shared" si="1058"/>
        <v>1.3746681659218048E-3</v>
      </c>
    </row>
    <row r="594" spans="1:3" x14ac:dyDescent="0.25">
      <c r="A594" s="1">
        <v>41361</v>
      </c>
      <c r="B594" s="2">
        <v>5682.5498049999997</v>
      </c>
      <c r="C594" s="16">
        <f t="shared" si="1058"/>
        <v>7.2323107420242038E-3</v>
      </c>
    </row>
    <row r="595" spans="1:3" x14ac:dyDescent="0.25">
      <c r="A595" s="1">
        <v>41365</v>
      </c>
      <c r="B595" s="2">
        <v>5704.3999020000001</v>
      </c>
      <c r="C595" s="16">
        <f t="shared" si="1058"/>
        <v>3.8377483663572451E-3</v>
      </c>
    </row>
    <row r="596" spans="1:3" x14ac:dyDescent="0.25">
      <c r="A596" s="1">
        <v>41366</v>
      </c>
      <c r="B596" s="2">
        <v>5748.1000979999999</v>
      </c>
      <c r="C596" s="16">
        <f t="shared" si="1058"/>
        <v>7.6315927694060133E-3</v>
      </c>
    </row>
    <row r="597" spans="1:3" x14ac:dyDescent="0.25">
      <c r="A597" s="1">
        <v>41367</v>
      </c>
      <c r="B597" s="2">
        <v>5672.8999020000001</v>
      </c>
      <c r="C597" s="16">
        <f t="shared" si="1058"/>
        <v>-1.3168948913867723E-2</v>
      </c>
    </row>
    <row r="598" spans="1:3" x14ac:dyDescent="0.25">
      <c r="A598" s="1">
        <v>41368</v>
      </c>
      <c r="B598" s="2">
        <v>5574.75</v>
      </c>
      <c r="C598" s="16">
        <f t="shared" si="1058"/>
        <v>-1.7452960264916658E-2</v>
      </c>
    </row>
    <row r="599" spans="1:3" x14ac:dyDescent="0.25">
      <c r="A599" s="1">
        <v>41369</v>
      </c>
      <c r="B599" s="2">
        <v>5553.25</v>
      </c>
      <c r="C599" s="16">
        <f t="shared" si="1058"/>
        <v>-3.864131335780677E-3</v>
      </c>
    </row>
    <row r="600" spans="1:3" x14ac:dyDescent="0.25">
      <c r="A600" s="1">
        <v>41372</v>
      </c>
      <c r="B600" s="2">
        <v>5542.9501950000003</v>
      </c>
      <c r="C600" s="16">
        <f t="shared" si="1058"/>
        <v>-1.85645676486112E-3</v>
      </c>
    </row>
    <row r="601" spans="1:3" x14ac:dyDescent="0.25">
      <c r="A601" s="1">
        <v>41373</v>
      </c>
      <c r="B601" s="2">
        <v>5495.1000979999999</v>
      </c>
      <c r="C601" s="16">
        <f t="shared" si="1058"/>
        <v>-8.6700813045196105E-3</v>
      </c>
    </row>
    <row r="602" spans="1:3" x14ac:dyDescent="0.25">
      <c r="A602" s="1">
        <v>41374</v>
      </c>
      <c r="B602" s="2">
        <v>5558.7001950000003</v>
      </c>
      <c r="C602" s="16">
        <f t="shared" si="1058"/>
        <v>1.1507499168271453E-2</v>
      </c>
    </row>
    <row r="603" spans="1:3" x14ac:dyDescent="0.25">
      <c r="A603" s="1">
        <v>41375</v>
      </c>
      <c r="B603" s="2">
        <v>5594</v>
      </c>
      <c r="C603" s="16">
        <f t="shared" si="1058"/>
        <v>6.3302917252823013E-3</v>
      </c>
    </row>
    <row r="604" spans="1:3" x14ac:dyDescent="0.25">
      <c r="A604" s="1">
        <v>41376</v>
      </c>
      <c r="B604" s="2">
        <v>5528.5498049999997</v>
      </c>
      <c r="C604" s="16">
        <f t="shared" si="1058"/>
        <v>-1.1769055047304191E-2</v>
      </c>
    </row>
    <row r="605" spans="1:3" x14ac:dyDescent="0.25">
      <c r="A605" s="1">
        <v>41379</v>
      </c>
      <c r="B605" s="2">
        <v>5568.3999020000001</v>
      </c>
      <c r="C605" s="16">
        <f t="shared" si="1058"/>
        <v>7.1822022005008888E-3</v>
      </c>
    </row>
    <row r="606" spans="1:3" x14ac:dyDescent="0.25">
      <c r="A606" s="1">
        <v>41380</v>
      </c>
      <c r="B606" s="2">
        <v>5688.9501950000003</v>
      </c>
      <c r="C606" s="16">
        <f t="shared" si="1058"/>
        <v>2.1417989183056148E-2</v>
      </c>
    </row>
    <row r="607" spans="1:3" x14ac:dyDescent="0.25">
      <c r="A607" s="1">
        <v>41381</v>
      </c>
      <c r="B607" s="2">
        <v>5688.7001950000003</v>
      </c>
      <c r="C607" s="16">
        <f t="shared" si="1058"/>
        <v>-4.3945804532722242E-5</v>
      </c>
    </row>
    <row r="608" spans="1:3" x14ac:dyDescent="0.25">
      <c r="A608" s="1">
        <v>41382</v>
      </c>
      <c r="B608" s="2">
        <v>5783.1000979999999</v>
      </c>
      <c r="C608" s="16">
        <f t="shared" si="1058"/>
        <v>1.645810272395867E-2</v>
      </c>
    </row>
    <row r="609" spans="1:3" x14ac:dyDescent="0.25">
      <c r="A609" s="1">
        <v>41386</v>
      </c>
      <c r="B609" s="2">
        <v>5834.3999020000001</v>
      </c>
      <c r="C609" s="16">
        <f t="shared" si="1058"/>
        <v>8.831527855510786E-3</v>
      </c>
    </row>
    <row r="610" spans="1:3" x14ac:dyDescent="0.25">
      <c r="A610" s="1">
        <v>41387</v>
      </c>
      <c r="B610" s="2">
        <v>5836.8999020000001</v>
      </c>
      <c r="C610" s="16">
        <f t="shared" si="1058"/>
        <v>4.2840130580444342E-4</v>
      </c>
    </row>
    <row r="611" spans="1:3" x14ac:dyDescent="0.25">
      <c r="A611" s="1">
        <v>41389</v>
      </c>
      <c r="B611" s="2">
        <v>5916.2998049999997</v>
      </c>
      <c r="C611" s="16">
        <f t="shared" si="1058"/>
        <v>1.3511403345444272E-2</v>
      </c>
    </row>
    <row r="612" spans="1:3" x14ac:dyDescent="0.25">
      <c r="A612" s="1">
        <v>41390</v>
      </c>
      <c r="B612" s="2">
        <v>5871.4501950000003</v>
      </c>
      <c r="C612" s="16">
        <f t="shared" si="1058"/>
        <v>-7.609565255396902E-3</v>
      </c>
    </row>
    <row r="613" spans="1:3" x14ac:dyDescent="0.25">
      <c r="A613" s="1">
        <v>41393</v>
      </c>
      <c r="B613" s="2">
        <v>5904.1000979999999</v>
      </c>
      <c r="C613" s="16">
        <f t="shared" si="1058"/>
        <v>5.5453861359328052E-3</v>
      </c>
    </row>
    <row r="614" spans="1:3" x14ac:dyDescent="0.25">
      <c r="A614" s="1">
        <v>41394</v>
      </c>
      <c r="B614" s="2">
        <v>5930.2001950000003</v>
      </c>
      <c r="C614" s="16">
        <f t="shared" si="1058"/>
        <v>4.410930713504963E-3</v>
      </c>
    </row>
    <row r="615" spans="1:3" x14ac:dyDescent="0.25">
      <c r="A615" s="1">
        <v>41396</v>
      </c>
      <c r="B615" s="2">
        <v>5999.3500979999999</v>
      </c>
      <c r="C615" s="16">
        <f t="shared" si="1058"/>
        <v>1.1593174225097966E-2</v>
      </c>
    </row>
    <row r="616" spans="1:3" x14ac:dyDescent="0.25">
      <c r="A616" s="1">
        <v>41397</v>
      </c>
      <c r="B616" s="2">
        <v>5944</v>
      </c>
      <c r="C616" s="16">
        <f t="shared" si="1058"/>
        <v>-9.2688389458869969E-3</v>
      </c>
    </row>
    <row r="617" spans="1:3" x14ac:dyDescent="0.25">
      <c r="A617" s="1">
        <v>41400</v>
      </c>
      <c r="B617" s="2">
        <v>5971.0498049999997</v>
      </c>
      <c r="C617" s="16">
        <f t="shared" si="1058"/>
        <v>4.5404512634963125E-3</v>
      </c>
    </row>
    <row r="618" spans="1:3" x14ac:dyDescent="0.25">
      <c r="A618" s="1">
        <v>41401</v>
      </c>
      <c r="B618" s="2">
        <v>6043.5498049999997</v>
      </c>
      <c r="C618" s="16">
        <f t="shared" si="1058"/>
        <v>1.2068796689926335E-2</v>
      </c>
    </row>
    <row r="619" spans="1:3" x14ac:dyDescent="0.25">
      <c r="A619" s="1">
        <v>41402</v>
      </c>
      <c r="B619" s="2">
        <v>6069.2998049999997</v>
      </c>
      <c r="C619" s="16">
        <f t="shared" si="1058"/>
        <v>4.2516896715484804E-3</v>
      </c>
    </row>
    <row r="620" spans="1:3" x14ac:dyDescent="0.25">
      <c r="A620" s="1">
        <v>41403</v>
      </c>
      <c r="B620" s="2">
        <v>6050.1499020000001</v>
      </c>
      <c r="C620" s="16">
        <f t="shared" si="1058"/>
        <v>-3.1601961145458343E-3</v>
      </c>
    </row>
    <row r="621" spans="1:3" x14ac:dyDescent="0.25">
      <c r="A621" s="1">
        <v>41404</v>
      </c>
      <c r="B621" s="2">
        <v>6094.75</v>
      </c>
      <c r="C621" s="16">
        <f t="shared" si="1058"/>
        <v>7.3446959388866005E-3</v>
      </c>
    </row>
    <row r="622" spans="1:3" x14ac:dyDescent="0.25">
      <c r="A622" s="1">
        <v>41407</v>
      </c>
      <c r="B622" s="2">
        <v>5980.4501950000003</v>
      </c>
      <c r="C622" s="16">
        <f t="shared" si="1058"/>
        <v>-1.8931896291069807E-2</v>
      </c>
    </row>
    <row r="623" spans="1:3" x14ac:dyDescent="0.25">
      <c r="A623" s="1">
        <v>41408</v>
      </c>
      <c r="B623" s="2">
        <v>5995.3999020000001</v>
      </c>
      <c r="C623" s="16">
        <f t="shared" si="1058"/>
        <v>2.4966436026376934E-3</v>
      </c>
    </row>
    <row r="624" spans="1:3" x14ac:dyDescent="0.25">
      <c r="A624" s="1">
        <v>41409</v>
      </c>
      <c r="B624" s="2">
        <v>6146.75</v>
      </c>
      <c r="C624" s="16">
        <f t="shared" si="1058"/>
        <v>2.4930994675829449E-2</v>
      </c>
    </row>
    <row r="625" spans="1:3" x14ac:dyDescent="0.25">
      <c r="A625" s="1">
        <v>41410</v>
      </c>
      <c r="B625" s="2">
        <v>6169.8999020000001</v>
      </c>
      <c r="C625" s="16">
        <f t="shared" si="1058"/>
        <v>3.7591275947937174E-3</v>
      </c>
    </row>
    <row r="626" spans="1:3" x14ac:dyDescent="0.25">
      <c r="A626" s="1">
        <v>41411</v>
      </c>
      <c r="B626" s="2">
        <v>6187.2998049999997</v>
      </c>
      <c r="C626" s="16">
        <f t="shared" si="1058"/>
        <v>2.8161581769468123E-3</v>
      </c>
    </row>
    <row r="627" spans="1:3" x14ac:dyDescent="0.25">
      <c r="A627" s="1">
        <v>41414</v>
      </c>
      <c r="B627" s="2">
        <v>6156.8999020000001</v>
      </c>
      <c r="C627" s="16">
        <f t="shared" si="1058"/>
        <v>-4.9253844199743041E-3</v>
      </c>
    </row>
    <row r="628" spans="1:3" x14ac:dyDescent="0.25">
      <c r="A628" s="1">
        <v>41415</v>
      </c>
      <c r="B628" s="2">
        <v>6114.1000979999999</v>
      </c>
      <c r="C628" s="16">
        <f t="shared" si="1058"/>
        <v>-6.9757929360414351E-3</v>
      </c>
    </row>
    <row r="629" spans="1:3" x14ac:dyDescent="0.25">
      <c r="A629" s="1">
        <v>41416</v>
      </c>
      <c r="B629" s="2">
        <v>6094.5</v>
      </c>
      <c r="C629" s="16">
        <f t="shared" si="1058"/>
        <v>-3.2108701541379604E-3</v>
      </c>
    </row>
    <row r="630" spans="1:3" x14ac:dyDescent="0.25">
      <c r="A630" s="1">
        <v>41417</v>
      </c>
      <c r="B630" s="2">
        <v>5967.0498049999997</v>
      </c>
      <c r="C630" s="16">
        <f t="shared" si="1058"/>
        <v>-2.1134089868237629E-2</v>
      </c>
    </row>
    <row r="631" spans="1:3" x14ac:dyDescent="0.25">
      <c r="A631" s="1">
        <v>41418</v>
      </c>
      <c r="B631" s="2">
        <v>5983.5498049999997</v>
      </c>
      <c r="C631" s="16">
        <f t="shared" si="1058"/>
        <v>2.7613694748485282E-3</v>
      </c>
    </row>
    <row r="632" spans="1:3" x14ac:dyDescent="0.25">
      <c r="A632" s="1">
        <v>41421</v>
      </c>
      <c r="B632" s="2">
        <v>6083.1499020000001</v>
      </c>
      <c r="C632" s="16">
        <f t="shared" si="1058"/>
        <v>1.6508633089521635E-2</v>
      </c>
    </row>
    <row r="633" spans="1:3" x14ac:dyDescent="0.25">
      <c r="A633" s="1">
        <v>41422</v>
      </c>
      <c r="B633" s="2">
        <v>6111.25</v>
      </c>
      <c r="C633" s="16">
        <f t="shared" si="1058"/>
        <v>4.6086971008315542E-3</v>
      </c>
    </row>
    <row r="634" spans="1:3" x14ac:dyDescent="0.25">
      <c r="A634" s="1">
        <v>41423</v>
      </c>
      <c r="B634" s="2">
        <v>6104.2998049999997</v>
      </c>
      <c r="C634" s="16">
        <f t="shared" si="1058"/>
        <v>-1.1379259813791545E-3</v>
      </c>
    </row>
    <row r="635" spans="1:3" x14ac:dyDescent="0.25">
      <c r="A635" s="1">
        <v>41424</v>
      </c>
      <c r="B635" s="2">
        <v>6124.0498049999997</v>
      </c>
      <c r="C635" s="16">
        <f t="shared" si="1058"/>
        <v>3.2302015893959377E-3</v>
      </c>
    </row>
    <row r="636" spans="1:3" x14ac:dyDescent="0.25">
      <c r="A636" s="1">
        <v>41425</v>
      </c>
      <c r="B636" s="2">
        <v>5985.9501950000003</v>
      </c>
      <c r="C636" s="16">
        <f t="shared" si="1058"/>
        <v>-2.2808521370084756E-2</v>
      </c>
    </row>
    <row r="637" spans="1:3" x14ac:dyDescent="0.25">
      <c r="A637" s="1">
        <v>41428</v>
      </c>
      <c r="B637" s="2">
        <v>5939.2998049999997</v>
      </c>
      <c r="C637" s="16">
        <f t="shared" si="1058"/>
        <v>-7.8238406683757578E-3</v>
      </c>
    </row>
    <row r="638" spans="1:3" x14ac:dyDescent="0.25">
      <c r="A638" s="1">
        <v>41429</v>
      </c>
      <c r="B638" s="2">
        <v>5919.4501950000003</v>
      </c>
      <c r="C638" s="16">
        <f t="shared" si="1058"/>
        <v>-3.3476763634908086E-3</v>
      </c>
    </row>
    <row r="639" spans="1:3" x14ac:dyDescent="0.25">
      <c r="A639" s="1">
        <v>41430</v>
      </c>
      <c r="B639" s="2">
        <v>5923.8500979999999</v>
      </c>
      <c r="C639" s="16">
        <f t="shared" si="1058"/>
        <v>7.4301978225171472E-4</v>
      </c>
    </row>
    <row r="640" spans="1:3" x14ac:dyDescent="0.25">
      <c r="A640" s="1">
        <v>41431</v>
      </c>
      <c r="B640" s="2">
        <v>5921.3999020000001</v>
      </c>
      <c r="C640" s="16">
        <f t="shared" si="1058"/>
        <v>-4.1370102529625369E-4</v>
      </c>
    </row>
    <row r="641" spans="1:3" x14ac:dyDescent="0.25">
      <c r="A641" s="1">
        <v>41432</v>
      </c>
      <c r="B641" s="2">
        <v>5881</v>
      </c>
      <c r="C641" s="16">
        <f t="shared" si="1058"/>
        <v>-6.8460753959202715E-3</v>
      </c>
    </row>
    <row r="642" spans="1:3" x14ac:dyDescent="0.25">
      <c r="A642" s="1">
        <v>41435</v>
      </c>
      <c r="B642" s="2">
        <v>5878</v>
      </c>
      <c r="C642" s="16">
        <f t="shared" si="1058"/>
        <v>-5.1024748109335333E-4</v>
      </c>
    </row>
    <row r="643" spans="1:3" x14ac:dyDescent="0.25">
      <c r="A643" s="1">
        <v>41436</v>
      </c>
      <c r="B643" s="2">
        <v>5788.7998049999997</v>
      </c>
      <c r="C643" s="16">
        <f t="shared" si="1058"/>
        <v>-1.5291585463625265E-2</v>
      </c>
    </row>
    <row r="644" spans="1:3" x14ac:dyDescent="0.25">
      <c r="A644" s="1">
        <v>41437</v>
      </c>
      <c r="B644" s="2">
        <v>5760.2001950000003</v>
      </c>
      <c r="C644" s="16">
        <f t="shared" ref="C644:C707" si="1059">LN(B644/B643)</f>
        <v>-4.9527523528899876E-3</v>
      </c>
    </row>
    <row r="645" spans="1:3" x14ac:dyDescent="0.25">
      <c r="A645" s="1">
        <v>41438</v>
      </c>
      <c r="B645" s="2">
        <v>5699.1000979999999</v>
      </c>
      <c r="C645" s="16">
        <f t="shared" si="1059"/>
        <v>-1.0663945347536926E-2</v>
      </c>
    </row>
    <row r="646" spans="1:3" x14ac:dyDescent="0.25">
      <c r="A646" s="1">
        <v>41439</v>
      </c>
      <c r="B646" s="2">
        <v>5808.3999020000001</v>
      </c>
      <c r="C646" s="16">
        <f t="shared" si="1059"/>
        <v>1.8996843969655352E-2</v>
      </c>
    </row>
    <row r="647" spans="1:3" x14ac:dyDescent="0.25">
      <c r="A647" s="1">
        <v>41442</v>
      </c>
      <c r="B647" s="2">
        <v>5850.0498049999997</v>
      </c>
      <c r="C647" s="16">
        <f t="shared" si="1059"/>
        <v>7.1450460804086948E-3</v>
      </c>
    </row>
    <row r="648" spans="1:3" x14ac:dyDescent="0.25">
      <c r="A648" s="1">
        <v>41443</v>
      </c>
      <c r="B648" s="2">
        <v>5813.6000979999999</v>
      </c>
      <c r="C648" s="16">
        <f t="shared" si="1059"/>
        <v>-6.2501577054237803E-3</v>
      </c>
    </row>
    <row r="649" spans="1:3" x14ac:dyDescent="0.25">
      <c r="A649" s="1">
        <v>41444</v>
      </c>
      <c r="B649" s="2">
        <v>5822.25</v>
      </c>
      <c r="C649" s="16">
        <f t="shared" si="1059"/>
        <v>1.4867677944484996E-3</v>
      </c>
    </row>
    <row r="650" spans="1:3" x14ac:dyDescent="0.25">
      <c r="A650" s="1">
        <v>41445</v>
      </c>
      <c r="B650" s="2">
        <v>5655.8999020000001</v>
      </c>
      <c r="C650" s="16">
        <f t="shared" si="1059"/>
        <v>-2.8987554200291404E-2</v>
      </c>
    </row>
    <row r="651" spans="1:3" x14ac:dyDescent="0.25">
      <c r="A651" s="1">
        <v>41446</v>
      </c>
      <c r="B651" s="2">
        <v>5667.6499020000001</v>
      </c>
      <c r="C651" s="16">
        <f t="shared" si="1059"/>
        <v>2.0753216827961909E-3</v>
      </c>
    </row>
    <row r="652" spans="1:3" x14ac:dyDescent="0.25">
      <c r="A652" s="1">
        <v>41449</v>
      </c>
      <c r="B652" s="2">
        <v>5590.25</v>
      </c>
      <c r="C652" s="16">
        <f t="shared" si="1059"/>
        <v>-1.3750543568148903E-2</v>
      </c>
    </row>
    <row r="653" spans="1:3" x14ac:dyDescent="0.25">
      <c r="A653" s="1">
        <v>41450</v>
      </c>
      <c r="B653" s="2">
        <v>5609.1000979999999</v>
      </c>
      <c r="C653" s="16">
        <f t="shared" si="1059"/>
        <v>3.3662874426915318E-3</v>
      </c>
    </row>
    <row r="654" spans="1:3" x14ac:dyDescent="0.25">
      <c r="A654" s="1">
        <v>41451</v>
      </c>
      <c r="B654" s="2">
        <v>5588.7001950000003</v>
      </c>
      <c r="C654" s="16">
        <f t="shared" si="1059"/>
        <v>-3.6435594553392578E-3</v>
      </c>
    </row>
    <row r="655" spans="1:3" x14ac:dyDescent="0.25">
      <c r="A655" s="1">
        <v>41452</v>
      </c>
      <c r="B655" s="2">
        <v>5682.3500979999999</v>
      </c>
      <c r="C655" s="16">
        <f t="shared" si="1059"/>
        <v>1.6618159936693806E-2</v>
      </c>
    </row>
    <row r="656" spans="1:3" x14ac:dyDescent="0.25">
      <c r="A656" s="1">
        <v>41453</v>
      </c>
      <c r="B656" s="2">
        <v>5842.2001950000003</v>
      </c>
      <c r="C656" s="16">
        <f t="shared" si="1059"/>
        <v>2.7742574798300869E-2</v>
      </c>
    </row>
    <row r="657" spans="1:3" x14ac:dyDescent="0.25">
      <c r="A657" s="1">
        <v>41456</v>
      </c>
      <c r="B657" s="2">
        <v>5898.8500979999999</v>
      </c>
      <c r="C657" s="16">
        <f t="shared" si="1059"/>
        <v>9.6499616639320312E-3</v>
      </c>
    </row>
    <row r="658" spans="1:3" x14ac:dyDescent="0.25">
      <c r="A658" s="1">
        <v>41457</v>
      </c>
      <c r="B658" s="2">
        <v>5857.5498049999997</v>
      </c>
      <c r="C658" s="16">
        <f t="shared" si="1059"/>
        <v>-7.0260391345107415E-3</v>
      </c>
    </row>
    <row r="659" spans="1:3" x14ac:dyDescent="0.25">
      <c r="A659" s="1">
        <v>41458</v>
      </c>
      <c r="B659" s="2">
        <v>5770.8999020000001</v>
      </c>
      <c r="C659" s="16">
        <f t="shared" si="1059"/>
        <v>-1.4903363560349554E-2</v>
      </c>
    </row>
    <row r="660" spans="1:3" x14ac:dyDescent="0.25">
      <c r="A660" s="1">
        <v>41459</v>
      </c>
      <c r="B660" s="2">
        <v>5836.9501950000003</v>
      </c>
      <c r="C660" s="16">
        <f t="shared" si="1059"/>
        <v>1.1380402971085675E-2</v>
      </c>
    </row>
    <row r="661" spans="1:3" x14ac:dyDescent="0.25">
      <c r="A661" s="1">
        <v>41460</v>
      </c>
      <c r="B661" s="2">
        <v>5867.8999020000001</v>
      </c>
      <c r="C661" s="16">
        <f t="shared" si="1059"/>
        <v>5.2883683044100474E-3</v>
      </c>
    </row>
    <row r="662" spans="1:3" x14ac:dyDescent="0.25">
      <c r="A662" s="1">
        <v>41463</v>
      </c>
      <c r="B662" s="2">
        <v>5811.5498049999997</v>
      </c>
      <c r="C662" s="16">
        <f t="shared" si="1059"/>
        <v>-9.6495187115576316E-3</v>
      </c>
    </row>
    <row r="663" spans="1:3" x14ac:dyDescent="0.25">
      <c r="A663" s="1">
        <v>41464</v>
      </c>
      <c r="B663" s="2">
        <v>5859</v>
      </c>
      <c r="C663" s="16">
        <f t="shared" si="1059"/>
        <v>8.1316574211766739E-3</v>
      </c>
    </row>
    <row r="664" spans="1:3" x14ac:dyDescent="0.25">
      <c r="A664" s="1">
        <v>41465</v>
      </c>
      <c r="B664" s="2">
        <v>5816.7001950000003</v>
      </c>
      <c r="C664" s="16">
        <f t="shared" si="1059"/>
        <v>-7.2458164155567717E-3</v>
      </c>
    </row>
    <row r="665" spans="1:3" x14ac:dyDescent="0.25">
      <c r="A665" s="1">
        <v>41466</v>
      </c>
      <c r="B665" s="2">
        <v>5935.1000979999999</v>
      </c>
      <c r="C665" s="16">
        <f t="shared" si="1059"/>
        <v>2.0150769484190617E-2</v>
      </c>
    </row>
    <row r="666" spans="1:3" x14ac:dyDescent="0.25">
      <c r="A666" s="1">
        <v>41467</v>
      </c>
      <c r="B666" s="2">
        <v>6009</v>
      </c>
      <c r="C666" s="16">
        <f t="shared" si="1059"/>
        <v>1.237445172050537E-2</v>
      </c>
    </row>
    <row r="667" spans="1:3" x14ac:dyDescent="0.25">
      <c r="A667" s="1">
        <v>41470</v>
      </c>
      <c r="B667" s="2">
        <v>6030.7998049999997</v>
      </c>
      <c r="C667" s="16">
        <f t="shared" si="1059"/>
        <v>3.6212942368161207E-3</v>
      </c>
    </row>
    <row r="668" spans="1:3" x14ac:dyDescent="0.25">
      <c r="A668" s="1">
        <v>41471</v>
      </c>
      <c r="B668" s="2">
        <v>5955.25</v>
      </c>
      <c r="C668" s="16">
        <f t="shared" si="1059"/>
        <v>-1.2606456134415713E-2</v>
      </c>
    </row>
    <row r="669" spans="1:3" x14ac:dyDescent="0.25">
      <c r="A669" s="1">
        <v>41472</v>
      </c>
      <c r="B669" s="2">
        <v>5973.2998049999997</v>
      </c>
      <c r="C669" s="16">
        <f t="shared" si="1059"/>
        <v>3.0263224064982805E-3</v>
      </c>
    </row>
    <row r="670" spans="1:3" x14ac:dyDescent="0.25">
      <c r="A670" s="1">
        <v>41473</v>
      </c>
      <c r="B670" s="2">
        <v>6038.0498049999997</v>
      </c>
      <c r="C670" s="16">
        <f t="shared" si="1059"/>
        <v>1.0781573982187147E-2</v>
      </c>
    </row>
    <row r="671" spans="1:3" x14ac:dyDescent="0.25">
      <c r="A671" s="1">
        <v>41474</v>
      </c>
      <c r="B671" s="2">
        <v>6029.2001950000003</v>
      </c>
      <c r="C671" s="16">
        <f t="shared" si="1059"/>
        <v>-1.4667155460407009E-3</v>
      </c>
    </row>
    <row r="672" spans="1:3" x14ac:dyDescent="0.25">
      <c r="A672" s="1">
        <v>41477</v>
      </c>
      <c r="B672" s="2">
        <v>6031.7998049999997</v>
      </c>
      <c r="C672" s="16">
        <f t="shared" si="1059"/>
        <v>4.3107703179762912E-4</v>
      </c>
    </row>
    <row r="673" spans="1:3" x14ac:dyDescent="0.25">
      <c r="A673" s="1">
        <v>41478</v>
      </c>
      <c r="B673" s="2">
        <v>6077.7998049999997</v>
      </c>
      <c r="C673" s="16">
        <f t="shared" si="1059"/>
        <v>7.5973149795496627E-3</v>
      </c>
    </row>
    <row r="674" spans="1:3" x14ac:dyDescent="0.25">
      <c r="A674" s="1">
        <v>41479</v>
      </c>
      <c r="B674" s="2">
        <v>5990.5</v>
      </c>
      <c r="C674" s="16">
        <f t="shared" si="1059"/>
        <v>-1.44678752103667E-2</v>
      </c>
    </row>
    <row r="675" spans="1:3" x14ac:dyDescent="0.25">
      <c r="A675" s="1">
        <v>41480</v>
      </c>
      <c r="B675" s="2">
        <v>5907.5</v>
      </c>
      <c r="C675" s="16">
        <f t="shared" si="1059"/>
        <v>-1.3952151018890876E-2</v>
      </c>
    </row>
    <row r="676" spans="1:3" x14ac:dyDescent="0.25">
      <c r="A676" s="1">
        <v>41481</v>
      </c>
      <c r="B676" s="2">
        <v>5886.2001950000003</v>
      </c>
      <c r="C676" s="16">
        <f t="shared" si="1059"/>
        <v>-3.6120687835205926E-3</v>
      </c>
    </row>
    <row r="677" spans="1:3" x14ac:dyDescent="0.25">
      <c r="A677" s="1">
        <v>41484</v>
      </c>
      <c r="B677" s="2">
        <v>5831.6499020000001</v>
      </c>
      <c r="C677" s="16">
        <f t="shared" si="1059"/>
        <v>-9.3106989122141073E-3</v>
      </c>
    </row>
    <row r="678" spans="1:3" x14ac:dyDescent="0.25">
      <c r="A678" s="1">
        <v>41485</v>
      </c>
      <c r="B678" s="2">
        <v>5755.0498049999997</v>
      </c>
      <c r="C678" s="16">
        <f t="shared" si="1059"/>
        <v>-1.32222660330656E-2</v>
      </c>
    </row>
    <row r="679" spans="1:3" x14ac:dyDescent="0.25">
      <c r="A679" s="1">
        <v>41486</v>
      </c>
      <c r="B679" s="2">
        <v>5742</v>
      </c>
      <c r="C679" s="16">
        <f t="shared" si="1059"/>
        <v>-2.2701146512533851E-3</v>
      </c>
    </row>
    <row r="680" spans="1:3" x14ac:dyDescent="0.25">
      <c r="A680" s="1">
        <v>41487</v>
      </c>
      <c r="B680" s="2">
        <v>5727.8500979999999</v>
      </c>
      <c r="C680" s="16">
        <f t="shared" si="1059"/>
        <v>-2.4673224248686785E-3</v>
      </c>
    </row>
    <row r="681" spans="1:3" x14ac:dyDescent="0.25">
      <c r="A681" s="1">
        <v>41488</v>
      </c>
      <c r="B681" s="2">
        <v>5677.8999020000001</v>
      </c>
      <c r="C681" s="16">
        <f t="shared" si="1059"/>
        <v>-8.7588304733699964E-3</v>
      </c>
    </row>
    <row r="682" spans="1:3" x14ac:dyDescent="0.25">
      <c r="A682" s="1">
        <v>41491</v>
      </c>
      <c r="B682" s="2">
        <v>5685.3999020000001</v>
      </c>
      <c r="C682" s="16">
        <f t="shared" si="1059"/>
        <v>1.320039287606311E-3</v>
      </c>
    </row>
    <row r="683" spans="1:3" x14ac:dyDescent="0.25">
      <c r="A683" s="1">
        <v>41492</v>
      </c>
      <c r="B683" s="2">
        <v>5542.25</v>
      </c>
      <c r="C683" s="16">
        <f t="shared" si="1059"/>
        <v>-2.5500912596314415E-2</v>
      </c>
    </row>
    <row r="684" spans="1:3" x14ac:dyDescent="0.25">
      <c r="A684" s="1">
        <v>41493</v>
      </c>
      <c r="B684" s="2">
        <v>5519.1000979999999</v>
      </c>
      <c r="C684" s="16">
        <f t="shared" si="1059"/>
        <v>-4.1857342176971121E-3</v>
      </c>
    </row>
    <row r="685" spans="1:3" x14ac:dyDescent="0.25">
      <c r="A685" s="1">
        <v>41494</v>
      </c>
      <c r="B685" s="2">
        <v>5565.6499020000001</v>
      </c>
      <c r="C685" s="16">
        <f t="shared" si="1059"/>
        <v>8.3989404620728302E-3</v>
      </c>
    </row>
    <row r="686" spans="1:3" x14ac:dyDescent="0.25">
      <c r="A686" s="1">
        <v>41498</v>
      </c>
      <c r="B686" s="2">
        <v>5612.3999020000001</v>
      </c>
      <c r="C686" s="16">
        <f t="shared" si="1059"/>
        <v>8.3646563400669102E-3</v>
      </c>
    </row>
    <row r="687" spans="1:3" x14ac:dyDescent="0.25">
      <c r="A687" s="1">
        <v>41499</v>
      </c>
      <c r="B687" s="2">
        <v>5699.2998049999997</v>
      </c>
      <c r="C687" s="16">
        <f t="shared" si="1059"/>
        <v>1.5364907990464558E-2</v>
      </c>
    </row>
    <row r="688" spans="1:3" x14ac:dyDescent="0.25">
      <c r="A688" s="1">
        <v>41500</v>
      </c>
      <c r="B688" s="2">
        <v>5742.2998049999997</v>
      </c>
      <c r="C688" s="16">
        <f t="shared" si="1059"/>
        <v>7.5164669126851266E-3</v>
      </c>
    </row>
    <row r="689" spans="1:3" x14ac:dyDescent="0.25">
      <c r="A689" s="1">
        <v>41502</v>
      </c>
      <c r="B689" s="2">
        <v>5507.8500979999999</v>
      </c>
      <c r="C689" s="16">
        <f t="shared" si="1059"/>
        <v>-4.1685427806619227E-2</v>
      </c>
    </row>
    <row r="690" spans="1:3" x14ac:dyDescent="0.25">
      <c r="A690" s="1">
        <v>41505</v>
      </c>
      <c r="B690" s="2">
        <v>5414.75</v>
      </c>
      <c r="C690" s="16">
        <f t="shared" si="1059"/>
        <v>-1.7047653837430062E-2</v>
      </c>
    </row>
    <row r="691" spans="1:3" x14ac:dyDescent="0.25">
      <c r="A691" s="1">
        <v>41506</v>
      </c>
      <c r="B691" s="2">
        <v>5401.4501950000003</v>
      </c>
      <c r="C691" s="16">
        <f t="shared" si="1059"/>
        <v>-2.4592391899497129E-3</v>
      </c>
    </row>
    <row r="692" spans="1:3" x14ac:dyDescent="0.25">
      <c r="A692" s="1">
        <v>41507</v>
      </c>
      <c r="B692" s="2">
        <v>5302.5498049999997</v>
      </c>
      <c r="C692" s="16">
        <f t="shared" si="1059"/>
        <v>-1.847967199365589E-2</v>
      </c>
    </row>
    <row r="693" spans="1:3" x14ac:dyDescent="0.25">
      <c r="A693" s="1">
        <v>41508</v>
      </c>
      <c r="B693" s="2">
        <v>5408.4501950000003</v>
      </c>
      <c r="C693" s="16">
        <f t="shared" si="1059"/>
        <v>1.9774781240898431E-2</v>
      </c>
    </row>
    <row r="694" spans="1:3" x14ac:dyDescent="0.25">
      <c r="A694" s="1">
        <v>41509</v>
      </c>
      <c r="B694" s="2">
        <v>5471.75</v>
      </c>
      <c r="C694" s="16">
        <f t="shared" si="1059"/>
        <v>1.1635910749296244E-2</v>
      </c>
    </row>
    <row r="695" spans="1:3" x14ac:dyDescent="0.25">
      <c r="A695" s="1">
        <v>41512</v>
      </c>
      <c r="B695" s="2">
        <v>5476.5</v>
      </c>
      <c r="C695" s="16">
        <f t="shared" si="1059"/>
        <v>8.677186396066932E-4</v>
      </c>
    </row>
    <row r="696" spans="1:3" x14ac:dyDescent="0.25">
      <c r="A696" s="1">
        <v>41513</v>
      </c>
      <c r="B696" s="2">
        <v>5287.4501950000003</v>
      </c>
      <c r="C696" s="16">
        <f t="shared" si="1059"/>
        <v>-3.5130085838973223E-2</v>
      </c>
    </row>
    <row r="697" spans="1:3" x14ac:dyDescent="0.25">
      <c r="A697" s="1">
        <v>41514</v>
      </c>
      <c r="B697" s="2">
        <v>5285</v>
      </c>
      <c r="C697" s="16">
        <f t="shared" si="1059"/>
        <v>-4.6350562049003469E-4</v>
      </c>
    </row>
    <row r="698" spans="1:3" x14ac:dyDescent="0.25">
      <c r="A698" s="1">
        <v>41515</v>
      </c>
      <c r="B698" s="2">
        <v>5409.0498049999997</v>
      </c>
      <c r="C698" s="16">
        <f t="shared" si="1059"/>
        <v>2.3200821326509066E-2</v>
      </c>
    </row>
    <row r="699" spans="1:3" x14ac:dyDescent="0.25">
      <c r="A699" s="1">
        <v>41516</v>
      </c>
      <c r="B699" s="2">
        <v>5471.7998049999997</v>
      </c>
      <c r="C699" s="16">
        <f t="shared" si="1059"/>
        <v>1.1534153658711884E-2</v>
      </c>
    </row>
    <row r="700" spans="1:3" x14ac:dyDescent="0.25">
      <c r="A700" s="1">
        <v>41519</v>
      </c>
      <c r="B700" s="2">
        <v>5550.75</v>
      </c>
      <c r="C700" s="16">
        <f t="shared" si="1059"/>
        <v>1.4325459456126339E-2</v>
      </c>
    </row>
    <row r="701" spans="1:3" x14ac:dyDescent="0.25">
      <c r="A701" s="1">
        <v>41520</v>
      </c>
      <c r="B701" s="2">
        <v>5341.4501950000003</v>
      </c>
      <c r="C701" s="16">
        <f t="shared" si="1059"/>
        <v>-3.843586556309378E-2</v>
      </c>
    </row>
    <row r="702" spans="1:3" x14ac:dyDescent="0.25">
      <c r="A702" s="1">
        <v>41521</v>
      </c>
      <c r="B702" s="2">
        <v>5448.1000979999999</v>
      </c>
      <c r="C702" s="16">
        <f t="shared" si="1059"/>
        <v>1.976975382598626E-2</v>
      </c>
    </row>
    <row r="703" spans="1:3" x14ac:dyDescent="0.25">
      <c r="A703" s="1">
        <v>41522</v>
      </c>
      <c r="B703" s="2">
        <v>5592.9501950000003</v>
      </c>
      <c r="C703" s="16">
        <f t="shared" si="1059"/>
        <v>2.623996889226006E-2</v>
      </c>
    </row>
    <row r="704" spans="1:3" x14ac:dyDescent="0.25">
      <c r="A704" s="1">
        <v>41523</v>
      </c>
      <c r="B704" s="2">
        <v>5680.3999020000001</v>
      </c>
      <c r="C704" s="16">
        <f t="shared" si="1059"/>
        <v>1.5514724617713627E-2</v>
      </c>
    </row>
    <row r="705" spans="1:3" x14ac:dyDescent="0.25">
      <c r="A705" s="1">
        <v>41527</v>
      </c>
      <c r="B705" s="2">
        <v>5896.75</v>
      </c>
      <c r="C705" s="16">
        <f t="shared" si="1059"/>
        <v>3.7379716145433187E-2</v>
      </c>
    </row>
    <row r="706" spans="1:3" x14ac:dyDescent="0.25">
      <c r="A706" s="1">
        <v>41528</v>
      </c>
      <c r="B706" s="2">
        <v>5913.1499020000001</v>
      </c>
      <c r="C706" s="16">
        <f t="shared" si="1059"/>
        <v>2.7773160954431739E-3</v>
      </c>
    </row>
    <row r="707" spans="1:3" x14ac:dyDescent="0.25">
      <c r="A707" s="1">
        <v>41529</v>
      </c>
      <c r="B707" s="2">
        <v>5850.7001950000003</v>
      </c>
      <c r="C707" s="16">
        <f t="shared" si="1059"/>
        <v>-1.0617322242984648E-2</v>
      </c>
    </row>
    <row r="708" spans="1:3" x14ac:dyDescent="0.25">
      <c r="A708" s="1">
        <v>41530</v>
      </c>
      <c r="B708" s="2">
        <v>5850.6000979999999</v>
      </c>
      <c r="C708" s="16">
        <f t="shared" ref="C708:C771" si="1060">LN(B708/B707)</f>
        <v>-1.7108696896296675E-5</v>
      </c>
    </row>
    <row r="709" spans="1:3" x14ac:dyDescent="0.25">
      <c r="A709" s="1">
        <v>41533</v>
      </c>
      <c r="B709" s="2">
        <v>5840.5498049999997</v>
      </c>
      <c r="C709" s="16">
        <f t="shared" si="1060"/>
        <v>-1.7192997368268039E-3</v>
      </c>
    </row>
    <row r="710" spans="1:3" x14ac:dyDescent="0.25">
      <c r="A710" s="1">
        <v>41534</v>
      </c>
      <c r="B710" s="2">
        <v>5850.2001950000003</v>
      </c>
      <c r="C710" s="16">
        <f t="shared" si="1060"/>
        <v>1.6509449251659429E-3</v>
      </c>
    </row>
    <row r="711" spans="1:3" x14ac:dyDescent="0.25">
      <c r="A711" s="1">
        <v>41535</v>
      </c>
      <c r="B711" s="2">
        <v>5899.4501950000003</v>
      </c>
      <c r="C711" s="16">
        <f t="shared" si="1060"/>
        <v>8.3832772555841248E-3</v>
      </c>
    </row>
    <row r="712" spans="1:3" x14ac:dyDescent="0.25">
      <c r="A712" s="1">
        <v>41536</v>
      </c>
      <c r="B712" s="2">
        <v>6115.5498049999997</v>
      </c>
      <c r="C712" s="16">
        <f t="shared" si="1060"/>
        <v>3.597551669095983E-2</v>
      </c>
    </row>
    <row r="713" spans="1:3" x14ac:dyDescent="0.25">
      <c r="A713" s="1">
        <v>41537</v>
      </c>
      <c r="B713" s="2">
        <v>6012.1000979999999</v>
      </c>
      <c r="C713" s="16">
        <f t="shared" si="1060"/>
        <v>-1.7060554519570795E-2</v>
      </c>
    </row>
    <row r="714" spans="1:3" x14ac:dyDescent="0.25">
      <c r="A714" s="1">
        <v>41540</v>
      </c>
      <c r="B714" s="2">
        <v>5889.75</v>
      </c>
      <c r="C714" s="16">
        <f t="shared" si="1060"/>
        <v>-2.0560569511765433E-2</v>
      </c>
    </row>
    <row r="715" spans="1:3" x14ac:dyDescent="0.25">
      <c r="A715" s="1">
        <v>41541</v>
      </c>
      <c r="B715" s="2">
        <v>5892.4501950000003</v>
      </c>
      <c r="C715" s="16">
        <f t="shared" si="1060"/>
        <v>4.5835158163745181E-4</v>
      </c>
    </row>
    <row r="716" spans="1:3" x14ac:dyDescent="0.25">
      <c r="A716" s="1">
        <v>41542</v>
      </c>
      <c r="B716" s="2">
        <v>5873.8500979999999</v>
      </c>
      <c r="C716" s="16">
        <f t="shared" si="1060"/>
        <v>-3.1615906495960941E-3</v>
      </c>
    </row>
    <row r="717" spans="1:3" x14ac:dyDescent="0.25">
      <c r="A717" s="1">
        <v>41543</v>
      </c>
      <c r="B717" s="2">
        <v>5882.25</v>
      </c>
      <c r="C717" s="16">
        <f t="shared" si="1060"/>
        <v>1.4290289057505544E-3</v>
      </c>
    </row>
    <row r="718" spans="1:3" x14ac:dyDescent="0.25">
      <c r="A718" s="1">
        <v>41544</v>
      </c>
      <c r="B718" s="2">
        <v>5833.2001950000003</v>
      </c>
      <c r="C718" s="16">
        <f t="shared" si="1060"/>
        <v>-8.3735734921404556E-3</v>
      </c>
    </row>
    <row r="719" spans="1:3" x14ac:dyDescent="0.25">
      <c r="A719" s="1">
        <v>41547</v>
      </c>
      <c r="B719" s="2">
        <v>5735.2998049999997</v>
      </c>
      <c r="C719" s="16">
        <f t="shared" si="1060"/>
        <v>-1.6925742698488771E-2</v>
      </c>
    </row>
    <row r="720" spans="1:3" x14ac:dyDescent="0.25">
      <c r="A720" s="1">
        <v>41548</v>
      </c>
      <c r="B720" s="2">
        <v>5780.0498049999997</v>
      </c>
      <c r="C720" s="16">
        <f t="shared" si="1060"/>
        <v>7.7722738410493713E-3</v>
      </c>
    </row>
    <row r="721" spans="1:3" x14ac:dyDescent="0.25">
      <c r="A721" s="1">
        <v>41550</v>
      </c>
      <c r="B721" s="2">
        <v>5909.7001950000003</v>
      </c>
      <c r="C721" s="16">
        <f t="shared" si="1060"/>
        <v>2.218280227571217E-2</v>
      </c>
    </row>
    <row r="722" spans="1:3" x14ac:dyDescent="0.25">
      <c r="A722" s="1">
        <v>41551</v>
      </c>
      <c r="B722" s="2">
        <v>5907.2998049999997</v>
      </c>
      <c r="C722" s="16">
        <f t="shared" si="1060"/>
        <v>-4.062604777888266E-4</v>
      </c>
    </row>
    <row r="723" spans="1:3" x14ac:dyDescent="0.25">
      <c r="A723" s="1">
        <v>41554</v>
      </c>
      <c r="B723" s="2">
        <v>5906.1499020000001</v>
      </c>
      <c r="C723" s="16">
        <f t="shared" si="1060"/>
        <v>-1.9467692031561521E-4</v>
      </c>
    </row>
    <row r="724" spans="1:3" x14ac:dyDescent="0.25">
      <c r="A724" s="1">
        <v>41555</v>
      </c>
      <c r="B724" s="2">
        <v>5928.3999020000001</v>
      </c>
      <c r="C724" s="16">
        <f t="shared" si="1060"/>
        <v>3.7601812632480102E-3</v>
      </c>
    </row>
    <row r="725" spans="1:3" x14ac:dyDescent="0.25">
      <c r="A725" s="1">
        <v>41556</v>
      </c>
      <c r="B725" s="2">
        <v>6007.4501950000003</v>
      </c>
      <c r="C725" s="16">
        <f t="shared" si="1060"/>
        <v>1.3246052553851063E-2</v>
      </c>
    </row>
    <row r="726" spans="1:3" x14ac:dyDescent="0.25">
      <c r="A726" s="1">
        <v>41557</v>
      </c>
      <c r="B726" s="2">
        <v>6020.9501950000003</v>
      </c>
      <c r="C726" s="16">
        <f t="shared" si="1060"/>
        <v>2.2446884424760605E-3</v>
      </c>
    </row>
    <row r="727" spans="1:3" x14ac:dyDescent="0.25">
      <c r="A727" s="1">
        <v>41558</v>
      </c>
      <c r="B727" s="2">
        <v>6096.2001950000003</v>
      </c>
      <c r="C727" s="16">
        <f t="shared" si="1060"/>
        <v>1.2420571665899284E-2</v>
      </c>
    </row>
    <row r="728" spans="1:3" x14ac:dyDescent="0.25">
      <c r="A728" s="1">
        <v>41561</v>
      </c>
      <c r="B728" s="2">
        <v>6112.7001950000003</v>
      </c>
      <c r="C728" s="16">
        <f t="shared" si="1060"/>
        <v>2.7029477706546723E-3</v>
      </c>
    </row>
    <row r="729" spans="1:3" x14ac:dyDescent="0.25">
      <c r="A729" s="1">
        <v>41562</v>
      </c>
      <c r="B729" s="2">
        <v>6089.0498049999997</v>
      </c>
      <c r="C729" s="16">
        <f t="shared" si="1060"/>
        <v>-3.8765619058966291E-3</v>
      </c>
    </row>
    <row r="730" spans="1:3" x14ac:dyDescent="0.25">
      <c r="A730" s="1">
        <v>41564</v>
      </c>
      <c r="B730" s="2">
        <v>6045.8500979999999</v>
      </c>
      <c r="C730" s="16">
        <f t="shared" si="1060"/>
        <v>-7.1199416296422553E-3</v>
      </c>
    </row>
    <row r="731" spans="1:3" x14ac:dyDescent="0.25">
      <c r="A731" s="1">
        <v>41565</v>
      </c>
      <c r="B731" s="2">
        <v>6189.3500979999999</v>
      </c>
      <c r="C731" s="16">
        <f t="shared" si="1060"/>
        <v>2.3457986471509269E-2</v>
      </c>
    </row>
    <row r="732" spans="1:3" x14ac:dyDescent="0.25">
      <c r="A732" s="1">
        <v>41568</v>
      </c>
      <c r="B732" s="2">
        <v>6204.9501950000003</v>
      </c>
      <c r="C732" s="16">
        <f t="shared" si="1060"/>
        <v>2.5173030940231012E-3</v>
      </c>
    </row>
    <row r="733" spans="1:3" x14ac:dyDescent="0.25">
      <c r="A733" s="1">
        <v>41569</v>
      </c>
      <c r="B733" s="2">
        <v>6202.7998049999997</v>
      </c>
      <c r="C733" s="16">
        <f t="shared" si="1060"/>
        <v>-3.466204624578556E-4</v>
      </c>
    </row>
    <row r="734" spans="1:3" x14ac:dyDescent="0.25">
      <c r="A734" s="1">
        <v>41570</v>
      </c>
      <c r="B734" s="2">
        <v>6178.3500979999999</v>
      </c>
      <c r="C734" s="16">
        <f t="shared" si="1060"/>
        <v>-3.9495101785168773E-3</v>
      </c>
    </row>
    <row r="735" spans="1:3" x14ac:dyDescent="0.25">
      <c r="A735" s="1">
        <v>41571</v>
      </c>
      <c r="B735" s="2">
        <v>6164.3500979999999</v>
      </c>
      <c r="C735" s="16">
        <f t="shared" si="1060"/>
        <v>-2.2685483373511492E-3</v>
      </c>
    </row>
    <row r="736" spans="1:3" x14ac:dyDescent="0.25">
      <c r="A736" s="1">
        <v>41572</v>
      </c>
      <c r="B736" s="2">
        <v>6144.8999020000001</v>
      </c>
      <c r="C736" s="16">
        <f t="shared" si="1060"/>
        <v>-3.1602595101752058E-3</v>
      </c>
    </row>
    <row r="737" spans="1:3" x14ac:dyDescent="0.25">
      <c r="A737" s="1">
        <v>41575</v>
      </c>
      <c r="B737" s="2">
        <v>6101.1000979999999</v>
      </c>
      <c r="C737" s="16">
        <f t="shared" si="1060"/>
        <v>-7.1533546907184544E-3</v>
      </c>
    </row>
    <row r="738" spans="1:3" x14ac:dyDescent="0.25">
      <c r="A738" s="1">
        <v>41576</v>
      </c>
      <c r="B738" s="2">
        <v>6220.8999020000001</v>
      </c>
      <c r="C738" s="16">
        <f t="shared" si="1060"/>
        <v>1.9445476210578756E-2</v>
      </c>
    </row>
    <row r="739" spans="1:3" x14ac:dyDescent="0.25">
      <c r="A739" s="1">
        <v>41577</v>
      </c>
      <c r="B739" s="2">
        <v>6251.7001950000003</v>
      </c>
      <c r="C739" s="16">
        <f t="shared" si="1060"/>
        <v>4.9388828902740363E-3</v>
      </c>
    </row>
    <row r="740" spans="1:3" x14ac:dyDescent="0.25">
      <c r="A740" s="1">
        <v>41578</v>
      </c>
      <c r="B740" s="2">
        <v>6299.1499020000001</v>
      </c>
      <c r="C740" s="16">
        <f t="shared" si="1060"/>
        <v>7.5612301477718646E-3</v>
      </c>
    </row>
    <row r="741" spans="1:3" x14ac:dyDescent="0.25">
      <c r="A741" s="1">
        <v>41579</v>
      </c>
      <c r="B741" s="2">
        <v>6307.2001950000003</v>
      </c>
      <c r="C741" s="16">
        <f t="shared" si="1060"/>
        <v>1.2771807910068112E-3</v>
      </c>
    </row>
    <row r="742" spans="1:3" x14ac:dyDescent="0.25">
      <c r="A742" s="1">
        <v>41583</v>
      </c>
      <c r="B742" s="2">
        <v>6253.1499020000001</v>
      </c>
      <c r="C742" s="16">
        <f t="shared" si="1060"/>
        <v>-8.6065477824434147E-3</v>
      </c>
    </row>
    <row r="743" spans="1:3" x14ac:dyDescent="0.25">
      <c r="A743" s="1">
        <v>41584</v>
      </c>
      <c r="B743" s="2">
        <v>6215.1499020000001</v>
      </c>
      <c r="C743" s="16">
        <f t="shared" si="1060"/>
        <v>-6.0954770504846687E-3</v>
      </c>
    </row>
    <row r="744" spans="1:3" x14ac:dyDescent="0.25">
      <c r="A744" s="1">
        <v>41585</v>
      </c>
      <c r="B744" s="2">
        <v>6187.25</v>
      </c>
      <c r="C744" s="16">
        <f t="shared" si="1060"/>
        <v>-4.499121022243281E-3</v>
      </c>
    </row>
    <row r="745" spans="1:3" x14ac:dyDescent="0.25">
      <c r="A745" s="1">
        <v>41586</v>
      </c>
      <c r="B745" s="2">
        <v>6140.75</v>
      </c>
      <c r="C745" s="16">
        <f t="shared" si="1060"/>
        <v>-7.5438385016386323E-3</v>
      </c>
    </row>
    <row r="746" spans="1:3" x14ac:dyDescent="0.25">
      <c r="A746" s="1">
        <v>41589</v>
      </c>
      <c r="B746" s="2">
        <v>6078.7998049999997</v>
      </c>
      <c r="C746" s="16">
        <f t="shared" si="1060"/>
        <v>-1.0139608537888017E-2</v>
      </c>
    </row>
    <row r="747" spans="1:3" x14ac:dyDescent="0.25">
      <c r="A747" s="1">
        <v>41590</v>
      </c>
      <c r="B747" s="2">
        <v>6018.0498049999997</v>
      </c>
      <c r="C747" s="16">
        <f t="shared" si="1060"/>
        <v>-1.0044021819687816E-2</v>
      </c>
    </row>
    <row r="748" spans="1:3" x14ac:dyDescent="0.25">
      <c r="A748" s="1">
        <v>41591</v>
      </c>
      <c r="B748" s="2">
        <v>5989.6000979999999</v>
      </c>
      <c r="C748" s="16">
        <f t="shared" si="1060"/>
        <v>-4.7386058828930286E-3</v>
      </c>
    </row>
    <row r="749" spans="1:3" x14ac:dyDescent="0.25">
      <c r="A749" s="1">
        <v>41592</v>
      </c>
      <c r="B749" s="2">
        <v>6056.1499020000001</v>
      </c>
      <c r="C749" s="16">
        <f t="shared" si="1060"/>
        <v>1.1049620174782152E-2</v>
      </c>
    </row>
    <row r="750" spans="1:3" x14ac:dyDescent="0.25">
      <c r="A750" s="1">
        <v>41596</v>
      </c>
      <c r="B750" s="2">
        <v>6189</v>
      </c>
      <c r="C750" s="16">
        <f t="shared" si="1060"/>
        <v>2.1699254286410435E-2</v>
      </c>
    </row>
    <row r="751" spans="1:3" x14ac:dyDescent="0.25">
      <c r="A751" s="1">
        <v>41597</v>
      </c>
      <c r="B751" s="2">
        <v>6203.3500979999999</v>
      </c>
      <c r="C751" s="16">
        <f t="shared" si="1060"/>
        <v>2.3159617506972887E-3</v>
      </c>
    </row>
    <row r="752" spans="1:3" x14ac:dyDescent="0.25">
      <c r="A752" s="1">
        <v>41598</v>
      </c>
      <c r="B752" s="2">
        <v>6122.8999020000001</v>
      </c>
      <c r="C752" s="16">
        <f t="shared" si="1060"/>
        <v>-1.3053660014424047E-2</v>
      </c>
    </row>
    <row r="753" spans="1:3" x14ac:dyDescent="0.25">
      <c r="A753" s="1">
        <v>41599</v>
      </c>
      <c r="B753" s="2">
        <v>5999.0498049999997</v>
      </c>
      <c r="C753" s="16">
        <f t="shared" si="1060"/>
        <v>-2.0434733639968866E-2</v>
      </c>
    </row>
    <row r="754" spans="1:3" x14ac:dyDescent="0.25">
      <c r="A754" s="1">
        <v>41600</v>
      </c>
      <c r="B754" s="2">
        <v>5995.4501950000003</v>
      </c>
      <c r="C754" s="16">
        <f t="shared" si="1060"/>
        <v>-6.0021011431291786E-4</v>
      </c>
    </row>
    <row r="755" spans="1:3" x14ac:dyDescent="0.25">
      <c r="A755" s="1">
        <v>41603</v>
      </c>
      <c r="B755" s="2">
        <v>6115.3500979999999</v>
      </c>
      <c r="C755" s="16">
        <f t="shared" si="1060"/>
        <v>1.980113909140269E-2</v>
      </c>
    </row>
    <row r="756" spans="1:3" x14ac:dyDescent="0.25">
      <c r="A756" s="1">
        <v>41604</v>
      </c>
      <c r="B756" s="2">
        <v>6059.1000979999999</v>
      </c>
      <c r="C756" s="16">
        <f t="shared" si="1060"/>
        <v>-9.2407294562843589E-3</v>
      </c>
    </row>
    <row r="757" spans="1:3" x14ac:dyDescent="0.25">
      <c r="A757" s="1">
        <v>41605</v>
      </c>
      <c r="B757" s="2">
        <v>6057.1000979999999</v>
      </c>
      <c r="C757" s="16">
        <f t="shared" si="1060"/>
        <v>-3.301365091054675E-4</v>
      </c>
    </row>
    <row r="758" spans="1:3" x14ac:dyDescent="0.25">
      <c r="A758" s="1">
        <v>41606</v>
      </c>
      <c r="B758" s="2">
        <v>6091.8500979999999</v>
      </c>
      <c r="C758" s="16">
        <f t="shared" si="1060"/>
        <v>5.7206744959361127E-3</v>
      </c>
    </row>
    <row r="759" spans="1:3" x14ac:dyDescent="0.25">
      <c r="A759" s="1">
        <v>41607</v>
      </c>
      <c r="B759" s="2">
        <v>6176.1000979999999</v>
      </c>
      <c r="C759" s="16">
        <f t="shared" si="1060"/>
        <v>1.3735191807688611E-2</v>
      </c>
    </row>
    <row r="760" spans="1:3" x14ac:dyDescent="0.25">
      <c r="A760" s="1">
        <v>41610</v>
      </c>
      <c r="B760" s="2">
        <v>6217.8500979999999</v>
      </c>
      <c r="C760" s="16">
        <f t="shared" si="1060"/>
        <v>6.7371834254229233E-3</v>
      </c>
    </row>
    <row r="761" spans="1:3" x14ac:dyDescent="0.25">
      <c r="A761" s="1">
        <v>41611</v>
      </c>
      <c r="B761" s="2">
        <v>6201.8500979999999</v>
      </c>
      <c r="C761" s="16">
        <f t="shared" si="1060"/>
        <v>-2.5765531532964642E-3</v>
      </c>
    </row>
    <row r="762" spans="1:3" x14ac:dyDescent="0.25">
      <c r="A762" s="1">
        <v>41612</v>
      </c>
      <c r="B762" s="2">
        <v>6160.9501950000003</v>
      </c>
      <c r="C762" s="16">
        <f t="shared" si="1060"/>
        <v>-6.6166323561706111E-3</v>
      </c>
    </row>
    <row r="763" spans="1:3" x14ac:dyDescent="0.25">
      <c r="A763" s="1">
        <v>41613</v>
      </c>
      <c r="B763" s="2">
        <v>6241.1000979999999</v>
      </c>
      <c r="C763" s="16">
        <f t="shared" si="1060"/>
        <v>1.2925446514313467E-2</v>
      </c>
    </row>
    <row r="764" spans="1:3" x14ac:dyDescent="0.25">
      <c r="A764" s="1">
        <v>41614</v>
      </c>
      <c r="B764" s="2">
        <v>6259.8999020000001</v>
      </c>
      <c r="C764" s="16">
        <f t="shared" si="1060"/>
        <v>3.0077302891943214E-3</v>
      </c>
    </row>
    <row r="765" spans="1:3" x14ac:dyDescent="0.25">
      <c r="A765" s="1">
        <v>41617</v>
      </c>
      <c r="B765" s="2">
        <v>6363.8999020000001</v>
      </c>
      <c r="C765" s="16">
        <f t="shared" si="1060"/>
        <v>1.6477186676597772E-2</v>
      </c>
    </row>
    <row r="766" spans="1:3" x14ac:dyDescent="0.25">
      <c r="A766" s="1">
        <v>41618</v>
      </c>
      <c r="B766" s="2">
        <v>6332.8500979999999</v>
      </c>
      <c r="C766" s="16">
        <f t="shared" si="1060"/>
        <v>-4.8909942933911882E-3</v>
      </c>
    </row>
    <row r="767" spans="1:3" x14ac:dyDescent="0.25">
      <c r="A767" s="1">
        <v>41619</v>
      </c>
      <c r="B767" s="2">
        <v>6307.8999020000001</v>
      </c>
      <c r="C767" s="16">
        <f t="shared" si="1060"/>
        <v>-3.9475867176894715E-3</v>
      </c>
    </row>
    <row r="768" spans="1:3" x14ac:dyDescent="0.25">
      <c r="A768" s="1">
        <v>41620</v>
      </c>
      <c r="B768" s="2">
        <v>6237.0498049999997</v>
      </c>
      <c r="C768" s="16">
        <f t="shared" si="1060"/>
        <v>-1.129551763208023E-2</v>
      </c>
    </row>
    <row r="769" spans="1:3" x14ac:dyDescent="0.25">
      <c r="A769" s="1">
        <v>41621</v>
      </c>
      <c r="B769" s="2">
        <v>6168.3999020000001</v>
      </c>
      <c r="C769" s="16">
        <f t="shared" si="1060"/>
        <v>-1.1067813807816402E-2</v>
      </c>
    </row>
    <row r="770" spans="1:3" x14ac:dyDescent="0.25">
      <c r="A770" s="1">
        <v>41624</v>
      </c>
      <c r="B770" s="2">
        <v>6154.7001950000003</v>
      </c>
      <c r="C770" s="16">
        <f t="shared" si="1060"/>
        <v>-2.2234198433805077E-3</v>
      </c>
    </row>
    <row r="771" spans="1:3" x14ac:dyDescent="0.25">
      <c r="A771" s="1">
        <v>41625</v>
      </c>
      <c r="B771" s="2">
        <v>6139.0498049999997</v>
      </c>
      <c r="C771" s="16">
        <f t="shared" si="1060"/>
        <v>-2.5460739732728549E-3</v>
      </c>
    </row>
    <row r="772" spans="1:3" x14ac:dyDescent="0.25">
      <c r="A772" s="1">
        <v>41626</v>
      </c>
      <c r="B772" s="2">
        <v>6217.1499020000001</v>
      </c>
      <c r="C772" s="16">
        <f t="shared" ref="C772:C835" si="1061">LN(B772/B771)</f>
        <v>1.2641611328638556E-2</v>
      </c>
    </row>
    <row r="773" spans="1:3" x14ac:dyDescent="0.25">
      <c r="A773" s="1">
        <v>41627</v>
      </c>
      <c r="B773" s="2">
        <v>6166.6499020000001</v>
      </c>
      <c r="C773" s="16">
        <f t="shared" si="1061"/>
        <v>-8.155861808043556E-3</v>
      </c>
    </row>
    <row r="774" spans="1:3" x14ac:dyDescent="0.25">
      <c r="A774" s="1">
        <v>41628</v>
      </c>
      <c r="B774" s="2">
        <v>6274.25</v>
      </c>
      <c r="C774" s="16">
        <f t="shared" si="1061"/>
        <v>1.7298231144304503E-2</v>
      </c>
    </row>
    <row r="775" spans="1:3" x14ac:dyDescent="0.25">
      <c r="A775" s="1">
        <v>41631</v>
      </c>
      <c r="B775" s="2">
        <v>6284.5</v>
      </c>
      <c r="C775" s="16">
        <f t="shared" si="1061"/>
        <v>1.6323284205711835E-3</v>
      </c>
    </row>
    <row r="776" spans="1:3" x14ac:dyDescent="0.25">
      <c r="A776" s="1">
        <v>41632</v>
      </c>
      <c r="B776" s="2">
        <v>6268.3999020000001</v>
      </c>
      <c r="C776" s="16">
        <f t="shared" si="1061"/>
        <v>-2.5651613498049309E-3</v>
      </c>
    </row>
    <row r="777" spans="1:3" x14ac:dyDescent="0.25">
      <c r="A777" s="1">
        <v>41634</v>
      </c>
      <c r="B777" s="2">
        <v>6278.8999020000001</v>
      </c>
      <c r="C777" s="16">
        <f t="shared" si="1061"/>
        <v>1.6736672614882562E-3</v>
      </c>
    </row>
    <row r="778" spans="1:3" x14ac:dyDescent="0.25">
      <c r="A778" s="1">
        <v>41635</v>
      </c>
      <c r="B778" s="2">
        <v>6313.7998049999997</v>
      </c>
      <c r="C778" s="16">
        <f t="shared" si="1061"/>
        <v>5.5428928135167616E-3</v>
      </c>
    </row>
    <row r="779" spans="1:3" x14ac:dyDescent="0.25">
      <c r="A779" s="1">
        <v>41638</v>
      </c>
      <c r="B779" s="2">
        <v>6291.1000979999999</v>
      </c>
      <c r="C779" s="16">
        <f t="shared" si="1061"/>
        <v>-3.6017313447863023E-3</v>
      </c>
    </row>
    <row r="780" spans="1:3" x14ac:dyDescent="0.25">
      <c r="A780" s="1">
        <v>41639</v>
      </c>
      <c r="B780" s="2">
        <v>6304</v>
      </c>
      <c r="C780" s="16">
        <f t="shared" si="1061"/>
        <v>2.0484007924089654E-3</v>
      </c>
    </row>
    <row r="781" spans="1:3" x14ac:dyDescent="0.25">
      <c r="A781" s="1">
        <v>41641</v>
      </c>
      <c r="B781" s="2">
        <v>6221.1499020000001</v>
      </c>
      <c r="C781" s="16">
        <f t="shared" si="1061"/>
        <v>-1.3229591186977497E-2</v>
      </c>
    </row>
    <row r="782" spans="1:3" x14ac:dyDescent="0.25">
      <c r="A782" s="1">
        <v>41642</v>
      </c>
      <c r="B782" s="2">
        <v>6211.1499020000001</v>
      </c>
      <c r="C782" s="16">
        <f t="shared" si="1061"/>
        <v>-1.6087131607643828E-3</v>
      </c>
    </row>
    <row r="783" spans="1:3" x14ac:dyDescent="0.25">
      <c r="A783" s="1">
        <v>41645</v>
      </c>
      <c r="B783" s="2">
        <v>6191.4501950000003</v>
      </c>
      <c r="C783" s="16">
        <f t="shared" si="1061"/>
        <v>-3.1767086598814441E-3</v>
      </c>
    </row>
    <row r="784" spans="1:3" x14ac:dyDescent="0.25">
      <c r="A784" s="1">
        <v>41646</v>
      </c>
      <c r="B784" s="2">
        <v>6162.25</v>
      </c>
      <c r="C784" s="16">
        <f t="shared" si="1061"/>
        <v>-4.727368953366195E-3</v>
      </c>
    </row>
    <row r="785" spans="1:3" x14ac:dyDescent="0.25">
      <c r="A785" s="1">
        <v>41647</v>
      </c>
      <c r="B785" s="2">
        <v>6174.6000979999999</v>
      </c>
      <c r="C785" s="16">
        <f t="shared" si="1061"/>
        <v>2.002148364848755E-3</v>
      </c>
    </row>
    <row r="786" spans="1:3" x14ac:dyDescent="0.25">
      <c r="A786" s="1">
        <v>41648</v>
      </c>
      <c r="B786" s="2">
        <v>6168.3500979999999</v>
      </c>
      <c r="C786" s="16">
        <f t="shared" si="1061"/>
        <v>-1.0127239330832653E-3</v>
      </c>
    </row>
    <row r="787" spans="1:3" x14ac:dyDescent="0.25">
      <c r="A787" s="1">
        <v>41649</v>
      </c>
      <c r="B787" s="2">
        <v>6171.4501950000003</v>
      </c>
      <c r="C787" s="16">
        <f t="shared" si="1061"/>
        <v>5.0245498170342683E-4</v>
      </c>
    </row>
    <row r="788" spans="1:3" x14ac:dyDescent="0.25">
      <c r="A788" s="1">
        <v>41652</v>
      </c>
      <c r="B788" s="2">
        <v>6272.75</v>
      </c>
      <c r="C788" s="16">
        <f t="shared" si="1061"/>
        <v>1.628100497267335E-2</v>
      </c>
    </row>
    <row r="789" spans="1:3" x14ac:dyDescent="0.25">
      <c r="A789" s="1">
        <v>41653</v>
      </c>
      <c r="B789" s="2">
        <v>6241.8500979999999</v>
      </c>
      <c r="C789" s="16">
        <f t="shared" si="1061"/>
        <v>-4.9382264797852814E-3</v>
      </c>
    </row>
    <row r="790" spans="1:3" x14ac:dyDescent="0.25">
      <c r="A790" s="1">
        <v>41654</v>
      </c>
      <c r="B790" s="2">
        <v>6320.8999020000001</v>
      </c>
      <c r="C790" s="16">
        <f t="shared" si="1061"/>
        <v>1.2584959078351781E-2</v>
      </c>
    </row>
    <row r="791" spans="1:3" x14ac:dyDescent="0.25">
      <c r="A791" s="1">
        <v>41655</v>
      </c>
      <c r="B791" s="2">
        <v>6318.8999020000001</v>
      </c>
      <c r="C791" s="16">
        <f t="shared" si="1061"/>
        <v>-3.164607110404416E-4</v>
      </c>
    </row>
    <row r="792" spans="1:3" x14ac:dyDescent="0.25">
      <c r="A792" s="1">
        <v>41656</v>
      </c>
      <c r="B792" s="2">
        <v>6261.6499020000001</v>
      </c>
      <c r="C792" s="16">
        <f t="shared" si="1061"/>
        <v>-9.1014138629670806E-3</v>
      </c>
    </row>
    <row r="793" spans="1:3" x14ac:dyDescent="0.25">
      <c r="A793" s="1">
        <v>41659</v>
      </c>
      <c r="B793" s="2">
        <v>6303.9501950000003</v>
      </c>
      <c r="C793" s="16">
        <f t="shared" si="1061"/>
        <v>6.7327389797387175E-3</v>
      </c>
    </row>
    <row r="794" spans="1:3" x14ac:dyDescent="0.25">
      <c r="A794" s="1">
        <v>41660</v>
      </c>
      <c r="B794" s="2">
        <v>6313.7998049999997</v>
      </c>
      <c r="C794" s="16">
        <f t="shared" si="1061"/>
        <v>1.5612311229266228E-3</v>
      </c>
    </row>
    <row r="795" spans="1:3" x14ac:dyDescent="0.25">
      <c r="A795" s="1">
        <v>41661</v>
      </c>
      <c r="B795" s="2">
        <v>6338.9501950000003</v>
      </c>
      <c r="C795" s="16">
        <f t="shared" si="1061"/>
        <v>3.9754872457135691E-3</v>
      </c>
    </row>
    <row r="796" spans="1:3" x14ac:dyDescent="0.25">
      <c r="A796" s="1">
        <v>41662</v>
      </c>
      <c r="B796" s="2">
        <v>6345.6499020000001</v>
      </c>
      <c r="C796" s="16">
        <f t="shared" si="1061"/>
        <v>1.0563529905196648E-3</v>
      </c>
    </row>
    <row r="797" spans="1:3" x14ac:dyDescent="0.25">
      <c r="A797" s="1">
        <v>41663</v>
      </c>
      <c r="B797" s="2">
        <v>6266.75</v>
      </c>
      <c r="C797" s="16">
        <f t="shared" si="1061"/>
        <v>-1.2511644392470225E-2</v>
      </c>
    </row>
    <row r="798" spans="1:3" x14ac:dyDescent="0.25">
      <c r="A798" s="1">
        <v>41666</v>
      </c>
      <c r="B798" s="2">
        <v>6135.8500979999999</v>
      </c>
      <c r="C798" s="16">
        <f t="shared" si="1061"/>
        <v>-2.110924510695187E-2</v>
      </c>
    </row>
    <row r="799" spans="1:3" x14ac:dyDescent="0.25">
      <c r="A799" s="1">
        <v>41667</v>
      </c>
      <c r="B799" s="2">
        <v>6126.25</v>
      </c>
      <c r="C799" s="16">
        <f t="shared" si="1061"/>
        <v>-1.5658166031463337E-3</v>
      </c>
    </row>
    <row r="800" spans="1:3" x14ac:dyDescent="0.25">
      <c r="A800" s="1">
        <v>41668</v>
      </c>
      <c r="B800" s="2">
        <v>6120.25</v>
      </c>
      <c r="C800" s="16">
        <f t="shared" si="1061"/>
        <v>-9.7987187850803758E-4</v>
      </c>
    </row>
    <row r="801" spans="1:3" x14ac:dyDescent="0.25">
      <c r="A801" s="1">
        <v>41669</v>
      </c>
      <c r="B801" s="2">
        <v>6073.7001950000003</v>
      </c>
      <c r="C801" s="16">
        <f t="shared" si="1061"/>
        <v>-7.6349386999176021E-3</v>
      </c>
    </row>
    <row r="802" spans="1:3" x14ac:dyDescent="0.25">
      <c r="A802" s="1">
        <v>41670</v>
      </c>
      <c r="B802" s="2">
        <v>6089.5</v>
      </c>
      <c r="C802" s="16">
        <f t="shared" si="1061"/>
        <v>2.5979698818336438E-3</v>
      </c>
    </row>
    <row r="803" spans="1:3" x14ac:dyDescent="0.25">
      <c r="A803" s="1">
        <v>41673</v>
      </c>
      <c r="B803" s="2">
        <v>6001.7998049999997</v>
      </c>
      <c r="C803" s="16">
        <f t="shared" si="1061"/>
        <v>-1.4506584798228642E-2</v>
      </c>
    </row>
    <row r="804" spans="1:3" x14ac:dyDescent="0.25">
      <c r="A804" s="1">
        <v>41674</v>
      </c>
      <c r="B804" s="2">
        <v>6000.8999020000001</v>
      </c>
      <c r="C804" s="16">
        <f t="shared" si="1061"/>
        <v>-1.4995009850345044E-4</v>
      </c>
    </row>
    <row r="805" spans="1:3" x14ac:dyDescent="0.25">
      <c r="A805" s="1">
        <v>41675</v>
      </c>
      <c r="B805" s="2">
        <v>6022.3999020000001</v>
      </c>
      <c r="C805" s="16">
        <f t="shared" si="1061"/>
        <v>3.5763930479901234E-3</v>
      </c>
    </row>
    <row r="806" spans="1:3" x14ac:dyDescent="0.25">
      <c r="A806" s="1">
        <v>41676</v>
      </c>
      <c r="B806" s="2">
        <v>6036.2998049999997</v>
      </c>
      <c r="C806" s="16">
        <f t="shared" si="1061"/>
        <v>2.3053744589296918E-3</v>
      </c>
    </row>
    <row r="807" spans="1:3" x14ac:dyDescent="0.25">
      <c r="A807" s="1">
        <v>41677</v>
      </c>
      <c r="B807" s="2">
        <v>6063.2001950000003</v>
      </c>
      <c r="C807" s="16">
        <f t="shared" si="1061"/>
        <v>4.4465365217010505E-3</v>
      </c>
    </row>
    <row r="808" spans="1:3" x14ac:dyDescent="0.25">
      <c r="A808" s="1">
        <v>41680</v>
      </c>
      <c r="B808" s="2">
        <v>6053.4501950000003</v>
      </c>
      <c r="C808" s="16">
        <f t="shared" si="1061"/>
        <v>-1.6093560168151967E-3</v>
      </c>
    </row>
    <row r="809" spans="1:3" x14ac:dyDescent="0.25">
      <c r="A809" s="1">
        <v>41681</v>
      </c>
      <c r="B809" s="2">
        <v>6062.7001950000003</v>
      </c>
      <c r="C809" s="16">
        <f t="shared" si="1061"/>
        <v>1.5268879139606576E-3</v>
      </c>
    </row>
    <row r="810" spans="1:3" x14ac:dyDescent="0.25">
      <c r="A810" s="1">
        <v>41682</v>
      </c>
      <c r="B810" s="2">
        <v>6084</v>
      </c>
      <c r="C810" s="16">
        <f t="shared" si="1061"/>
        <v>3.5070968229841222E-3</v>
      </c>
    </row>
    <row r="811" spans="1:3" x14ac:dyDescent="0.25">
      <c r="A811" s="1">
        <v>41683</v>
      </c>
      <c r="B811" s="2">
        <v>6001.1000979999999</v>
      </c>
      <c r="C811" s="16">
        <f t="shared" si="1061"/>
        <v>-1.3719572308820602E-2</v>
      </c>
    </row>
    <row r="812" spans="1:3" x14ac:dyDescent="0.25">
      <c r="A812" s="1">
        <v>41684</v>
      </c>
      <c r="B812" s="2">
        <v>6048.3500979999999</v>
      </c>
      <c r="C812" s="16">
        <f t="shared" si="1061"/>
        <v>7.8427216877171666E-3</v>
      </c>
    </row>
    <row r="813" spans="1:3" x14ac:dyDescent="0.25">
      <c r="A813" s="1">
        <v>41687</v>
      </c>
      <c r="B813" s="2">
        <v>6073.2998049999997</v>
      </c>
      <c r="C813" s="16">
        <f t="shared" si="1061"/>
        <v>4.1165587907429409E-3</v>
      </c>
    </row>
    <row r="814" spans="1:3" x14ac:dyDescent="0.25">
      <c r="A814" s="1">
        <v>41688</v>
      </c>
      <c r="B814" s="2">
        <v>6127.1000979999999</v>
      </c>
      <c r="C814" s="16">
        <f t="shared" si="1061"/>
        <v>8.8194882393988865E-3</v>
      </c>
    </row>
    <row r="815" spans="1:3" x14ac:dyDescent="0.25">
      <c r="A815" s="1">
        <v>41689</v>
      </c>
      <c r="B815" s="2">
        <v>6152.75</v>
      </c>
      <c r="C815" s="16">
        <f t="shared" si="1061"/>
        <v>4.177565540118452E-3</v>
      </c>
    </row>
    <row r="816" spans="1:3" x14ac:dyDescent="0.25">
      <c r="A816" s="1">
        <v>41690</v>
      </c>
      <c r="B816" s="2">
        <v>6091.4501950000003</v>
      </c>
      <c r="C816" s="16">
        <f t="shared" si="1061"/>
        <v>-1.0012955714392863E-2</v>
      </c>
    </row>
    <row r="817" spans="1:3" x14ac:dyDescent="0.25">
      <c r="A817" s="1">
        <v>41691</v>
      </c>
      <c r="B817" s="2">
        <v>6155.4501950000003</v>
      </c>
      <c r="C817" s="16">
        <f t="shared" si="1061"/>
        <v>1.0451719302982514E-2</v>
      </c>
    </row>
    <row r="818" spans="1:3" x14ac:dyDescent="0.25">
      <c r="A818" s="1">
        <v>41694</v>
      </c>
      <c r="B818" s="2">
        <v>6186.1000979999999</v>
      </c>
      <c r="C818" s="16">
        <f t="shared" si="1061"/>
        <v>4.9669555744717942E-3</v>
      </c>
    </row>
    <row r="819" spans="1:3" x14ac:dyDescent="0.25">
      <c r="A819" s="1">
        <v>41695</v>
      </c>
      <c r="B819" s="2">
        <v>6200.0498049999997</v>
      </c>
      <c r="C819" s="16">
        <f t="shared" si="1061"/>
        <v>2.2524695740326847E-3</v>
      </c>
    </row>
    <row r="820" spans="1:3" x14ac:dyDescent="0.25">
      <c r="A820" s="1">
        <v>41696</v>
      </c>
      <c r="B820" s="2">
        <v>6238.7998049999997</v>
      </c>
      <c r="C820" s="16">
        <f t="shared" si="1061"/>
        <v>6.2304998562249343E-3</v>
      </c>
    </row>
    <row r="821" spans="1:3" x14ac:dyDescent="0.25">
      <c r="A821" s="1">
        <v>41698</v>
      </c>
      <c r="B821" s="2">
        <v>6276.9501950000003</v>
      </c>
      <c r="C821" s="16">
        <f t="shared" si="1061"/>
        <v>6.0963998415329273E-3</v>
      </c>
    </row>
    <row r="822" spans="1:3" x14ac:dyDescent="0.25">
      <c r="A822" s="1">
        <v>41701</v>
      </c>
      <c r="B822" s="2">
        <v>6221.4501950000003</v>
      </c>
      <c r="C822" s="16">
        <f t="shared" si="1061"/>
        <v>-8.8811948837357654E-3</v>
      </c>
    </row>
    <row r="823" spans="1:3" x14ac:dyDescent="0.25">
      <c r="A823" s="1">
        <v>41702</v>
      </c>
      <c r="B823" s="2">
        <v>6297.9501950000003</v>
      </c>
      <c r="C823" s="16">
        <f t="shared" si="1061"/>
        <v>1.22211846841921E-2</v>
      </c>
    </row>
    <row r="824" spans="1:3" x14ac:dyDescent="0.25">
      <c r="A824" s="1">
        <v>41703</v>
      </c>
      <c r="B824" s="2">
        <v>6328.6499020000001</v>
      </c>
      <c r="C824" s="16">
        <f t="shared" si="1061"/>
        <v>4.862713201947368E-3</v>
      </c>
    </row>
    <row r="825" spans="1:3" x14ac:dyDescent="0.25">
      <c r="A825" s="1">
        <v>41704</v>
      </c>
      <c r="B825" s="2">
        <v>6401.1499020000001</v>
      </c>
      <c r="C825" s="16">
        <f t="shared" si="1061"/>
        <v>1.1390718630553145E-2</v>
      </c>
    </row>
    <row r="826" spans="1:3" x14ac:dyDescent="0.25">
      <c r="A826" s="1">
        <v>41705</v>
      </c>
      <c r="B826" s="2">
        <v>6526.6499020000001</v>
      </c>
      <c r="C826" s="16">
        <f t="shared" si="1061"/>
        <v>1.9416133375472946E-2</v>
      </c>
    </row>
    <row r="827" spans="1:3" x14ac:dyDescent="0.25">
      <c r="A827" s="1">
        <v>41708</v>
      </c>
      <c r="B827" s="2">
        <v>6537.25</v>
      </c>
      <c r="C827" s="16">
        <f t="shared" si="1061"/>
        <v>1.6228079525718987E-3</v>
      </c>
    </row>
    <row r="828" spans="1:3" x14ac:dyDescent="0.25">
      <c r="A828" s="1">
        <v>41709</v>
      </c>
      <c r="B828" s="2">
        <v>6511.8999020000001</v>
      </c>
      <c r="C828" s="16">
        <f t="shared" si="1061"/>
        <v>-3.8853304744536658E-3</v>
      </c>
    </row>
    <row r="829" spans="1:3" x14ac:dyDescent="0.25">
      <c r="A829" s="1">
        <v>41710</v>
      </c>
      <c r="B829" s="2">
        <v>6516.8999020000001</v>
      </c>
      <c r="C829" s="16">
        <f t="shared" si="1061"/>
        <v>7.6753044342948941E-4</v>
      </c>
    </row>
    <row r="830" spans="1:3" x14ac:dyDescent="0.25">
      <c r="A830" s="1">
        <v>41711</v>
      </c>
      <c r="B830" s="2">
        <v>6493.1000979999999</v>
      </c>
      <c r="C830" s="16">
        <f t="shared" si="1061"/>
        <v>-3.6586980090417866E-3</v>
      </c>
    </row>
    <row r="831" spans="1:3" x14ac:dyDescent="0.25">
      <c r="A831" s="1">
        <v>41712</v>
      </c>
      <c r="B831" s="2">
        <v>6504.2001950000003</v>
      </c>
      <c r="C831" s="16">
        <f t="shared" si="1061"/>
        <v>1.7080623588683374E-3</v>
      </c>
    </row>
    <row r="832" spans="1:3" x14ac:dyDescent="0.25">
      <c r="A832" s="1">
        <v>41716</v>
      </c>
      <c r="B832" s="2">
        <v>6516.6499020000001</v>
      </c>
      <c r="C832" s="16">
        <f t="shared" si="1061"/>
        <v>1.9122731159766798E-3</v>
      </c>
    </row>
    <row r="833" spans="1:3" x14ac:dyDescent="0.25">
      <c r="A833" s="1">
        <v>41717</v>
      </c>
      <c r="B833" s="2">
        <v>6524.0498049999997</v>
      </c>
      <c r="C833" s="16">
        <f t="shared" si="1061"/>
        <v>1.1348936729635164E-3</v>
      </c>
    </row>
    <row r="834" spans="1:3" x14ac:dyDescent="0.25">
      <c r="A834" s="1">
        <v>41718</v>
      </c>
      <c r="B834" s="2">
        <v>6483.1000979999999</v>
      </c>
      <c r="C834" s="16">
        <f t="shared" si="1061"/>
        <v>-6.2965127020976888E-3</v>
      </c>
    </row>
    <row r="835" spans="1:3" x14ac:dyDescent="0.25">
      <c r="A835" s="1">
        <v>41719</v>
      </c>
      <c r="B835" s="2">
        <v>6493.2001950000003</v>
      </c>
      <c r="C835" s="16">
        <f t="shared" si="1061"/>
        <v>1.5566993382682595E-3</v>
      </c>
    </row>
    <row r="836" spans="1:3" x14ac:dyDescent="0.25">
      <c r="A836" s="1">
        <v>41722</v>
      </c>
      <c r="B836" s="2">
        <v>6583.5</v>
      </c>
      <c r="C836" s="16">
        <f t="shared" ref="C836:C899" si="1062">LN(B836/B835)</f>
        <v>1.3811013328291329E-2</v>
      </c>
    </row>
    <row r="837" spans="1:3" x14ac:dyDescent="0.25">
      <c r="A837" s="1">
        <v>41723</v>
      </c>
      <c r="B837" s="2">
        <v>6589.75</v>
      </c>
      <c r="C837" s="16">
        <f t="shared" si="1062"/>
        <v>9.4889271348475338E-4</v>
      </c>
    </row>
    <row r="838" spans="1:3" x14ac:dyDescent="0.25">
      <c r="A838" s="1">
        <v>41724</v>
      </c>
      <c r="B838" s="2">
        <v>6601.3999020000001</v>
      </c>
      <c r="C838" s="16">
        <f t="shared" si="1062"/>
        <v>1.7663213768955546E-3</v>
      </c>
    </row>
    <row r="839" spans="1:3" x14ac:dyDescent="0.25">
      <c r="A839" s="1">
        <v>41725</v>
      </c>
      <c r="B839" s="2">
        <v>6641.75</v>
      </c>
      <c r="C839" s="16">
        <f t="shared" si="1062"/>
        <v>6.0937500762565907E-3</v>
      </c>
    </row>
    <row r="840" spans="1:3" x14ac:dyDescent="0.25">
      <c r="A840" s="1">
        <v>41726</v>
      </c>
      <c r="B840" s="2">
        <v>6695.8999020000001</v>
      </c>
      <c r="C840" s="16">
        <f t="shared" si="1062"/>
        <v>8.1199011698084283E-3</v>
      </c>
    </row>
    <row r="841" spans="1:3" x14ac:dyDescent="0.25">
      <c r="A841" s="1">
        <v>41729</v>
      </c>
      <c r="B841" s="2">
        <v>6704.2001950000003</v>
      </c>
      <c r="C841" s="16">
        <f t="shared" si="1062"/>
        <v>1.2388406058870401E-3</v>
      </c>
    </row>
    <row r="842" spans="1:3" x14ac:dyDescent="0.25">
      <c r="A842" s="1">
        <v>41730</v>
      </c>
      <c r="B842" s="2">
        <v>6721.0498049999997</v>
      </c>
      <c r="C842" s="16">
        <f t="shared" si="1062"/>
        <v>2.5101385593804294E-3</v>
      </c>
    </row>
    <row r="843" spans="1:3" x14ac:dyDescent="0.25">
      <c r="A843" s="1">
        <v>41731</v>
      </c>
      <c r="B843" s="2">
        <v>6752.5498049999997</v>
      </c>
      <c r="C843" s="16">
        <f t="shared" si="1062"/>
        <v>4.6758191282041204E-3</v>
      </c>
    </row>
    <row r="844" spans="1:3" x14ac:dyDescent="0.25">
      <c r="A844" s="1">
        <v>41732</v>
      </c>
      <c r="B844" s="2">
        <v>6736.1000979999999</v>
      </c>
      <c r="C844" s="16">
        <f t="shared" si="1062"/>
        <v>-2.4390454601693075E-3</v>
      </c>
    </row>
    <row r="845" spans="1:3" x14ac:dyDescent="0.25">
      <c r="A845" s="1">
        <v>41733</v>
      </c>
      <c r="B845" s="2">
        <v>6694.3500979999999</v>
      </c>
      <c r="C845" s="16">
        <f t="shared" si="1062"/>
        <v>-6.2172352935878552E-3</v>
      </c>
    </row>
    <row r="846" spans="1:3" x14ac:dyDescent="0.25">
      <c r="A846" s="1">
        <v>41736</v>
      </c>
      <c r="B846" s="2">
        <v>6695.0498049999997</v>
      </c>
      <c r="C846" s="16">
        <f t="shared" si="1062"/>
        <v>1.0451655872645482E-4</v>
      </c>
    </row>
    <row r="847" spans="1:3" x14ac:dyDescent="0.25">
      <c r="A847" s="1">
        <v>41738</v>
      </c>
      <c r="B847" s="2">
        <v>6796.2001950000003</v>
      </c>
      <c r="C847" s="16">
        <f t="shared" si="1062"/>
        <v>1.4995242895942668E-2</v>
      </c>
    </row>
    <row r="848" spans="1:3" x14ac:dyDescent="0.25">
      <c r="A848" s="1">
        <v>41739</v>
      </c>
      <c r="B848" s="2">
        <v>6796.3999020000001</v>
      </c>
      <c r="C848" s="16">
        <f t="shared" si="1062"/>
        <v>2.9384664977746311E-5</v>
      </c>
    </row>
    <row r="849" spans="1:3" x14ac:dyDescent="0.25">
      <c r="A849" s="1">
        <v>41740</v>
      </c>
      <c r="B849" s="2">
        <v>6776.2998049999997</v>
      </c>
      <c r="C849" s="16">
        <f t="shared" si="1062"/>
        <v>-2.9618443092315535E-3</v>
      </c>
    </row>
    <row r="850" spans="1:3" x14ac:dyDescent="0.25">
      <c r="A850" s="1">
        <v>41744</v>
      </c>
      <c r="B850" s="2">
        <v>6733.1000979999999</v>
      </c>
      <c r="C850" s="16">
        <f t="shared" si="1062"/>
        <v>-6.3955252726191104E-3</v>
      </c>
    </row>
    <row r="851" spans="1:3" x14ac:dyDescent="0.25">
      <c r="A851" s="1">
        <v>41745</v>
      </c>
      <c r="B851" s="2">
        <v>6675.2998049999997</v>
      </c>
      <c r="C851" s="16">
        <f t="shared" si="1062"/>
        <v>-8.6215583437933459E-3</v>
      </c>
    </row>
    <row r="852" spans="1:3" x14ac:dyDescent="0.25">
      <c r="A852" s="1">
        <v>41746</v>
      </c>
      <c r="B852" s="2">
        <v>6779.3999020000001</v>
      </c>
      <c r="C852" s="16">
        <f t="shared" si="1062"/>
        <v>1.547447012113784E-2</v>
      </c>
    </row>
    <row r="853" spans="1:3" x14ac:dyDescent="0.25">
      <c r="A853" s="1">
        <v>41750</v>
      </c>
      <c r="B853" s="2">
        <v>6817.6499020000001</v>
      </c>
      <c r="C853" s="16">
        <f t="shared" si="1062"/>
        <v>5.6262353157652155E-3</v>
      </c>
    </row>
    <row r="854" spans="1:3" x14ac:dyDescent="0.25">
      <c r="A854" s="1">
        <v>41751</v>
      </c>
      <c r="B854" s="2">
        <v>6815.3500979999999</v>
      </c>
      <c r="C854" s="16">
        <f t="shared" si="1062"/>
        <v>-3.3738781219338105E-4</v>
      </c>
    </row>
    <row r="855" spans="1:3" x14ac:dyDescent="0.25">
      <c r="A855" s="1">
        <v>41752</v>
      </c>
      <c r="B855" s="2">
        <v>6840.7998049999997</v>
      </c>
      <c r="C855" s="16">
        <f t="shared" si="1062"/>
        <v>3.7272198450363637E-3</v>
      </c>
    </row>
    <row r="856" spans="1:3" x14ac:dyDescent="0.25">
      <c r="A856" s="1">
        <v>41754</v>
      </c>
      <c r="B856" s="2">
        <v>6782.75</v>
      </c>
      <c r="C856" s="16">
        <f t="shared" si="1062"/>
        <v>-8.5220309174602552E-3</v>
      </c>
    </row>
    <row r="857" spans="1:3" x14ac:dyDescent="0.25">
      <c r="A857" s="1">
        <v>41757</v>
      </c>
      <c r="B857" s="2">
        <v>6761.25</v>
      </c>
      <c r="C857" s="16">
        <f t="shared" si="1062"/>
        <v>-3.1748402332101942E-3</v>
      </c>
    </row>
    <row r="858" spans="1:3" x14ac:dyDescent="0.25">
      <c r="A858" s="1">
        <v>41758</v>
      </c>
      <c r="B858" s="2">
        <v>6715.25</v>
      </c>
      <c r="C858" s="16">
        <f t="shared" si="1062"/>
        <v>-6.8267248394148659E-3</v>
      </c>
    </row>
    <row r="859" spans="1:3" x14ac:dyDescent="0.25">
      <c r="A859" s="1">
        <v>41759</v>
      </c>
      <c r="B859" s="2">
        <v>6696.3999020000001</v>
      </c>
      <c r="C859" s="16">
        <f t="shared" si="1062"/>
        <v>-2.8110054393213333E-3</v>
      </c>
    </row>
    <row r="860" spans="1:3" x14ac:dyDescent="0.25">
      <c r="A860" s="1">
        <v>41761</v>
      </c>
      <c r="B860" s="2">
        <v>6694.7998049999997</v>
      </c>
      <c r="C860" s="16">
        <f t="shared" si="1062"/>
        <v>-2.3897739450174635E-4</v>
      </c>
    </row>
    <row r="861" spans="1:3" x14ac:dyDescent="0.25">
      <c r="A861" s="1">
        <v>41764</v>
      </c>
      <c r="B861" s="2">
        <v>6699.3500979999999</v>
      </c>
      <c r="C861" s="16">
        <f t="shared" si="1062"/>
        <v>6.7944486331787928E-4</v>
      </c>
    </row>
    <row r="862" spans="1:3" x14ac:dyDescent="0.25">
      <c r="A862" s="1">
        <v>41765</v>
      </c>
      <c r="B862" s="2">
        <v>6715.2998049999997</v>
      </c>
      <c r="C862" s="16">
        <f t="shared" si="1062"/>
        <v>2.3779546437943367E-3</v>
      </c>
    </row>
    <row r="863" spans="1:3" x14ac:dyDescent="0.25">
      <c r="A863" s="1">
        <v>41766</v>
      </c>
      <c r="B863" s="2">
        <v>6652.5498049999997</v>
      </c>
      <c r="C863" s="16">
        <f t="shared" si="1062"/>
        <v>-9.3882655365412088E-3</v>
      </c>
    </row>
    <row r="864" spans="1:3" x14ac:dyDescent="0.25">
      <c r="A864" s="1">
        <v>41767</v>
      </c>
      <c r="B864" s="2">
        <v>6659.8500979999999</v>
      </c>
      <c r="C864" s="16">
        <f t="shared" si="1062"/>
        <v>1.0967659903524747E-3</v>
      </c>
    </row>
    <row r="865" spans="1:3" x14ac:dyDescent="0.25">
      <c r="A865" s="1">
        <v>41768</v>
      </c>
      <c r="B865" s="2">
        <v>6858.7998049999997</v>
      </c>
      <c r="C865" s="16">
        <f t="shared" si="1062"/>
        <v>2.9435494400744004E-2</v>
      </c>
    </row>
    <row r="866" spans="1:3" x14ac:dyDescent="0.25">
      <c r="A866" s="1">
        <v>41771</v>
      </c>
      <c r="B866" s="2">
        <v>7014.25</v>
      </c>
      <c r="C866" s="16">
        <f t="shared" si="1062"/>
        <v>2.2411323190575132E-2</v>
      </c>
    </row>
    <row r="867" spans="1:3" x14ac:dyDescent="0.25">
      <c r="A867" s="1">
        <v>41772</v>
      </c>
      <c r="B867" s="2">
        <v>7108.75</v>
      </c>
      <c r="C867" s="16">
        <f t="shared" si="1062"/>
        <v>1.3382625556367727E-2</v>
      </c>
    </row>
    <row r="868" spans="1:3" x14ac:dyDescent="0.25">
      <c r="A868" s="1">
        <v>41773</v>
      </c>
      <c r="B868" s="2">
        <v>7108.75</v>
      </c>
      <c r="C868" s="16">
        <f t="shared" si="1062"/>
        <v>0</v>
      </c>
    </row>
    <row r="869" spans="1:3" x14ac:dyDescent="0.25">
      <c r="A869" s="1">
        <v>41774</v>
      </c>
      <c r="B869" s="2">
        <v>7123.1499020000001</v>
      </c>
      <c r="C869" s="16">
        <f t="shared" si="1062"/>
        <v>2.0236099204068835E-3</v>
      </c>
    </row>
    <row r="870" spans="1:3" x14ac:dyDescent="0.25">
      <c r="A870" s="1">
        <v>41775</v>
      </c>
      <c r="B870" s="2">
        <v>7203</v>
      </c>
      <c r="C870" s="16">
        <f t="shared" si="1062"/>
        <v>1.1147576347946489E-2</v>
      </c>
    </row>
    <row r="871" spans="1:3" x14ac:dyDescent="0.25">
      <c r="A871" s="1">
        <v>41778</v>
      </c>
      <c r="B871" s="2">
        <v>7263.5498049999997</v>
      </c>
      <c r="C871" s="16">
        <f t="shared" si="1062"/>
        <v>8.3710572872424931E-3</v>
      </c>
    </row>
    <row r="872" spans="1:3" x14ac:dyDescent="0.25">
      <c r="A872" s="1">
        <v>41779</v>
      </c>
      <c r="B872" s="2">
        <v>7275.5</v>
      </c>
      <c r="C872" s="16">
        <f t="shared" si="1062"/>
        <v>1.6438760237280125E-3</v>
      </c>
    </row>
    <row r="873" spans="1:3" x14ac:dyDescent="0.25">
      <c r="A873" s="1">
        <v>41780</v>
      </c>
      <c r="B873" s="2">
        <v>7252.8999020000001</v>
      </c>
      <c r="C873" s="16">
        <f t="shared" si="1062"/>
        <v>-3.1111638421227258E-3</v>
      </c>
    </row>
    <row r="874" spans="1:3" x14ac:dyDescent="0.25">
      <c r="A874" s="1">
        <v>41781</v>
      </c>
      <c r="B874" s="2">
        <v>7276.3999020000001</v>
      </c>
      <c r="C874" s="16">
        <f t="shared" si="1062"/>
        <v>3.2348455616517664E-3</v>
      </c>
    </row>
    <row r="875" spans="1:3" x14ac:dyDescent="0.25">
      <c r="A875" s="1">
        <v>41782</v>
      </c>
      <c r="B875" s="2">
        <v>7367.1000979999999</v>
      </c>
      <c r="C875" s="16">
        <f t="shared" si="1062"/>
        <v>1.2387934019632717E-2</v>
      </c>
    </row>
    <row r="876" spans="1:3" x14ac:dyDescent="0.25">
      <c r="A876" s="1">
        <v>41785</v>
      </c>
      <c r="B876" s="2">
        <v>7359.0498049999997</v>
      </c>
      <c r="C876" s="16">
        <f t="shared" si="1062"/>
        <v>-1.0933331325506442E-3</v>
      </c>
    </row>
    <row r="877" spans="1:3" x14ac:dyDescent="0.25">
      <c r="A877" s="1">
        <v>41786</v>
      </c>
      <c r="B877" s="2">
        <v>7318</v>
      </c>
      <c r="C877" s="16">
        <f t="shared" si="1062"/>
        <v>-5.5937552277924392E-3</v>
      </c>
    </row>
    <row r="878" spans="1:3" x14ac:dyDescent="0.25">
      <c r="A878" s="1">
        <v>41787</v>
      </c>
      <c r="B878" s="2">
        <v>7329.6499020000001</v>
      </c>
      <c r="C878" s="16">
        <f t="shared" si="1062"/>
        <v>1.5906858143667128E-3</v>
      </c>
    </row>
    <row r="879" spans="1:3" x14ac:dyDescent="0.25">
      <c r="A879" s="1">
        <v>41788</v>
      </c>
      <c r="B879" s="2">
        <v>7235.6499020000001</v>
      </c>
      <c r="C879" s="16">
        <f t="shared" si="1062"/>
        <v>-1.2907568857000173E-2</v>
      </c>
    </row>
    <row r="880" spans="1:3" x14ac:dyDescent="0.25">
      <c r="A880" s="1">
        <v>41789</v>
      </c>
      <c r="B880" s="2">
        <v>7229.9501950000003</v>
      </c>
      <c r="C880" s="16">
        <f t="shared" si="1062"/>
        <v>-7.8803606580303141E-4</v>
      </c>
    </row>
    <row r="881" spans="1:3" x14ac:dyDescent="0.25">
      <c r="A881" s="1">
        <v>41792</v>
      </c>
      <c r="B881" s="2">
        <v>7362.5</v>
      </c>
      <c r="C881" s="16">
        <f t="shared" si="1062"/>
        <v>1.8167401489126562E-2</v>
      </c>
    </row>
    <row r="882" spans="1:3" x14ac:dyDescent="0.25">
      <c r="A882" s="1">
        <v>41793</v>
      </c>
      <c r="B882" s="2">
        <v>7415.8500979999999</v>
      </c>
      <c r="C882" s="16">
        <f t="shared" si="1062"/>
        <v>7.2200657590111477E-3</v>
      </c>
    </row>
    <row r="883" spans="1:3" x14ac:dyDescent="0.25">
      <c r="A883" s="1">
        <v>41794</v>
      </c>
      <c r="B883" s="2">
        <v>7402.25</v>
      </c>
      <c r="C883" s="16">
        <f t="shared" si="1062"/>
        <v>-1.835606687604275E-3</v>
      </c>
    </row>
    <row r="884" spans="1:3" x14ac:dyDescent="0.25">
      <c r="A884" s="1">
        <v>41795</v>
      </c>
      <c r="B884" s="2">
        <v>7474.1000979999999</v>
      </c>
      <c r="C884" s="16">
        <f t="shared" si="1062"/>
        <v>9.6597157529691568E-3</v>
      </c>
    </row>
    <row r="885" spans="1:3" x14ac:dyDescent="0.25">
      <c r="A885" s="1">
        <v>41796</v>
      </c>
      <c r="B885" s="2">
        <v>7583.3999020000001</v>
      </c>
      <c r="C885" s="16">
        <f t="shared" si="1062"/>
        <v>1.4517911173954042E-2</v>
      </c>
    </row>
    <row r="886" spans="1:3" x14ac:dyDescent="0.25">
      <c r="A886" s="1">
        <v>41799</v>
      </c>
      <c r="B886" s="2">
        <v>7654.6000979999999</v>
      </c>
      <c r="C886" s="16">
        <f t="shared" si="1062"/>
        <v>9.3451521419817777E-3</v>
      </c>
    </row>
    <row r="887" spans="1:3" x14ac:dyDescent="0.25">
      <c r="A887" s="1">
        <v>41800</v>
      </c>
      <c r="B887" s="2">
        <v>7656.3999020000001</v>
      </c>
      <c r="C887" s="16">
        <f t="shared" si="1062"/>
        <v>2.3509947205147623E-4</v>
      </c>
    </row>
    <row r="888" spans="1:3" x14ac:dyDescent="0.25">
      <c r="A888" s="1">
        <v>41801</v>
      </c>
      <c r="B888" s="2">
        <v>7626.8500979999999</v>
      </c>
      <c r="C888" s="16">
        <f t="shared" si="1062"/>
        <v>-3.8669577246201688E-3</v>
      </c>
    </row>
    <row r="889" spans="1:3" x14ac:dyDescent="0.25">
      <c r="A889" s="1">
        <v>41802</v>
      </c>
      <c r="B889" s="2">
        <v>7649.8999020000001</v>
      </c>
      <c r="C889" s="16">
        <f t="shared" si="1062"/>
        <v>3.0176341815084675E-3</v>
      </c>
    </row>
    <row r="890" spans="1:3" x14ac:dyDescent="0.25">
      <c r="A890" s="1">
        <v>41803</v>
      </c>
      <c r="B890" s="2">
        <v>7542.1000979999999</v>
      </c>
      <c r="C890" s="16">
        <f t="shared" si="1062"/>
        <v>-1.4191892222492172E-2</v>
      </c>
    </row>
    <row r="891" spans="1:3" x14ac:dyDescent="0.25">
      <c r="A891" s="1">
        <v>41806</v>
      </c>
      <c r="B891" s="2">
        <v>7533.5498049999997</v>
      </c>
      <c r="C891" s="16">
        <f t="shared" si="1062"/>
        <v>-1.1343184501900817E-3</v>
      </c>
    </row>
    <row r="892" spans="1:3" x14ac:dyDescent="0.25">
      <c r="A892" s="1">
        <v>41807</v>
      </c>
      <c r="B892" s="2">
        <v>7631.7001950000003</v>
      </c>
      <c r="C892" s="16">
        <f t="shared" si="1062"/>
        <v>1.2944298374342465E-2</v>
      </c>
    </row>
    <row r="893" spans="1:3" x14ac:dyDescent="0.25">
      <c r="A893" s="1">
        <v>41808</v>
      </c>
      <c r="B893" s="2">
        <v>7558.2001950000003</v>
      </c>
      <c r="C893" s="16">
        <f t="shared" si="1062"/>
        <v>-9.6775583446481964E-3</v>
      </c>
    </row>
    <row r="894" spans="1:3" x14ac:dyDescent="0.25">
      <c r="A894" s="1">
        <v>41809</v>
      </c>
      <c r="B894" s="2">
        <v>7540.7001950000003</v>
      </c>
      <c r="C894" s="16">
        <f t="shared" si="1062"/>
        <v>-2.3180506373480575E-3</v>
      </c>
    </row>
    <row r="895" spans="1:3" x14ac:dyDescent="0.25">
      <c r="A895" s="1">
        <v>41810</v>
      </c>
      <c r="B895" s="2">
        <v>7511.4501950000003</v>
      </c>
      <c r="C895" s="16">
        <f t="shared" si="1062"/>
        <v>-3.8864927681610791E-3</v>
      </c>
    </row>
    <row r="896" spans="1:3" x14ac:dyDescent="0.25">
      <c r="A896" s="1">
        <v>41813</v>
      </c>
      <c r="B896" s="2">
        <v>7493.3500979999999</v>
      </c>
      <c r="C896" s="16">
        <f t="shared" si="1062"/>
        <v>-2.4125753660013101E-3</v>
      </c>
    </row>
    <row r="897" spans="1:3" x14ac:dyDescent="0.25">
      <c r="A897" s="1">
        <v>41814</v>
      </c>
      <c r="B897" s="2">
        <v>7580.2001950000003</v>
      </c>
      <c r="C897" s="16">
        <f t="shared" si="1062"/>
        <v>1.1523636622927368E-2</v>
      </c>
    </row>
    <row r="898" spans="1:3" x14ac:dyDescent="0.25">
      <c r="A898" s="1">
        <v>41815</v>
      </c>
      <c r="B898" s="2">
        <v>7569.25</v>
      </c>
      <c r="C898" s="16">
        <f t="shared" si="1062"/>
        <v>-1.4456230115353016E-3</v>
      </c>
    </row>
    <row r="899" spans="1:3" x14ac:dyDescent="0.25">
      <c r="A899" s="1">
        <v>41816</v>
      </c>
      <c r="B899" s="2">
        <v>7493.2001950000003</v>
      </c>
      <c r="C899" s="16">
        <f t="shared" si="1062"/>
        <v>-1.0098018615488938E-2</v>
      </c>
    </row>
    <row r="900" spans="1:3" x14ac:dyDescent="0.25">
      <c r="A900" s="1">
        <v>41817</v>
      </c>
      <c r="B900" s="2">
        <v>7508.7998049999997</v>
      </c>
      <c r="C900" s="16">
        <f t="shared" ref="C900:C963" si="1063">LN(B900/B899)</f>
        <v>2.0796714601256363E-3</v>
      </c>
    </row>
    <row r="901" spans="1:3" x14ac:dyDescent="0.25">
      <c r="A901" s="1">
        <v>41820</v>
      </c>
      <c r="B901" s="2">
        <v>7611.3500979999999</v>
      </c>
      <c r="C901" s="16">
        <f t="shared" si="1063"/>
        <v>1.3564927087738345E-2</v>
      </c>
    </row>
    <row r="902" spans="1:3" x14ac:dyDescent="0.25">
      <c r="A902" s="1">
        <v>41821</v>
      </c>
      <c r="B902" s="2">
        <v>7634.7001950000003</v>
      </c>
      <c r="C902" s="16">
        <f t="shared" si="1063"/>
        <v>3.0631035328247663E-3</v>
      </c>
    </row>
    <row r="903" spans="1:3" x14ac:dyDescent="0.25">
      <c r="A903" s="1">
        <v>41822</v>
      </c>
      <c r="B903" s="2">
        <v>7725.1499020000001</v>
      </c>
      <c r="C903" s="16">
        <f t="shared" si="1063"/>
        <v>1.1777556676132993E-2</v>
      </c>
    </row>
    <row r="904" spans="1:3" x14ac:dyDescent="0.25">
      <c r="A904" s="1">
        <v>41823</v>
      </c>
      <c r="B904" s="2">
        <v>7714.7998049999997</v>
      </c>
      <c r="C904" s="16">
        <f t="shared" si="1063"/>
        <v>-1.3406907077714561E-3</v>
      </c>
    </row>
    <row r="905" spans="1:3" x14ac:dyDescent="0.25">
      <c r="A905" s="1">
        <v>41824</v>
      </c>
      <c r="B905" s="2">
        <v>7751.6000979999999</v>
      </c>
      <c r="C905" s="16">
        <f t="shared" si="1063"/>
        <v>4.7587496350972314E-3</v>
      </c>
    </row>
    <row r="906" spans="1:3" x14ac:dyDescent="0.25">
      <c r="A906" s="1">
        <v>41827</v>
      </c>
      <c r="B906" s="2">
        <v>7787.1499020000001</v>
      </c>
      <c r="C906" s="16">
        <f t="shared" si="1063"/>
        <v>4.5756403859993312E-3</v>
      </c>
    </row>
    <row r="907" spans="1:3" x14ac:dyDescent="0.25">
      <c r="A907" s="1">
        <v>41828</v>
      </c>
      <c r="B907" s="2">
        <v>7623.2001950000003</v>
      </c>
      <c r="C907" s="16">
        <f t="shared" si="1063"/>
        <v>-2.1278672066857567E-2</v>
      </c>
    </row>
    <row r="908" spans="1:3" x14ac:dyDescent="0.25">
      <c r="A908" s="1">
        <v>41829</v>
      </c>
      <c r="B908" s="2">
        <v>7585</v>
      </c>
      <c r="C908" s="16">
        <f t="shared" si="1063"/>
        <v>-5.023641831154591E-3</v>
      </c>
    </row>
    <row r="909" spans="1:3" x14ac:dyDescent="0.25">
      <c r="A909" s="1">
        <v>41830</v>
      </c>
      <c r="B909" s="2">
        <v>7567.75</v>
      </c>
      <c r="C909" s="16">
        <f t="shared" si="1063"/>
        <v>-2.2768154231857557E-3</v>
      </c>
    </row>
    <row r="910" spans="1:3" x14ac:dyDescent="0.25">
      <c r="A910" s="1">
        <v>41831</v>
      </c>
      <c r="B910" s="2">
        <v>7459.6000979999999</v>
      </c>
      <c r="C910" s="16">
        <f t="shared" si="1063"/>
        <v>-1.4393990764722114E-2</v>
      </c>
    </row>
    <row r="911" spans="1:3" x14ac:dyDescent="0.25">
      <c r="A911" s="1">
        <v>41834</v>
      </c>
      <c r="B911" s="2">
        <v>7454.1499020000001</v>
      </c>
      <c r="C911" s="16">
        <f t="shared" si="1063"/>
        <v>-7.3089548136824405E-4</v>
      </c>
    </row>
    <row r="912" spans="1:3" x14ac:dyDescent="0.25">
      <c r="A912" s="1">
        <v>41835</v>
      </c>
      <c r="B912" s="2">
        <v>7526.6499020000001</v>
      </c>
      <c r="C912" s="16">
        <f t="shared" si="1063"/>
        <v>9.6791315503528454E-3</v>
      </c>
    </row>
    <row r="913" spans="1:3" x14ac:dyDescent="0.25">
      <c r="A913" s="1">
        <v>41836</v>
      </c>
      <c r="B913" s="2">
        <v>7624.3999020000001</v>
      </c>
      <c r="C913" s="16">
        <f t="shared" si="1063"/>
        <v>1.2903575337738064E-2</v>
      </c>
    </row>
    <row r="914" spans="1:3" x14ac:dyDescent="0.25">
      <c r="A914" s="1">
        <v>41837</v>
      </c>
      <c r="B914" s="2">
        <v>7640.4501950000003</v>
      </c>
      <c r="C914" s="16">
        <f t="shared" si="1063"/>
        <v>2.1029094701679111E-3</v>
      </c>
    </row>
    <row r="915" spans="1:3" x14ac:dyDescent="0.25">
      <c r="A915" s="1">
        <v>41838</v>
      </c>
      <c r="B915" s="2">
        <v>7663.8999020000001</v>
      </c>
      <c r="C915" s="16">
        <f t="shared" si="1063"/>
        <v>3.0644522900302434E-3</v>
      </c>
    </row>
    <row r="916" spans="1:3" x14ac:dyDescent="0.25">
      <c r="A916" s="1">
        <v>41841</v>
      </c>
      <c r="B916" s="2">
        <v>7684.2001950000003</v>
      </c>
      <c r="C916" s="16">
        <f t="shared" si="1063"/>
        <v>2.6453182751822774E-3</v>
      </c>
    </row>
    <row r="917" spans="1:3" x14ac:dyDescent="0.25">
      <c r="A917" s="1">
        <v>41842</v>
      </c>
      <c r="B917" s="2">
        <v>7767.8500979999999</v>
      </c>
      <c r="C917" s="16">
        <f t="shared" si="1063"/>
        <v>1.0827135374294876E-2</v>
      </c>
    </row>
    <row r="918" spans="1:3" x14ac:dyDescent="0.25">
      <c r="A918" s="1">
        <v>41843</v>
      </c>
      <c r="B918" s="2">
        <v>7795.75</v>
      </c>
      <c r="C918" s="16">
        <f t="shared" si="1063"/>
        <v>3.5852799751086451E-3</v>
      </c>
    </row>
    <row r="919" spans="1:3" x14ac:dyDescent="0.25">
      <c r="A919" s="1">
        <v>41844</v>
      </c>
      <c r="B919" s="2">
        <v>7830.6000979999999</v>
      </c>
      <c r="C919" s="16">
        <f t="shared" si="1063"/>
        <v>4.4604345303107399E-3</v>
      </c>
    </row>
    <row r="920" spans="1:3" x14ac:dyDescent="0.25">
      <c r="A920" s="1">
        <v>41845</v>
      </c>
      <c r="B920" s="2">
        <v>7790.4501950000003</v>
      </c>
      <c r="C920" s="16">
        <f t="shared" si="1063"/>
        <v>-5.1404983223769284E-3</v>
      </c>
    </row>
    <row r="921" spans="1:3" x14ac:dyDescent="0.25">
      <c r="A921" s="1">
        <v>41848</v>
      </c>
      <c r="B921" s="2">
        <v>7748.7001950000003</v>
      </c>
      <c r="C921" s="16">
        <f t="shared" si="1063"/>
        <v>-5.3735370869970106E-3</v>
      </c>
    </row>
    <row r="922" spans="1:3" x14ac:dyDescent="0.25">
      <c r="A922" s="1">
        <v>41850</v>
      </c>
      <c r="B922" s="2">
        <v>7791.3999020000001</v>
      </c>
      <c r="C922" s="16">
        <f t="shared" si="1063"/>
        <v>5.4954362190336985E-3</v>
      </c>
    </row>
    <row r="923" spans="1:3" x14ac:dyDescent="0.25">
      <c r="A923" s="1">
        <v>41851</v>
      </c>
      <c r="B923" s="2">
        <v>7721.2998049999997</v>
      </c>
      <c r="C923" s="16">
        <f t="shared" si="1063"/>
        <v>-9.037830356453105E-3</v>
      </c>
    </row>
    <row r="924" spans="1:3" x14ac:dyDescent="0.25">
      <c r="A924" s="1">
        <v>41852</v>
      </c>
      <c r="B924" s="2">
        <v>7602.6000979999999</v>
      </c>
      <c r="C924" s="16">
        <f t="shared" si="1063"/>
        <v>-1.5492411446504293E-2</v>
      </c>
    </row>
    <row r="925" spans="1:3" x14ac:dyDescent="0.25">
      <c r="A925" s="1">
        <v>41855</v>
      </c>
      <c r="B925" s="2">
        <v>7683.6499020000001</v>
      </c>
      <c r="C925" s="16">
        <f t="shared" si="1063"/>
        <v>1.0604374980323157E-2</v>
      </c>
    </row>
    <row r="926" spans="1:3" x14ac:dyDescent="0.25">
      <c r="A926" s="1">
        <v>41856</v>
      </c>
      <c r="B926" s="2">
        <v>7746.5498049999997</v>
      </c>
      <c r="C926" s="16">
        <f t="shared" si="1063"/>
        <v>8.1528758673032435E-3</v>
      </c>
    </row>
    <row r="927" spans="1:3" x14ac:dyDescent="0.25">
      <c r="A927" s="1">
        <v>41857</v>
      </c>
      <c r="B927" s="2">
        <v>7672.0498049999997</v>
      </c>
      <c r="C927" s="16">
        <f t="shared" si="1063"/>
        <v>-9.6637284403472291E-3</v>
      </c>
    </row>
    <row r="928" spans="1:3" x14ac:dyDescent="0.25">
      <c r="A928" s="1">
        <v>41858</v>
      </c>
      <c r="B928" s="2">
        <v>7649.25</v>
      </c>
      <c r="C928" s="16">
        <f t="shared" si="1063"/>
        <v>-2.9762255317864949E-3</v>
      </c>
    </row>
    <row r="929" spans="1:3" x14ac:dyDescent="0.25">
      <c r="A929" s="1">
        <v>41859</v>
      </c>
      <c r="B929" s="2">
        <v>7568.5498049999997</v>
      </c>
      <c r="C929" s="16">
        <f t="shared" si="1063"/>
        <v>-1.0606126053588724E-2</v>
      </c>
    </row>
    <row r="930" spans="1:3" x14ac:dyDescent="0.25">
      <c r="A930" s="1">
        <v>41862</v>
      </c>
      <c r="B930" s="2">
        <v>7625.9501950000003</v>
      </c>
      <c r="C930" s="16">
        <f t="shared" si="1063"/>
        <v>7.5554527042728161E-3</v>
      </c>
    </row>
    <row r="931" spans="1:3" x14ac:dyDescent="0.25">
      <c r="A931" s="1">
        <v>41863</v>
      </c>
      <c r="B931" s="2">
        <v>7727.0498049999997</v>
      </c>
      <c r="C931" s="16">
        <f t="shared" si="1063"/>
        <v>1.3170204043822065E-2</v>
      </c>
    </row>
    <row r="932" spans="1:3" x14ac:dyDescent="0.25">
      <c r="A932" s="1">
        <v>41864</v>
      </c>
      <c r="B932" s="2">
        <v>7739.5498049999997</v>
      </c>
      <c r="C932" s="16">
        <f t="shared" si="1063"/>
        <v>1.6163866702136522E-3</v>
      </c>
    </row>
    <row r="933" spans="1:3" x14ac:dyDescent="0.25">
      <c r="A933" s="1">
        <v>41865</v>
      </c>
      <c r="B933" s="2">
        <v>7791.7001950000003</v>
      </c>
      <c r="C933" s="16">
        <f t="shared" si="1063"/>
        <v>6.7155684176669174E-3</v>
      </c>
    </row>
    <row r="934" spans="1:3" x14ac:dyDescent="0.25">
      <c r="A934" s="1">
        <v>41869</v>
      </c>
      <c r="B934" s="2">
        <v>7874.25</v>
      </c>
      <c r="C934" s="16">
        <f t="shared" si="1063"/>
        <v>1.0538852482036279E-2</v>
      </c>
    </row>
    <row r="935" spans="1:3" x14ac:dyDescent="0.25">
      <c r="A935" s="1">
        <v>41870</v>
      </c>
      <c r="B935" s="2">
        <v>7897.5</v>
      </c>
      <c r="C935" s="16">
        <f t="shared" si="1063"/>
        <v>2.9483116130798108E-3</v>
      </c>
    </row>
    <row r="936" spans="1:3" x14ac:dyDescent="0.25">
      <c r="A936" s="1">
        <v>41871</v>
      </c>
      <c r="B936" s="2">
        <v>7875.2998049999997</v>
      </c>
      <c r="C936" s="16">
        <f t="shared" si="1063"/>
        <v>-2.8149992308782561E-3</v>
      </c>
    </row>
    <row r="937" spans="1:3" x14ac:dyDescent="0.25">
      <c r="A937" s="1">
        <v>41872</v>
      </c>
      <c r="B937" s="2">
        <v>7891.1000979999999</v>
      </c>
      <c r="C937" s="16">
        <f t="shared" si="1063"/>
        <v>2.0043000794911776E-3</v>
      </c>
    </row>
    <row r="938" spans="1:3" x14ac:dyDescent="0.25">
      <c r="A938" s="1">
        <v>41873</v>
      </c>
      <c r="B938" s="2">
        <v>7913.2001950000003</v>
      </c>
      <c r="C938" s="16">
        <f t="shared" si="1063"/>
        <v>2.7967212714531415E-3</v>
      </c>
    </row>
    <row r="939" spans="1:3" x14ac:dyDescent="0.25">
      <c r="A939" s="1">
        <v>41876</v>
      </c>
      <c r="B939" s="2">
        <v>7906.2998049999997</v>
      </c>
      <c r="C939" s="16">
        <f t="shared" si="1063"/>
        <v>-8.7239045957681195E-4</v>
      </c>
    </row>
    <row r="940" spans="1:3" x14ac:dyDescent="0.25">
      <c r="A940" s="1">
        <v>41877</v>
      </c>
      <c r="B940" s="2">
        <v>7904.75</v>
      </c>
      <c r="C940" s="16">
        <f t="shared" si="1063"/>
        <v>-1.9604074670271992E-4</v>
      </c>
    </row>
    <row r="941" spans="1:3" x14ac:dyDescent="0.25">
      <c r="A941" s="1">
        <v>41878</v>
      </c>
      <c r="B941" s="2">
        <v>7936.0498049999997</v>
      </c>
      <c r="C941" s="16">
        <f t="shared" si="1063"/>
        <v>3.9518011866420573E-3</v>
      </c>
    </row>
    <row r="942" spans="1:3" x14ac:dyDescent="0.25">
      <c r="A942" s="1">
        <v>41879</v>
      </c>
      <c r="B942" s="2">
        <v>7954.3500979999999</v>
      </c>
      <c r="C942" s="16">
        <f t="shared" si="1063"/>
        <v>2.3033153605149744E-3</v>
      </c>
    </row>
    <row r="943" spans="1:3" x14ac:dyDescent="0.25">
      <c r="A943" s="1">
        <v>41883</v>
      </c>
      <c r="B943" s="2">
        <v>8027.7001950000003</v>
      </c>
      <c r="C943" s="16">
        <f t="shared" si="1063"/>
        <v>9.1791241639183046E-3</v>
      </c>
    </row>
    <row r="944" spans="1:3" x14ac:dyDescent="0.25">
      <c r="A944" s="1">
        <v>41884</v>
      </c>
      <c r="B944" s="2">
        <v>8083.0498049999997</v>
      </c>
      <c r="C944" s="16">
        <f t="shared" si="1063"/>
        <v>6.8711671111483675E-3</v>
      </c>
    </row>
    <row r="945" spans="1:3" x14ac:dyDescent="0.25">
      <c r="A945" s="1">
        <v>41885</v>
      </c>
      <c r="B945" s="2">
        <v>8114.6000979999999</v>
      </c>
      <c r="C945" s="16">
        <f t="shared" si="1063"/>
        <v>3.895667962962097E-3</v>
      </c>
    </row>
    <row r="946" spans="1:3" x14ac:dyDescent="0.25">
      <c r="A946" s="1">
        <v>41886</v>
      </c>
      <c r="B946" s="2">
        <v>8095.9501950000003</v>
      </c>
      <c r="C946" s="16">
        <f t="shared" si="1063"/>
        <v>-2.3009596702479665E-3</v>
      </c>
    </row>
    <row r="947" spans="1:3" x14ac:dyDescent="0.25">
      <c r="A947" s="1">
        <v>41887</v>
      </c>
      <c r="B947" s="2">
        <v>8086.8500979999999</v>
      </c>
      <c r="C947" s="16">
        <f t="shared" si="1063"/>
        <v>-1.1246629500998545E-3</v>
      </c>
    </row>
    <row r="948" spans="1:3" x14ac:dyDescent="0.25">
      <c r="A948" s="1">
        <v>41890</v>
      </c>
      <c r="B948" s="2">
        <v>8173.8999020000001</v>
      </c>
      <c r="C948" s="16">
        <f t="shared" si="1063"/>
        <v>1.0706841392736774E-2</v>
      </c>
    </row>
    <row r="949" spans="1:3" x14ac:dyDescent="0.25">
      <c r="A949" s="1">
        <v>41891</v>
      </c>
      <c r="B949" s="2">
        <v>8152.9501950000003</v>
      </c>
      <c r="C949" s="16">
        <f t="shared" si="1063"/>
        <v>-2.5662902976583356E-3</v>
      </c>
    </row>
    <row r="950" spans="1:3" x14ac:dyDescent="0.25">
      <c r="A950" s="1">
        <v>41892</v>
      </c>
      <c r="B950" s="2">
        <v>8094.1000979999999</v>
      </c>
      <c r="C950" s="16">
        <f t="shared" si="1063"/>
        <v>-7.2444355521293557E-3</v>
      </c>
    </row>
    <row r="951" spans="1:3" x14ac:dyDescent="0.25">
      <c r="A951" s="1">
        <v>41893</v>
      </c>
      <c r="B951" s="2">
        <v>8085.7001950000003</v>
      </c>
      <c r="C951" s="16">
        <f t="shared" si="1063"/>
        <v>-1.0383198312157538E-3</v>
      </c>
    </row>
    <row r="952" spans="1:3" x14ac:dyDescent="0.25">
      <c r="A952" s="1">
        <v>41894</v>
      </c>
      <c r="B952" s="2">
        <v>8105.5</v>
      </c>
      <c r="C952" s="16">
        <f t="shared" si="1063"/>
        <v>2.445750115029891E-3</v>
      </c>
    </row>
    <row r="953" spans="1:3" x14ac:dyDescent="0.25">
      <c r="A953" s="1">
        <v>41897</v>
      </c>
      <c r="B953" s="2">
        <v>8042</v>
      </c>
      <c r="C953" s="16">
        <f t="shared" si="1063"/>
        <v>-7.8650351244085905E-3</v>
      </c>
    </row>
    <row r="954" spans="1:3" x14ac:dyDescent="0.25">
      <c r="A954" s="1">
        <v>41898</v>
      </c>
      <c r="B954" s="2">
        <v>7932.8999020000001</v>
      </c>
      <c r="C954" s="16">
        <f t="shared" si="1063"/>
        <v>-1.3659152159946012E-2</v>
      </c>
    </row>
    <row r="955" spans="1:3" x14ac:dyDescent="0.25">
      <c r="A955" s="1">
        <v>41899</v>
      </c>
      <c r="B955" s="2">
        <v>7975.5</v>
      </c>
      <c r="C955" s="16">
        <f t="shared" si="1063"/>
        <v>5.3556863152294685E-3</v>
      </c>
    </row>
    <row r="956" spans="1:3" x14ac:dyDescent="0.25">
      <c r="A956" s="1">
        <v>41900</v>
      </c>
      <c r="B956" s="2">
        <v>8114.75</v>
      </c>
      <c r="C956" s="16">
        <f t="shared" si="1063"/>
        <v>1.730905071438062E-2</v>
      </c>
    </row>
    <row r="957" spans="1:3" x14ac:dyDescent="0.25">
      <c r="A957" s="1">
        <v>41901</v>
      </c>
      <c r="B957" s="2">
        <v>8121.4501950000003</v>
      </c>
      <c r="C957" s="16">
        <f t="shared" si="1063"/>
        <v>8.2534032592237756E-4</v>
      </c>
    </row>
    <row r="958" spans="1:3" x14ac:dyDescent="0.25">
      <c r="A958" s="1">
        <v>41904</v>
      </c>
      <c r="B958" s="2">
        <v>8146.2998049999997</v>
      </c>
      <c r="C958" s="16">
        <f t="shared" si="1063"/>
        <v>3.05507883116354E-3</v>
      </c>
    </row>
    <row r="959" spans="1:3" x14ac:dyDescent="0.25">
      <c r="A959" s="1">
        <v>41905</v>
      </c>
      <c r="B959" s="2">
        <v>8017.5498049999997</v>
      </c>
      <c r="C959" s="16">
        <f t="shared" si="1063"/>
        <v>-1.5930947899783093E-2</v>
      </c>
    </row>
    <row r="960" spans="1:3" x14ac:dyDescent="0.25">
      <c r="A960" s="1">
        <v>41906</v>
      </c>
      <c r="B960" s="2">
        <v>8002.3999020000001</v>
      </c>
      <c r="C960" s="16">
        <f t="shared" si="1063"/>
        <v>-1.8913801595413957E-3</v>
      </c>
    </row>
    <row r="961" spans="1:3" x14ac:dyDescent="0.25">
      <c r="A961" s="1">
        <v>41907</v>
      </c>
      <c r="B961" s="2">
        <v>7911.8500979999999</v>
      </c>
      <c r="C961" s="16">
        <f t="shared" si="1063"/>
        <v>-1.1379836459312568E-2</v>
      </c>
    </row>
    <row r="962" spans="1:3" x14ac:dyDescent="0.25">
      <c r="A962" s="1">
        <v>41908</v>
      </c>
      <c r="B962" s="2">
        <v>7968.8500979999999</v>
      </c>
      <c r="C962" s="16">
        <f t="shared" si="1063"/>
        <v>7.1785556142587355E-3</v>
      </c>
    </row>
    <row r="963" spans="1:3" x14ac:dyDescent="0.25">
      <c r="A963" s="1">
        <v>41911</v>
      </c>
      <c r="B963" s="2">
        <v>7958.8999020000001</v>
      </c>
      <c r="C963" s="16">
        <f t="shared" si="1063"/>
        <v>-1.2494165584453368E-3</v>
      </c>
    </row>
    <row r="964" spans="1:3" x14ac:dyDescent="0.25">
      <c r="A964" s="1">
        <v>41912</v>
      </c>
      <c r="B964" s="2">
        <v>7964.7998049999997</v>
      </c>
      <c r="C964" s="16">
        <f t="shared" ref="C964:C1027" si="1064">LN(B964/B963)</f>
        <v>7.4102166940299172E-4</v>
      </c>
    </row>
    <row r="965" spans="1:3" x14ac:dyDescent="0.25">
      <c r="A965" s="1">
        <v>41913</v>
      </c>
      <c r="B965" s="2">
        <v>7945.5498049999997</v>
      </c>
      <c r="C965" s="16">
        <f t="shared" si="1064"/>
        <v>-2.4198097295190582E-3</v>
      </c>
    </row>
    <row r="966" spans="1:3" x14ac:dyDescent="0.25">
      <c r="A966" s="1">
        <v>41919</v>
      </c>
      <c r="B966" s="2">
        <v>7852.3999020000001</v>
      </c>
      <c r="C966" s="16">
        <f t="shared" si="1064"/>
        <v>-1.1792793907412114E-2</v>
      </c>
    </row>
    <row r="967" spans="1:3" x14ac:dyDescent="0.25">
      <c r="A967" s="1">
        <v>41920</v>
      </c>
      <c r="B967" s="2">
        <v>7842.7001950000003</v>
      </c>
      <c r="C967" s="16">
        <f t="shared" si="1064"/>
        <v>-1.2360173780273254E-3</v>
      </c>
    </row>
    <row r="968" spans="1:3" x14ac:dyDescent="0.25">
      <c r="A968" s="1">
        <v>41921</v>
      </c>
      <c r="B968" s="2">
        <v>7960.5498049999997</v>
      </c>
      <c r="C968" s="16">
        <f t="shared" si="1064"/>
        <v>1.4914880757447603E-2</v>
      </c>
    </row>
    <row r="969" spans="1:3" x14ac:dyDescent="0.25">
      <c r="A969" s="1">
        <v>41922</v>
      </c>
      <c r="B969" s="2">
        <v>7859.9501950000003</v>
      </c>
      <c r="C969" s="16">
        <f t="shared" si="1064"/>
        <v>-1.2717798543856284E-2</v>
      </c>
    </row>
    <row r="970" spans="1:3" x14ac:dyDescent="0.25">
      <c r="A970" s="1">
        <v>41925</v>
      </c>
      <c r="B970" s="2">
        <v>7884.25</v>
      </c>
      <c r="C970" s="16">
        <f t="shared" si="1064"/>
        <v>3.0868286726681133E-3</v>
      </c>
    </row>
    <row r="971" spans="1:3" x14ac:dyDescent="0.25">
      <c r="A971" s="1">
        <v>41926</v>
      </c>
      <c r="B971" s="2">
        <v>7864</v>
      </c>
      <c r="C971" s="16">
        <f t="shared" si="1064"/>
        <v>-2.5717157348472356E-3</v>
      </c>
    </row>
    <row r="972" spans="1:3" x14ac:dyDescent="0.25">
      <c r="A972" s="1">
        <v>41928</v>
      </c>
      <c r="B972" s="2">
        <v>7748.2001950000003</v>
      </c>
      <c r="C972" s="16">
        <f t="shared" si="1064"/>
        <v>-1.4834799353071909E-2</v>
      </c>
    </row>
    <row r="973" spans="1:3" x14ac:dyDescent="0.25">
      <c r="A973" s="1">
        <v>41929</v>
      </c>
      <c r="B973" s="2">
        <v>7779.7001950000003</v>
      </c>
      <c r="C973" s="16">
        <f t="shared" si="1064"/>
        <v>4.0572186089574396E-3</v>
      </c>
    </row>
    <row r="974" spans="1:3" x14ac:dyDescent="0.25">
      <c r="A974" s="1">
        <v>41932</v>
      </c>
      <c r="B974" s="2">
        <v>7879.3999020000001</v>
      </c>
      <c r="C974" s="16">
        <f t="shared" si="1064"/>
        <v>1.2733944300602415E-2</v>
      </c>
    </row>
    <row r="975" spans="1:3" x14ac:dyDescent="0.25">
      <c r="A975" s="1">
        <v>41933</v>
      </c>
      <c r="B975" s="2">
        <v>7927.75</v>
      </c>
      <c r="C975" s="16">
        <f t="shared" si="1064"/>
        <v>6.1175163248943162E-3</v>
      </c>
    </row>
    <row r="976" spans="1:3" x14ac:dyDescent="0.25">
      <c r="A976" s="1">
        <v>41934</v>
      </c>
      <c r="B976" s="2">
        <v>7995.8999020000001</v>
      </c>
      <c r="C976" s="16">
        <f t="shared" si="1064"/>
        <v>8.5596353242938829E-3</v>
      </c>
    </row>
    <row r="977" spans="1:3" x14ac:dyDescent="0.25">
      <c r="A977" s="1">
        <v>41939</v>
      </c>
      <c r="B977" s="2">
        <v>7991.7001950000003</v>
      </c>
      <c r="C977" s="16">
        <f t="shared" si="1064"/>
        <v>-5.2537054606286598E-4</v>
      </c>
    </row>
    <row r="978" spans="1:3" x14ac:dyDescent="0.25">
      <c r="A978" s="1">
        <v>41940</v>
      </c>
      <c r="B978" s="2">
        <v>8027.6000979999999</v>
      </c>
      <c r="C978" s="16">
        <f t="shared" si="1064"/>
        <v>4.4820887857948072E-3</v>
      </c>
    </row>
    <row r="979" spans="1:3" x14ac:dyDescent="0.25">
      <c r="A979" s="1">
        <v>41941</v>
      </c>
      <c r="B979" s="2">
        <v>8090.4501950000003</v>
      </c>
      <c r="C979" s="16">
        <f t="shared" si="1064"/>
        <v>7.7987615630887991E-3</v>
      </c>
    </row>
    <row r="980" spans="1:3" x14ac:dyDescent="0.25">
      <c r="A980" s="1">
        <v>41942</v>
      </c>
      <c r="B980" s="2">
        <v>8169.2001950000003</v>
      </c>
      <c r="C980" s="16">
        <f t="shared" si="1064"/>
        <v>9.6866308776492605E-3</v>
      </c>
    </row>
    <row r="981" spans="1:3" x14ac:dyDescent="0.25">
      <c r="A981" s="1">
        <v>41943</v>
      </c>
      <c r="B981" s="2">
        <v>8322.2001949999994</v>
      </c>
      <c r="C981" s="16">
        <f t="shared" si="1064"/>
        <v>1.8555657656711928E-2</v>
      </c>
    </row>
    <row r="982" spans="1:3" x14ac:dyDescent="0.25">
      <c r="A982" s="1">
        <v>41946</v>
      </c>
      <c r="B982" s="2">
        <v>8324.1503909999992</v>
      </c>
      <c r="C982" s="16">
        <f t="shared" si="1064"/>
        <v>2.3430913566865633E-4</v>
      </c>
    </row>
    <row r="983" spans="1:3" x14ac:dyDescent="0.25">
      <c r="A983" s="1">
        <v>41948</v>
      </c>
      <c r="B983" s="2">
        <v>8338.2998050000006</v>
      </c>
      <c r="C983" s="16">
        <f t="shared" si="1064"/>
        <v>1.6983597531744182E-3</v>
      </c>
    </row>
    <row r="984" spans="1:3" x14ac:dyDescent="0.25">
      <c r="A984" s="1">
        <v>41950</v>
      </c>
      <c r="B984" s="2">
        <v>8337</v>
      </c>
      <c r="C984" s="16">
        <f t="shared" si="1064"/>
        <v>-1.5589584809067944E-4</v>
      </c>
    </row>
    <row r="985" spans="1:3" x14ac:dyDescent="0.25">
      <c r="A985" s="1">
        <v>41953</v>
      </c>
      <c r="B985" s="2">
        <v>8344.25</v>
      </c>
      <c r="C985" s="16">
        <f t="shared" si="1064"/>
        <v>8.6923947024296528E-4</v>
      </c>
    </row>
    <row r="986" spans="1:3" x14ac:dyDescent="0.25">
      <c r="A986" s="1">
        <v>41954</v>
      </c>
      <c r="B986" s="2">
        <v>8362.6503909999992</v>
      </c>
      <c r="C986" s="16">
        <f t="shared" si="1064"/>
        <v>2.2027303700014591E-3</v>
      </c>
    </row>
    <row r="987" spans="1:3" x14ac:dyDescent="0.25">
      <c r="A987" s="1">
        <v>41955</v>
      </c>
      <c r="B987" s="2">
        <v>8383.2998050000006</v>
      </c>
      <c r="C987" s="16">
        <f t="shared" si="1064"/>
        <v>2.4661991973418092E-3</v>
      </c>
    </row>
    <row r="988" spans="1:3" x14ac:dyDescent="0.25">
      <c r="A988" s="1">
        <v>41956</v>
      </c>
      <c r="B988" s="2">
        <v>8357.8496090000008</v>
      </c>
      <c r="C988" s="16">
        <f t="shared" si="1064"/>
        <v>-3.0404382609965403E-3</v>
      </c>
    </row>
    <row r="989" spans="1:3" x14ac:dyDescent="0.25">
      <c r="A989" s="1">
        <v>41957</v>
      </c>
      <c r="B989" s="2">
        <v>8389.9003909999992</v>
      </c>
      <c r="C989" s="16">
        <f t="shared" si="1064"/>
        <v>3.8274778555385369E-3</v>
      </c>
    </row>
    <row r="990" spans="1:3" x14ac:dyDescent="0.25">
      <c r="A990" s="1">
        <v>41960</v>
      </c>
      <c r="B990" s="2">
        <v>8430.75</v>
      </c>
      <c r="C990" s="16">
        <f t="shared" si="1064"/>
        <v>4.8570879672745993E-3</v>
      </c>
    </row>
    <row r="991" spans="1:3" x14ac:dyDescent="0.25">
      <c r="A991" s="1">
        <v>41961</v>
      </c>
      <c r="B991" s="2">
        <v>8425.9003909999992</v>
      </c>
      <c r="C991" s="16">
        <f t="shared" si="1064"/>
        <v>-5.7539416447649375E-4</v>
      </c>
    </row>
    <row r="992" spans="1:3" x14ac:dyDescent="0.25">
      <c r="A992" s="1">
        <v>41962</v>
      </c>
      <c r="B992" s="2">
        <v>8382.2998050000006</v>
      </c>
      <c r="C992" s="16">
        <f t="shared" si="1064"/>
        <v>-5.1880252836368499E-3</v>
      </c>
    </row>
    <row r="993" spans="1:3" x14ac:dyDescent="0.25">
      <c r="A993" s="1">
        <v>41963</v>
      </c>
      <c r="B993" s="2">
        <v>8401.9003909999992</v>
      </c>
      <c r="C993" s="16">
        <f t="shared" si="1064"/>
        <v>2.3356007055752798E-3</v>
      </c>
    </row>
    <row r="994" spans="1:3" x14ac:dyDescent="0.25">
      <c r="A994" s="1">
        <v>41964</v>
      </c>
      <c r="B994" s="2">
        <v>8477.3496090000008</v>
      </c>
      <c r="C994" s="16">
        <f t="shared" si="1064"/>
        <v>8.9399375572658188E-3</v>
      </c>
    </row>
    <row r="995" spans="1:3" x14ac:dyDescent="0.25">
      <c r="A995" s="1">
        <v>41967</v>
      </c>
      <c r="B995" s="2">
        <v>8530.1503909999992</v>
      </c>
      <c r="C995" s="16">
        <f t="shared" si="1064"/>
        <v>6.2091373379159183E-3</v>
      </c>
    </row>
    <row r="996" spans="1:3" x14ac:dyDescent="0.25">
      <c r="A996" s="1">
        <v>41968</v>
      </c>
      <c r="B996" s="2">
        <v>8463.0996090000008</v>
      </c>
      <c r="C996" s="16">
        <f t="shared" si="1064"/>
        <v>-7.8915016220812498E-3</v>
      </c>
    </row>
    <row r="997" spans="1:3" x14ac:dyDescent="0.25">
      <c r="A997" s="1">
        <v>41969</v>
      </c>
      <c r="B997" s="2">
        <v>8475.75</v>
      </c>
      <c r="C997" s="16">
        <f t="shared" si="1064"/>
        <v>1.493654367791191E-3</v>
      </c>
    </row>
    <row r="998" spans="1:3" x14ac:dyDescent="0.25">
      <c r="A998" s="1">
        <v>41970</v>
      </c>
      <c r="B998" s="2">
        <v>8494.2001949999994</v>
      </c>
      <c r="C998" s="16">
        <f t="shared" si="1064"/>
        <v>2.1744556769774798E-3</v>
      </c>
    </row>
    <row r="999" spans="1:3" x14ac:dyDescent="0.25">
      <c r="A999" s="1">
        <v>41971</v>
      </c>
      <c r="B999" s="2">
        <v>8588.25</v>
      </c>
      <c r="C999" s="16">
        <f t="shared" si="1064"/>
        <v>1.1011389376211229E-2</v>
      </c>
    </row>
    <row r="1000" spans="1:3" x14ac:dyDescent="0.25">
      <c r="A1000" s="1">
        <v>41974</v>
      </c>
      <c r="B1000" s="2">
        <v>8555.9003909999992</v>
      </c>
      <c r="C1000" s="16">
        <f t="shared" si="1064"/>
        <v>-3.7738408326410998E-3</v>
      </c>
    </row>
    <row r="1001" spans="1:3" x14ac:dyDescent="0.25">
      <c r="A1001" s="1">
        <v>41975</v>
      </c>
      <c r="B1001" s="2">
        <v>8524.7001949999994</v>
      </c>
      <c r="C1001" s="16">
        <f t="shared" si="1064"/>
        <v>-3.6532943375349675E-3</v>
      </c>
    </row>
    <row r="1002" spans="1:3" x14ac:dyDescent="0.25">
      <c r="A1002" s="1">
        <v>41976</v>
      </c>
      <c r="B1002" s="2">
        <v>8537.6503909999992</v>
      </c>
      <c r="C1002" s="16">
        <f t="shared" si="1064"/>
        <v>1.5179852765849844E-3</v>
      </c>
    </row>
    <row r="1003" spans="1:3" x14ac:dyDescent="0.25">
      <c r="A1003" s="1">
        <v>41977</v>
      </c>
      <c r="B1003" s="2">
        <v>8564.4003909999992</v>
      </c>
      <c r="C1003" s="16">
        <f t="shared" si="1064"/>
        <v>3.1282823511565201E-3</v>
      </c>
    </row>
    <row r="1004" spans="1:3" x14ac:dyDescent="0.25">
      <c r="A1004" s="1">
        <v>41978</v>
      </c>
      <c r="B1004" s="2">
        <v>8538.2998050000006</v>
      </c>
      <c r="C1004" s="16">
        <f t="shared" si="1064"/>
        <v>-3.0522205223434897E-3</v>
      </c>
    </row>
    <row r="1005" spans="1:3" x14ac:dyDescent="0.25">
      <c r="A1005" s="1">
        <v>41981</v>
      </c>
      <c r="B1005" s="2">
        <v>8438.25</v>
      </c>
      <c r="C1005" s="16">
        <f t="shared" si="1064"/>
        <v>-1.1786960777489442E-2</v>
      </c>
    </row>
    <row r="1006" spans="1:3" x14ac:dyDescent="0.25">
      <c r="A1006" s="1">
        <v>41982</v>
      </c>
      <c r="B1006" s="2">
        <v>8340.7001949999994</v>
      </c>
      <c r="C1006" s="16">
        <f t="shared" si="1064"/>
        <v>-1.1627772055614105E-2</v>
      </c>
    </row>
    <row r="1007" spans="1:3" x14ac:dyDescent="0.25">
      <c r="A1007" s="1">
        <v>41983</v>
      </c>
      <c r="B1007" s="2">
        <v>8355.6503909999992</v>
      </c>
      <c r="C1007" s="16">
        <f t="shared" si="1064"/>
        <v>1.7908344603263684E-3</v>
      </c>
    </row>
    <row r="1008" spans="1:3" x14ac:dyDescent="0.25">
      <c r="A1008" s="1">
        <v>41984</v>
      </c>
      <c r="B1008" s="2">
        <v>8292.9003909999992</v>
      </c>
      <c r="C1008" s="16">
        <f t="shared" si="1064"/>
        <v>-7.5382293592119089E-3</v>
      </c>
    </row>
    <row r="1009" spans="1:3" x14ac:dyDescent="0.25">
      <c r="A1009" s="1">
        <v>41985</v>
      </c>
      <c r="B1009" s="2">
        <v>8224.0996090000008</v>
      </c>
      <c r="C1009" s="16">
        <f t="shared" si="1064"/>
        <v>-8.3309535538947897E-3</v>
      </c>
    </row>
    <row r="1010" spans="1:3" x14ac:dyDescent="0.25">
      <c r="A1010" s="1">
        <v>41988</v>
      </c>
      <c r="B1010" s="2">
        <v>8219.5996090000008</v>
      </c>
      <c r="C1010" s="16">
        <f t="shared" si="1064"/>
        <v>-5.473221144072115E-4</v>
      </c>
    </row>
    <row r="1011" spans="1:3" x14ac:dyDescent="0.25">
      <c r="A1011" s="1">
        <v>41989</v>
      </c>
      <c r="B1011" s="2">
        <v>8067.6000979999999</v>
      </c>
      <c r="C1011" s="16">
        <f t="shared" si="1064"/>
        <v>-1.8665446086143237E-2</v>
      </c>
    </row>
    <row r="1012" spans="1:3" x14ac:dyDescent="0.25">
      <c r="A1012" s="1">
        <v>41990</v>
      </c>
      <c r="B1012" s="2">
        <v>8029.7998049999997</v>
      </c>
      <c r="C1012" s="16">
        <f t="shared" si="1064"/>
        <v>-4.6964556645027224E-3</v>
      </c>
    </row>
    <row r="1013" spans="1:3" x14ac:dyDescent="0.25">
      <c r="A1013" s="1">
        <v>41991</v>
      </c>
      <c r="B1013" s="2">
        <v>8159.2998049999997</v>
      </c>
      <c r="C1013" s="16">
        <f t="shared" si="1064"/>
        <v>1.5998760319789945E-2</v>
      </c>
    </row>
    <row r="1014" spans="1:3" x14ac:dyDescent="0.25">
      <c r="A1014" s="1">
        <v>41992</v>
      </c>
      <c r="B1014" s="2">
        <v>8225.2001949999994</v>
      </c>
      <c r="C1014" s="16">
        <f t="shared" si="1064"/>
        <v>8.0442790893598994E-3</v>
      </c>
    </row>
    <row r="1015" spans="1:3" x14ac:dyDescent="0.25">
      <c r="A1015" s="1">
        <v>41995</v>
      </c>
      <c r="B1015" s="2">
        <v>8324</v>
      </c>
      <c r="C1015" s="16">
        <f t="shared" si="1064"/>
        <v>1.194027235853176E-2</v>
      </c>
    </row>
    <row r="1016" spans="1:3" x14ac:dyDescent="0.25">
      <c r="A1016" s="1">
        <v>41996</v>
      </c>
      <c r="B1016" s="2">
        <v>8267</v>
      </c>
      <c r="C1016" s="16">
        <f t="shared" si="1064"/>
        <v>-6.8712222608494329E-3</v>
      </c>
    </row>
    <row r="1017" spans="1:3" x14ac:dyDescent="0.25">
      <c r="A1017" s="1">
        <v>41997</v>
      </c>
      <c r="B1017" s="2">
        <v>8174.1000979999999</v>
      </c>
      <c r="C1017" s="16">
        <f t="shared" si="1064"/>
        <v>-1.1301055301794052E-2</v>
      </c>
    </row>
    <row r="1018" spans="1:3" x14ac:dyDescent="0.25">
      <c r="A1018" s="1">
        <v>41999</v>
      </c>
      <c r="B1018" s="2">
        <v>8200.7001949999994</v>
      </c>
      <c r="C1018" s="16">
        <f t="shared" si="1064"/>
        <v>3.2489092901220157E-3</v>
      </c>
    </row>
    <row r="1019" spans="1:3" x14ac:dyDescent="0.25">
      <c r="A1019" s="1">
        <v>42002</v>
      </c>
      <c r="B1019" s="2">
        <v>8246.2998050000006</v>
      </c>
      <c r="C1019" s="16">
        <f t="shared" si="1064"/>
        <v>5.5450509928600981E-3</v>
      </c>
    </row>
    <row r="1020" spans="1:3" x14ac:dyDescent="0.25">
      <c r="A1020" s="1">
        <v>42003</v>
      </c>
      <c r="B1020" s="2">
        <v>8248.25</v>
      </c>
      <c r="C1020" s="16">
        <f t="shared" si="1064"/>
        <v>2.3646538185536804E-4</v>
      </c>
    </row>
    <row r="1021" spans="1:3" x14ac:dyDescent="0.25">
      <c r="A1021" s="1">
        <v>42004</v>
      </c>
      <c r="B1021" s="2">
        <v>8282.7001949999994</v>
      </c>
      <c r="C1021" s="16">
        <f t="shared" si="1064"/>
        <v>4.1679691083585874E-3</v>
      </c>
    </row>
    <row r="1022" spans="1:3" x14ac:dyDescent="0.25">
      <c r="A1022" s="1">
        <v>42006</v>
      </c>
      <c r="B1022" s="2">
        <v>8395.4501949999994</v>
      </c>
      <c r="C1022" s="16">
        <f t="shared" si="1064"/>
        <v>1.3520889913141267E-2</v>
      </c>
    </row>
    <row r="1023" spans="1:3" x14ac:dyDescent="0.25">
      <c r="A1023" s="1">
        <v>42009</v>
      </c>
      <c r="B1023" s="2">
        <v>8378.4003909999992</v>
      </c>
      <c r="C1023" s="16">
        <f t="shared" si="1064"/>
        <v>-2.0329035106627425E-3</v>
      </c>
    </row>
    <row r="1024" spans="1:3" x14ac:dyDescent="0.25">
      <c r="A1024" s="1">
        <v>42010</v>
      </c>
      <c r="B1024" s="2">
        <v>8127.3500979999999</v>
      </c>
      <c r="C1024" s="16">
        <f t="shared" si="1064"/>
        <v>-3.0422082920491977E-2</v>
      </c>
    </row>
    <row r="1025" spans="1:3" x14ac:dyDescent="0.25">
      <c r="A1025" s="1">
        <v>42011</v>
      </c>
      <c r="B1025" s="2">
        <v>8102.1000979999999</v>
      </c>
      <c r="C1025" s="16">
        <f t="shared" si="1064"/>
        <v>-3.1116297925196327E-3</v>
      </c>
    </row>
    <row r="1026" spans="1:3" x14ac:dyDescent="0.25">
      <c r="A1026" s="1">
        <v>42012</v>
      </c>
      <c r="B1026" s="2">
        <v>8234.5996090000008</v>
      </c>
      <c r="C1026" s="16">
        <f t="shared" si="1064"/>
        <v>1.6221442372579782E-2</v>
      </c>
    </row>
    <row r="1027" spans="1:3" x14ac:dyDescent="0.25">
      <c r="A1027" s="1">
        <v>42013</v>
      </c>
      <c r="B1027" s="2">
        <v>8284.5</v>
      </c>
      <c r="C1027" s="16">
        <f t="shared" si="1064"/>
        <v>6.0415572232273883E-3</v>
      </c>
    </row>
    <row r="1028" spans="1:3" x14ac:dyDescent="0.25">
      <c r="A1028" s="1">
        <v>42016</v>
      </c>
      <c r="B1028" s="2">
        <v>8323</v>
      </c>
      <c r="C1028" s="16">
        <f t="shared" ref="C1028:C1091" si="1065">LN(B1028/B1027)</f>
        <v>4.6364677367432341E-3</v>
      </c>
    </row>
    <row r="1029" spans="1:3" x14ac:dyDescent="0.25">
      <c r="A1029" s="1">
        <v>42017</v>
      </c>
      <c r="B1029" s="2">
        <v>8299.4003909999992</v>
      </c>
      <c r="C1029" s="16">
        <f t="shared" si="1065"/>
        <v>-2.8394966191811963E-3</v>
      </c>
    </row>
    <row r="1030" spans="1:3" x14ac:dyDescent="0.25">
      <c r="A1030" s="1">
        <v>42018</v>
      </c>
      <c r="B1030" s="2">
        <v>8277.5498050000006</v>
      </c>
      <c r="C1030" s="16">
        <f t="shared" si="1065"/>
        <v>-2.636262810294904E-3</v>
      </c>
    </row>
    <row r="1031" spans="1:3" x14ac:dyDescent="0.25">
      <c r="A1031" s="1">
        <v>42019</v>
      </c>
      <c r="B1031" s="2">
        <v>8494.1503909999992</v>
      </c>
      <c r="C1031" s="16">
        <f t="shared" si="1065"/>
        <v>2.5830729956719464E-2</v>
      </c>
    </row>
    <row r="1032" spans="1:3" x14ac:dyDescent="0.25">
      <c r="A1032" s="1">
        <v>42020</v>
      </c>
      <c r="B1032" s="2">
        <v>8513.7998050000006</v>
      </c>
      <c r="C1032" s="16">
        <f t="shared" si="1065"/>
        <v>2.3106162136912172E-3</v>
      </c>
    </row>
    <row r="1033" spans="1:3" x14ac:dyDescent="0.25">
      <c r="A1033" s="1">
        <v>42023</v>
      </c>
      <c r="B1033" s="2">
        <v>8550.7001949999994</v>
      </c>
      <c r="C1033" s="16">
        <f t="shared" si="1065"/>
        <v>4.3248202426798095E-3</v>
      </c>
    </row>
    <row r="1034" spans="1:3" x14ac:dyDescent="0.25">
      <c r="A1034" s="1">
        <v>42024</v>
      </c>
      <c r="B1034" s="2">
        <v>8695.5996090000008</v>
      </c>
      <c r="C1034" s="16">
        <f t="shared" si="1065"/>
        <v>1.6803931888043577E-2</v>
      </c>
    </row>
    <row r="1035" spans="1:3" x14ac:dyDescent="0.25">
      <c r="A1035" s="1">
        <v>42025</v>
      </c>
      <c r="B1035" s="2">
        <v>8729.5</v>
      </c>
      <c r="C1035" s="16">
        <f t="shared" si="1065"/>
        <v>3.890988807075846E-3</v>
      </c>
    </row>
    <row r="1036" spans="1:3" x14ac:dyDescent="0.25">
      <c r="A1036" s="1">
        <v>42026</v>
      </c>
      <c r="B1036" s="2">
        <v>8761.4003909999992</v>
      </c>
      <c r="C1036" s="16">
        <f t="shared" si="1065"/>
        <v>3.6476597153438065E-3</v>
      </c>
    </row>
    <row r="1037" spans="1:3" x14ac:dyDescent="0.25">
      <c r="A1037" s="1">
        <v>42027</v>
      </c>
      <c r="B1037" s="2">
        <v>8835.5996090000008</v>
      </c>
      <c r="C1037" s="16">
        <f t="shared" si="1065"/>
        <v>8.4332167697024653E-3</v>
      </c>
    </row>
    <row r="1038" spans="1:3" x14ac:dyDescent="0.25">
      <c r="A1038" s="1">
        <v>42031</v>
      </c>
      <c r="B1038" s="2">
        <v>8910.5</v>
      </c>
      <c r="C1038" s="16">
        <f t="shared" si="1065"/>
        <v>8.4413857032789516E-3</v>
      </c>
    </row>
    <row r="1039" spans="1:3" x14ac:dyDescent="0.25">
      <c r="A1039" s="1">
        <v>42032</v>
      </c>
      <c r="B1039" s="2">
        <v>8914.2998050000006</v>
      </c>
      <c r="C1039" s="16">
        <f t="shared" si="1065"/>
        <v>4.2635037690514916E-4</v>
      </c>
    </row>
    <row r="1040" spans="1:3" x14ac:dyDescent="0.25">
      <c r="A1040" s="1">
        <v>42033</v>
      </c>
      <c r="B1040" s="2">
        <v>8952.3496090000008</v>
      </c>
      <c r="C1040" s="16">
        <f t="shared" si="1065"/>
        <v>4.2593169701348457E-3</v>
      </c>
    </row>
    <row r="1041" spans="1:3" x14ac:dyDescent="0.25">
      <c r="A1041" s="1">
        <v>42034</v>
      </c>
      <c r="B1041" s="2">
        <v>8808.9003909999992</v>
      </c>
      <c r="C1041" s="16">
        <f t="shared" si="1065"/>
        <v>-1.6153405554243955E-2</v>
      </c>
    </row>
    <row r="1042" spans="1:3" x14ac:dyDescent="0.25">
      <c r="A1042" s="1">
        <v>42037</v>
      </c>
      <c r="B1042" s="2">
        <v>8797.4003909999992</v>
      </c>
      <c r="C1042" s="16">
        <f t="shared" si="1065"/>
        <v>-1.3063506954513709E-3</v>
      </c>
    </row>
    <row r="1043" spans="1:3" x14ac:dyDescent="0.25">
      <c r="A1043" s="1">
        <v>42038</v>
      </c>
      <c r="B1043" s="2">
        <v>8756.5498050000006</v>
      </c>
      <c r="C1043" s="16">
        <f t="shared" si="1065"/>
        <v>-4.6542982391589464E-3</v>
      </c>
    </row>
    <row r="1044" spans="1:3" x14ac:dyDescent="0.25">
      <c r="A1044" s="1">
        <v>42039</v>
      </c>
      <c r="B1044" s="2">
        <v>8723.7001949999994</v>
      </c>
      <c r="C1044" s="16">
        <f t="shared" si="1065"/>
        <v>-3.7584872836577137E-3</v>
      </c>
    </row>
    <row r="1045" spans="1:3" x14ac:dyDescent="0.25">
      <c r="A1045" s="1">
        <v>42040</v>
      </c>
      <c r="B1045" s="2">
        <v>8711.7001949999994</v>
      </c>
      <c r="C1045" s="16">
        <f t="shared" si="1065"/>
        <v>-1.3765100458102701E-3</v>
      </c>
    </row>
    <row r="1046" spans="1:3" x14ac:dyDescent="0.25">
      <c r="A1046" s="1">
        <v>42041</v>
      </c>
      <c r="B1046" s="2">
        <v>8661.0498050000006</v>
      </c>
      <c r="C1046" s="16">
        <f t="shared" si="1065"/>
        <v>-5.8310323366554109E-3</v>
      </c>
    </row>
    <row r="1047" spans="1:3" x14ac:dyDescent="0.25">
      <c r="A1047" s="1">
        <v>42044</v>
      </c>
      <c r="B1047" s="2">
        <v>8526.3496090000008</v>
      </c>
      <c r="C1047" s="16">
        <f t="shared" si="1065"/>
        <v>-1.5674617277347733E-2</v>
      </c>
    </row>
    <row r="1048" spans="1:3" x14ac:dyDescent="0.25">
      <c r="A1048" s="1">
        <v>42045</v>
      </c>
      <c r="B1048" s="2">
        <v>8565.5498050000006</v>
      </c>
      <c r="C1048" s="16">
        <f t="shared" si="1065"/>
        <v>4.5869992308416986E-3</v>
      </c>
    </row>
    <row r="1049" spans="1:3" x14ac:dyDescent="0.25">
      <c r="A1049" s="1">
        <v>42046</v>
      </c>
      <c r="B1049" s="2">
        <v>8627.4003909999992</v>
      </c>
      <c r="C1049" s="16">
        <f t="shared" si="1065"/>
        <v>7.1949086237610453E-3</v>
      </c>
    </row>
    <row r="1050" spans="1:3" x14ac:dyDescent="0.25">
      <c r="A1050" s="1">
        <v>42047</v>
      </c>
      <c r="B1050" s="2">
        <v>8711.5498050000006</v>
      </c>
      <c r="C1050" s="16">
        <f t="shared" si="1065"/>
        <v>9.7064786196297739E-3</v>
      </c>
    </row>
    <row r="1051" spans="1:3" x14ac:dyDescent="0.25">
      <c r="A1051" s="1">
        <v>42048</v>
      </c>
      <c r="B1051" s="2">
        <v>8805.5</v>
      </c>
      <c r="C1051" s="16">
        <f t="shared" si="1065"/>
        <v>1.0726817233038607E-2</v>
      </c>
    </row>
    <row r="1052" spans="1:3" x14ac:dyDescent="0.25">
      <c r="A1052" s="1">
        <v>42051</v>
      </c>
      <c r="B1052" s="2">
        <v>8809.3496090000008</v>
      </c>
      <c r="C1052" s="16">
        <f t="shared" si="1065"/>
        <v>4.3708679287521058E-4</v>
      </c>
    </row>
    <row r="1053" spans="1:3" x14ac:dyDescent="0.25">
      <c r="A1053" s="1">
        <v>42053</v>
      </c>
      <c r="B1053" s="2">
        <v>8869.0996090000008</v>
      </c>
      <c r="C1053" s="16">
        <f t="shared" si="1065"/>
        <v>6.7596684275492607E-3</v>
      </c>
    </row>
    <row r="1054" spans="1:3" x14ac:dyDescent="0.25">
      <c r="A1054" s="1">
        <v>42054</v>
      </c>
      <c r="B1054" s="2">
        <v>8895.2998050000006</v>
      </c>
      <c r="C1054" s="16">
        <f t="shared" si="1065"/>
        <v>2.9497439667620106E-3</v>
      </c>
    </row>
    <row r="1055" spans="1:3" x14ac:dyDescent="0.25">
      <c r="A1055" s="1">
        <v>42055</v>
      </c>
      <c r="B1055" s="2">
        <v>8833.5996090000008</v>
      </c>
      <c r="C1055" s="16">
        <f t="shared" si="1065"/>
        <v>-6.9604371553618101E-3</v>
      </c>
    </row>
    <row r="1056" spans="1:3" x14ac:dyDescent="0.25">
      <c r="A1056" s="1">
        <v>42058</v>
      </c>
      <c r="B1056" s="2">
        <v>8754.9501949999994</v>
      </c>
      <c r="C1056" s="16">
        <f t="shared" si="1065"/>
        <v>-8.9433113124794961E-3</v>
      </c>
    </row>
    <row r="1057" spans="1:3" x14ac:dyDescent="0.25">
      <c r="A1057" s="1">
        <v>42059</v>
      </c>
      <c r="B1057" s="2">
        <v>8762.0996090000008</v>
      </c>
      <c r="C1057" s="16">
        <f t="shared" si="1065"/>
        <v>8.1628064965009648E-4</v>
      </c>
    </row>
    <row r="1058" spans="1:3" x14ac:dyDescent="0.25">
      <c r="A1058" s="1">
        <v>42060</v>
      </c>
      <c r="B1058" s="2">
        <v>8767.25</v>
      </c>
      <c r="C1058" s="16">
        <f t="shared" si="1065"/>
        <v>5.8763060388298204E-4</v>
      </c>
    </row>
    <row r="1059" spans="1:3" x14ac:dyDescent="0.25">
      <c r="A1059" s="1">
        <v>42061</v>
      </c>
      <c r="B1059" s="2">
        <v>8683.8496090000008</v>
      </c>
      <c r="C1059" s="16">
        <f t="shared" si="1065"/>
        <v>-9.5582545311464241E-3</v>
      </c>
    </row>
    <row r="1060" spans="1:3" x14ac:dyDescent="0.25">
      <c r="A1060" s="1">
        <v>42062</v>
      </c>
      <c r="B1060" s="2">
        <v>8844.5996090000008</v>
      </c>
      <c r="C1060" s="16">
        <f t="shared" si="1065"/>
        <v>1.8342125396649742E-2</v>
      </c>
    </row>
    <row r="1061" spans="1:3" x14ac:dyDescent="0.25">
      <c r="A1061" s="1">
        <v>42065</v>
      </c>
      <c r="B1061" s="2">
        <v>8956.75</v>
      </c>
      <c r="C1061" s="16">
        <f t="shared" si="1065"/>
        <v>1.2600378881191967E-2</v>
      </c>
    </row>
    <row r="1062" spans="1:3" x14ac:dyDescent="0.25">
      <c r="A1062" s="1">
        <v>42066</v>
      </c>
      <c r="B1062" s="2">
        <v>8996.25</v>
      </c>
      <c r="C1062" s="16">
        <f t="shared" si="1065"/>
        <v>4.4003858673006598E-3</v>
      </c>
    </row>
    <row r="1063" spans="1:3" x14ac:dyDescent="0.25">
      <c r="A1063" s="1">
        <v>42067</v>
      </c>
      <c r="B1063" s="2">
        <v>8922.6503909999992</v>
      </c>
      <c r="C1063" s="16">
        <f t="shared" si="1065"/>
        <v>-8.2147923461744852E-3</v>
      </c>
    </row>
    <row r="1064" spans="1:3" x14ac:dyDescent="0.25">
      <c r="A1064" s="1">
        <v>42068</v>
      </c>
      <c r="B1064" s="2">
        <v>8937.75</v>
      </c>
      <c r="C1064" s="16">
        <f t="shared" si="1065"/>
        <v>1.690848163185672E-3</v>
      </c>
    </row>
    <row r="1065" spans="1:3" x14ac:dyDescent="0.25">
      <c r="A1065" s="1">
        <v>42072</v>
      </c>
      <c r="B1065" s="2">
        <v>8756.75</v>
      </c>
      <c r="C1065" s="16">
        <f t="shared" si="1065"/>
        <v>-2.045904811401918E-2</v>
      </c>
    </row>
    <row r="1066" spans="1:3" x14ac:dyDescent="0.25">
      <c r="A1066" s="1">
        <v>42073</v>
      </c>
      <c r="B1066" s="2">
        <v>8712.0498050000006</v>
      </c>
      <c r="C1066" s="16">
        <f t="shared" si="1065"/>
        <v>-5.1177291011860393E-3</v>
      </c>
    </row>
    <row r="1067" spans="1:3" x14ac:dyDescent="0.25">
      <c r="A1067" s="1">
        <v>42074</v>
      </c>
      <c r="B1067" s="2">
        <v>8699.9501949999994</v>
      </c>
      <c r="C1067" s="16">
        <f t="shared" si="1065"/>
        <v>-1.3898015101749014E-3</v>
      </c>
    </row>
    <row r="1068" spans="1:3" x14ac:dyDescent="0.25">
      <c r="A1068" s="1">
        <v>42075</v>
      </c>
      <c r="B1068" s="2">
        <v>8776</v>
      </c>
      <c r="C1068" s="16">
        <f t="shared" si="1065"/>
        <v>8.7034220414211536E-3</v>
      </c>
    </row>
    <row r="1069" spans="1:3" x14ac:dyDescent="0.25">
      <c r="A1069" s="1">
        <v>42076</v>
      </c>
      <c r="B1069" s="2">
        <v>8647.75</v>
      </c>
      <c r="C1069" s="16">
        <f t="shared" si="1065"/>
        <v>-1.4721551472009752E-2</v>
      </c>
    </row>
    <row r="1070" spans="1:3" x14ac:dyDescent="0.25">
      <c r="A1070" s="1">
        <v>42079</v>
      </c>
      <c r="B1070" s="2">
        <v>8633.1503909999992</v>
      </c>
      <c r="C1070" s="16">
        <f t="shared" si="1065"/>
        <v>-1.6896819197135112E-3</v>
      </c>
    </row>
    <row r="1071" spans="1:3" x14ac:dyDescent="0.25">
      <c r="A1071" s="1">
        <v>42080</v>
      </c>
      <c r="B1071" s="2">
        <v>8723.2998050000006</v>
      </c>
      <c r="C1071" s="16">
        <f t="shared" si="1065"/>
        <v>1.0388094762234585E-2</v>
      </c>
    </row>
    <row r="1072" spans="1:3" x14ac:dyDescent="0.25">
      <c r="A1072" s="1">
        <v>42081</v>
      </c>
      <c r="B1072" s="2">
        <v>8685.9003909999992</v>
      </c>
      <c r="C1072" s="16">
        <f t="shared" si="1065"/>
        <v>-4.296518060784002E-3</v>
      </c>
    </row>
    <row r="1073" spans="1:3" x14ac:dyDescent="0.25">
      <c r="A1073" s="1">
        <v>42082</v>
      </c>
      <c r="B1073" s="2">
        <v>8634.6503909999992</v>
      </c>
      <c r="C1073" s="16">
        <f t="shared" si="1065"/>
        <v>-5.9178429385110158E-3</v>
      </c>
    </row>
    <row r="1074" spans="1:3" x14ac:dyDescent="0.25">
      <c r="A1074" s="1">
        <v>42083</v>
      </c>
      <c r="B1074" s="2">
        <v>8570.9003909999992</v>
      </c>
      <c r="C1074" s="16">
        <f t="shared" si="1065"/>
        <v>-7.4104331260129459E-3</v>
      </c>
    </row>
    <row r="1075" spans="1:3" x14ac:dyDescent="0.25">
      <c r="A1075" s="1">
        <v>42086</v>
      </c>
      <c r="B1075" s="2">
        <v>8550.9003909999992</v>
      </c>
      <c r="C1075" s="16">
        <f t="shared" si="1065"/>
        <v>-2.3362039251665508E-3</v>
      </c>
    </row>
    <row r="1076" spans="1:3" x14ac:dyDescent="0.25">
      <c r="A1076" s="1">
        <v>42087</v>
      </c>
      <c r="B1076" s="2">
        <v>8542.9501949999994</v>
      </c>
      <c r="C1076" s="16">
        <f t="shared" si="1065"/>
        <v>-9.3018205971048286E-4</v>
      </c>
    </row>
    <row r="1077" spans="1:3" x14ac:dyDescent="0.25">
      <c r="A1077" s="1">
        <v>42088</v>
      </c>
      <c r="B1077" s="2">
        <v>8530.7998050000006</v>
      </c>
      <c r="C1077" s="16">
        <f t="shared" si="1065"/>
        <v>-1.4232833503034312E-3</v>
      </c>
    </row>
    <row r="1078" spans="1:3" x14ac:dyDescent="0.25">
      <c r="A1078" s="1">
        <v>42089</v>
      </c>
      <c r="B1078" s="2">
        <v>8342.1503909999992</v>
      </c>
      <c r="C1078" s="16">
        <f t="shared" si="1065"/>
        <v>-2.2362097100001529E-2</v>
      </c>
    </row>
    <row r="1079" spans="1:3" x14ac:dyDescent="0.25">
      <c r="A1079" s="1">
        <v>42090</v>
      </c>
      <c r="B1079" s="2">
        <v>8341.4003909999992</v>
      </c>
      <c r="C1079" s="16">
        <f t="shared" si="1065"/>
        <v>-8.9908918108002025E-5</v>
      </c>
    </row>
    <row r="1080" spans="1:3" x14ac:dyDescent="0.25">
      <c r="A1080" s="1">
        <v>42093</v>
      </c>
      <c r="B1080" s="2">
        <v>8492.2998050000006</v>
      </c>
      <c r="C1080" s="16">
        <f t="shared" si="1065"/>
        <v>1.7928732757126798E-2</v>
      </c>
    </row>
    <row r="1081" spans="1:3" x14ac:dyDescent="0.25">
      <c r="A1081" s="1">
        <v>42094</v>
      </c>
      <c r="B1081" s="2">
        <v>8491</v>
      </c>
      <c r="C1081" s="16">
        <f t="shared" si="1065"/>
        <v>-1.5306860474256542E-4</v>
      </c>
    </row>
    <row r="1082" spans="1:3" x14ac:dyDescent="0.25">
      <c r="A1082" s="1">
        <v>42095</v>
      </c>
      <c r="B1082" s="2">
        <v>8586.25</v>
      </c>
      <c r="C1082" s="16">
        <f t="shared" si="1065"/>
        <v>1.1155307528727893E-2</v>
      </c>
    </row>
    <row r="1083" spans="1:3" x14ac:dyDescent="0.25">
      <c r="A1083" s="1">
        <v>42100</v>
      </c>
      <c r="B1083" s="2">
        <v>8659.9003909999992</v>
      </c>
      <c r="C1083" s="16">
        <f t="shared" si="1065"/>
        <v>8.5411337682432011E-3</v>
      </c>
    </row>
    <row r="1084" spans="1:3" x14ac:dyDescent="0.25">
      <c r="A1084" s="1">
        <v>42101</v>
      </c>
      <c r="B1084" s="2">
        <v>8660.2998050000006</v>
      </c>
      <c r="C1084" s="16">
        <f t="shared" si="1065"/>
        <v>4.6121175916271683E-5</v>
      </c>
    </row>
    <row r="1085" spans="1:3" x14ac:dyDescent="0.25">
      <c r="A1085" s="1">
        <v>42102</v>
      </c>
      <c r="B1085" s="2">
        <v>8714.4003909999992</v>
      </c>
      <c r="C1085" s="16">
        <f t="shared" si="1065"/>
        <v>6.2275331642477868E-3</v>
      </c>
    </row>
    <row r="1086" spans="1:3" x14ac:dyDescent="0.25">
      <c r="A1086" s="1">
        <v>42103</v>
      </c>
      <c r="B1086" s="2">
        <v>8778.2998050000006</v>
      </c>
      <c r="C1086" s="16">
        <f t="shared" si="1065"/>
        <v>7.3058701637798342E-3</v>
      </c>
    </row>
    <row r="1087" spans="1:3" x14ac:dyDescent="0.25">
      <c r="A1087" s="1">
        <v>42104</v>
      </c>
      <c r="B1087" s="2">
        <v>8780.3496090000008</v>
      </c>
      <c r="C1087" s="16">
        <f t="shared" si="1065"/>
        <v>2.3348082884753913E-4</v>
      </c>
    </row>
    <row r="1088" spans="1:3" x14ac:dyDescent="0.25">
      <c r="A1088" s="1">
        <v>42107</v>
      </c>
      <c r="B1088" s="2">
        <v>8834</v>
      </c>
      <c r="C1088" s="16">
        <f t="shared" si="1065"/>
        <v>6.0916875273456933E-3</v>
      </c>
    </row>
    <row r="1089" spans="1:3" x14ac:dyDescent="0.25">
      <c r="A1089" s="1">
        <v>42110</v>
      </c>
      <c r="B1089" s="2">
        <v>8706.7001949999994</v>
      </c>
      <c r="C1089" s="16">
        <f t="shared" si="1065"/>
        <v>-1.4515046561077511E-2</v>
      </c>
    </row>
    <row r="1090" spans="1:3" x14ac:dyDescent="0.25">
      <c r="A1090" s="1">
        <v>42111</v>
      </c>
      <c r="B1090" s="2">
        <v>8606</v>
      </c>
      <c r="C1090" s="16">
        <f t="shared" si="1065"/>
        <v>-1.1633232196849299E-2</v>
      </c>
    </row>
    <row r="1091" spans="1:3" x14ac:dyDescent="0.25">
      <c r="A1091" s="1">
        <v>42114</v>
      </c>
      <c r="B1091" s="2">
        <v>8448.0996090000008</v>
      </c>
      <c r="C1091" s="16">
        <f t="shared" si="1065"/>
        <v>-1.8518116683945384E-2</v>
      </c>
    </row>
    <row r="1092" spans="1:3" x14ac:dyDescent="0.25">
      <c r="A1092" s="1">
        <v>42115</v>
      </c>
      <c r="B1092" s="2">
        <v>8377.75</v>
      </c>
      <c r="C1092" s="16">
        <f t="shared" ref="C1092:C1155" si="1066">LN(B1092/B1091)</f>
        <v>-8.3621357101357294E-3</v>
      </c>
    </row>
    <row r="1093" spans="1:3" x14ac:dyDescent="0.25">
      <c r="A1093" s="1">
        <v>42116</v>
      </c>
      <c r="B1093" s="2">
        <v>8429.7001949999994</v>
      </c>
      <c r="C1093" s="16">
        <f t="shared" si="1066"/>
        <v>6.1818253020816038E-3</v>
      </c>
    </row>
    <row r="1094" spans="1:3" x14ac:dyDescent="0.25">
      <c r="A1094" s="1">
        <v>42117</v>
      </c>
      <c r="B1094" s="2">
        <v>8398.2998050000006</v>
      </c>
      <c r="C1094" s="16">
        <f t="shared" si="1066"/>
        <v>-3.7319261282948235E-3</v>
      </c>
    </row>
    <row r="1095" spans="1:3" x14ac:dyDescent="0.25">
      <c r="A1095" s="1">
        <v>42118</v>
      </c>
      <c r="B1095" s="2">
        <v>8305.25</v>
      </c>
      <c r="C1095" s="16">
        <f t="shared" si="1066"/>
        <v>-1.1141436235938773E-2</v>
      </c>
    </row>
    <row r="1096" spans="1:3" x14ac:dyDescent="0.25">
      <c r="A1096" s="1">
        <v>42121</v>
      </c>
      <c r="B1096" s="2">
        <v>8213.7998050000006</v>
      </c>
      <c r="C1096" s="16">
        <f t="shared" si="1066"/>
        <v>-1.107220213577341E-2</v>
      </c>
    </row>
    <row r="1097" spans="1:3" x14ac:dyDescent="0.25">
      <c r="A1097" s="1">
        <v>42122</v>
      </c>
      <c r="B1097" s="2">
        <v>8285.5996090000008</v>
      </c>
      <c r="C1097" s="16">
        <f t="shared" si="1066"/>
        <v>8.7033782778235362E-3</v>
      </c>
    </row>
    <row r="1098" spans="1:3" x14ac:dyDescent="0.25">
      <c r="A1098" s="1">
        <v>42123</v>
      </c>
      <c r="B1098" s="2">
        <v>8239.75</v>
      </c>
      <c r="C1098" s="16">
        <f t="shared" si="1066"/>
        <v>-5.549017446931025E-3</v>
      </c>
    </row>
    <row r="1099" spans="1:3" x14ac:dyDescent="0.25">
      <c r="A1099" s="1">
        <v>42124</v>
      </c>
      <c r="B1099" s="2">
        <v>8181.5</v>
      </c>
      <c r="C1099" s="16">
        <f t="shared" si="1066"/>
        <v>-7.0944957684806386E-3</v>
      </c>
    </row>
    <row r="1100" spans="1:3" x14ac:dyDescent="0.25">
      <c r="A1100" s="1">
        <v>42128</v>
      </c>
      <c r="B1100" s="2">
        <v>8331.9501949999994</v>
      </c>
      <c r="C1100" s="16">
        <f t="shared" si="1066"/>
        <v>1.8222037937637631E-2</v>
      </c>
    </row>
    <row r="1101" spans="1:3" x14ac:dyDescent="0.25">
      <c r="A1101" s="1">
        <v>42129</v>
      </c>
      <c r="B1101" s="2">
        <v>8324.7998050000006</v>
      </c>
      <c r="C1101" s="16">
        <f t="shared" si="1066"/>
        <v>-8.5855769453520346E-4</v>
      </c>
    </row>
    <row r="1102" spans="1:3" x14ac:dyDescent="0.25">
      <c r="A1102" s="1">
        <v>42130</v>
      </c>
      <c r="B1102" s="2">
        <v>8097</v>
      </c>
      <c r="C1102" s="16">
        <f t="shared" si="1066"/>
        <v>-2.7745365425938379E-2</v>
      </c>
    </row>
    <row r="1103" spans="1:3" x14ac:dyDescent="0.25">
      <c r="A1103" s="1">
        <v>42131</v>
      </c>
      <c r="B1103" s="2">
        <v>8057.2998049999997</v>
      </c>
      <c r="C1103" s="16">
        <f t="shared" si="1066"/>
        <v>-4.9151341010258039E-3</v>
      </c>
    </row>
    <row r="1104" spans="1:3" x14ac:dyDescent="0.25">
      <c r="A1104" s="1">
        <v>42132</v>
      </c>
      <c r="B1104" s="2">
        <v>8191.5</v>
      </c>
      <c r="C1104" s="16">
        <f t="shared" si="1066"/>
        <v>1.6518542675229425E-2</v>
      </c>
    </row>
    <row r="1105" spans="1:3" x14ac:dyDescent="0.25">
      <c r="A1105" s="1">
        <v>42135</v>
      </c>
      <c r="B1105" s="2">
        <v>8325.25</v>
      </c>
      <c r="C1105" s="16">
        <f t="shared" si="1066"/>
        <v>1.6196034167464263E-2</v>
      </c>
    </row>
    <row r="1106" spans="1:3" x14ac:dyDescent="0.25">
      <c r="A1106" s="1">
        <v>42136</v>
      </c>
      <c r="B1106" s="2">
        <v>8126.9501950000003</v>
      </c>
      <c r="C1106" s="16">
        <f t="shared" si="1066"/>
        <v>-2.4107342030995731E-2</v>
      </c>
    </row>
    <row r="1107" spans="1:3" x14ac:dyDescent="0.25">
      <c r="A1107" s="1">
        <v>42137</v>
      </c>
      <c r="B1107" s="2">
        <v>8235.4501949999994</v>
      </c>
      <c r="C1107" s="16">
        <f t="shared" si="1066"/>
        <v>1.3262307208847027E-2</v>
      </c>
    </row>
    <row r="1108" spans="1:3" x14ac:dyDescent="0.25">
      <c r="A1108" s="1">
        <v>42138</v>
      </c>
      <c r="B1108" s="2">
        <v>8224.2001949999994</v>
      </c>
      <c r="C1108" s="16">
        <f t="shared" si="1066"/>
        <v>-1.3669794297305037E-3</v>
      </c>
    </row>
    <row r="1109" spans="1:3" x14ac:dyDescent="0.25">
      <c r="A1109" s="1">
        <v>42139</v>
      </c>
      <c r="B1109" s="2">
        <v>8262.3496090000008</v>
      </c>
      <c r="C1109" s="16">
        <f t="shared" si="1066"/>
        <v>4.6279521844989971E-3</v>
      </c>
    </row>
    <row r="1110" spans="1:3" x14ac:dyDescent="0.25">
      <c r="A1110" s="1">
        <v>42142</v>
      </c>
      <c r="B1110" s="2">
        <v>8373.6503909999992</v>
      </c>
      <c r="C1110" s="16">
        <f t="shared" si="1066"/>
        <v>1.3380914003953191E-2</v>
      </c>
    </row>
    <row r="1111" spans="1:3" x14ac:dyDescent="0.25">
      <c r="A1111" s="1">
        <v>42143</v>
      </c>
      <c r="B1111" s="2">
        <v>8365.6503909999992</v>
      </c>
      <c r="C1111" s="16">
        <f t="shared" si="1066"/>
        <v>-9.5583450148437803E-4</v>
      </c>
    </row>
    <row r="1112" spans="1:3" x14ac:dyDescent="0.25">
      <c r="A1112" s="1">
        <v>42144</v>
      </c>
      <c r="B1112" s="2">
        <v>8423.25</v>
      </c>
      <c r="C1112" s="16">
        <f t="shared" si="1066"/>
        <v>6.8616566483841934E-3</v>
      </c>
    </row>
    <row r="1113" spans="1:3" x14ac:dyDescent="0.25">
      <c r="A1113" s="1">
        <v>42145</v>
      </c>
      <c r="B1113" s="2">
        <v>8421</v>
      </c>
      <c r="C1113" s="16">
        <f t="shared" si="1066"/>
        <v>-2.6715348126304331E-4</v>
      </c>
    </row>
    <row r="1114" spans="1:3" x14ac:dyDescent="0.25">
      <c r="A1114" s="1">
        <v>42146</v>
      </c>
      <c r="B1114" s="2">
        <v>8458.9501949999994</v>
      </c>
      <c r="C1114" s="16">
        <f t="shared" si="1066"/>
        <v>4.4964894448908431E-3</v>
      </c>
    </row>
    <row r="1115" spans="1:3" x14ac:dyDescent="0.25">
      <c r="A1115" s="1">
        <v>42149</v>
      </c>
      <c r="B1115" s="2">
        <v>8370.25</v>
      </c>
      <c r="C1115" s="16">
        <f t="shared" si="1066"/>
        <v>-1.0541322859163585E-2</v>
      </c>
    </row>
    <row r="1116" spans="1:3" x14ac:dyDescent="0.25">
      <c r="A1116" s="1">
        <v>42150</v>
      </c>
      <c r="B1116" s="2">
        <v>8339.3496090000008</v>
      </c>
      <c r="C1116" s="16">
        <f t="shared" si="1066"/>
        <v>-3.698523836252905E-3</v>
      </c>
    </row>
    <row r="1117" spans="1:3" x14ac:dyDescent="0.25">
      <c r="A1117" s="1">
        <v>42151</v>
      </c>
      <c r="B1117" s="2">
        <v>8334.5996090000008</v>
      </c>
      <c r="C1117" s="16">
        <f t="shared" si="1066"/>
        <v>-5.6975106093837551E-4</v>
      </c>
    </row>
    <row r="1118" spans="1:3" x14ac:dyDescent="0.25">
      <c r="A1118" s="1">
        <v>42152</v>
      </c>
      <c r="B1118" s="2">
        <v>8319</v>
      </c>
      <c r="C1118" s="16">
        <f t="shared" si="1066"/>
        <v>-1.873422434640603E-3</v>
      </c>
    </row>
    <row r="1119" spans="1:3" x14ac:dyDescent="0.25">
      <c r="A1119" s="1">
        <v>42153</v>
      </c>
      <c r="B1119" s="2">
        <v>8433.6503909999992</v>
      </c>
      <c r="C1119" s="16">
        <f t="shared" si="1066"/>
        <v>1.3687646827661706E-2</v>
      </c>
    </row>
    <row r="1120" spans="1:3" x14ac:dyDescent="0.25">
      <c r="A1120" s="1">
        <v>42156</v>
      </c>
      <c r="B1120" s="2">
        <v>8433.4003909999992</v>
      </c>
      <c r="C1120" s="16">
        <f t="shared" si="1066"/>
        <v>-2.96435936843976E-5</v>
      </c>
    </row>
    <row r="1121" spans="1:3" x14ac:dyDescent="0.25">
      <c r="A1121" s="1">
        <v>42157</v>
      </c>
      <c r="B1121" s="2">
        <v>8236.4501949999994</v>
      </c>
      <c r="C1121" s="16">
        <f t="shared" si="1066"/>
        <v>-2.3630609013676772E-2</v>
      </c>
    </row>
    <row r="1122" spans="1:3" x14ac:dyDescent="0.25">
      <c r="A1122" s="1">
        <v>42158</v>
      </c>
      <c r="B1122" s="2">
        <v>8135.1000979999999</v>
      </c>
      <c r="C1122" s="16">
        <f t="shared" si="1066"/>
        <v>-1.2381404317040082E-2</v>
      </c>
    </row>
    <row r="1123" spans="1:3" x14ac:dyDescent="0.25">
      <c r="A1123" s="1">
        <v>42159</v>
      </c>
      <c r="B1123" s="2">
        <v>8130.6499020000001</v>
      </c>
      <c r="C1123" s="16">
        <f t="shared" si="1066"/>
        <v>-5.4718609483572907E-4</v>
      </c>
    </row>
    <row r="1124" spans="1:3" x14ac:dyDescent="0.25">
      <c r="A1124" s="1">
        <v>42160</v>
      </c>
      <c r="B1124" s="2">
        <v>8114.7001950000003</v>
      </c>
      <c r="C1124" s="16">
        <f t="shared" si="1066"/>
        <v>-1.9636033732224117E-3</v>
      </c>
    </row>
    <row r="1125" spans="1:3" x14ac:dyDescent="0.25">
      <c r="A1125" s="1">
        <v>42163</v>
      </c>
      <c r="B1125" s="2">
        <v>8044.1499020000001</v>
      </c>
      <c r="C1125" s="16">
        <f t="shared" si="1066"/>
        <v>-8.7321487440901284E-3</v>
      </c>
    </row>
    <row r="1126" spans="1:3" x14ac:dyDescent="0.25">
      <c r="A1126" s="1">
        <v>42164</v>
      </c>
      <c r="B1126" s="2">
        <v>8022.3999020000001</v>
      </c>
      <c r="C1126" s="16">
        <f t="shared" si="1066"/>
        <v>-2.707490226821574E-3</v>
      </c>
    </row>
    <row r="1127" spans="1:3" x14ac:dyDescent="0.25">
      <c r="A1127" s="1">
        <v>42165</v>
      </c>
      <c r="B1127" s="2">
        <v>8124.4501950000003</v>
      </c>
      <c r="C1127" s="16">
        <f t="shared" si="1066"/>
        <v>1.2640440852464218E-2</v>
      </c>
    </row>
    <row r="1128" spans="1:3" x14ac:dyDescent="0.25">
      <c r="A1128" s="1">
        <v>42166</v>
      </c>
      <c r="B1128" s="2">
        <v>7965.3500979999999</v>
      </c>
      <c r="C1128" s="16">
        <f t="shared" si="1066"/>
        <v>-1.9777160671305472E-2</v>
      </c>
    </row>
    <row r="1129" spans="1:3" x14ac:dyDescent="0.25">
      <c r="A1129" s="1">
        <v>42167</v>
      </c>
      <c r="B1129" s="2">
        <v>7982.8999020000001</v>
      </c>
      <c r="C1129" s="16">
        <f t="shared" si="1066"/>
        <v>2.2008447426968268E-3</v>
      </c>
    </row>
    <row r="1130" spans="1:3" x14ac:dyDescent="0.25">
      <c r="A1130" s="1">
        <v>42170</v>
      </c>
      <c r="B1130" s="2">
        <v>8013.8999020000001</v>
      </c>
      <c r="C1130" s="16">
        <f t="shared" si="1066"/>
        <v>3.8757800542358087E-3</v>
      </c>
    </row>
    <row r="1131" spans="1:3" x14ac:dyDescent="0.25">
      <c r="A1131" s="1">
        <v>42171</v>
      </c>
      <c r="B1131" s="2">
        <v>8047.2998049999997</v>
      </c>
      <c r="C1131" s="16">
        <f t="shared" si="1066"/>
        <v>4.1590854674906043E-3</v>
      </c>
    </row>
    <row r="1132" spans="1:3" x14ac:dyDescent="0.25">
      <c r="A1132" s="1">
        <v>42172</v>
      </c>
      <c r="B1132" s="2">
        <v>8091.5498049999997</v>
      </c>
      <c r="C1132" s="16">
        <f t="shared" si="1066"/>
        <v>5.4836759688546583E-3</v>
      </c>
    </row>
    <row r="1133" spans="1:3" x14ac:dyDescent="0.25">
      <c r="A1133" s="1">
        <v>42173</v>
      </c>
      <c r="B1133" s="2">
        <v>8174.6000979999999</v>
      </c>
      <c r="C1133" s="16">
        <f t="shared" si="1066"/>
        <v>1.02115147304894E-2</v>
      </c>
    </row>
    <row r="1134" spans="1:3" x14ac:dyDescent="0.25">
      <c r="A1134" s="1">
        <v>42174</v>
      </c>
      <c r="B1134" s="2">
        <v>8224.9501949999994</v>
      </c>
      <c r="C1134" s="16">
        <f t="shared" si="1066"/>
        <v>6.1404434029855648E-3</v>
      </c>
    </row>
    <row r="1135" spans="1:3" x14ac:dyDescent="0.25">
      <c r="A1135" s="1">
        <v>42177</v>
      </c>
      <c r="B1135" s="2">
        <v>8353.0996090000008</v>
      </c>
      <c r="C1135" s="16">
        <f t="shared" si="1066"/>
        <v>1.5460439325863133E-2</v>
      </c>
    </row>
    <row r="1136" spans="1:3" x14ac:dyDescent="0.25">
      <c r="A1136" s="1">
        <v>42178</v>
      </c>
      <c r="B1136" s="2">
        <v>8381.5498050000006</v>
      </c>
      <c r="C1136" s="16">
        <f t="shared" si="1066"/>
        <v>3.400157685497382E-3</v>
      </c>
    </row>
    <row r="1137" spans="1:3" x14ac:dyDescent="0.25">
      <c r="A1137" s="1">
        <v>42179</v>
      </c>
      <c r="B1137" s="2">
        <v>8360.8496090000008</v>
      </c>
      <c r="C1137" s="16">
        <f t="shared" si="1066"/>
        <v>-2.4727885216520944E-3</v>
      </c>
    </row>
    <row r="1138" spans="1:3" x14ac:dyDescent="0.25">
      <c r="A1138" s="1">
        <v>42180</v>
      </c>
      <c r="B1138" s="2">
        <v>8398</v>
      </c>
      <c r="C1138" s="16">
        <f t="shared" si="1066"/>
        <v>4.4335324583399029E-3</v>
      </c>
    </row>
    <row r="1139" spans="1:3" x14ac:dyDescent="0.25">
      <c r="A1139" s="1">
        <v>42181</v>
      </c>
      <c r="B1139" s="2">
        <v>8381.0996090000008</v>
      </c>
      <c r="C1139" s="16">
        <f t="shared" si="1066"/>
        <v>-2.0144581186157693E-3</v>
      </c>
    </row>
    <row r="1140" spans="1:3" x14ac:dyDescent="0.25">
      <c r="A1140" s="1">
        <v>42184</v>
      </c>
      <c r="B1140" s="2">
        <v>8318.4003909999992</v>
      </c>
      <c r="C1140" s="16">
        <f t="shared" si="1066"/>
        <v>-7.5091484918411175E-3</v>
      </c>
    </row>
    <row r="1141" spans="1:3" x14ac:dyDescent="0.25">
      <c r="A1141" s="1">
        <v>42185</v>
      </c>
      <c r="B1141" s="2">
        <v>8368.5</v>
      </c>
      <c r="C1141" s="16">
        <f t="shared" si="1066"/>
        <v>6.0046813200109383E-3</v>
      </c>
    </row>
    <row r="1142" spans="1:3" x14ac:dyDescent="0.25">
      <c r="A1142" s="1">
        <v>42186</v>
      </c>
      <c r="B1142" s="2">
        <v>8453.0498050000006</v>
      </c>
      <c r="C1142" s="16">
        <f t="shared" si="1066"/>
        <v>1.0052642948886364E-2</v>
      </c>
    </row>
    <row r="1143" spans="1:3" x14ac:dyDescent="0.25">
      <c r="A1143" s="1">
        <v>42187</v>
      </c>
      <c r="B1143" s="2">
        <v>8444.9003909999992</v>
      </c>
      <c r="C1143" s="16">
        <f t="shared" si="1066"/>
        <v>-9.6454475688366231E-4</v>
      </c>
    </row>
    <row r="1144" spans="1:3" x14ac:dyDescent="0.25">
      <c r="A1144" s="1">
        <v>42188</v>
      </c>
      <c r="B1144" s="2">
        <v>8484.9003909999992</v>
      </c>
      <c r="C1144" s="16">
        <f t="shared" si="1066"/>
        <v>4.7254040312132914E-3</v>
      </c>
    </row>
    <row r="1145" spans="1:3" x14ac:dyDescent="0.25">
      <c r="A1145" s="1">
        <v>42191</v>
      </c>
      <c r="B1145" s="2">
        <v>8522.1503909999992</v>
      </c>
      <c r="C1145" s="16">
        <f t="shared" si="1066"/>
        <v>4.3805431104785497E-3</v>
      </c>
    </row>
    <row r="1146" spans="1:3" x14ac:dyDescent="0.25">
      <c r="A1146" s="1">
        <v>42192</v>
      </c>
      <c r="B1146" s="2">
        <v>8510.7998050000006</v>
      </c>
      <c r="C1146" s="16">
        <f t="shared" si="1066"/>
        <v>-1.332779999889476E-3</v>
      </c>
    </row>
    <row r="1147" spans="1:3" x14ac:dyDescent="0.25">
      <c r="A1147" s="1">
        <v>42193</v>
      </c>
      <c r="B1147" s="2">
        <v>8363.0498050000006</v>
      </c>
      <c r="C1147" s="16">
        <f t="shared" si="1066"/>
        <v>-1.7512752524924971E-2</v>
      </c>
    </row>
    <row r="1148" spans="1:3" x14ac:dyDescent="0.25">
      <c r="A1148" s="1">
        <v>42194</v>
      </c>
      <c r="B1148" s="2">
        <v>8328.5498050000006</v>
      </c>
      <c r="C1148" s="16">
        <f t="shared" si="1066"/>
        <v>-4.1338217948511165E-3</v>
      </c>
    </row>
    <row r="1149" spans="1:3" x14ac:dyDescent="0.25">
      <c r="A1149" s="1">
        <v>42195</v>
      </c>
      <c r="B1149" s="2">
        <v>8360.5498050000006</v>
      </c>
      <c r="C1149" s="16">
        <f t="shared" si="1066"/>
        <v>3.8348430968527707E-3</v>
      </c>
    </row>
    <row r="1150" spans="1:3" x14ac:dyDescent="0.25">
      <c r="A1150" s="1">
        <v>42198</v>
      </c>
      <c r="B1150" s="2">
        <v>8459.6503909999992</v>
      </c>
      <c r="C1150" s="16">
        <f t="shared" si="1066"/>
        <v>1.1783656740897187E-2</v>
      </c>
    </row>
    <row r="1151" spans="1:3" x14ac:dyDescent="0.25">
      <c r="A1151" s="1">
        <v>42199</v>
      </c>
      <c r="B1151" s="2">
        <v>8454.0996090000008</v>
      </c>
      <c r="C1151" s="16">
        <f t="shared" si="1066"/>
        <v>-6.5636327831233908E-4</v>
      </c>
    </row>
    <row r="1152" spans="1:3" x14ac:dyDescent="0.25">
      <c r="A1152" s="1">
        <v>42200</v>
      </c>
      <c r="B1152" s="2">
        <v>8523.7998050000006</v>
      </c>
      <c r="C1152" s="16">
        <f t="shared" si="1066"/>
        <v>8.2107433761291326E-3</v>
      </c>
    </row>
    <row r="1153" spans="1:3" x14ac:dyDescent="0.25">
      <c r="A1153" s="1">
        <v>42201</v>
      </c>
      <c r="B1153" s="2">
        <v>8608.0498050000006</v>
      </c>
      <c r="C1153" s="16">
        <f t="shared" si="1066"/>
        <v>9.835561378379187E-3</v>
      </c>
    </row>
    <row r="1154" spans="1:3" x14ac:dyDescent="0.25">
      <c r="A1154" s="1">
        <v>42202</v>
      </c>
      <c r="B1154" s="2">
        <v>8609.8496090000008</v>
      </c>
      <c r="C1154" s="16">
        <f t="shared" si="1066"/>
        <v>2.0906197246018686E-4</v>
      </c>
    </row>
    <row r="1155" spans="1:3" x14ac:dyDescent="0.25">
      <c r="A1155" s="1">
        <v>42205</v>
      </c>
      <c r="B1155" s="2">
        <v>8603.4501949999994</v>
      </c>
      <c r="C1155" s="16">
        <f t="shared" si="1066"/>
        <v>-7.4354300078408411E-4</v>
      </c>
    </row>
    <row r="1156" spans="1:3" x14ac:dyDescent="0.25">
      <c r="A1156" s="1">
        <v>42206</v>
      </c>
      <c r="B1156" s="2">
        <v>8529.4501949999994</v>
      </c>
      <c r="C1156" s="16">
        <f t="shared" ref="C1156:C1219" si="1067">LN(B1156/B1155)</f>
        <v>-8.6384042963089987E-3</v>
      </c>
    </row>
    <row r="1157" spans="1:3" x14ac:dyDescent="0.25">
      <c r="A1157" s="1">
        <v>42207</v>
      </c>
      <c r="B1157" s="2">
        <v>8633.5</v>
      </c>
      <c r="C1157" s="16">
        <f t="shared" si="1067"/>
        <v>1.2125080895450271E-2</v>
      </c>
    </row>
    <row r="1158" spans="1:3" x14ac:dyDescent="0.25">
      <c r="A1158" s="1">
        <v>42208</v>
      </c>
      <c r="B1158" s="2">
        <v>8589.7998050000006</v>
      </c>
      <c r="C1158" s="16">
        <f t="shared" si="1067"/>
        <v>-5.074554733656117E-3</v>
      </c>
    </row>
    <row r="1159" spans="1:3" x14ac:dyDescent="0.25">
      <c r="A1159" s="1">
        <v>42209</v>
      </c>
      <c r="B1159" s="2">
        <v>8521.5498050000006</v>
      </c>
      <c r="C1159" s="16">
        <f t="shared" si="1067"/>
        <v>-7.9772038423240928E-3</v>
      </c>
    </row>
    <row r="1160" spans="1:3" x14ac:dyDescent="0.25">
      <c r="A1160" s="1">
        <v>42212</v>
      </c>
      <c r="B1160" s="2">
        <v>8361</v>
      </c>
      <c r="C1160" s="16">
        <f t="shared" si="1067"/>
        <v>-1.9020189126446825E-2</v>
      </c>
    </row>
    <row r="1161" spans="1:3" x14ac:dyDescent="0.25">
      <c r="A1161" s="1">
        <v>42213</v>
      </c>
      <c r="B1161" s="2">
        <v>8337</v>
      </c>
      <c r="C1161" s="16">
        <f t="shared" si="1067"/>
        <v>-2.8745977394444692E-3</v>
      </c>
    </row>
    <row r="1162" spans="1:3" x14ac:dyDescent="0.25">
      <c r="A1162" s="1">
        <v>42214</v>
      </c>
      <c r="B1162" s="2">
        <v>8375.0498050000006</v>
      </c>
      <c r="C1162" s="16">
        <f t="shared" si="1067"/>
        <v>4.5535851306428834E-3</v>
      </c>
    </row>
    <row r="1163" spans="1:3" x14ac:dyDescent="0.25">
      <c r="A1163" s="1">
        <v>42215</v>
      </c>
      <c r="B1163" s="2">
        <v>8421.7998050000006</v>
      </c>
      <c r="C1163" s="16">
        <f t="shared" si="1067"/>
        <v>5.5665344160236007E-3</v>
      </c>
    </row>
    <row r="1164" spans="1:3" x14ac:dyDescent="0.25">
      <c r="A1164" s="1">
        <v>42216</v>
      </c>
      <c r="B1164" s="2">
        <v>8532.8496090000008</v>
      </c>
      <c r="C1164" s="16">
        <f t="shared" si="1067"/>
        <v>1.3099815790214586E-2</v>
      </c>
    </row>
    <row r="1165" spans="1:3" x14ac:dyDescent="0.25">
      <c r="A1165" s="1">
        <v>42219</v>
      </c>
      <c r="B1165" s="2">
        <v>8543.0498050000006</v>
      </c>
      <c r="C1165" s="16">
        <f t="shared" si="1067"/>
        <v>1.1946893063624524E-3</v>
      </c>
    </row>
    <row r="1166" spans="1:3" x14ac:dyDescent="0.25">
      <c r="A1166" s="1">
        <v>42220</v>
      </c>
      <c r="B1166" s="2">
        <v>8516.9003909999992</v>
      </c>
      <c r="C1166" s="16">
        <f t="shared" si="1067"/>
        <v>-3.0655932964186753E-3</v>
      </c>
    </row>
    <row r="1167" spans="1:3" x14ac:dyDescent="0.25">
      <c r="A1167" s="1">
        <v>42221</v>
      </c>
      <c r="B1167" s="2">
        <v>8567.9501949999994</v>
      </c>
      <c r="C1167" s="16">
        <f t="shared" si="1067"/>
        <v>5.976049444754725E-3</v>
      </c>
    </row>
    <row r="1168" spans="1:3" x14ac:dyDescent="0.25">
      <c r="A1168" s="1">
        <v>42222</v>
      </c>
      <c r="B1168" s="2">
        <v>8588.6503909999992</v>
      </c>
      <c r="C1168" s="16">
        <f t="shared" si="1067"/>
        <v>2.4130894626832405E-3</v>
      </c>
    </row>
    <row r="1169" spans="1:3" x14ac:dyDescent="0.25">
      <c r="A1169" s="1">
        <v>42223</v>
      </c>
      <c r="B1169" s="2">
        <v>8564.5996090000008</v>
      </c>
      <c r="C1169" s="16">
        <f t="shared" si="1067"/>
        <v>-2.8042263431880331E-3</v>
      </c>
    </row>
    <row r="1170" spans="1:3" x14ac:dyDescent="0.25">
      <c r="A1170" s="1">
        <v>42226</v>
      </c>
      <c r="B1170" s="2">
        <v>8525.5996090000008</v>
      </c>
      <c r="C1170" s="16">
        <f t="shared" si="1067"/>
        <v>-4.5640272768174448E-3</v>
      </c>
    </row>
    <row r="1171" spans="1:3" x14ac:dyDescent="0.25">
      <c r="A1171" s="1">
        <v>42227</v>
      </c>
      <c r="B1171" s="2">
        <v>8462.3496090000008</v>
      </c>
      <c r="C1171" s="16">
        <f t="shared" si="1067"/>
        <v>-7.4464894445881932E-3</v>
      </c>
    </row>
    <row r="1172" spans="1:3" x14ac:dyDescent="0.25">
      <c r="A1172" s="1">
        <v>42228</v>
      </c>
      <c r="B1172" s="2">
        <v>8349.4501949999994</v>
      </c>
      <c r="C1172" s="16">
        <f t="shared" si="1067"/>
        <v>-1.343117483343223E-2</v>
      </c>
    </row>
    <row r="1173" spans="1:3" x14ac:dyDescent="0.25">
      <c r="A1173" s="1">
        <v>42229</v>
      </c>
      <c r="B1173" s="2">
        <v>8355.8496090000008</v>
      </c>
      <c r="C1173" s="16">
        <f t="shared" si="1067"/>
        <v>7.6615378210719497E-4</v>
      </c>
    </row>
    <row r="1174" spans="1:3" x14ac:dyDescent="0.25">
      <c r="A1174" s="1">
        <v>42230</v>
      </c>
      <c r="B1174" s="2">
        <v>8518.5498050000006</v>
      </c>
      <c r="C1174" s="16">
        <f t="shared" si="1067"/>
        <v>1.9284270106171088E-2</v>
      </c>
    </row>
    <row r="1175" spans="1:3" x14ac:dyDescent="0.25">
      <c r="A1175" s="1">
        <v>42233</v>
      </c>
      <c r="B1175" s="2">
        <v>8477.2998050000006</v>
      </c>
      <c r="C1175" s="16">
        <f t="shared" si="1067"/>
        <v>-4.8541357970422081E-3</v>
      </c>
    </row>
    <row r="1176" spans="1:3" x14ac:dyDescent="0.25">
      <c r="A1176" s="1">
        <v>42234</v>
      </c>
      <c r="B1176" s="2">
        <v>8466.5498050000006</v>
      </c>
      <c r="C1176" s="16">
        <f t="shared" si="1067"/>
        <v>-1.2688971738791042E-3</v>
      </c>
    </row>
    <row r="1177" spans="1:3" x14ac:dyDescent="0.25">
      <c r="A1177" s="1">
        <v>42235</v>
      </c>
      <c r="B1177" s="2">
        <v>8495.1503909999992</v>
      </c>
      <c r="C1177" s="16">
        <f t="shared" si="1067"/>
        <v>3.3723757377516609E-3</v>
      </c>
    </row>
    <row r="1178" spans="1:3" x14ac:dyDescent="0.25">
      <c r="A1178" s="1">
        <v>42236</v>
      </c>
      <c r="B1178" s="2">
        <v>8372.75</v>
      </c>
      <c r="C1178" s="16">
        <f t="shared" si="1067"/>
        <v>-1.4513073539789907E-2</v>
      </c>
    </row>
    <row r="1179" spans="1:3" x14ac:dyDescent="0.25">
      <c r="A1179" s="1">
        <v>42237</v>
      </c>
      <c r="B1179" s="2">
        <v>8299.9501949999994</v>
      </c>
      <c r="C1179" s="16">
        <f t="shared" si="1067"/>
        <v>-8.7328707178928617E-3</v>
      </c>
    </row>
    <row r="1180" spans="1:3" x14ac:dyDescent="0.25">
      <c r="A1180" s="1">
        <v>42240</v>
      </c>
      <c r="B1180" s="2">
        <v>7809</v>
      </c>
      <c r="C1180" s="16">
        <f t="shared" si="1067"/>
        <v>-6.097259950160084E-2</v>
      </c>
    </row>
    <row r="1181" spans="1:3" x14ac:dyDescent="0.25">
      <c r="A1181" s="1">
        <v>42241</v>
      </c>
      <c r="B1181" s="2">
        <v>7880.7001950000003</v>
      </c>
      <c r="C1181" s="16">
        <f t="shared" si="1067"/>
        <v>9.1398424751822221E-3</v>
      </c>
    </row>
    <row r="1182" spans="1:3" x14ac:dyDescent="0.25">
      <c r="A1182" s="1">
        <v>42242</v>
      </c>
      <c r="B1182" s="2">
        <v>7791.8500979999999</v>
      </c>
      <c r="C1182" s="16">
        <f t="shared" si="1067"/>
        <v>-1.1338428936882678E-2</v>
      </c>
    </row>
    <row r="1183" spans="1:3" x14ac:dyDescent="0.25">
      <c r="A1183" s="1">
        <v>42243</v>
      </c>
      <c r="B1183" s="2">
        <v>7948.9501950000003</v>
      </c>
      <c r="C1183" s="16">
        <f t="shared" si="1067"/>
        <v>1.996154078451343E-2</v>
      </c>
    </row>
    <row r="1184" spans="1:3" x14ac:dyDescent="0.25">
      <c r="A1184" s="1">
        <v>42244</v>
      </c>
      <c r="B1184" s="2">
        <v>8001.9501950000003</v>
      </c>
      <c r="C1184" s="16">
        <f t="shared" si="1067"/>
        <v>6.6454173433400862E-3</v>
      </c>
    </row>
    <row r="1185" spans="1:3" x14ac:dyDescent="0.25">
      <c r="A1185" s="1">
        <v>42247</v>
      </c>
      <c r="B1185" s="2">
        <v>7971.2998049999997</v>
      </c>
      <c r="C1185" s="16">
        <f t="shared" si="1067"/>
        <v>-3.8377196398318774E-3</v>
      </c>
    </row>
    <row r="1186" spans="1:3" x14ac:dyDescent="0.25">
      <c r="A1186" s="1">
        <v>42248</v>
      </c>
      <c r="B1186" s="2">
        <v>7785.8500979999999</v>
      </c>
      <c r="C1186" s="16">
        <f t="shared" si="1067"/>
        <v>-2.3539570465298535E-2</v>
      </c>
    </row>
    <row r="1187" spans="1:3" x14ac:dyDescent="0.25">
      <c r="A1187" s="1">
        <v>42249</v>
      </c>
      <c r="B1187" s="2">
        <v>7717</v>
      </c>
      <c r="C1187" s="16">
        <f t="shared" si="1067"/>
        <v>-8.8823087660945908E-3</v>
      </c>
    </row>
    <row r="1188" spans="1:3" x14ac:dyDescent="0.25">
      <c r="A1188" s="1">
        <v>42250</v>
      </c>
      <c r="B1188" s="2">
        <v>7823</v>
      </c>
      <c r="C1188" s="16">
        <f t="shared" si="1067"/>
        <v>1.364242522747763E-2</v>
      </c>
    </row>
    <row r="1189" spans="1:3" x14ac:dyDescent="0.25">
      <c r="A1189" s="1">
        <v>42251</v>
      </c>
      <c r="B1189" s="2">
        <v>7655.0498049999997</v>
      </c>
      <c r="C1189" s="16">
        <f t="shared" si="1067"/>
        <v>-2.1702577409367093E-2</v>
      </c>
    </row>
    <row r="1190" spans="1:3" x14ac:dyDescent="0.25">
      <c r="A1190" s="1">
        <v>42254</v>
      </c>
      <c r="B1190" s="2">
        <v>7558.7998049999997</v>
      </c>
      <c r="C1190" s="16">
        <f t="shared" si="1067"/>
        <v>-1.2653113657575942E-2</v>
      </c>
    </row>
    <row r="1191" spans="1:3" x14ac:dyDescent="0.25">
      <c r="A1191" s="1">
        <v>42255</v>
      </c>
      <c r="B1191" s="2">
        <v>7688.25</v>
      </c>
      <c r="C1191" s="16">
        <f t="shared" si="1067"/>
        <v>1.6980767713483121E-2</v>
      </c>
    </row>
    <row r="1192" spans="1:3" x14ac:dyDescent="0.25">
      <c r="A1192" s="1">
        <v>42256</v>
      </c>
      <c r="B1192" s="2">
        <v>7818.6000979999999</v>
      </c>
      <c r="C1192" s="16">
        <f t="shared" si="1067"/>
        <v>1.6812333581507986E-2</v>
      </c>
    </row>
    <row r="1193" spans="1:3" x14ac:dyDescent="0.25">
      <c r="A1193" s="1">
        <v>42257</v>
      </c>
      <c r="B1193" s="2">
        <v>7788.1000979999999</v>
      </c>
      <c r="C1193" s="16">
        <f t="shared" si="1067"/>
        <v>-3.9085826530961074E-3</v>
      </c>
    </row>
    <row r="1194" spans="1:3" x14ac:dyDescent="0.25">
      <c r="A1194" s="1">
        <v>42258</v>
      </c>
      <c r="B1194" s="2">
        <v>7789.2998049999997</v>
      </c>
      <c r="C1194" s="16">
        <f t="shared" si="1067"/>
        <v>1.5403173955120953E-4</v>
      </c>
    </row>
    <row r="1195" spans="1:3" x14ac:dyDescent="0.25">
      <c r="A1195" s="1">
        <v>42261</v>
      </c>
      <c r="B1195" s="2">
        <v>7872.25</v>
      </c>
      <c r="C1195" s="16">
        <f t="shared" si="1067"/>
        <v>1.059294535830827E-2</v>
      </c>
    </row>
    <row r="1196" spans="1:3" x14ac:dyDescent="0.25">
      <c r="A1196" s="1">
        <v>42262</v>
      </c>
      <c r="B1196" s="2">
        <v>7829.1000979999999</v>
      </c>
      <c r="C1196" s="16">
        <f t="shared" si="1067"/>
        <v>-5.4963439907745656E-3</v>
      </c>
    </row>
    <row r="1197" spans="1:3" x14ac:dyDescent="0.25">
      <c r="A1197" s="1">
        <v>42263</v>
      </c>
      <c r="B1197" s="2">
        <v>7899.1499020000001</v>
      </c>
      <c r="C1197" s="16">
        <f t="shared" si="1067"/>
        <v>8.907572956137878E-3</v>
      </c>
    </row>
    <row r="1198" spans="1:3" x14ac:dyDescent="0.25">
      <c r="A1198" s="1">
        <v>42265</v>
      </c>
      <c r="B1198" s="2">
        <v>7981.8999020000001</v>
      </c>
      <c r="C1198" s="16">
        <f t="shared" si="1067"/>
        <v>1.0421319740742905E-2</v>
      </c>
    </row>
    <row r="1199" spans="1:3" x14ac:dyDescent="0.25">
      <c r="A1199" s="1">
        <v>42268</v>
      </c>
      <c r="B1199" s="2">
        <v>7977.1000979999999</v>
      </c>
      <c r="C1199" s="16">
        <f t="shared" si="1067"/>
        <v>-6.0151690515988625E-4</v>
      </c>
    </row>
    <row r="1200" spans="1:3" x14ac:dyDescent="0.25">
      <c r="A1200" s="1">
        <v>42269</v>
      </c>
      <c r="B1200" s="2">
        <v>7812</v>
      </c>
      <c r="C1200" s="16">
        <f t="shared" si="1067"/>
        <v>-2.0913936162268908E-2</v>
      </c>
    </row>
    <row r="1201" spans="1:3" x14ac:dyDescent="0.25">
      <c r="A1201" s="1">
        <v>42270</v>
      </c>
      <c r="B1201" s="2">
        <v>7845.9501950000003</v>
      </c>
      <c r="C1201" s="16">
        <f t="shared" si="1067"/>
        <v>4.3364869322354265E-3</v>
      </c>
    </row>
    <row r="1202" spans="1:3" x14ac:dyDescent="0.25">
      <c r="A1202" s="1">
        <v>42271</v>
      </c>
      <c r="B1202" s="2">
        <v>7868.5</v>
      </c>
      <c r="C1202" s="16">
        <f t="shared" si="1067"/>
        <v>2.8699471121141303E-3</v>
      </c>
    </row>
    <row r="1203" spans="1:3" x14ac:dyDescent="0.25">
      <c r="A1203" s="1">
        <v>42275</v>
      </c>
      <c r="B1203" s="2">
        <v>7795.7001950000003</v>
      </c>
      <c r="C1203" s="16">
        <f t="shared" si="1067"/>
        <v>-9.2951224125488938E-3</v>
      </c>
    </row>
    <row r="1204" spans="1:3" x14ac:dyDescent="0.25">
      <c r="A1204" s="1">
        <v>42276</v>
      </c>
      <c r="B1204" s="2">
        <v>7843.2998049999997</v>
      </c>
      <c r="C1204" s="16">
        <f t="shared" si="1067"/>
        <v>6.0873146601602588E-3</v>
      </c>
    </row>
    <row r="1205" spans="1:3" x14ac:dyDescent="0.25">
      <c r="A1205" s="1">
        <v>42277</v>
      </c>
      <c r="B1205" s="2">
        <v>7948.8999020000001</v>
      </c>
      <c r="C1205" s="16">
        <f t="shared" si="1067"/>
        <v>1.3373902677933692E-2</v>
      </c>
    </row>
    <row r="1206" spans="1:3" x14ac:dyDescent="0.25">
      <c r="A1206" s="1">
        <v>42278</v>
      </c>
      <c r="B1206" s="2">
        <v>7950.8999020000001</v>
      </c>
      <c r="C1206" s="16">
        <f t="shared" si="1067"/>
        <v>2.515754959436815E-4</v>
      </c>
    </row>
    <row r="1207" spans="1:3" x14ac:dyDescent="0.25">
      <c r="A1207" s="1">
        <v>42282</v>
      </c>
      <c r="B1207" s="2">
        <v>8119.2998049999997</v>
      </c>
      <c r="C1207" s="16">
        <f t="shared" si="1067"/>
        <v>2.0958802063886853E-2</v>
      </c>
    </row>
    <row r="1208" spans="1:3" x14ac:dyDescent="0.25">
      <c r="A1208" s="1">
        <v>42283</v>
      </c>
      <c r="B1208" s="2">
        <v>8152.8999020000001</v>
      </c>
      <c r="C1208" s="16">
        <f t="shared" si="1067"/>
        <v>4.1297606173619338E-3</v>
      </c>
    </row>
    <row r="1209" spans="1:3" x14ac:dyDescent="0.25">
      <c r="A1209" s="1">
        <v>42284</v>
      </c>
      <c r="B1209" s="2">
        <v>8177.3999020000001</v>
      </c>
      <c r="C1209" s="16">
        <f t="shared" si="1067"/>
        <v>3.0005595336163324E-3</v>
      </c>
    </row>
    <row r="1210" spans="1:3" x14ac:dyDescent="0.25">
      <c r="A1210" s="1">
        <v>42285</v>
      </c>
      <c r="B1210" s="2">
        <v>8129.3500979999999</v>
      </c>
      <c r="C1210" s="16">
        <f t="shared" si="1067"/>
        <v>-5.8932580760759834E-3</v>
      </c>
    </row>
    <row r="1211" spans="1:3" x14ac:dyDescent="0.25">
      <c r="A1211" s="1">
        <v>42286</v>
      </c>
      <c r="B1211" s="2">
        <v>8189.7001950000003</v>
      </c>
      <c r="C1211" s="16">
        <f t="shared" si="1067"/>
        <v>7.3963093487876145E-3</v>
      </c>
    </row>
    <row r="1212" spans="1:3" x14ac:dyDescent="0.25">
      <c r="A1212" s="1">
        <v>42289</v>
      </c>
      <c r="B1212" s="2">
        <v>8143.6000979999999</v>
      </c>
      <c r="C1212" s="16">
        <f t="shared" si="1067"/>
        <v>-5.6449362454727842E-3</v>
      </c>
    </row>
    <row r="1213" spans="1:3" x14ac:dyDescent="0.25">
      <c r="A1213" s="1">
        <v>42290</v>
      </c>
      <c r="B1213" s="2">
        <v>8131.7001950000003</v>
      </c>
      <c r="C1213" s="16">
        <f t="shared" si="1067"/>
        <v>-1.4623269502045196E-3</v>
      </c>
    </row>
    <row r="1214" spans="1:3" x14ac:dyDescent="0.25">
      <c r="A1214" s="1">
        <v>42291</v>
      </c>
      <c r="B1214" s="2">
        <v>8107.8999020000001</v>
      </c>
      <c r="C1214" s="16">
        <f t="shared" si="1067"/>
        <v>-2.9311448432318126E-3</v>
      </c>
    </row>
    <row r="1215" spans="1:3" x14ac:dyDescent="0.25">
      <c r="A1215" s="1">
        <v>42292</v>
      </c>
      <c r="B1215" s="2">
        <v>8179.5</v>
      </c>
      <c r="C1215" s="16">
        <f t="shared" si="1067"/>
        <v>8.7921411231503405E-3</v>
      </c>
    </row>
    <row r="1216" spans="1:3" x14ac:dyDescent="0.25">
      <c r="A1216" s="1">
        <v>42293</v>
      </c>
      <c r="B1216" s="2">
        <v>8238.1503909999992</v>
      </c>
      <c r="C1216" s="16">
        <f t="shared" si="1067"/>
        <v>7.1448275611282249E-3</v>
      </c>
    </row>
    <row r="1217" spans="1:3" x14ac:dyDescent="0.25">
      <c r="A1217" s="1">
        <v>42296</v>
      </c>
      <c r="B1217" s="2">
        <v>8275.0498050000006</v>
      </c>
      <c r="C1217" s="16">
        <f t="shared" si="1067"/>
        <v>4.4690883629149728E-3</v>
      </c>
    </row>
    <row r="1218" spans="1:3" x14ac:dyDescent="0.25">
      <c r="A1218" s="1">
        <v>42297</v>
      </c>
      <c r="B1218" s="2">
        <v>8261.6503909999992</v>
      </c>
      <c r="C1218" s="16">
        <f t="shared" si="1067"/>
        <v>-1.6205671958358619E-3</v>
      </c>
    </row>
    <row r="1219" spans="1:3" x14ac:dyDescent="0.25">
      <c r="A1219" s="1">
        <v>42298</v>
      </c>
      <c r="B1219" s="2">
        <v>8251.7001949999994</v>
      </c>
      <c r="C1219" s="16">
        <f t="shared" si="1067"/>
        <v>-1.2051094237227099E-3</v>
      </c>
    </row>
    <row r="1220" spans="1:3" x14ac:dyDescent="0.25">
      <c r="A1220" s="1">
        <v>42300</v>
      </c>
      <c r="B1220" s="2">
        <v>8295.4501949999994</v>
      </c>
      <c r="C1220" s="16">
        <f t="shared" ref="C1220:C1283" si="1068">LN(B1220/B1219)</f>
        <v>5.2879318691631434E-3</v>
      </c>
    </row>
    <row r="1221" spans="1:3" x14ac:dyDescent="0.25">
      <c r="A1221" s="1">
        <v>42303</v>
      </c>
      <c r="B1221" s="2">
        <v>8260.5498050000006</v>
      </c>
      <c r="C1221" s="16">
        <f t="shared" si="1068"/>
        <v>-4.216047559356376E-3</v>
      </c>
    </row>
    <row r="1222" spans="1:3" x14ac:dyDescent="0.25">
      <c r="A1222" s="1">
        <v>42304</v>
      </c>
      <c r="B1222" s="2">
        <v>8232.9003909999992</v>
      </c>
      <c r="C1222" s="16">
        <f t="shared" si="1068"/>
        <v>-3.352778172219021E-3</v>
      </c>
    </row>
    <row r="1223" spans="1:3" x14ac:dyDescent="0.25">
      <c r="A1223" s="1">
        <v>42305</v>
      </c>
      <c r="B1223" s="2">
        <v>8171.2001950000003</v>
      </c>
      <c r="C1223" s="16">
        <f t="shared" si="1068"/>
        <v>-7.5225687186151E-3</v>
      </c>
    </row>
    <row r="1224" spans="1:3" x14ac:dyDescent="0.25">
      <c r="A1224" s="1">
        <v>42306</v>
      </c>
      <c r="B1224" s="2">
        <v>8111.75</v>
      </c>
      <c r="C1224" s="16">
        <f t="shared" si="1068"/>
        <v>-7.3021729420536538E-3</v>
      </c>
    </row>
    <row r="1225" spans="1:3" x14ac:dyDescent="0.25">
      <c r="A1225" s="1">
        <v>42307</v>
      </c>
      <c r="B1225" s="2">
        <v>8065.7998049999997</v>
      </c>
      <c r="C1225" s="16">
        <f t="shared" si="1068"/>
        <v>-5.6807513035189291E-3</v>
      </c>
    </row>
    <row r="1226" spans="1:3" x14ac:dyDescent="0.25">
      <c r="A1226" s="1">
        <v>42310</v>
      </c>
      <c r="B1226" s="2">
        <v>8050.7998049999997</v>
      </c>
      <c r="C1226" s="16">
        <f t="shared" si="1068"/>
        <v>-1.8614353764636526E-3</v>
      </c>
    </row>
    <row r="1227" spans="1:3" x14ac:dyDescent="0.25">
      <c r="A1227" s="1">
        <v>42311</v>
      </c>
      <c r="B1227" s="2">
        <v>8060.7001950000003</v>
      </c>
      <c r="C1227" s="16">
        <f t="shared" si="1068"/>
        <v>1.2289844205855135E-3</v>
      </c>
    </row>
    <row r="1228" spans="1:3" x14ac:dyDescent="0.25">
      <c r="A1228" s="1">
        <v>42312</v>
      </c>
      <c r="B1228" s="2">
        <v>8040.2001950000003</v>
      </c>
      <c r="C1228" s="16">
        <f t="shared" si="1068"/>
        <v>-2.5464428175951894E-3</v>
      </c>
    </row>
    <row r="1229" spans="1:3" x14ac:dyDescent="0.25">
      <c r="A1229" s="1">
        <v>42313</v>
      </c>
      <c r="B1229" s="2">
        <v>7955.4501950000003</v>
      </c>
      <c r="C1229" s="16">
        <f t="shared" si="1068"/>
        <v>-1.0596729859068831E-2</v>
      </c>
    </row>
    <row r="1230" spans="1:3" x14ac:dyDescent="0.25">
      <c r="A1230" s="1">
        <v>42314</v>
      </c>
      <c r="B1230" s="2">
        <v>7954.2998049999997</v>
      </c>
      <c r="C1230" s="16">
        <f t="shared" si="1068"/>
        <v>-1.4461446622421415E-4</v>
      </c>
    </row>
    <row r="1231" spans="1:3" x14ac:dyDescent="0.25">
      <c r="A1231" s="1">
        <v>42317</v>
      </c>
      <c r="B1231" s="2">
        <v>7915.2001950000003</v>
      </c>
      <c r="C1231" s="16">
        <f t="shared" si="1068"/>
        <v>-4.9276523037571933E-3</v>
      </c>
    </row>
    <row r="1232" spans="1:3" x14ac:dyDescent="0.25">
      <c r="A1232" s="1">
        <v>42318</v>
      </c>
      <c r="B1232" s="2">
        <v>7783.3500979999999</v>
      </c>
      <c r="C1232" s="16">
        <f t="shared" si="1068"/>
        <v>-1.6798136764343448E-2</v>
      </c>
    </row>
    <row r="1233" spans="1:3" x14ac:dyDescent="0.25">
      <c r="A1233" s="1">
        <v>42321</v>
      </c>
      <c r="B1233" s="2">
        <v>7762.25</v>
      </c>
      <c r="C1233" s="16">
        <f t="shared" si="1068"/>
        <v>-2.7146087413001292E-3</v>
      </c>
    </row>
    <row r="1234" spans="1:3" x14ac:dyDescent="0.25">
      <c r="A1234" s="1">
        <v>42324</v>
      </c>
      <c r="B1234" s="2">
        <v>7806.6000979999999</v>
      </c>
      <c r="C1234" s="16">
        <f t="shared" si="1068"/>
        <v>5.6973016870221467E-3</v>
      </c>
    </row>
    <row r="1235" spans="1:3" x14ac:dyDescent="0.25">
      <c r="A1235" s="1">
        <v>42325</v>
      </c>
      <c r="B1235" s="2">
        <v>7837.5498049999997</v>
      </c>
      <c r="C1235" s="16">
        <f t="shared" si="1068"/>
        <v>3.9567183349637335E-3</v>
      </c>
    </row>
    <row r="1236" spans="1:3" x14ac:dyDescent="0.25">
      <c r="A1236" s="1">
        <v>42326</v>
      </c>
      <c r="B1236" s="2">
        <v>7731.7998049999997</v>
      </c>
      <c r="C1236" s="16">
        <f t="shared" si="1068"/>
        <v>-1.3584591381482203E-2</v>
      </c>
    </row>
    <row r="1237" spans="1:3" x14ac:dyDescent="0.25">
      <c r="A1237" s="1">
        <v>42327</v>
      </c>
      <c r="B1237" s="2">
        <v>7842.75</v>
      </c>
      <c r="C1237" s="16">
        <f t="shared" si="1068"/>
        <v>1.4247868902360862E-2</v>
      </c>
    </row>
    <row r="1238" spans="1:3" x14ac:dyDescent="0.25">
      <c r="A1238" s="1">
        <v>42328</v>
      </c>
      <c r="B1238" s="2">
        <v>7856.5498049999997</v>
      </c>
      <c r="C1238" s="16">
        <f t="shared" si="1068"/>
        <v>1.7580158001399959E-3</v>
      </c>
    </row>
    <row r="1239" spans="1:3" x14ac:dyDescent="0.25">
      <c r="A1239" s="1">
        <v>42331</v>
      </c>
      <c r="B1239" s="2">
        <v>7849.25</v>
      </c>
      <c r="C1239" s="16">
        <f t="shared" si="1068"/>
        <v>-9.2956813613793911E-4</v>
      </c>
    </row>
    <row r="1240" spans="1:3" x14ac:dyDescent="0.25">
      <c r="A1240" s="1">
        <v>42332</v>
      </c>
      <c r="B1240" s="2">
        <v>7831.6000979999999</v>
      </c>
      <c r="C1240" s="16">
        <f t="shared" si="1068"/>
        <v>-2.2511419142847836E-3</v>
      </c>
    </row>
    <row r="1241" spans="1:3" x14ac:dyDescent="0.25">
      <c r="A1241" s="1">
        <v>42334</v>
      </c>
      <c r="B1241" s="2">
        <v>7883.7998049999997</v>
      </c>
      <c r="C1241" s="16">
        <f t="shared" si="1068"/>
        <v>6.6431524864642823E-3</v>
      </c>
    </row>
    <row r="1242" spans="1:3" x14ac:dyDescent="0.25">
      <c r="A1242" s="1">
        <v>42335</v>
      </c>
      <c r="B1242" s="2">
        <v>7942.7001950000003</v>
      </c>
      <c r="C1242" s="16">
        <f t="shared" si="1068"/>
        <v>7.4432959828451325E-3</v>
      </c>
    </row>
    <row r="1243" spans="1:3" x14ac:dyDescent="0.25">
      <c r="A1243" s="1">
        <v>42338</v>
      </c>
      <c r="B1243" s="2">
        <v>7935.25</v>
      </c>
      <c r="C1243" s="16">
        <f t="shared" si="1068"/>
        <v>-9.384329154907442E-4</v>
      </c>
    </row>
    <row r="1244" spans="1:3" x14ac:dyDescent="0.25">
      <c r="A1244" s="1">
        <v>42339</v>
      </c>
      <c r="B1244" s="2">
        <v>7954.8999020000001</v>
      </c>
      <c r="C1244" s="16">
        <f t="shared" si="1068"/>
        <v>2.4732192128353973E-3</v>
      </c>
    </row>
    <row r="1245" spans="1:3" x14ac:dyDescent="0.25">
      <c r="A1245" s="1">
        <v>42340</v>
      </c>
      <c r="B1245" s="2">
        <v>7931.3500979999999</v>
      </c>
      <c r="C1245" s="16">
        <f t="shared" si="1068"/>
        <v>-2.9648055709019954E-3</v>
      </c>
    </row>
    <row r="1246" spans="1:3" x14ac:dyDescent="0.25">
      <c r="A1246" s="1">
        <v>42341</v>
      </c>
      <c r="B1246" s="2">
        <v>7864.1499020000001</v>
      </c>
      <c r="C1246" s="16">
        <f t="shared" si="1068"/>
        <v>-8.5088286463381388E-3</v>
      </c>
    </row>
    <row r="1247" spans="1:3" x14ac:dyDescent="0.25">
      <c r="A1247" s="1">
        <v>42342</v>
      </c>
      <c r="B1247" s="2">
        <v>7781.8999020000001</v>
      </c>
      <c r="C1247" s="16">
        <f t="shared" si="1068"/>
        <v>-1.0513932744382056E-2</v>
      </c>
    </row>
    <row r="1248" spans="1:3" x14ac:dyDescent="0.25">
      <c r="A1248" s="1">
        <v>42345</v>
      </c>
      <c r="B1248" s="2">
        <v>7765.3999020000001</v>
      </c>
      <c r="C1248" s="16">
        <f t="shared" si="1068"/>
        <v>-2.1225558653553229E-3</v>
      </c>
    </row>
    <row r="1249" spans="1:3" x14ac:dyDescent="0.25">
      <c r="A1249" s="1">
        <v>42346</v>
      </c>
      <c r="B1249" s="2">
        <v>7701.7001950000003</v>
      </c>
      <c r="C1249" s="16">
        <f t="shared" si="1068"/>
        <v>-8.2368468227076302E-3</v>
      </c>
    </row>
    <row r="1250" spans="1:3" x14ac:dyDescent="0.25">
      <c r="A1250" s="1">
        <v>42347</v>
      </c>
      <c r="B1250" s="2">
        <v>7612.5</v>
      </c>
      <c r="C1250" s="16">
        <f t="shared" si="1068"/>
        <v>-1.1649475995341515E-2</v>
      </c>
    </row>
    <row r="1251" spans="1:3" x14ac:dyDescent="0.25">
      <c r="A1251" s="1">
        <v>42348</v>
      </c>
      <c r="B1251" s="2">
        <v>7683.2998049999997</v>
      </c>
      <c r="C1251" s="16">
        <f t="shared" si="1068"/>
        <v>9.2574839546075774E-3</v>
      </c>
    </row>
    <row r="1252" spans="1:3" x14ac:dyDescent="0.25">
      <c r="A1252" s="1">
        <v>42349</v>
      </c>
      <c r="B1252" s="2">
        <v>7610.4501950000003</v>
      </c>
      <c r="C1252" s="16">
        <f t="shared" si="1068"/>
        <v>-9.5267885225304751E-3</v>
      </c>
    </row>
    <row r="1253" spans="1:3" x14ac:dyDescent="0.25">
      <c r="A1253" s="1">
        <v>42352</v>
      </c>
      <c r="B1253" s="2">
        <v>7650.0498049999997</v>
      </c>
      <c r="C1253" s="16">
        <f t="shared" si="1068"/>
        <v>5.1898298066753645E-3</v>
      </c>
    </row>
    <row r="1254" spans="1:3" x14ac:dyDescent="0.25">
      <c r="A1254" s="1">
        <v>42353</v>
      </c>
      <c r="B1254" s="2">
        <v>7700.8999020000001</v>
      </c>
      <c r="C1254" s="16">
        <f t="shared" si="1068"/>
        <v>6.6250341456687246E-3</v>
      </c>
    </row>
    <row r="1255" spans="1:3" x14ac:dyDescent="0.25">
      <c r="A1255" s="1">
        <v>42354</v>
      </c>
      <c r="B1255" s="2">
        <v>7750.8999020000001</v>
      </c>
      <c r="C1255" s="16">
        <f t="shared" si="1068"/>
        <v>6.4717605909298606E-3</v>
      </c>
    </row>
    <row r="1256" spans="1:3" x14ac:dyDescent="0.25">
      <c r="A1256" s="1">
        <v>42355</v>
      </c>
      <c r="B1256" s="2">
        <v>7844.3500979999999</v>
      </c>
      <c r="C1256" s="16">
        <f t="shared" si="1068"/>
        <v>1.1984586912144714E-2</v>
      </c>
    </row>
    <row r="1257" spans="1:3" x14ac:dyDescent="0.25">
      <c r="A1257" s="1">
        <v>42356</v>
      </c>
      <c r="B1257" s="2">
        <v>7761.9501950000003</v>
      </c>
      <c r="C1257" s="16">
        <f t="shared" si="1068"/>
        <v>-1.055992351374432E-2</v>
      </c>
    </row>
    <row r="1258" spans="1:3" x14ac:dyDescent="0.25">
      <c r="A1258" s="1">
        <v>42359</v>
      </c>
      <c r="B1258" s="2">
        <v>7834.4501950000003</v>
      </c>
      <c r="C1258" s="16">
        <f t="shared" si="1068"/>
        <v>9.2970839940539896E-3</v>
      </c>
    </row>
    <row r="1259" spans="1:3" x14ac:dyDescent="0.25">
      <c r="A1259" s="1">
        <v>42360</v>
      </c>
      <c r="B1259" s="2">
        <v>7786.1000979999999</v>
      </c>
      <c r="C1259" s="16">
        <f t="shared" si="1068"/>
        <v>-6.1905951461286709E-3</v>
      </c>
    </row>
    <row r="1260" spans="1:3" x14ac:dyDescent="0.25">
      <c r="A1260" s="1">
        <v>42361</v>
      </c>
      <c r="B1260" s="2">
        <v>7865.9501950000003</v>
      </c>
      <c r="C1260" s="16">
        <f t="shared" si="1068"/>
        <v>1.0203237051229556E-2</v>
      </c>
    </row>
    <row r="1261" spans="1:3" x14ac:dyDescent="0.25">
      <c r="A1261" s="1">
        <v>42362</v>
      </c>
      <c r="B1261" s="2">
        <v>7861.0498049999997</v>
      </c>
      <c r="C1261" s="16">
        <f t="shared" si="1068"/>
        <v>-6.231818094477225E-4</v>
      </c>
    </row>
    <row r="1262" spans="1:3" x14ac:dyDescent="0.25">
      <c r="A1262" s="1">
        <v>42366</v>
      </c>
      <c r="B1262" s="2">
        <v>7925.1499020000001</v>
      </c>
      <c r="C1262" s="16">
        <f t="shared" si="1068"/>
        <v>8.1210741638468205E-3</v>
      </c>
    </row>
    <row r="1263" spans="1:3" x14ac:dyDescent="0.25">
      <c r="A1263" s="1">
        <v>42367</v>
      </c>
      <c r="B1263" s="2">
        <v>7928.9501950000003</v>
      </c>
      <c r="C1263" s="16">
        <f t="shared" si="1068"/>
        <v>4.7940823503512658E-4</v>
      </c>
    </row>
    <row r="1264" spans="1:3" x14ac:dyDescent="0.25">
      <c r="A1264" s="1">
        <v>42368</v>
      </c>
      <c r="B1264" s="2">
        <v>7896.25</v>
      </c>
      <c r="C1264" s="16">
        <f t="shared" si="1068"/>
        <v>-4.1326796675827679E-3</v>
      </c>
    </row>
    <row r="1265" spans="1:3" x14ac:dyDescent="0.25">
      <c r="A1265" s="1">
        <v>42369</v>
      </c>
      <c r="B1265" s="2">
        <v>7946.3500979999999</v>
      </c>
      <c r="C1265" s="16">
        <f t="shared" si="1068"/>
        <v>6.3247528436915735E-3</v>
      </c>
    </row>
    <row r="1266" spans="1:3" x14ac:dyDescent="0.25">
      <c r="A1266" s="1">
        <v>42373</v>
      </c>
      <c r="B1266" s="2">
        <v>7791.2998049999997</v>
      </c>
      <c r="C1266" s="16">
        <f t="shared" si="1068"/>
        <v>-1.9705014526570329E-2</v>
      </c>
    </row>
    <row r="1267" spans="1:3" x14ac:dyDescent="0.25">
      <c r="A1267" s="1">
        <v>42374</v>
      </c>
      <c r="B1267" s="2">
        <v>7784.6499020000001</v>
      </c>
      <c r="C1267" s="16">
        <f t="shared" si="1068"/>
        <v>-8.5386811451281495E-4</v>
      </c>
    </row>
    <row r="1268" spans="1:3" x14ac:dyDescent="0.25">
      <c r="A1268" s="1">
        <v>42375</v>
      </c>
      <c r="B1268" s="2">
        <v>7741</v>
      </c>
      <c r="C1268" s="16">
        <f t="shared" si="1068"/>
        <v>-5.62295521080515E-3</v>
      </c>
    </row>
    <row r="1269" spans="1:3" x14ac:dyDescent="0.25">
      <c r="A1269" s="1">
        <v>42376</v>
      </c>
      <c r="B1269" s="2">
        <v>7568.2998049999997</v>
      </c>
      <c r="C1269" s="16">
        <f t="shared" si="1068"/>
        <v>-2.2562432432064385E-2</v>
      </c>
    </row>
    <row r="1270" spans="1:3" x14ac:dyDescent="0.25">
      <c r="A1270" s="1">
        <v>42377</v>
      </c>
      <c r="B1270" s="2">
        <v>7601.3500979999999</v>
      </c>
      <c r="C1270" s="16">
        <f t="shared" si="1068"/>
        <v>4.3574301985465887E-3</v>
      </c>
    </row>
    <row r="1271" spans="1:3" x14ac:dyDescent="0.25">
      <c r="A1271" s="1">
        <v>42380</v>
      </c>
      <c r="B1271" s="2">
        <v>7563.8500979999999</v>
      </c>
      <c r="C1271" s="16">
        <f t="shared" si="1068"/>
        <v>-4.94554321048166E-3</v>
      </c>
    </row>
    <row r="1272" spans="1:3" x14ac:dyDescent="0.25">
      <c r="A1272" s="1">
        <v>42381</v>
      </c>
      <c r="B1272" s="2">
        <v>7510.2998049999997</v>
      </c>
      <c r="C1272" s="16">
        <f t="shared" si="1068"/>
        <v>-7.1049470270427642E-3</v>
      </c>
    </row>
    <row r="1273" spans="1:3" x14ac:dyDescent="0.25">
      <c r="A1273" s="1">
        <v>42382</v>
      </c>
      <c r="B1273" s="2">
        <v>7562.3999020000001</v>
      </c>
      <c r="C1273" s="16">
        <f t="shared" si="1068"/>
        <v>6.9132014186543515E-3</v>
      </c>
    </row>
    <row r="1274" spans="1:3" x14ac:dyDescent="0.25">
      <c r="A1274" s="1">
        <v>42383</v>
      </c>
      <c r="B1274" s="2">
        <v>7536.7998049999997</v>
      </c>
      <c r="C1274" s="16">
        <f t="shared" si="1068"/>
        <v>-3.390924290917423E-3</v>
      </c>
    </row>
    <row r="1275" spans="1:3" x14ac:dyDescent="0.25">
      <c r="A1275" s="1">
        <v>42384</v>
      </c>
      <c r="B1275" s="2">
        <v>7437.7998049999997</v>
      </c>
      <c r="C1275" s="16">
        <f t="shared" si="1068"/>
        <v>-1.3222582903979393E-2</v>
      </c>
    </row>
    <row r="1276" spans="1:3" x14ac:dyDescent="0.25">
      <c r="A1276" s="1">
        <v>42387</v>
      </c>
      <c r="B1276" s="2">
        <v>7351</v>
      </c>
      <c r="C1276" s="16">
        <f t="shared" si="1068"/>
        <v>-1.1738721583341064E-2</v>
      </c>
    </row>
    <row r="1277" spans="1:3" x14ac:dyDescent="0.25">
      <c r="A1277" s="1">
        <v>42388</v>
      </c>
      <c r="B1277" s="2">
        <v>7435.1000979999999</v>
      </c>
      <c r="C1277" s="16">
        <f t="shared" si="1068"/>
        <v>1.1375684509568298E-2</v>
      </c>
    </row>
    <row r="1278" spans="1:3" x14ac:dyDescent="0.25">
      <c r="A1278" s="1">
        <v>42389</v>
      </c>
      <c r="B1278" s="2">
        <v>7309.2998049999997</v>
      </c>
      <c r="C1278" s="16">
        <f t="shared" si="1068"/>
        <v>-1.7064559637307668E-2</v>
      </c>
    </row>
    <row r="1279" spans="1:3" x14ac:dyDescent="0.25">
      <c r="A1279" s="1">
        <v>42390</v>
      </c>
      <c r="B1279" s="2">
        <v>7276.7998049999997</v>
      </c>
      <c r="C1279" s="16">
        <f t="shared" si="1068"/>
        <v>-4.4563049276798517E-3</v>
      </c>
    </row>
    <row r="1280" spans="1:3" x14ac:dyDescent="0.25">
      <c r="A1280" s="1">
        <v>42391</v>
      </c>
      <c r="B1280" s="2">
        <v>7422.4501950000003</v>
      </c>
      <c r="C1280" s="16">
        <f t="shared" si="1068"/>
        <v>1.9818039293366164E-2</v>
      </c>
    </row>
    <row r="1281" spans="1:3" x14ac:dyDescent="0.25">
      <c r="A1281" s="1">
        <v>42394</v>
      </c>
      <c r="B1281" s="2">
        <v>7436.1499020000001</v>
      </c>
      <c r="C1281" s="16">
        <f t="shared" si="1068"/>
        <v>1.8440109825391493E-3</v>
      </c>
    </row>
    <row r="1282" spans="1:3" x14ac:dyDescent="0.25">
      <c r="A1282" s="1">
        <v>42396</v>
      </c>
      <c r="B1282" s="2">
        <v>7437.75</v>
      </c>
      <c r="C1282" s="16">
        <f t="shared" si="1068"/>
        <v>2.1515513977028798E-4</v>
      </c>
    </row>
    <row r="1283" spans="1:3" x14ac:dyDescent="0.25">
      <c r="A1283" s="1">
        <v>42397</v>
      </c>
      <c r="B1283" s="2">
        <v>7424.6499020000001</v>
      </c>
      <c r="C1283" s="16">
        <f t="shared" si="1068"/>
        <v>-1.7628514208899424E-3</v>
      </c>
    </row>
    <row r="1284" spans="1:3" x14ac:dyDescent="0.25">
      <c r="A1284" s="1">
        <v>42398</v>
      </c>
      <c r="B1284" s="2">
        <v>7563.5498049999997</v>
      </c>
      <c r="C1284" s="16">
        <f t="shared" ref="C1284:C1347" si="1069">LN(B1284/B1283)</f>
        <v>1.8535098581510763E-2</v>
      </c>
    </row>
    <row r="1285" spans="1:3" x14ac:dyDescent="0.25">
      <c r="A1285" s="1">
        <v>42401</v>
      </c>
      <c r="B1285" s="2">
        <v>7555.9501950000003</v>
      </c>
      <c r="C1285" s="16">
        <f t="shared" si="1069"/>
        <v>-1.005272745791351E-3</v>
      </c>
    </row>
    <row r="1286" spans="1:3" x14ac:dyDescent="0.25">
      <c r="A1286" s="1">
        <v>42402</v>
      </c>
      <c r="B1286" s="2">
        <v>7455.5498049999997</v>
      </c>
      <c r="C1286" s="16">
        <f t="shared" si="1069"/>
        <v>-1.3376662837392686E-2</v>
      </c>
    </row>
    <row r="1287" spans="1:3" x14ac:dyDescent="0.25">
      <c r="A1287" s="1">
        <v>42403</v>
      </c>
      <c r="B1287" s="2">
        <v>7361.7998049999997</v>
      </c>
      <c r="C1287" s="16">
        <f t="shared" si="1069"/>
        <v>-1.2654253760752887E-2</v>
      </c>
    </row>
    <row r="1288" spans="1:3" x14ac:dyDescent="0.25">
      <c r="A1288" s="1">
        <v>42404</v>
      </c>
      <c r="B1288" s="2">
        <v>7404</v>
      </c>
      <c r="C1288" s="16">
        <f t="shared" si="1069"/>
        <v>5.7159531423600874E-3</v>
      </c>
    </row>
    <row r="1289" spans="1:3" x14ac:dyDescent="0.25">
      <c r="A1289" s="1">
        <v>42405</v>
      </c>
      <c r="B1289" s="2">
        <v>7489.1000979999999</v>
      </c>
      <c r="C1289" s="16">
        <f t="shared" si="1069"/>
        <v>1.1428248470126467E-2</v>
      </c>
    </row>
    <row r="1290" spans="1:3" x14ac:dyDescent="0.25">
      <c r="A1290" s="1">
        <v>42408</v>
      </c>
      <c r="B1290" s="2">
        <v>7387.25</v>
      </c>
      <c r="C1290" s="16">
        <f t="shared" si="1069"/>
        <v>-1.3693101969325272E-2</v>
      </c>
    </row>
    <row r="1291" spans="1:3" x14ac:dyDescent="0.25">
      <c r="A1291" s="1">
        <v>42409</v>
      </c>
      <c r="B1291" s="2">
        <v>7298.2001950000003</v>
      </c>
      <c r="C1291" s="16">
        <f t="shared" si="1069"/>
        <v>-1.2127772085953782E-2</v>
      </c>
    </row>
    <row r="1292" spans="1:3" x14ac:dyDescent="0.25">
      <c r="A1292" s="1">
        <v>42410</v>
      </c>
      <c r="B1292" s="2">
        <v>7215.7001950000003</v>
      </c>
      <c r="C1292" s="16">
        <f t="shared" si="1069"/>
        <v>-1.1368534484984628E-2</v>
      </c>
    </row>
    <row r="1293" spans="1:3" x14ac:dyDescent="0.25">
      <c r="A1293" s="1">
        <v>42411</v>
      </c>
      <c r="B1293" s="2">
        <v>6976.3500979999999</v>
      </c>
      <c r="C1293" s="16">
        <f t="shared" si="1069"/>
        <v>-3.3733363227200136E-2</v>
      </c>
    </row>
    <row r="1294" spans="1:3" x14ac:dyDescent="0.25">
      <c r="A1294" s="1">
        <v>42412</v>
      </c>
      <c r="B1294" s="2">
        <v>6980.9501950000003</v>
      </c>
      <c r="C1294" s="16">
        <f t="shared" si="1069"/>
        <v>6.5916718419685287E-4</v>
      </c>
    </row>
    <row r="1295" spans="1:3" x14ac:dyDescent="0.25">
      <c r="A1295" s="1">
        <v>42415</v>
      </c>
      <c r="B1295" s="2">
        <v>7162.9501950000003</v>
      </c>
      <c r="C1295" s="16">
        <f t="shared" si="1069"/>
        <v>2.5736895917751124E-2</v>
      </c>
    </row>
    <row r="1296" spans="1:3" x14ac:dyDescent="0.25">
      <c r="A1296" s="1">
        <v>42416</v>
      </c>
      <c r="B1296" s="2">
        <v>7048.25</v>
      </c>
      <c r="C1296" s="16">
        <f t="shared" si="1069"/>
        <v>-1.614257545544762E-2</v>
      </c>
    </row>
    <row r="1297" spans="1:3" x14ac:dyDescent="0.25">
      <c r="A1297" s="1">
        <v>42417</v>
      </c>
      <c r="B1297" s="2">
        <v>7108.4501950000003</v>
      </c>
      <c r="C1297" s="16">
        <f t="shared" si="1069"/>
        <v>8.5048856078690487E-3</v>
      </c>
    </row>
    <row r="1298" spans="1:3" x14ac:dyDescent="0.25">
      <c r="A1298" s="1">
        <v>42418</v>
      </c>
      <c r="B1298" s="2">
        <v>7191.75</v>
      </c>
      <c r="C1298" s="16">
        <f t="shared" si="1069"/>
        <v>1.1650291051480211E-2</v>
      </c>
    </row>
    <row r="1299" spans="1:3" x14ac:dyDescent="0.25">
      <c r="A1299" s="1">
        <v>42419</v>
      </c>
      <c r="B1299" s="2">
        <v>7210.75</v>
      </c>
      <c r="C1299" s="16">
        <f t="shared" si="1069"/>
        <v>2.638432358562314E-3</v>
      </c>
    </row>
    <row r="1300" spans="1:3" x14ac:dyDescent="0.25">
      <c r="A1300" s="1">
        <v>42422</v>
      </c>
      <c r="B1300" s="2">
        <v>7234.5498049999997</v>
      </c>
      <c r="C1300" s="16">
        <f t="shared" si="1069"/>
        <v>3.2951654664645086E-3</v>
      </c>
    </row>
    <row r="1301" spans="1:3" x14ac:dyDescent="0.25">
      <c r="A1301" s="1">
        <v>42423</v>
      </c>
      <c r="B1301" s="2">
        <v>7109.5498049999997</v>
      </c>
      <c r="C1301" s="16">
        <f t="shared" si="1069"/>
        <v>-1.7429210299746523E-2</v>
      </c>
    </row>
    <row r="1302" spans="1:3" x14ac:dyDescent="0.25">
      <c r="A1302" s="1">
        <v>42424</v>
      </c>
      <c r="B1302" s="2">
        <v>7018.7001950000003</v>
      </c>
      <c r="C1302" s="16">
        <f t="shared" si="1069"/>
        <v>-1.286087975848027E-2</v>
      </c>
    </row>
    <row r="1303" spans="1:3" x14ac:dyDescent="0.25">
      <c r="A1303" s="1">
        <v>42425</v>
      </c>
      <c r="B1303" s="2">
        <v>6970.6000979999999</v>
      </c>
      <c r="C1303" s="16">
        <f t="shared" si="1069"/>
        <v>-6.8767251462569243E-3</v>
      </c>
    </row>
    <row r="1304" spans="1:3" x14ac:dyDescent="0.25">
      <c r="A1304" s="1">
        <v>42426</v>
      </c>
      <c r="B1304" s="2">
        <v>7029.75</v>
      </c>
      <c r="C1304" s="16">
        <f t="shared" si="1069"/>
        <v>8.4498249722613841E-3</v>
      </c>
    </row>
    <row r="1305" spans="1:3" x14ac:dyDescent="0.25">
      <c r="A1305" s="1">
        <v>42429</v>
      </c>
      <c r="B1305" s="2">
        <v>6987.0498049999997</v>
      </c>
      <c r="C1305" s="16">
        <f t="shared" si="1069"/>
        <v>-6.0927355295034048E-3</v>
      </c>
    </row>
    <row r="1306" spans="1:3" x14ac:dyDescent="0.25">
      <c r="A1306" s="1">
        <v>42430</v>
      </c>
      <c r="B1306" s="2">
        <v>7222.2998049999997</v>
      </c>
      <c r="C1306" s="16">
        <f t="shared" si="1069"/>
        <v>3.3115026949425114E-2</v>
      </c>
    </row>
    <row r="1307" spans="1:3" x14ac:dyDescent="0.25">
      <c r="A1307" s="1">
        <v>42431</v>
      </c>
      <c r="B1307" s="2">
        <v>7368.8500979999999</v>
      </c>
      <c r="C1307" s="16">
        <f t="shared" si="1069"/>
        <v>2.0088234600928564E-2</v>
      </c>
    </row>
    <row r="1308" spans="1:3" x14ac:dyDescent="0.25">
      <c r="A1308" s="1">
        <v>42432</v>
      </c>
      <c r="B1308" s="2">
        <v>7475.6000979999999</v>
      </c>
      <c r="C1308" s="16">
        <f t="shared" si="1069"/>
        <v>1.4382727389908012E-2</v>
      </c>
    </row>
    <row r="1309" spans="1:3" x14ac:dyDescent="0.25">
      <c r="A1309" s="1">
        <v>42433</v>
      </c>
      <c r="B1309" s="2">
        <v>7485.3500979999999</v>
      </c>
      <c r="C1309" s="16">
        <f t="shared" si="1069"/>
        <v>1.3033933343229666E-3</v>
      </c>
    </row>
    <row r="1310" spans="1:3" x14ac:dyDescent="0.25">
      <c r="A1310" s="1">
        <v>42437</v>
      </c>
      <c r="B1310" s="2">
        <v>7485.2998049999997</v>
      </c>
      <c r="C1310" s="16">
        <f t="shared" si="1069"/>
        <v>-6.7188799853913418E-6</v>
      </c>
    </row>
    <row r="1311" spans="1:3" x14ac:dyDescent="0.25">
      <c r="A1311" s="1">
        <v>42438</v>
      </c>
      <c r="B1311" s="2">
        <v>7531.7998049999997</v>
      </c>
      <c r="C1311" s="16">
        <f t="shared" si="1069"/>
        <v>6.1929600021911483E-3</v>
      </c>
    </row>
    <row r="1312" spans="1:3" x14ac:dyDescent="0.25">
      <c r="A1312" s="1">
        <v>42439</v>
      </c>
      <c r="B1312" s="2">
        <v>7486.1499020000001</v>
      </c>
      <c r="C1312" s="16">
        <f t="shared" si="1069"/>
        <v>-6.079397586052358E-3</v>
      </c>
    </row>
    <row r="1313" spans="1:3" x14ac:dyDescent="0.25">
      <c r="A1313" s="1">
        <v>42440</v>
      </c>
      <c r="B1313" s="2">
        <v>7510.2001950000003</v>
      </c>
      <c r="C1313" s="16">
        <f t="shared" si="1069"/>
        <v>3.2074889507809905E-3</v>
      </c>
    </row>
    <row r="1314" spans="1:3" x14ac:dyDescent="0.25">
      <c r="A1314" s="1">
        <v>42443</v>
      </c>
      <c r="B1314" s="2">
        <v>7538.75</v>
      </c>
      <c r="C1314" s="16">
        <f t="shared" si="1069"/>
        <v>3.7942632384760631E-3</v>
      </c>
    </row>
    <row r="1315" spans="1:3" x14ac:dyDescent="0.25">
      <c r="A1315" s="1">
        <v>42444</v>
      </c>
      <c r="B1315" s="2">
        <v>7460.6000979999999</v>
      </c>
      <c r="C1315" s="16">
        <f t="shared" si="1069"/>
        <v>-1.0420532711528763E-2</v>
      </c>
    </row>
    <row r="1316" spans="1:3" x14ac:dyDescent="0.25">
      <c r="A1316" s="1">
        <v>42445</v>
      </c>
      <c r="B1316" s="2">
        <v>7498.75</v>
      </c>
      <c r="C1316" s="16">
        <f t="shared" si="1069"/>
        <v>5.1004869136350777E-3</v>
      </c>
    </row>
    <row r="1317" spans="1:3" x14ac:dyDescent="0.25">
      <c r="A1317" s="1">
        <v>42446</v>
      </c>
      <c r="B1317" s="2">
        <v>7512.5498049999997</v>
      </c>
      <c r="C1317" s="16">
        <f t="shared" si="1069"/>
        <v>1.8385894714887064E-3</v>
      </c>
    </row>
    <row r="1318" spans="1:3" x14ac:dyDescent="0.25">
      <c r="A1318" s="1">
        <v>42447</v>
      </c>
      <c r="B1318" s="2">
        <v>7604.3500979999999</v>
      </c>
      <c r="C1318" s="16">
        <f t="shared" si="1069"/>
        <v>1.2145535403716073E-2</v>
      </c>
    </row>
    <row r="1319" spans="1:3" x14ac:dyDescent="0.25">
      <c r="A1319" s="1">
        <v>42450</v>
      </c>
      <c r="B1319" s="2">
        <v>7704.25</v>
      </c>
      <c r="C1319" s="16">
        <f t="shared" si="1069"/>
        <v>1.3051659783916049E-2</v>
      </c>
    </row>
    <row r="1320" spans="1:3" x14ac:dyDescent="0.25">
      <c r="A1320" s="1">
        <v>42451</v>
      </c>
      <c r="B1320" s="2">
        <v>7714.8999020000001</v>
      </c>
      <c r="C1320" s="16">
        <f t="shared" si="1069"/>
        <v>1.3813866213410765E-3</v>
      </c>
    </row>
    <row r="1321" spans="1:3" x14ac:dyDescent="0.25">
      <c r="A1321" s="1">
        <v>42452</v>
      </c>
      <c r="B1321" s="2">
        <v>7716.5</v>
      </c>
      <c r="C1321" s="16">
        <f t="shared" si="1069"/>
        <v>2.073820931213603E-4</v>
      </c>
    </row>
    <row r="1322" spans="1:3" x14ac:dyDescent="0.25">
      <c r="A1322" s="1">
        <v>42457</v>
      </c>
      <c r="B1322" s="2">
        <v>7615.1000979999999</v>
      </c>
      <c r="C1322" s="16">
        <f t="shared" si="1069"/>
        <v>-1.3227762252317433E-2</v>
      </c>
    </row>
    <row r="1323" spans="1:3" x14ac:dyDescent="0.25">
      <c r="A1323" s="1">
        <v>42458</v>
      </c>
      <c r="B1323" s="2">
        <v>7597</v>
      </c>
      <c r="C1323" s="16">
        <f t="shared" si="1069"/>
        <v>-2.3796985853471696E-3</v>
      </c>
    </row>
    <row r="1324" spans="1:3" x14ac:dyDescent="0.25">
      <c r="A1324" s="1">
        <v>42459</v>
      </c>
      <c r="B1324" s="2">
        <v>7735.2001950000003</v>
      </c>
      <c r="C1324" s="16">
        <f t="shared" si="1069"/>
        <v>1.8027932875548131E-2</v>
      </c>
    </row>
    <row r="1325" spans="1:3" x14ac:dyDescent="0.25">
      <c r="A1325" s="1">
        <v>42460</v>
      </c>
      <c r="B1325" s="2">
        <v>7738.3999020000001</v>
      </c>
      <c r="C1325" s="16">
        <f t="shared" si="1069"/>
        <v>4.1356982545082653E-4</v>
      </c>
    </row>
    <row r="1326" spans="1:3" x14ac:dyDescent="0.25">
      <c r="A1326" s="1">
        <v>42461</v>
      </c>
      <c r="B1326" s="2">
        <v>7713.0498049999997</v>
      </c>
      <c r="C1326" s="16">
        <f t="shared" si="1069"/>
        <v>-3.2812610111525925E-3</v>
      </c>
    </row>
    <row r="1327" spans="1:3" x14ac:dyDescent="0.25">
      <c r="A1327" s="1">
        <v>42464</v>
      </c>
      <c r="B1327" s="2">
        <v>7758.7998049999997</v>
      </c>
      <c r="C1327" s="16">
        <f t="shared" si="1069"/>
        <v>5.9139837183157951E-3</v>
      </c>
    </row>
    <row r="1328" spans="1:3" x14ac:dyDescent="0.25">
      <c r="A1328" s="1">
        <v>42465</v>
      </c>
      <c r="B1328" s="2">
        <v>7603.2001950000003</v>
      </c>
      <c r="C1328" s="16">
        <f t="shared" si="1069"/>
        <v>-2.025842097607175E-2</v>
      </c>
    </row>
    <row r="1329" spans="1:3" x14ac:dyDescent="0.25">
      <c r="A1329" s="1">
        <v>42466</v>
      </c>
      <c r="B1329" s="2">
        <v>7614.3500979999999</v>
      </c>
      <c r="C1329" s="16">
        <f t="shared" si="1069"/>
        <v>1.4654007748412597E-3</v>
      </c>
    </row>
    <row r="1330" spans="1:3" x14ac:dyDescent="0.25">
      <c r="A1330" s="1">
        <v>42467</v>
      </c>
      <c r="B1330" s="2">
        <v>7546.4501950000003</v>
      </c>
      <c r="C1330" s="16">
        <f t="shared" si="1069"/>
        <v>-8.9573578806764649E-3</v>
      </c>
    </row>
    <row r="1331" spans="1:3" x14ac:dyDescent="0.25">
      <c r="A1331" s="1">
        <v>42468</v>
      </c>
      <c r="B1331" s="2">
        <v>7555.2001950000003</v>
      </c>
      <c r="C1331" s="16">
        <f t="shared" si="1069"/>
        <v>1.1588138717547091E-3</v>
      </c>
    </row>
    <row r="1332" spans="1:3" x14ac:dyDescent="0.25">
      <c r="A1332" s="1">
        <v>42471</v>
      </c>
      <c r="B1332" s="2">
        <v>7671.3999020000001</v>
      </c>
      <c r="C1332" s="16">
        <f t="shared" si="1069"/>
        <v>1.5263021563968001E-2</v>
      </c>
    </row>
    <row r="1333" spans="1:3" x14ac:dyDescent="0.25">
      <c r="A1333" s="1">
        <v>42472</v>
      </c>
      <c r="B1333" s="2">
        <v>7708.9501950000003</v>
      </c>
      <c r="C1333" s="16">
        <f t="shared" si="1069"/>
        <v>4.8829015427608426E-3</v>
      </c>
    </row>
    <row r="1334" spans="1:3" x14ac:dyDescent="0.25">
      <c r="A1334" s="1">
        <v>42473</v>
      </c>
      <c r="B1334" s="2">
        <v>7850.4501950000003</v>
      </c>
      <c r="C1334" s="16">
        <f t="shared" si="1069"/>
        <v>1.8188863005592373E-2</v>
      </c>
    </row>
    <row r="1335" spans="1:3" x14ac:dyDescent="0.25">
      <c r="A1335" s="1">
        <v>42478</v>
      </c>
      <c r="B1335" s="2">
        <v>7914.7001950000003</v>
      </c>
      <c r="C1335" s="16">
        <f t="shared" si="1069"/>
        <v>8.1509347045716132E-3</v>
      </c>
    </row>
    <row r="1336" spans="1:3" x14ac:dyDescent="0.25">
      <c r="A1336" s="1">
        <v>42480</v>
      </c>
      <c r="B1336" s="2">
        <v>7914.75</v>
      </c>
      <c r="C1336" s="16">
        <f t="shared" si="1069"/>
        <v>6.2927011849834459E-6</v>
      </c>
    </row>
    <row r="1337" spans="1:3" x14ac:dyDescent="0.25">
      <c r="A1337" s="1">
        <v>42481</v>
      </c>
      <c r="B1337" s="2">
        <v>7912.0498049999997</v>
      </c>
      <c r="C1337" s="16">
        <f t="shared" si="1069"/>
        <v>-3.4121806801979266E-4</v>
      </c>
    </row>
    <row r="1338" spans="1:3" x14ac:dyDescent="0.25">
      <c r="A1338" s="1">
        <v>42482</v>
      </c>
      <c r="B1338" s="2">
        <v>7899.2998049999997</v>
      </c>
      <c r="C1338" s="16">
        <f t="shared" si="1069"/>
        <v>-1.612765902730233E-3</v>
      </c>
    </row>
    <row r="1339" spans="1:3" x14ac:dyDescent="0.25">
      <c r="A1339" s="1">
        <v>42485</v>
      </c>
      <c r="B1339" s="2">
        <v>7855.0498049999997</v>
      </c>
      <c r="C1339" s="16">
        <f t="shared" si="1069"/>
        <v>-5.6175110315170055E-3</v>
      </c>
    </row>
    <row r="1340" spans="1:3" x14ac:dyDescent="0.25">
      <c r="A1340" s="1">
        <v>42486</v>
      </c>
      <c r="B1340" s="2">
        <v>7962.6499020000001</v>
      </c>
      <c r="C1340" s="16">
        <f t="shared" si="1069"/>
        <v>1.3605234483029936E-2</v>
      </c>
    </row>
    <row r="1341" spans="1:3" x14ac:dyDescent="0.25">
      <c r="A1341" s="1">
        <v>42487</v>
      </c>
      <c r="B1341" s="2">
        <v>7979.8999020000001</v>
      </c>
      <c r="C1341" s="16">
        <f t="shared" si="1069"/>
        <v>2.1640210560879476E-3</v>
      </c>
    </row>
    <row r="1342" spans="1:3" x14ac:dyDescent="0.25">
      <c r="A1342" s="1">
        <v>42488</v>
      </c>
      <c r="B1342" s="2">
        <v>7847.25</v>
      </c>
      <c r="C1342" s="16">
        <f t="shared" si="1069"/>
        <v>-1.6762715826893818E-2</v>
      </c>
    </row>
    <row r="1343" spans="1:3" x14ac:dyDescent="0.25">
      <c r="A1343" s="1">
        <v>42489</v>
      </c>
      <c r="B1343" s="2">
        <v>7849.7998049999997</v>
      </c>
      <c r="C1343" s="16">
        <f t="shared" si="1069"/>
        <v>3.248769742214986E-4</v>
      </c>
    </row>
    <row r="1344" spans="1:3" x14ac:dyDescent="0.25">
      <c r="A1344" s="1">
        <v>42492</v>
      </c>
      <c r="B1344" s="2">
        <v>7805.8999020000001</v>
      </c>
      <c r="C1344" s="16">
        <f t="shared" si="1069"/>
        <v>-5.6081834580588106E-3</v>
      </c>
    </row>
    <row r="1345" spans="1:3" x14ac:dyDescent="0.25">
      <c r="A1345" s="1">
        <v>42493</v>
      </c>
      <c r="B1345" s="2">
        <v>7747</v>
      </c>
      <c r="C1345" s="16">
        <f t="shared" si="1069"/>
        <v>-7.5741738135265248E-3</v>
      </c>
    </row>
    <row r="1346" spans="1:3" x14ac:dyDescent="0.25">
      <c r="A1346" s="1">
        <v>42494</v>
      </c>
      <c r="B1346" s="2">
        <v>7706.5498049999997</v>
      </c>
      <c r="C1346" s="16">
        <f t="shared" si="1069"/>
        <v>-5.2350803397414013E-3</v>
      </c>
    </row>
    <row r="1347" spans="1:3" x14ac:dyDescent="0.25">
      <c r="A1347" s="1">
        <v>42495</v>
      </c>
      <c r="B1347" s="2">
        <v>7735.5</v>
      </c>
      <c r="C1347" s="16">
        <f t="shared" si="1069"/>
        <v>3.7495318669621028E-3</v>
      </c>
    </row>
    <row r="1348" spans="1:3" x14ac:dyDescent="0.25">
      <c r="A1348" s="1">
        <v>42496</v>
      </c>
      <c r="B1348" s="2">
        <v>7733.4501950000003</v>
      </c>
      <c r="C1348" s="16">
        <f t="shared" ref="C1348:C1411" si="1070">LN(B1348/B1347)</f>
        <v>-2.6502186459419761E-4</v>
      </c>
    </row>
    <row r="1349" spans="1:3" x14ac:dyDescent="0.25">
      <c r="A1349" s="1">
        <v>42499</v>
      </c>
      <c r="B1349" s="2">
        <v>7866.0498049999997</v>
      </c>
      <c r="C1349" s="16">
        <f t="shared" si="1070"/>
        <v>1.7000904357831532E-2</v>
      </c>
    </row>
    <row r="1350" spans="1:3" x14ac:dyDescent="0.25">
      <c r="A1350" s="1">
        <v>42500</v>
      </c>
      <c r="B1350" s="2">
        <v>7887.7998049999997</v>
      </c>
      <c r="C1350" s="16">
        <f t="shared" si="1070"/>
        <v>2.7612316173713275E-3</v>
      </c>
    </row>
    <row r="1351" spans="1:3" x14ac:dyDescent="0.25">
      <c r="A1351" s="1">
        <v>42501</v>
      </c>
      <c r="B1351" s="2">
        <v>7848.8500979999999</v>
      </c>
      <c r="C1351" s="16">
        <f t="shared" si="1070"/>
        <v>-4.9502005543656724E-3</v>
      </c>
    </row>
    <row r="1352" spans="1:3" x14ac:dyDescent="0.25">
      <c r="A1352" s="1">
        <v>42502</v>
      </c>
      <c r="B1352" s="2">
        <v>7900.3999020000001</v>
      </c>
      <c r="C1352" s="16">
        <f t="shared" si="1070"/>
        <v>6.5463419649009202E-3</v>
      </c>
    </row>
    <row r="1353" spans="1:3" x14ac:dyDescent="0.25">
      <c r="A1353" s="1">
        <v>42503</v>
      </c>
      <c r="B1353" s="2">
        <v>7814.8999020000001</v>
      </c>
      <c r="C1353" s="16">
        <f t="shared" si="1070"/>
        <v>-1.0881223352016729E-2</v>
      </c>
    </row>
    <row r="1354" spans="1:3" x14ac:dyDescent="0.25">
      <c r="A1354" s="1">
        <v>42506</v>
      </c>
      <c r="B1354" s="2">
        <v>7860.75</v>
      </c>
      <c r="C1354" s="16">
        <f t="shared" si="1070"/>
        <v>5.8498663901457425E-3</v>
      </c>
    </row>
    <row r="1355" spans="1:3" x14ac:dyDescent="0.25">
      <c r="A1355" s="1">
        <v>42507</v>
      </c>
      <c r="B1355" s="2">
        <v>7890.75</v>
      </c>
      <c r="C1355" s="16">
        <f t="shared" si="1070"/>
        <v>3.8091656381104887E-3</v>
      </c>
    </row>
    <row r="1356" spans="1:3" x14ac:dyDescent="0.25">
      <c r="A1356" s="1">
        <v>42508</v>
      </c>
      <c r="B1356" s="2">
        <v>7870.1499020000001</v>
      </c>
      <c r="C1356" s="16">
        <f t="shared" si="1070"/>
        <v>-2.6140778583481294E-3</v>
      </c>
    </row>
    <row r="1357" spans="1:3" x14ac:dyDescent="0.25">
      <c r="A1357" s="1">
        <v>42509</v>
      </c>
      <c r="B1357" s="2">
        <v>7783.3999020000001</v>
      </c>
      <c r="C1357" s="16">
        <f t="shared" si="1070"/>
        <v>-1.1083861386313324E-2</v>
      </c>
    </row>
    <row r="1358" spans="1:3" x14ac:dyDescent="0.25">
      <c r="A1358" s="1">
        <v>42510</v>
      </c>
      <c r="B1358" s="2">
        <v>7749.7001950000003</v>
      </c>
      <c r="C1358" s="16">
        <f t="shared" si="1070"/>
        <v>-4.3390900288469677E-3</v>
      </c>
    </row>
    <row r="1359" spans="1:3" x14ac:dyDescent="0.25">
      <c r="A1359" s="1">
        <v>42513</v>
      </c>
      <c r="B1359" s="2">
        <v>7731.0498049999997</v>
      </c>
      <c r="C1359" s="16">
        <f t="shared" si="1070"/>
        <v>-2.4094955377698189E-3</v>
      </c>
    </row>
    <row r="1360" spans="1:3" x14ac:dyDescent="0.25">
      <c r="A1360" s="1">
        <v>42514</v>
      </c>
      <c r="B1360" s="2">
        <v>7748.8500979999999</v>
      </c>
      <c r="C1360" s="16">
        <f t="shared" si="1070"/>
        <v>2.2997953419731602E-3</v>
      </c>
    </row>
    <row r="1361" spans="1:3" x14ac:dyDescent="0.25">
      <c r="A1361" s="1">
        <v>42515</v>
      </c>
      <c r="B1361" s="2">
        <v>7934.8999020000001</v>
      </c>
      <c r="C1361" s="16">
        <f t="shared" si="1070"/>
        <v>2.3726281248939513E-2</v>
      </c>
    </row>
    <row r="1362" spans="1:3" x14ac:dyDescent="0.25">
      <c r="A1362" s="1">
        <v>42516</v>
      </c>
      <c r="B1362" s="2">
        <v>8069.6499020000001</v>
      </c>
      <c r="C1362" s="16">
        <f t="shared" si="1070"/>
        <v>1.6839359535001843E-2</v>
      </c>
    </row>
    <row r="1363" spans="1:3" x14ac:dyDescent="0.25">
      <c r="A1363" s="1">
        <v>42517</v>
      </c>
      <c r="B1363" s="2">
        <v>8156.6499020000001</v>
      </c>
      <c r="C1363" s="16">
        <f t="shared" si="1070"/>
        <v>1.0723434762291395E-2</v>
      </c>
    </row>
    <row r="1364" spans="1:3" x14ac:dyDescent="0.25">
      <c r="A1364" s="1">
        <v>42520</v>
      </c>
      <c r="B1364" s="2">
        <v>8178.5</v>
      </c>
      <c r="C1364" s="16">
        <f t="shared" si="1070"/>
        <v>2.6752262651458269E-3</v>
      </c>
    </row>
    <row r="1365" spans="1:3" x14ac:dyDescent="0.25">
      <c r="A1365" s="1">
        <v>42521</v>
      </c>
      <c r="B1365" s="2">
        <v>8160.1000979999999</v>
      </c>
      <c r="C1365" s="16">
        <f t="shared" si="1070"/>
        <v>-2.2523239039008813E-3</v>
      </c>
    </row>
    <row r="1366" spans="1:3" x14ac:dyDescent="0.25">
      <c r="A1366" s="1">
        <v>42522</v>
      </c>
      <c r="B1366" s="2">
        <v>8179.9501950000003</v>
      </c>
      <c r="C1366" s="16">
        <f t="shared" si="1070"/>
        <v>2.4296261527706098E-3</v>
      </c>
    </row>
    <row r="1367" spans="1:3" x14ac:dyDescent="0.25">
      <c r="A1367" s="1">
        <v>42523</v>
      </c>
      <c r="B1367" s="2">
        <v>8218.9501949999994</v>
      </c>
      <c r="C1367" s="16">
        <f t="shared" si="1070"/>
        <v>4.7564254430617183E-3</v>
      </c>
    </row>
    <row r="1368" spans="1:3" x14ac:dyDescent="0.25">
      <c r="A1368" s="1">
        <v>42524</v>
      </c>
      <c r="B1368" s="2">
        <v>8220.7998050000006</v>
      </c>
      <c r="C1368" s="16">
        <f t="shared" si="1070"/>
        <v>2.250168047331234E-4</v>
      </c>
    </row>
    <row r="1369" spans="1:3" x14ac:dyDescent="0.25">
      <c r="A1369" s="1">
        <v>42527</v>
      </c>
      <c r="B1369" s="2">
        <v>8201.0498050000006</v>
      </c>
      <c r="C1369" s="16">
        <f t="shared" si="1070"/>
        <v>-2.4053331374014222E-3</v>
      </c>
    </row>
    <row r="1370" spans="1:3" x14ac:dyDescent="0.25">
      <c r="A1370" s="1">
        <v>42528</v>
      </c>
      <c r="B1370" s="2">
        <v>8266.4501949999994</v>
      </c>
      <c r="C1370" s="16">
        <f t="shared" si="1070"/>
        <v>7.9430069955489201E-3</v>
      </c>
    </row>
    <row r="1371" spans="1:3" x14ac:dyDescent="0.25">
      <c r="A1371" s="1">
        <v>42529</v>
      </c>
      <c r="B1371" s="2">
        <v>8273.0498050000006</v>
      </c>
      <c r="C1371" s="16">
        <f t="shared" si="1070"/>
        <v>7.9804230481693558E-4</v>
      </c>
    </row>
    <row r="1372" spans="1:3" x14ac:dyDescent="0.25">
      <c r="A1372" s="1">
        <v>42530</v>
      </c>
      <c r="B1372" s="2">
        <v>8203.5996090000008</v>
      </c>
      <c r="C1372" s="16">
        <f t="shared" si="1070"/>
        <v>-8.4301857206348033E-3</v>
      </c>
    </row>
    <row r="1373" spans="1:3" x14ac:dyDescent="0.25">
      <c r="A1373" s="1">
        <v>42531</v>
      </c>
      <c r="B1373" s="2">
        <v>8170.0498049999997</v>
      </c>
      <c r="C1373" s="16">
        <f t="shared" si="1070"/>
        <v>-4.0980297188757588E-3</v>
      </c>
    </row>
    <row r="1374" spans="1:3" x14ac:dyDescent="0.25">
      <c r="A1374" s="1">
        <v>42534</v>
      </c>
      <c r="B1374" s="2">
        <v>8110.6000979999999</v>
      </c>
      <c r="C1374" s="16">
        <f t="shared" si="1070"/>
        <v>-7.3031447255135894E-3</v>
      </c>
    </row>
    <row r="1375" spans="1:3" x14ac:dyDescent="0.25">
      <c r="A1375" s="1">
        <v>42535</v>
      </c>
      <c r="B1375" s="2">
        <v>8108.8500979999999</v>
      </c>
      <c r="C1375" s="16">
        <f t="shared" si="1070"/>
        <v>-2.1579029938049806E-4</v>
      </c>
    </row>
    <row r="1376" spans="1:3" x14ac:dyDescent="0.25">
      <c r="A1376" s="1">
        <v>42536</v>
      </c>
      <c r="B1376" s="2">
        <v>8206.5996090000008</v>
      </c>
      <c r="C1376" s="16">
        <f t="shared" si="1070"/>
        <v>1.198259102210647E-2</v>
      </c>
    </row>
    <row r="1377" spans="1:3" x14ac:dyDescent="0.25">
      <c r="A1377" s="1">
        <v>42537</v>
      </c>
      <c r="B1377" s="2">
        <v>8140.75</v>
      </c>
      <c r="C1377" s="16">
        <f t="shared" si="1070"/>
        <v>-8.0563475715949521E-3</v>
      </c>
    </row>
    <row r="1378" spans="1:3" x14ac:dyDescent="0.25">
      <c r="A1378" s="1">
        <v>42538</v>
      </c>
      <c r="B1378" s="2">
        <v>8170.2001950000003</v>
      </c>
      <c r="C1378" s="16">
        <f t="shared" si="1070"/>
        <v>3.6110988814928827E-3</v>
      </c>
    </row>
    <row r="1379" spans="1:3" x14ac:dyDescent="0.25">
      <c r="A1379" s="1">
        <v>42541</v>
      </c>
      <c r="B1379" s="2">
        <v>8238.5</v>
      </c>
      <c r="C1379" s="16">
        <f t="shared" si="1070"/>
        <v>8.3248762716769623E-3</v>
      </c>
    </row>
    <row r="1380" spans="1:3" x14ac:dyDescent="0.25">
      <c r="A1380" s="1">
        <v>42542</v>
      </c>
      <c r="B1380" s="2">
        <v>8219.9003909999992</v>
      </c>
      <c r="C1380" s="16">
        <f t="shared" si="1070"/>
        <v>-2.2601974038944238E-3</v>
      </c>
    </row>
    <row r="1381" spans="1:3" x14ac:dyDescent="0.25">
      <c r="A1381" s="1">
        <v>42543</v>
      </c>
      <c r="B1381" s="2">
        <v>8203.7001949999994</v>
      </c>
      <c r="C1381" s="16">
        <f t="shared" si="1070"/>
        <v>-1.9727953282018813E-3</v>
      </c>
    </row>
    <row r="1382" spans="1:3" x14ac:dyDescent="0.25">
      <c r="A1382" s="1">
        <v>42544</v>
      </c>
      <c r="B1382" s="2">
        <v>8270.4501949999994</v>
      </c>
      <c r="C1382" s="16">
        <f t="shared" si="1070"/>
        <v>8.1036488928289633E-3</v>
      </c>
    </row>
    <row r="1383" spans="1:3" x14ac:dyDescent="0.25">
      <c r="A1383" s="1">
        <v>42545</v>
      </c>
      <c r="B1383" s="2">
        <v>8088.6000979999999</v>
      </c>
      <c r="C1383" s="16">
        <f t="shared" si="1070"/>
        <v>-2.2233269617328178E-2</v>
      </c>
    </row>
    <row r="1384" spans="1:3" x14ac:dyDescent="0.25">
      <c r="A1384" s="1">
        <v>42548</v>
      </c>
      <c r="B1384" s="2">
        <v>8094.7001950000003</v>
      </c>
      <c r="C1384" s="16">
        <f t="shared" si="1070"/>
        <v>7.5387556041887904E-4</v>
      </c>
    </row>
    <row r="1385" spans="1:3" x14ac:dyDescent="0.25">
      <c r="A1385" s="1">
        <v>42549</v>
      </c>
      <c r="B1385" s="2">
        <v>8127.8500979999999</v>
      </c>
      <c r="C1385" s="16">
        <f t="shared" si="1070"/>
        <v>4.0868973795628498E-3</v>
      </c>
    </row>
    <row r="1386" spans="1:3" x14ac:dyDescent="0.25">
      <c r="A1386" s="1">
        <v>42550</v>
      </c>
      <c r="B1386" s="2">
        <v>8204</v>
      </c>
      <c r="C1386" s="16">
        <f t="shared" si="1070"/>
        <v>9.3253922113990216E-3</v>
      </c>
    </row>
    <row r="1387" spans="1:3" x14ac:dyDescent="0.25">
      <c r="A1387" s="1">
        <v>42551</v>
      </c>
      <c r="B1387" s="2">
        <v>8287.75</v>
      </c>
      <c r="C1387" s="16">
        <f t="shared" si="1070"/>
        <v>1.0156680759383653E-2</v>
      </c>
    </row>
    <row r="1388" spans="1:3" x14ac:dyDescent="0.25">
      <c r="A1388" s="1">
        <v>42552</v>
      </c>
      <c r="B1388" s="2">
        <v>8328.3496090000008</v>
      </c>
      <c r="C1388" s="16">
        <f t="shared" si="1070"/>
        <v>4.8867894091830658E-3</v>
      </c>
    </row>
    <row r="1389" spans="1:3" x14ac:dyDescent="0.25">
      <c r="A1389" s="1">
        <v>42555</v>
      </c>
      <c r="B1389" s="2">
        <v>8370.7001949999994</v>
      </c>
      <c r="C1389" s="16">
        <f t="shared" si="1070"/>
        <v>5.0722259403792134E-3</v>
      </c>
    </row>
    <row r="1390" spans="1:3" x14ac:dyDescent="0.25">
      <c r="A1390" s="1">
        <v>42556</v>
      </c>
      <c r="B1390" s="2">
        <v>8335.9501949999994</v>
      </c>
      <c r="C1390" s="16">
        <f t="shared" si="1070"/>
        <v>-4.160026014017203E-3</v>
      </c>
    </row>
    <row r="1391" spans="1:3" x14ac:dyDescent="0.25">
      <c r="A1391" s="1">
        <v>42558</v>
      </c>
      <c r="B1391" s="2">
        <v>8337.9003909999992</v>
      </c>
      <c r="C1391" s="16">
        <f t="shared" si="1070"/>
        <v>2.3392269216211773E-4</v>
      </c>
    </row>
    <row r="1392" spans="1:3" x14ac:dyDescent="0.25">
      <c r="A1392" s="1">
        <v>42559</v>
      </c>
      <c r="B1392" s="2">
        <v>8323.2001949999994</v>
      </c>
      <c r="C1392" s="16">
        <f t="shared" si="1070"/>
        <v>-1.7646132965407344E-3</v>
      </c>
    </row>
    <row r="1393" spans="1:3" x14ac:dyDescent="0.25">
      <c r="A1393" s="1">
        <v>42562</v>
      </c>
      <c r="B1393" s="2">
        <v>8467.9003909999992</v>
      </c>
      <c r="C1393" s="16">
        <f t="shared" si="1070"/>
        <v>1.7235770512669755E-2</v>
      </c>
    </row>
    <row r="1394" spans="1:3" x14ac:dyDescent="0.25">
      <c r="A1394" s="1">
        <v>42563</v>
      </c>
      <c r="B1394" s="2">
        <v>8521.0498050000006</v>
      </c>
      <c r="C1394" s="16">
        <f t="shared" si="1070"/>
        <v>6.2569595866308779E-3</v>
      </c>
    </row>
    <row r="1395" spans="1:3" x14ac:dyDescent="0.25">
      <c r="A1395" s="1">
        <v>42564</v>
      </c>
      <c r="B1395" s="2">
        <v>8519.5</v>
      </c>
      <c r="C1395" s="16">
        <f t="shared" si="1070"/>
        <v>-1.8189612682785228E-4</v>
      </c>
    </row>
    <row r="1396" spans="1:3" x14ac:dyDescent="0.25">
      <c r="A1396" s="1">
        <v>42565</v>
      </c>
      <c r="B1396" s="2">
        <v>8565</v>
      </c>
      <c r="C1396" s="16">
        <f t="shared" si="1070"/>
        <v>5.3264781029264477E-3</v>
      </c>
    </row>
    <row r="1397" spans="1:3" x14ac:dyDescent="0.25">
      <c r="A1397" s="1">
        <v>42566</v>
      </c>
      <c r="B1397" s="2">
        <v>8541.4003909999992</v>
      </c>
      <c r="C1397" s="16">
        <f t="shared" si="1070"/>
        <v>-2.7591572081171077E-3</v>
      </c>
    </row>
    <row r="1398" spans="1:3" x14ac:dyDescent="0.25">
      <c r="A1398" s="1">
        <v>42569</v>
      </c>
      <c r="B1398" s="2">
        <v>8508.7001949999994</v>
      </c>
      <c r="C1398" s="16">
        <f t="shared" si="1070"/>
        <v>-3.8357821912931721E-3</v>
      </c>
    </row>
    <row r="1399" spans="1:3" x14ac:dyDescent="0.25">
      <c r="A1399" s="1">
        <v>42570</v>
      </c>
      <c r="B1399" s="2">
        <v>8528.5498050000006</v>
      </c>
      <c r="C1399" s="16">
        <f t="shared" si="1070"/>
        <v>2.3301435362204181E-3</v>
      </c>
    </row>
    <row r="1400" spans="1:3" x14ac:dyDescent="0.25">
      <c r="A1400" s="1">
        <v>42571</v>
      </c>
      <c r="B1400" s="2">
        <v>8565.8496090000008</v>
      </c>
      <c r="C1400" s="16">
        <f t="shared" si="1070"/>
        <v>4.363986390232024E-3</v>
      </c>
    </row>
    <row r="1401" spans="1:3" x14ac:dyDescent="0.25">
      <c r="A1401" s="1">
        <v>42572</v>
      </c>
      <c r="B1401" s="2">
        <v>8510.0996090000008</v>
      </c>
      <c r="C1401" s="16">
        <f t="shared" si="1070"/>
        <v>-6.5296748509745105E-3</v>
      </c>
    </row>
    <row r="1402" spans="1:3" x14ac:dyDescent="0.25">
      <c r="A1402" s="1">
        <v>42573</v>
      </c>
      <c r="B1402" s="2">
        <v>8541.2001949999994</v>
      </c>
      <c r="C1402" s="16">
        <f t="shared" si="1070"/>
        <v>3.6478885299862855E-3</v>
      </c>
    </row>
    <row r="1403" spans="1:3" x14ac:dyDescent="0.25">
      <c r="A1403" s="1">
        <v>42576</v>
      </c>
      <c r="B1403" s="2">
        <v>8635.6503909999992</v>
      </c>
      <c r="C1403" s="16">
        <f t="shared" si="1070"/>
        <v>1.0997493104333284E-2</v>
      </c>
    </row>
    <row r="1404" spans="1:3" x14ac:dyDescent="0.25">
      <c r="A1404" s="1">
        <v>42577</v>
      </c>
      <c r="B1404" s="2">
        <v>8590.6503909999992</v>
      </c>
      <c r="C1404" s="16">
        <f t="shared" si="1070"/>
        <v>-5.2245810554871815E-3</v>
      </c>
    </row>
    <row r="1405" spans="1:3" x14ac:dyDescent="0.25">
      <c r="A1405" s="1">
        <v>42578</v>
      </c>
      <c r="B1405" s="2">
        <v>8615.7998050000006</v>
      </c>
      <c r="C1405" s="16">
        <f t="shared" si="1070"/>
        <v>2.9232562931800826E-3</v>
      </c>
    </row>
    <row r="1406" spans="1:3" x14ac:dyDescent="0.25">
      <c r="A1406" s="1">
        <v>42579</v>
      </c>
      <c r="B1406" s="2">
        <v>8666.2998050000006</v>
      </c>
      <c r="C1406" s="16">
        <f t="shared" si="1070"/>
        <v>5.8442139409536154E-3</v>
      </c>
    </row>
    <row r="1407" spans="1:3" x14ac:dyDescent="0.25">
      <c r="A1407" s="1">
        <v>42580</v>
      </c>
      <c r="B1407" s="2">
        <v>8638.5</v>
      </c>
      <c r="C1407" s="16">
        <f t="shared" si="1070"/>
        <v>-3.2129616324171805E-3</v>
      </c>
    </row>
    <row r="1408" spans="1:3" x14ac:dyDescent="0.25">
      <c r="A1408" s="1">
        <v>42583</v>
      </c>
      <c r="B1408" s="2">
        <v>8636.5498050000006</v>
      </c>
      <c r="C1408" s="16">
        <f t="shared" si="1070"/>
        <v>-2.2578169444343135E-4</v>
      </c>
    </row>
    <row r="1409" spans="1:3" x14ac:dyDescent="0.25">
      <c r="A1409" s="1">
        <v>42584</v>
      </c>
      <c r="B1409" s="2">
        <v>8622.9003909999992</v>
      </c>
      <c r="C1409" s="16">
        <f t="shared" si="1070"/>
        <v>-1.5816745829736797E-3</v>
      </c>
    </row>
    <row r="1410" spans="1:3" x14ac:dyDescent="0.25">
      <c r="A1410" s="1">
        <v>42585</v>
      </c>
      <c r="B1410" s="2">
        <v>8544.8496090000008</v>
      </c>
      <c r="C1410" s="16">
        <f t="shared" si="1070"/>
        <v>-9.0927838255805138E-3</v>
      </c>
    </row>
    <row r="1411" spans="1:3" x14ac:dyDescent="0.25">
      <c r="A1411" s="1">
        <v>42586</v>
      </c>
      <c r="B1411" s="2">
        <v>8551.0996090000008</v>
      </c>
      <c r="C1411" s="16">
        <f t="shared" si="1070"/>
        <v>7.3116738927366345E-4</v>
      </c>
    </row>
    <row r="1412" spans="1:3" x14ac:dyDescent="0.25">
      <c r="A1412" s="1">
        <v>42587</v>
      </c>
      <c r="B1412" s="2">
        <v>8683.1503909999992</v>
      </c>
      <c r="C1412" s="16">
        <f t="shared" ref="C1412:C1475" si="1071">LN(B1412/B1411)</f>
        <v>1.5324527175381167E-2</v>
      </c>
    </row>
    <row r="1413" spans="1:3" x14ac:dyDescent="0.25">
      <c r="A1413" s="1">
        <v>42590</v>
      </c>
      <c r="B1413" s="2">
        <v>8711.3496090000008</v>
      </c>
      <c r="C1413" s="16">
        <f t="shared" si="1071"/>
        <v>3.2423171351829332E-3</v>
      </c>
    </row>
    <row r="1414" spans="1:3" x14ac:dyDescent="0.25">
      <c r="A1414" s="1">
        <v>42591</v>
      </c>
      <c r="B1414" s="2">
        <v>8678.25</v>
      </c>
      <c r="C1414" s="16">
        <f t="shared" si="1071"/>
        <v>-3.8068327871204335E-3</v>
      </c>
    </row>
    <row r="1415" spans="1:3" x14ac:dyDescent="0.25">
      <c r="A1415" s="1">
        <v>42592</v>
      </c>
      <c r="B1415" s="2">
        <v>8575.2998050000006</v>
      </c>
      <c r="C1415" s="16">
        <f t="shared" si="1071"/>
        <v>-1.193394031938046E-2</v>
      </c>
    </row>
    <row r="1416" spans="1:3" x14ac:dyDescent="0.25">
      <c r="A1416" s="1">
        <v>42593</v>
      </c>
      <c r="B1416" s="2">
        <v>8592.1503909999992</v>
      </c>
      <c r="C1416" s="16">
        <f t="shared" si="1071"/>
        <v>1.9630860982908505E-3</v>
      </c>
    </row>
    <row r="1417" spans="1:3" x14ac:dyDescent="0.25">
      <c r="A1417" s="1">
        <v>42598</v>
      </c>
      <c r="B1417" s="2">
        <v>8642.5498050000006</v>
      </c>
      <c r="C1417" s="16">
        <f t="shared" si="1071"/>
        <v>5.848614375823495E-3</v>
      </c>
    </row>
    <row r="1418" spans="1:3" x14ac:dyDescent="0.25">
      <c r="A1418" s="1">
        <v>42599</v>
      </c>
      <c r="B1418" s="2">
        <v>8624.0498050000006</v>
      </c>
      <c r="C1418" s="16">
        <f t="shared" si="1071"/>
        <v>-2.1428662848505969E-3</v>
      </c>
    </row>
    <row r="1419" spans="1:3" x14ac:dyDescent="0.25">
      <c r="A1419" s="1">
        <v>42600</v>
      </c>
      <c r="B1419" s="2">
        <v>8673.25</v>
      </c>
      <c r="C1419" s="16">
        <f t="shared" si="1071"/>
        <v>5.6887870639387309E-3</v>
      </c>
    </row>
    <row r="1420" spans="1:3" x14ac:dyDescent="0.25">
      <c r="A1420" s="1">
        <v>42601</v>
      </c>
      <c r="B1420" s="2">
        <v>8666.9003909999992</v>
      </c>
      <c r="C1420" s="16">
        <f t="shared" si="1071"/>
        <v>-7.3235919419672199E-4</v>
      </c>
    </row>
    <row r="1421" spans="1:3" x14ac:dyDescent="0.25">
      <c r="A1421" s="1">
        <v>42604</v>
      </c>
      <c r="B1421" s="2">
        <v>8629.1503909999992</v>
      </c>
      <c r="C1421" s="16">
        <f t="shared" si="1071"/>
        <v>-4.3651652528767723E-3</v>
      </c>
    </row>
    <row r="1422" spans="1:3" x14ac:dyDescent="0.25">
      <c r="A1422" s="1">
        <v>42605</v>
      </c>
      <c r="B1422" s="2">
        <v>8632.5996090000008</v>
      </c>
      <c r="C1422" s="16">
        <f t="shared" si="1071"/>
        <v>3.9963712206547795E-4</v>
      </c>
    </row>
    <row r="1423" spans="1:3" x14ac:dyDescent="0.25">
      <c r="A1423" s="1">
        <v>42606</v>
      </c>
      <c r="B1423" s="2">
        <v>8650.2998050000006</v>
      </c>
      <c r="C1423" s="16">
        <f t="shared" si="1071"/>
        <v>2.0482908294987916E-3</v>
      </c>
    </row>
    <row r="1424" spans="1:3" x14ac:dyDescent="0.25">
      <c r="A1424" s="1">
        <v>42607</v>
      </c>
      <c r="B1424" s="2">
        <v>8592.2001949999994</v>
      </c>
      <c r="C1424" s="16">
        <f t="shared" si="1071"/>
        <v>-6.7391422227259072E-3</v>
      </c>
    </row>
    <row r="1425" spans="1:3" x14ac:dyDescent="0.25">
      <c r="A1425" s="1">
        <v>42608</v>
      </c>
      <c r="B1425" s="2">
        <v>8572.5498050000006</v>
      </c>
      <c r="C1425" s="16">
        <f t="shared" si="1071"/>
        <v>-2.2896224628440802E-3</v>
      </c>
    </row>
    <row r="1426" spans="1:3" x14ac:dyDescent="0.25">
      <c r="A1426" s="1">
        <v>42611</v>
      </c>
      <c r="B1426" s="2">
        <v>8607.4501949999994</v>
      </c>
      <c r="C1426" s="16">
        <f t="shared" si="1071"/>
        <v>4.0629147857024744E-3</v>
      </c>
    </row>
    <row r="1427" spans="1:3" x14ac:dyDescent="0.25">
      <c r="A1427" s="1">
        <v>42612</v>
      </c>
      <c r="B1427" s="2">
        <v>8744.3496090000008</v>
      </c>
      <c r="C1427" s="16">
        <f t="shared" si="1071"/>
        <v>1.5779602825100048E-2</v>
      </c>
    </row>
    <row r="1428" spans="1:3" x14ac:dyDescent="0.25">
      <c r="A1428" s="1">
        <v>42613</v>
      </c>
      <c r="B1428" s="2">
        <v>8786.2001949999994</v>
      </c>
      <c r="C1428" s="16">
        <f t="shared" si="1071"/>
        <v>4.7745981697995031E-3</v>
      </c>
    </row>
    <row r="1429" spans="1:3" x14ac:dyDescent="0.25">
      <c r="A1429" s="1">
        <v>42614</v>
      </c>
      <c r="B1429" s="2">
        <v>8774.6503909999992</v>
      </c>
      <c r="C1429" s="16">
        <f t="shared" si="1071"/>
        <v>-1.315403899009523E-3</v>
      </c>
    </row>
    <row r="1430" spans="1:3" x14ac:dyDescent="0.25">
      <c r="A1430" s="1">
        <v>42615</v>
      </c>
      <c r="B1430" s="2">
        <v>8809.6503909999992</v>
      </c>
      <c r="C1430" s="16">
        <f t="shared" si="1071"/>
        <v>3.9808288830258075E-3</v>
      </c>
    </row>
    <row r="1431" spans="1:3" x14ac:dyDescent="0.25">
      <c r="A1431" s="1">
        <v>42619</v>
      </c>
      <c r="B1431" s="2">
        <v>8943</v>
      </c>
      <c r="C1431" s="16">
        <f t="shared" si="1071"/>
        <v>1.50233474042631E-2</v>
      </c>
    </row>
    <row r="1432" spans="1:3" x14ac:dyDescent="0.25">
      <c r="A1432" s="1">
        <v>42620</v>
      </c>
      <c r="B1432" s="2">
        <v>8917.9501949999994</v>
      </c>
      <c r="C1432" s="16">
        <f t="shared" si="1071"/>
        <v>-2.8049819467246516E-3</v>
      </c>
    </row>
    <row r="1433" spans="1:3" x14ac:dyDescent="0.25">
      <c r="A1433" s="1">
        <v>42621</v>
      </c>
      <c r="B1433" s="2">
        <v>8952.5</v>
      </c>
      <c r="C1433" s="16">
        <f t="shared" si="1071"/>
        <v>3.8667014731311629E-3</v>
      </c>
    </row>
    <row r="1434" spans="1:3" x14ac:dyDescent="0.25">
      <c r="A1434" s="1">
        <v>42622</v>
      </c>
      <c r="B1434" s="2">
        <v>8866.7001949999994</v>
      </c>
      <c r="C1434" s="16">
        <f t="shared" si="1071"/>
        <v>-9.6301143870791053E-3</v>
      </c>
    </row>
    <row r="1435" spans="1:3" x14ac:dyDescent="0.25">
      <c r="A1435" s="1">
        <v>42625</v>
      </c>
      <c r="B1435" s="2">
        <v>8715.5996090000008</v>
      </c>
      <c r="C1435" s="16">
        <f t="shared" si="1071"/>
        <v>-1.7188229947473172E-2</v>
      </c>
    </row>
    <row r="1436" spans="1:3" x14ac:dyDescent="0.25">
      <c r="A1436" s="1">
        <v>42627</v>
      </c>
      <c r="B1436" s="2">
        <v>8726.5996090000008</v>
      </c>
      <c r="C1436" s="16">
        <f t="shared" si="1071"/>
        <v>1.26130900362312E-3</v>
      </c>
    </row>
    <row r="1437" spans="1:3" x14ac:dyDescent="0.25">
      <c r="A1437" s="1">
        <v>42628</v>
      </c>
      <c r="B1437" s="2">
        <v>8742.5498050000006</v>
      </c>
      <c r="C1437" s="16">
        <f t="shared" si="1071"/>
        <v>1.8260992626877167E-3</v>
      </c>
    </row>
    <row r="1438" spans="1:3" x14ac:dyDescent="0.25">
      <c r="A1438" s="1">
        <v>42629</v>
      </c>
      <c r="B1438" s="2">
        <v>8779.8496090000008</v>
      </c>
      <c r="C1438" s="16">
        <f t="shared" si="1071"/>
        <v>4.2573918626263871E-3</v>
      </c>
    </row>
    <row r="1439" spans="1:3" x14ac:dyDescent="0.25">
      <c r="A1439" s="1">
        <v>42632</v>
      </c>
      <c r="B1439" s="2">
        <v>8808.4003909999992</v>
      </c>
      <c r="C1439" s="16">
        <f t="shared" si="1071"/>
        <v>3.2465773545095268E-3</v>
      </c>
    </row>
    <row r="1440" spans="1:3" x14ac:dyDescent="0.25">
      <c r="A1440" s="1">
        <v>42633</v>
      </c>
      <c r="B1440" s="2">
        <v>8775.9003909999992</v>
      </c>
      <c r="C1440" s="16">
        <f t="shared" si="1071"/>
        <v>-3.6964832903559415E-3</v>
      </c>
    </row>
    <row r="1441" spans="1:3" x14ac:dyDescent="0.25">
      <c r="A1441" s="1">
        <v>42634</v>
      </c>
      <c r="B1441" s="2">
        <v>8777.1503909999992</v>
      </c>
      <c r="C1441" s="16">
        <f t="shared" si="1071"/>
        <v>1.4242538435480938E-4</v>
      </c>
    </row>
    <row r="1442" spans="1:3" x14ac:dyDescent="0.25">
      <c r="A1442" s="1">
        <v>42635</v>
      </c>
      <c r="B1442" s="2">
        <v>8867.4501949999994</v>
      </c>
      <c r="C1442" s="16">
        <f t="shared" si="1071"/>
        <v>1.0235492939133145E-2</v>
      </c>
    </row>
    <row r="1443" spans="1:3" x14ac:dyDescent="0.25">
      <c r="A1443" s="1">
        <v>42636</v>
      </c>
      <c r="B1443" s="2">
        <v>8831.5498050000006</v>
      </c>
      <c r="C1443" s="16">
        <f t="shared" si="1071"/>
        <v>-4.0567760026746554E-3</v>
      </c>
    </row>
    <row r="1444" spans="1:3" x14ac:dyDescent="0.25">
      <c r="A1444" s="1">
        <v>42639</v>
      </c>
      <c r="B1444" s="2">
        <v>8723.0498050000006</v>
      </c>
      <c r="C1444" s="16">
        <f t="shared" si="1071"/>
        <v>-1.2361590016770339E-2</v>
      </c>
    </row>
    <row r="1445" spans="1:3" x14ac:dyDescent="0.25">
      <c r="A1445" s="1">
        <v>42640</v>
      </c>
      <c r="B1445" s="2">
        <v>8706.4003909999992</v>
      </c>
      <c r="C1445" s="16">
        <f t="shared" si="1071"/>
        <v>-1.91049274382673E-3</v>
      </c>
    </row>
    <row r="1446" spans="1:3" x14ac:dyDescent="0.25">
      <c r="A1446" s="1">
        <v>42641</v>
      </c>
      <c r="B1446" s="2">
        <v>8745.1503909999992</v>
      </c>
      <c r="C1446" s="16">
        <f t="shared" si="1071"/>
        <v>4.4408733834123432E-3</v>
      </c>
    </row>
    <row r="1447" spans="1:3" x14ac:dyDescent="0.25">
      <c r="A1447" s="1">
        <v>42642</v>
      </c>
      <c r="B1447" s="2">
        <v>8591.25</v>
      </c>
      <c r="C1447" s="16">
        <f t="shared" si="1071"/>
        <v>-1.7755062238940005E-2</v>
      </c>
    </row>
    <row r="1448" spans="1:3" x14ac:dyDescent="0.25">
      <c r="A1448" s="1">
        <v>42643</v>
      </c>
      <c r="B1448" s="2">
        <v>8611.1503909999992</v>
      </c>
      <c r="C1448" s="16">
        <f t="shared" si="1071"/>
        <v>2.3136770944840643E-3</v>
      </c>
    </row>
    <row r="1449" spans="1:3" x14ac:dyDescent="0.25">
      <c r="A1449" s="1">
        <v>42646</v>
      </c>
      <c r="B1449" s="2">
        <v>8738.0996090000008</v>
      </c>
      <c r="C1449" s="16">
        <f t="shared" si="1071"/>
        <v>1.4634809435449134E-2</v>
      </c>
    </row>
    <row r="1450" spans="1:3" x14ac:dyDescent="0.25">
      <c r="A1450" s="1">
        <v>42647</v>
      </c>
      <c r="B1450" s="2">
        <v>8769.1503909999992</v>
      </c>
      <c r="C1450" s="16">
        <f t="shared" si="1071"/>
        <v>3.547194968743683E-3</v>
      </c>
    </row>
    <row r="1451" spans="1:3" x14ac:dyDescent="0.25">
      <c r="A1451" s="1">
        <v>42648</v>
      </c>
      <c r="B1451" s="2">
        <v>8743.9501949999994</v>
      </c>
      <c r="C1451" s="16">
        <f t="shared" si="1071"/>
        <v>-2.8778700001029487E-3</v>
      </c>
    </row>
    <row r="1452" spans="1:3" x14ac:dyDescent="0.25">
      <c r="A1452" s="1">
        <v>42649</v>
      </c>
      <c r="B1452" s="2">
        <v>8709.5498050000006</v>
      </c>
      <c r="C1452" s="16">
        <f t="shared" si="1071"/>
        <v>-3.9419525648834953E-3</v>
      </c>
    </row>
    <row r="1453" spans="1:3" x14ac:dyDescent="0.25">
      <c r="A1453" s="1">
        <v>42650</v>
      </c>
      <c r="B1453" s="2">
        <v>8697.5996090000008</v>
      </c>
      <c r="C1453" s="16">
        <f t="shared" si="1071"/>
        <v>-1.3730218076663488E-3</v>
      </c>
    </row>
    <row r="1454" spans="1:3" x14ac:dyDescent="0.25">
      <c r="A1454" s="1">
        <v>42653</v>
      </c>
      <c r="B1454" s="2">
        <v>8708.7998050000006</v>
      </c>
      <c r="C1454" s="16">
        <f t="shared" si="1071"/>
        <v>1.286905726952044E-3</v>
      </c>
    </row>
    <row r="1455" spans="1:3" x14ac:dyDescent="0.25">
      <c r="A1455" s="1">
        <v>42656</v>
      </c>
      <c r="B1455" s="2">
        <v>8573.3496090000008</v>
      </c>
      <c r="C1455" s="16">
        <f t="shared" si="1071"/>
        <v>-1.5675477201236843E-2</v>
      </c>
    </row>
    <row r="1456" spans="1:3" x14ac:dyDescent="0.25">
      <c r="A1456" s="1">
        <v>42657</v>
      </c>
      <c r="B1456" s="2">
        <v>8583.4003909999992</v>
      </c>
      <c r="C1456" s="16">
        <f t="shared" si="1071"/>
        <v>1.171641849390058E-3</v>
      </c>
    </row>
    <row r="1457" spans="1:3" x14ac:dyDescent="0.25">
      <c r="A1457" s="1">
        <v>42660</v>
      </c>
      <c r="B1457" s="2">
        <v>8520.4003909999992</v>
      </c>
      <c r="C1457" s="16">
        <f t="shared" si="1071"/>
        <v>-7.3668169689514677E-3</v>
      </c>
    </row>
    <row r="1458" spans="1:3" x14ac:dyDescent="0.25">
      <c r="A1458" s="1">
        <v>42661</v>
      </c>
      <c r="B1458" s="2">
        <v>8677.9003909999992</v>
      </c>
      <c r="C1458" s="16">
        <f t="shared" si="1071"/>
        <v>1.8316274988404681E-2</v>
      </c>
    </row>
    <row r="1459" spans="1:3" x14ac:dyDescent="0.25">
      <c r="A1459" s="1">
        <v>42662</v>
      </c>
      <c r="B1459" s="2">
        <v>8659.0996090000008</v>
      </c>
      <c r="C1459" s="16">
        <f t="shared" si="1071"/>
        <v>-2.1688630524142505E-3</v>
      </c>
    </row>
    <row r="1460" spans="1:3" x14ac:dyDescent="0.25">
      <c r="A1460" s="1">
        <v>42663</v>
      </c>
      <c r="B1460" s="2">
        <v>8699.4003909999992</v>
      </c>
      <c r="C1460" s="16">
        <f t="shared" si="1071"/>
        <v>4.6433567888473715E-3</v>
      </c>
    </row>
    <row r="1461" spans="1:3" x14ac:dyDescent="0.25">
      <c r="A1461" s="1">
        <v>42664</v>
      </c>
      <c r="B1461" s="2">
        <v>8693.0498050000006</v>
      </c>
      <c r="C1461" s="16">
        <f t="shared" si="1071"/>
        <v>-7.3026930773513097E-4</v>
      </c>
    </row>
    <row r="1462" spans="1:3" x14ac:dyDescent="0.25">
      <c r="A1462" s="1">
        <v>42667</v>
      </c>
      <c r="B1462" s="2">
        <v>8708.9501949999994</v>
      </c>
      <c r="C1462" s="16">
        <f t="shared" si="1071"/>
        <v>1.8274214946448352E-3</v>
      </c>
    </row>
    <row r="1463" spans="1:3" x14ac:dyDescent="0.25">
      <c r="A1463" s="1">
        <v>42668</v>
      </c>
      <c r="B1463" s="2">
        <v>8691.2998050000006</v>
      </c>
      <c r="C1463" s="16">
        <f t="shared" si="1071"/>
        <v>-2.0287520068779982E-3</v>
      </c>
    </row>
    <row r="1464" spans="1:3" x14ac:dyDescent="0.25">
      <c r="A1464" s="1">
        <v>42669</v>
      </c>
      <c r="B1464" s="2">
        <v>8615.25</v>
      </c>
      <c r="C1464" s="16">
        <f t="shared" si="1071"/>
        <v>-8.7886141792387941E-3</v>
      </c>
    </row>
    <row r="1465" spans="1:3" x14ac:dyDescent="0.25">
      <c r="A1465" s="1">
        <v>42670</v>
      </c>
      <c r="B1465" s="2">
        <v>8615.25</v>
      </c>
      <c r="C1465" s="16">
        <f t="shared" si="1071"/>
        <v>0</v>
      </c>
    </row>
    <row r="1466" spans="1:3" x14ac:dyDescent="0.25">
      <c r="A1466" s="1">
        <v>42671</v>
      </c>
      <c r="B1466" s="2">
        <v>8638</v>
      </c>
      <c r="C1466" s="16">
        <f t="shared" si="1071"/>
        <v>2.6371858270232084E-3</v>
      </c>
    </row>
    <row r="1467" spans="1:3" x14ac:dyDescent="0.25">
      <c r="A1467" s="1">
        <v>42675</v>
      </c>
      <c r="B1467" s="2">
        <v>8626.25</v>
      </c>
      <c r="C1467" s="16">
        <f t="shared" si="1071"/>
        <v>-1.361194585834806E-3</v>
      </c>
    </row>
    <row r="1468" spans="1:3" x14ac:dyDescent="0.25">
      <c r="A1468" s="1">
        <v>42676</v>
      </c>
      <c r="B1468" s="2">
        <v>8514</v>
      </c>
      <c r="C1468" s="16">
        <f t="shared" si="1071"/>
        <v>-1.3098012546713908E-2</v>
      </c>
    </row>
    <row r="1469" spans="1:3" x14ac:dyDescent="0.25">
      <c r="A1469" s="1">
        <v>42677</v>
      </c>
      <c r="B1469" s="2">
        <v>8484.9501949999994</v>
      </c>
      <c r="C1469" s="16">
        <f t="shared" si="1071"/>
        <v>-3.4178385071808796E-3</v>
      </c>
    </row>
    <row r="1470" spans="1:3" x14ac:dyDescent="0.25">
      <c r="A1470" s="1">
        <v>42678</v>
      </c>
      <c r="B1470" s="2">
        <v>8433.75</v>
      </c>
      <c r="C1470" s="16">
        <f t="shared" si="1071"/>
        <v>-6.0525159392816868E-3</v>
      </c>
    </row>
    <row r="1471" spans="1:3" x14ac:dyDescent="0.25">
      <c r="A1471" s="1">
        <v>42681</v>
      </c>
      <c r="B1471" s="2">
        <v>8497.0498050000006</v>
      </c>
      <c r="C1471" s="16">
        <f t="shared" si="1071"/>
        <v>7.4775085252503518E-3</v>
      </c>
    </row>
    <row r="1472" spans="1:3" x14ac:dyDescent="0.25">
      <c r="A1472" s="1">
        <v>42682</v>
      </c>
      <c r="B1472" s="2">
        <v>8543.5498050000006</v>
      </c>
      <c r="C1472" s="16">
        <f t="shared" si="1071"/>
        <v>5.4575679824925274E-3</v>
      </c>
    </row>
    <row r="1473" spans="1:3" x14ac:dyDescent="0.25">
      <c r="A1473" s="1">
        <v>42683</v>
      </c>
      <c r="B1473" s="2">
        <v>8432</v>
      </c>
      <c r="C1473" s="16">
        <f t="shared" si="1071"/>
        <v>-1.3142597668234474E-2</v>
      </c>
    </row>
    <row r="1474" spans="1:3" x14ac:dyDescent="0.25">
      <c r="A1474" s="1">
        <v>42684</v>
      </c>
      <c r="B1474" s="2">
        <v>8525.75</v>
      </c>
      <c r="C1474" s="16">
        <f t="shared" si="1071"/>
        <v>1.105700404045472E-2</v>
      </c>
    </row>
    <row r="1475" spans="1:3" x14ac:dyDescent="0.25">
      <c r="A1475" s="1">
        <v>42685</v>
      </c>
      <c r="B1475" s="2">
        <v>8296.2998050000006</v>
      </c>
      <c r="C1475" s="16">
        <f t="shared" si="1071"/>
        <v>-2.7281387064732571E-2</v>
      </c>
    </row>
    <row r="1476" spans="1:3" x14ac:dyDescent="0.25">
      <c r="A1476" s="1">
        <v>42689</v>
      </c>
      <c r="B1476" s="2">
        <v>8108.4501950000003</v>
      </c>
      <c r="C1476" s="16">
        <f t="shared" ref="C1476:C1539" si="1072">LN(B1476/B1475)</f>
        <v>-2.2902856936088539E-2</v>
      </c>
    </row>
    <row r="1477" spans="1:3" x14ac:dyDescent="0.25">
      <c r="A1477" s="1">
        <v>42690</v>
      </c>
      <c r="B1477" s="2">
        <v>8111.6000979999999</v>
      </c>
      <c r="C1477" s="16">
        <f t="shared" si="1072"/>
        <v>3.8839621119505634E-4</v>
      </c>
    </row>
    <row r="1478" spans="1:3" x14ac:dyDescent="0.25">
      <c r="A1478" s="1">
        <v>42691</v>
      </c>
      <c r="B1478" s="2">
        <v>8079.9501950000003</v>
      </c>
      <c r="C1478" s="16">
        <f t="shared" si="1072"/>
        <v>-3.9094395209770174E-3</v>
      </c>
    </row>
    <row r="1479" spans="1:3" x14ac:dyDescent="0.25">
      <c r="A1479" s="1">
        <v>42692</v>
      </c>
      <c r="B1479" s="2">
        <v>8074.1000979999999</v>
      </c>
      <c r="C1479" s="16">
        <f t="shared" si="1072"/>
        <v>-7.2428860250348408E-4</v>
      </c>
    </row>
    <row r="1480" spans="1:3" x14ac:dyDescent="0.25">
      <c r="A1480" s="1">
        <v>42695</v>
      </c>
      <c r="B1480" s="2">
        <v>7929.1000979999999</v>
      </c>
      <c r="C1480" s="16">
        <f t="shared" si="1072"/>
        <v>-1.8121871425199589E-2</v>
      </c>
    </row>
    <row r="1481" spans="1:3" x14ac:dyDescent="0.25">
      <c r="A1481" s="1">
        <v>42696</v>
      </c>
      <c r="B1481" s="2">
        <v>8002.2998049999997</v>
      </c>
      <c r="C1481" s="16">
        <f t="shared" si="1072"/>
        <v>9.1894274904808938E-3</v>
      </c>
    </row>
    <row r="1482" spans="1:3" x14ac:dyDescent="0.25">
      <c r="A1482" s="1">
        <v>42697</v>
      </c>
      <c r="B1482" s="2">
        <v>8033.2998049999997</v>
      </c>
      <c r="C1482" s="16">
        <f t="shared" si="1072"/>
        <v>3.8664021767016647E-3</v>
      </c>
    </row>
    <row r="1483" spans="1:3" x14ac:dyDescent="0.25">
      <c r="A1483" s="1">
        <v>42698</v>
      </c>
      <c r="B1483" s="2">
        <v>7965.5</v>
      </c>
      <c r="C1483" s="16">
        <f t="shared" si="1072"/>
        <v>-8.4756621375251529E-3</v>
      </c>
    </row>
    <row r="1484" spans="1:3" x14ac:dyDescent="0.25">
      <c r="A1484" s="1">
        <v>42699</v>
      </c>
      <c r="B1484" s="2">
        <v>8114.2998049999997</v>
      </c>
      <c r="C1484" s="16">
        <f t="shared" si="1072"/>
        <v>1.850819717116222E-2</v>
      </c>
    </row>
    <row r="1485" spans="1:3" x14ac:dyDescent="0.25">
      <c r="A1485" s="1">
        <v>42702</v>
      </c>
      <c r="B1485" s="2">
        <v>8126.8999020000001</v>
      </c>
      <c r="C1485" s="16">
        <f t="shared" si="1072"/>
        <v>1.5516217712039709E-3</v>
      </c>
    </row>
    <row r="1486" spans="1:3" x14ac:dyDescent="0.25">
      <c r="A1486" s="1">
        <v>42703</v>
      </c>
      <c r="B1486" s="2">
        <v>8142.1499020000001</v>
      </c>
      <c r="C1486" s="16">
        <f t="shared" si="1072"/>
        <v>1.8747258936681159E-3</v>
      </c>
    </row>
    <row r="1487" spans="1:3" x14ac:dyDescent="0.25">
      <c r="A1487" s="1">
        <v>42704</v>
      </c>
      <c r="B1487" s="2">
        <v>8224.5</v>
      </c>
      <c r="C1487" s="16">
        <f t="shared" si="1072"/>
        <v>1.0063243663229143E-2</v>
      </c>
    </row>
    <row r="1488" spans="1:3" x14ac:dyDescent="0.25">
      <c r="A1488" s="1">
        <v>42705</v>
      </c>
      <c r="B1488" s="2">
        <v>8192.9003909999992</v>
      </c>
      <c r="C1488" s="16">
        <f t="shared" si="1072"/>
        <v>-3.8495312619543521E-3</v>
      </c>
    </row>
    <row r="1489" spans="1:3" x14ac:dyDescent="0.25">
      <c r="A1489" s="1">
        <v>42706</v>
      </c>
      <c r="B1489" s="2">
        <v>8086.7998049999997</v>
      </c>
      <c r="C1489" s="16">
        <f t="shared" si="1072"/>
        <v>-1.3034894623457152E-2</v>
      </c>
    </row>
    <row r="1490" spans="1:3" x14ac:dyDescent="0.25">
      <c r="A1490" s="1">
        <v>42709</v>
      </c>
      <c r="B1490" s="2">
        <v>8128.75</v>
      </c>
      <c r="C1490" s="16">
        <f t="shared" si="1072"/>
        <v>5.1740815565602749E-3</v>
      </c>
    </row>
    <row r="1491" spans="1:3" x14ac:dyDescent="0.25">
      <c r="A1491" s="1">
        <v>42710</v>
      </c>
      <c r="B1491" s="2">
        <v>8143.1499020000001</v>
      </c>
      <c r="C1491" s="16">
        <f t="shared" si="1072"/>
        <v>1.769910808916109E-3</v>
      </c>
    </row>
    <row r="1492" spans="1:3" x14ac:dyDescent="0.25">
      <c r="A1492" s="1">
        <v>42711</v>
      </c>
      <c r="B1492" s="2">
        <v>8102.0498049999997</v>
      </c>
      <c r="C1492" s="16">
        <f t="shared" si="1072"/>
        <v>-5.059979000942974E-3</v>
      </c>
    </row>
    <row r="1493" spans="1:3" x14ac:dyDescent="0.25">
      <c r="A1493" s="1">
        <v>42712</v>
      </c>
      <c r="B1493" s="2">
        <v>8246.8496090000008</v>
      </c>
      <c r="C1493" s="16">
        <f t="shared" si="1072"/>
        <v>1.7714169832408765E-2</v>
      </c>
    </row>
    <row r="1494" spans="1:3" x14ac:dyDescent="0.25">
      <c r="A1494" s="1">
        <v>42713</v>
      </c>
      <c r="B1494" s="2">
        <v>8261.75</v>
      </c>
      <c r="C1494" s="16">
        <f t="shared" si="1072"/>
        <v>1.8051676579659468E-3</v>
      </c>
    </row>
    <row r="1495" spans="1:3" x14ac:dyDescent="0.25">
      <c r="A1495" s="1">
        <v>42716</v>
      </c>
      <c r="B1495" s="2">
        <v>8170.7998049999997</v>
      </c>
      <c r="C1495" s="16">
        <f t="shared" si="1072"/>
        <v>-1.1069630070260654E-2</v>
      </c>
    </row>
    <row r="1496" spans="1:3" x14ac:dyDescent="0.25">
      <c r="A1496" s="1">
        <v>42717</v>
      </c>
      <c r="B1496" s="2">
        <v>8221.7998050000006</v>
      </c>
      <c r="C1496" s="16">
        <f t="shared" si="1072"/>
        <v>6.2223400513272626E-3</v>
      </c>
    </row>
    <row r="1497" spans="1:3" x14ac:dyDescent="0.25">
      <c r="A1497" s="1">
        <v>42718</v>
      </c>
      <c r="B1497" s="2">
        <v>8182.4501950000003</v>
      </c>
      <c r="C1497" s="16">
        <f t="shared" si="1072"/>
        <v>-4.7974988765117303E-3</v>
      </c>
    </row>
    <row r="1498" spans="1:3" x14ac:dyDescent="0.25">
      <c r="A1498" s="1">
        <v>42719</v>
      </c>
      <c r="B1498" s="2">
        <v>8153.6000979999999</v>
      </c>
      <c r="C1498" s="16">
        <f t="shared" si="1072"/>
        <v>-3.5320810692987823E-3</v>
      </c>
    </row>
    <row r="1499" spans="1:3" x14ac:dyDescent="0.25">
      <c r="A1499" s="1">
        <v>42720</v>
      </c>
      <c r="B1499" s="2">
        <v>8139.4501950000003</v>
      </c>
      <c r="C1499" s="16">
        <f t="shared" si="1072"/>
        <v>-1.73692541334561E-3</v>
      </c>
    </row>
    <row r="1500" spans="1:3" x14ac:dyDescent="0.25">
      <c r="A1500" s="1">
        <v>42723</v>
      </c>
      <c r="B1500" s="2">
        <v>8104.3500979999999</v>
      </c>
      <c r="C1500" s="16">
        <f t="shared" si="1072"/>
        <v>-4.3216674665630889E-3</v>
      </c>
    </row>
    <row r="1501" spans="1:3" x14ac:dyDescent="0.25">
      <c r="A1501" s="1">
        <v>42724</v>
      </c>
      <c r="B1501" s="2">
        <v>8082.3999020000001</v>
      </c>
      <c r="C1501" s="16">
        <f t="shared" si="1072"/>
        <v>-2.7121206486458325E-3</v>
      </c>
    </row>
    <row r="1502" spans="1:3" x14ac:dyDescent="0.25">
      <c r="A1502" s="1">
        <v>42725</v>
      </c>
      <c r="B1502" s="2">
        <v>8061.2998049999997</v>
      </c>
      <c r="C1502" s="16">
        <f t="shared" si="1072"/>
        <v>-2.6140363606892364E-3</v>
      </c>
    </row>
    <row r="1503" spans="1:3" x14ac:dyDescent="0.25">
      <c r="A1503" s="1">
        <v>42726</v>
      </c>
      <c r="B1503" s="2">
        <v>7979.1000979999999</v>
      </c>
      <c r="C1503" s="16">
        <f t="shared" si="1072"/>
        <v>-1.0249174217030699E-2</v>
      </c>
    </row>
    <row r="1504" spans="1:3" x14ac:dyDescent="0.25">
      <c r="A1504" s="1">
        <v>42727</v>
      </c>
      <c r="B1504" s="2">
        <v>7985.75</v>
      </c>
      <c r="C1504" s="16">
        <f t="shared" si="1072"/>
        <v>8.330679390994918E-4</v>
      </c>
    </row>
    <row r="1505" spans="1:3" x14ac:dyDescent="0.25">
      <c r="A1505" s="1">
        <v>42730</v>
      </c>
      <c r="B1505" s="2">
        <v>7908.25</v>
      </c>
      <c r="C1505" s="16">
        <f t="shared" si="1072"/>
        <v>-9.7521850030884583E-3</v>
      </c>
    </row>
    <row r="1506" spans="1:3" x14ac:dyDescent="0.25">
      <c r="A1506" s="1">
        <v>42731</v>
      </c>
      <c r="B1506" s="2">
        <v>8032.8500979999999</v>
      </c>
      <c r="C1506" s="16">
        <f t="shared" si="1072"/>
        <v>1.5632877878689815E-2</v>
      </c>
    </row>
    <row r="1507" spans="1:3" x14ac:dyDescent="0.25">
      <c r="A1507" s="1">
        <v>42732</v>
      </c>
      <c r="B1507" s="2">
        <v>8034.8500979999999</v>
      </c>
      <c r="C1507" s="16">
        <f t="shared" si="1072"/>
        <v>2.4894664275925836E-4</v>
      </c>
    </row>
    <row r="1508" spans="1:3" x14ac:dyDescent="0.25">
      <c r="A1508" s="1">
        <v>42733</v>
      </c>
      <c r="B1508" s="2">
        <v>8103.6000979999999</v>
      </c>
      <c r="C1508" s="16">
        <f t="shared" si="1072"/>
        <v>8.5200765940356069E-3</v>
      </c>
    </row>
    <row r="1509" spans="1:3" x14ac:dyDescent="0.25">
      <c r="A1509" s="1">
        <v>42734</v>
      </c>
      <c r="B1509" s="2">
        <v>8185.7998049999997</v>
      </c>
      <c r="C1509" s="16">
        <f t="shared" si="1072"/>
        <v>1.009250251295599E-2</v>
      </c>
    </row>
    <row r="1510" spans="1:3" x14ac:dyDescent="0.25">
      <c r="A1510" s="1">
        <v>42737</v>
      </c>
      <c r="B1510" s="2">
        <v>8179.5</v>
      </c>
      <c r="C1510" s="16">
        <f t="shared" si="1072"/>
        <v>-7.6989794091706504E-4</v>
      </c>
    </row>
    <row r="1511" spans="1:3" x14ac:dyDescent="0.25">
      <c r="A1511" s="1">
        <v>42738</v>
      </c>
      <c r="B1511" s="2">
        <v>8192.25</v>
      </c>
      <c r="C1511" s="16">
        <f t="shared" si="1072"/>
        <v>1.5575613575361691E-3</v>
      </c>
    </row>
    <row r="1512" spans="1:3" x14ac:dyDescent="0.25">
      <c r="A1512" s="1">
        <v>42739</v>
      </c>
      <c r="B1512" s="2">
        <v>8190.5</v>
      </c>
      <c r="C1512" s="16">
        <f t="shared" si="1072"/>
        <v>-2.1363934707617968E-4</v>
      </c>
    </row>
    <row r="1513" spans="1:3" x14ac:dyDescent="0.25">
      <c r="A1513" s="1">
        <v>42740</v>
      </c>
      <c r="B1513" s="2">
        <v>8273.7998050000006</v>
      </c>
      <c r="C1513" s="16">
        <f t="shared" si="1072"/>
        <v>1.0118926010757765E-2</v>
      </c>
    </row>
    <row r="1514" spans="1:3" x14ac:dyDescent="0.25">
      <c r="A1514" s="1">
        <v>42741</v>
      </c>
      <c r="B1514" s="2">
        <v>8243.7998050000006</v>
      </c>
      <c r="C1514" s="16">
        <f t="shared" si="1072"/>
        <v>-3.6324930614427824E-3</v>
      </c>
    </row>
    <row r="1515" spans="1:3" x14ac:dyDescent="0.25">
      <c r="A1515" s="1">
        <v>42744</v>
      </c>
      <c r="B1515" s="2">
        <v>8236.0498050000006</v>
      </c>
      <c r="C1515" s="16">
        <f t="shared" si="1072"/>
        <v>-9.4054263293942379E-4</v>
      </c>
    </row>
    <row r="1516" spans="1:3" x14ac:dyDescent="0.25">
      <c r="A1516" s="1">
        <v>42745</v>
      </c>
      <c r="B1516" s="2">
        <v>8288.5996090000008</v>
      </c>
      <c r="C1516" s="16">
        <f t="shared" si="1072"/>
        <v>6.3601931670634508E-3</v>
      </c>
    </row>
    <row r="1517" spans="1:3" x14ac:dyDescent="0.25">
      <c r="A1517" s="1">
        <v>42746</v>
      </c>
      <c r="B1517" s="2">
        <v>8380.6503909999992</v>
      </c>
      <c r="C1517" s="16">
        <f t="shared" si="1072"/>
        <v>1.1044494227495042E-2</v>
      </c>
    </row>
    <row r="1518" spans="1:3" x14ac:dyDescent="0.25">
      <c r="A1518" s="1">
        <v>42747</v>
      </c>
      <c r="B1518" s="2">
        <v>8407.2001949999994</v>
      </c>
      <c r="C1518" s="16">
        <f t="shared" si="1072"/>
        <v>3.1629809901711995E-3</v>
      </c>
    </row>
    <row r="1519" spans="1:3" x14ac:dyDescent="0.25">
      <c r="A1519" s="1">
        <v>42748</v>
      </c>
      <c r="B1519" s="2">
        <v>8400.3496090000008</v>
      </c>
      <c r="C1519" s="16">
        <f t="shared" si="1072"/>
        <v>-8.1517966143164618E-4</v>
      </c>
    </row>
    <row r="1520" spans="1:3" x14ac:dyDescent="0.25">
      <c r="A1520" s="1">
        <v>42751</v>
      </c>
      <c r="B1520" s="2">
        <v>8412.7998050000006</v>
      </c>
      <c r="C1520" s="16">
        <f t="shared" si="1072"/>
        <v>1.4810072722370201E-3</v>
      </c>
    </row>
    <row r="1521" spans="1:3" x14ac:dyDescent="0.25">
      <c r="A1521" s="1">
        <v>42752</v>
      </c>
      <c r="B1521" s="2">
        <v>8398</v>
      </c>
      <c r="C1521" s="16">
        <f t="shared" si="1072"/>
        <v>-1.7607501124579351E-3</v>
      </c>
    </row>
    <row r="1522" spans="1:3" x14ac:dyDescent="0.25">
      <c r="A1522" s="1">
        <v>42753</v>
      </c>
      <c r="B1522" s="2">
        <v>8417</v>
      </c>
      <c r="C1522" s="16">
        <f t="shared" si="1072"/>
        <v>2.2598879674375042E-3</v>
      </c>
    </row>
    <row r="1523" spans="1:3" x14ac:dyDescent="0.25">
      <c r="A1523" s="1">
        <v>42754</v>
      </c>
      <c r="B1523" s="2">
        <v>8435.0996090000008</v>
      </c>
      <c r="C1523" s="16">
        <f t="shared" si="1072"/>
        <v>2.1480547088438546E-3</v>
      </c>
    </row>
    <row r="1524" spans="1:3" x14ac:dyDescent="0.25">
      <c r="A1524" s="1">
        <v>42755</v>
      </c>
      <c r="B1524" s="2">
        <v>8349.3496090000008</v>
      </c>
      <c r="C1524" s="16">
        <f t="shared" si="1072"/>
        <v>-1.0217880246915488E-2</v>
      </c>
    </row>
    <row r="1525" spans="1:3" x14ac:dyDescent="0.25">
      <c r="A1525" s="1">
        <v>42758</v>
      </c>
      <c r="B1525" s="2">
        <v>8391.5</v>
      </c>
      <c r="C1525" s="16">
        <f t="shared" si="1072"/>
        <v>5.0356440747294081E-3</v>
      </c>
    </row>
    <row r="1526" spans="1:3" x14ac:dyDescent="0.25">
      <c r="A1526" s="1">
        <v>42759</v>
      </c>
      <c r="B1526" s="2">
        <v>8475.7998050000006</v>
      </c>
      <c r="C1526" s="16">
        <f t="shared" si="1072"/>
        <v>9.9957323190208308E-3</v>
      </c>
    </row>
    <row r="1527" spans="1:3" x14ac:dyDescent="0.25">
      <c r="A1527" s="1">
        <v>42760</v>
      </c>
      <c r="B1527" s="2">
        <v>8602.75</v>
      </c>
      <c r="C1527" s="16">
        <f t="shared" si="1072"/>
        <v>1.4866898501492476E-2</v>
      </c>
    </row>
    <row r="1528" spans="1:3" x14ac:dyDescent="0.25">
      <c r="A1528" s="1">
        <v>42762</v>
      </c>
      <c r="B1528" s="2">
        <v>8641.25</v>
      </c>
      <c r="C1528" s="16">
        <f t="shared" si="1072"/>
        <v>4.4653286907273063E-3</v>
      </c>
    </row>
    <row r="1529" spans="1:3" x14ac:dyDescent="0.25">
      <c r="A1529" s="1">
        <v>42765</v>
      </c>
      <c r="B1529" s="2">
        <v>8632.75</v>
      </c>
      <c r="C1529" s="16">
        <f t="shared" si="1072"/>
        <v>-9.8413809031377042E-4</v>
      </c>
    </row>
    <row r="1530" spans="1:3" x14ac:dyDescent="0.25">
      <c r="A1530" s="1">
        <v>42766</v>
      </c>
      <c r="B1530" s="2">
        <v>8561.2998050000006</v>
      </c>
      <c r="C1530" s="16">
        <f t="shared" si="1072"/>
        <v>-8.3110851823627891E-3</v>
      </c>
    </row>
    <row r="1531" spans="1:3" x14ac:dyDescent="0.25">
      <c r="A1531" s="1">
        <v>42767</v>
      </c>
      <c r="B1531" s="2">
        <v>8716.4003909999992</v>
      </c>
      <c r="C1531" s="16">
        <f t="shared" si="1072"/>
        <v>1.7954328493936144E-2</v>
      </c>
    </row>
    <row r="1532" spans="1:3" x14ac:dyDescent="0.25">
      <c r="A1532" s="1">
        <v>42768</v>
      </c>
      <c r="B1532" s="2">
        <v>8734.25</v>
      </c>
      <c r="C1532" s="16">
        <f t="shared" si="1072"/>
        <v>2.0457249242977768E-3</v>
      </c>
    </row>
    <row r="1533" spans="1:3" x14ac:dyDescent="0.25">
      <c r="A1533" s="1">
        <v>42769</v>
      </c>
      <c r="B1533" s="2">
        <v>8740.9501949999994</v>
      </c>
      <c r="C1533" s="16">
        <f t="shared" si="1072"/>
        <v>7.6682329856650683E-4</v>
      </c>
    </row>
    <row r="1534" spans="1:3" x14ac:dyDescent="0.25">
      <c r="A1534" s="1">
        <v>42772</v>
      </c>
      <c r="B1534" s="2">
        <v>8801.0498050000006</v>
      </c>
      <c r="C1534" s="16">
        <f t="shared" si="1072"/>
        <v>6.8521086702222761E-3</v>
      </c>
    </row>
    <row r="1535" spans="1:3" x14ac:dyDescent="0.25">
      <c r="A1535" s="1">
        <v>42773</v>
      </c>
      <c r="B1535" s="2">
        <v>8768.2998050000006</v>
      </c>
      <c r="C1535" s="16">
        <f t="shared" si="1072"/>
        <v>-3.728087682090334E-3</v>
      </c>
    </row>
    <row r="1536" spans="1:3" x14ac:dyDescent="0.25">
      <c r="A1536" s="1">
        <v>42774</v>
      </c>
      <c r="B1536" s="2">
        <v>8769.0498050000006</v>
      </c>
      <c r="C1536" s="16">
        <f t="shared" si="1072"/>
        <v>8.5531738504964394E-5</v>
      </c>
    </row>
    <row r="1537" spans="1:3" x14ac:dyDescent="0.25">
      <c r="A1537" s="1">
        <v>42775</v>
      </c>
      <c r="B1537" s="2">
        <v>8778.4003909999992</v>
      </c>
      <c r="C1537" s="16">
        <f t="shared" si="1072"/>
        <v>1.0657487874994982E-3</v>
      </c>
    </row>
    <row r="1538" spans="1:3" x14ac:dyDescent="0.25">
      <c r="A1538" s="1">
        <v>42776</v>
      </c>
      <c r="B1538" s="2">
        <v>8793.5498050000006</v>
      </c>
      <c r="C1538" s="16">
        <f t="shared" si="1072"/>
        <v>1.724272785255691E-3</v>
      </c>
    </row>
    <row r="1539" spans="1:3" x14ac:dyDescent="0.25">
      <c r="A1539" s="1">
        <v>42779</v>
      </c>
      <c r="B1539" s="2">
        <v>8805.0498050000006</v>
      </c>
      <c r="C1539" s="16">
        <f t="shared" si="1072"/>
        <v>1.3069223565201711E-3</v>
      </c>
    </row>
    <row r="1540" spans="1:3" x14ac:dyDescent="0.25">
      <c r="A1540" s="1">
        <v>42780</v>
      </c>
      <c r="B1540" s="2">
        <v>8792.2998050000006</v>
      </c>
      <c r="C1540" s="16">
        <f t="shared" ref="C1540:C1603" si="1073">LN(B1540/B1539)</f>
        <v>-1.4490821076639105E-3</v>
      </c>
    </row>
    <row r="1541" spans="1:3" x14ac:dyDescent="0.25">
      <c r="A1541" s="1">
        <v>42781</v>
      </c>
      <c r="B1541" s="2">
        <v>8724.7001949999994</v>
      </c>
      <c r="C1541" s="16">
        <f t="shared" si="1073"/>
        <v>-7.7182103761768012E-3</v>
      </c>
    </row>
    <row r="1542" spans="1:3" x14ac:dyDescent="0.25">
      <c r="A1542" s="1">
        <v>42782</v>
      </c>
      <c r="B1542" s="2">
        <v>8778</v>
      </c>
      <c r="C1542" s="16">
        <f t="shared" si="1073"/>
        <v>6.0904853725094943E-3</v>
      </c>
    </row>
    <row r="1543" spans="1:3" x14ac:dyDescent="0.25">
      <c r="A1543" s="1">
        <v>42783</v>
      </c>
      <c r="B1543" s="2">
        <v>8821.7001949999994</v>
      </c>
      <c r="C1543" s="16">
        <f t="shared" si="1073"/>
        <v>4.9660260487198217E-3</v>
      </c>
    </row>
    <row r="1544" spans="1:3" x14ac:dyDescent="0.25">
      <c r="A1544" s="1">
        <v>42786</v>
      </c>
      <c r="B1544" s="2">
        <v>8879.2001949999994</v>
      </c>
      <c r="C1544" s="16">
        <f t="shared" si="1073"/>
        <v>6.4968675023081342E-3</v>
      </c>
    </row>
    <row r="1545" spans="1:3" x14ac:dyDescent="0.25">
      <c r="A1545" s="1">
        <v>42787</v>
      </c>
      <c r="B1545" s="2">
        <v>8907.8496090000008</v>
      </c>
      <c r="C1545" s="16">
        <f t="shared" si="1073"/>
        <v>3.2213817458196453E-3</v>
      </c>
    </row>
    <row r="1546" spans="1:3" x14ac:dyDescent="0.25">
      <c r="A1546" s="1">
        <v>42788</v>
      </c>
      <c r="B1546" s="2">
        <v>8926.9003909999992</v>
      </c>
      <c r="C1546" s="16">
        <f t="shared" si="1073"/>
        <v>2.136367400243967E-3</v>
      </c>
    </row>
    <row r="1547" spans="1:3" x14ac:dyDescent="0.25">
      <c r="A1547" s="1">
        <v>42789</v>
      </c>
      <c r="B1547" s="2">
        <v>8939.5</v>
      </c>
      <c r="C1547" s="16">
        <f t="shared" si="1073"/>
        <v>1.4104252466039637E-3</v>
      </c>
    </row>
    <row r="1548" spans="1:3" x14ac:dyDescent="0.25">
      <c r="A1548" s="1">
        <v>42793</v>
      </c>
      <c r="B1548" s="2">
        <v>8896.7001949999994</v>
      </c>
      <c r="C1548" s="16">
        <f t="shared" si="1073"/>
        <v>-4.7992158285760115E-3</v>
      </c>
    </row>
    <row r="1549" spans="1:3" x14ac:dyDescent="0.25">
      <c r="A1549" s="1">
        <v>42794</v>
      </c>
      <c r="B1549" s="2">
        <v>8879.5996090000008</v>
      </c>
      <c r="C1549" s="16">
        <f t="shared" si="1073"/>
        <v>-1.9239764702025182E-3</v>
      </c>
    </row>
    <row r="1550" spans="1:3" x14ac:dyDescent="0.25">
      <c r="A1550" s="1">
        <v>42795</v>
      </c>
      <c r="B1550" s="2">
        <v>8945.7998050000006</v>
      </c>
      <c r="C1550" s="16">
        <f t="shared" si="1073"/>
        <v>7.4276596914666648E-3</v>
      </c>
    </row>
    <row r="1551" spans="1:3" x14ac:dyDescent="0.25">
      <c r="A1551" s="1">
        <v>42796</v>
      </c>
      <c r="B1551" s="2">
        <v>8899.75</v>
      </c>
      <c r="C1551" s="16">
        <f t="shared" si="1073"/>
        <v>-5.1609401465003892E-3</v>
      </c>
    </row>
    <row r="1552" spans="1:3" x14ac:dyDescent="0.25">
      <c r="A1552" s="1">
        <v>42797</v>
      </c>
      <c r="B1552" s="2">
        <v>8897.5498050000006</v>
      </c>
      <c r="C1552" s="16">
        <f t="shared" si="1073"/>
        <v>-2.4725042959495024E-4</v>
      </c>
    </row>
    <row r="1553" spans="1:3" x14ac:dyDescent="0.25">
      <c r="A1553" s="1">
        <v>42800</v>
      </c>
      <c r="B1553" s="2">
        <v>8963.4501949999994</v>
      </c>
      <c r="C1553" s="16">
        <f t="shared" si="1073"/>
        <v>7.3792832477164068E-3</v>
      </c>
    </row>
    <row r="1554" spans="1:3" x14ac:dyDescent="0.25">
      <c r="A1554" s="1">
        <v>42801</v>
      </c>
      <c r="B1554" s="2">
        <v>8946.9003909999992</v>
      </c>
      <c r="C1554" s="16">
        <f t="shared" si="1073"/>
        <v>-1.8480719995782569E-3</v>
      </c>
    </row>
    <row r="1555" spans="1:3" x14ac:dyDescent="0.25">
      <c r="A1555" s="1">
        <v>42802</v>
      </c>
      <c r="B1555" s="2">
        <v>8924.2998050000006</v>
      </c>
      <c r="C1555" s="16">
        <f t="shared" si="1073"/>
        <v>-2.5292759076692901E-3</v>
      </c>
    </row>
    <row r="1556" spans="1:3" x14ac:dyDescent="0.25">
      <c r="A1556" s="1">
        <v>42803</v>
      </c>
      <c r="B1556" s="2">
        <v>8927</v>
      </c>
      <c r="C1556" s="16">
        <f t="shared" si="1073"/>
        <v>3.0252083042553928E-4</v>
      </c>
    </row>
    <row r="1557" spans="1:3" x14ac:dyDescent="0.25">
      <c r="A1557" s="1">
        <v>42804</v>
      </c>
      <c r="B1557" s="2">
        <v>8934.5498050000006</v>
      </c>
      <c r="C1557" s="16">
        <f t="shared" si="1073"/>
        <v>8.4536958237616726E-4</v>
      </c>
    </row>
    <row r="1558" spans="1:3" x14ac:dyDescent="0.25">
      <c r="A1558" s="1">
        <v>42808</v>
      </c>
      <c r="B1558" s="2">
        <v>9087</v>
      </c>
      <c r="C1558" s="16">
        <f t="shared" si="1073"/>
        <v>1.6919058933608715E-2</v>
      </c>
    </row>
    <row r="1559" spans="1:3" x14ac:dyDescent="0.25">
      <c r="A1559" s="1">
        <v>42809</v>
      </c>
      <c r="B1559" s="2">
        <v>9084.7998050000006</v>
      </c>
      <c r="C1559" s="16">
        <f t="shared" si="1073"/>
        <v>-2.4215488111925003E-4</v>
      </c>
    </row>
    <row r="1560" spans="1:3" x14ac:dyDescent="0.25">
      <c r="A1560" s="1">
        <v>42810</v>
      </c>
      <c r="B1560" s="2">
        <v>9153.7001949999994</v>
      </c>
      <c r="C1560" s="16">
        <f t="shared" si="1073"/>
        <v>7.5555246067441429E-3</v>
      </c>
    </row>
    <row r="1561" spans="1:3" x14ac:dyDescent="0.25">
      <c r="A1561" s="1">
        <v>42811</v>
      </c>
      <c r="B1561" s="2">
        <v>9160.0498050000006</v>
      </c>
      <c r="C1561" s="16">
        <f t="shared" si="1073"/>
        <v>6.9342545949680758E-4</v>
      </c>
    </row>
    <row r="1562" spans="1:3" x14ac:dyDescent="0.25">
      <c r="A1562" s="1">
        <v>42814</v>
      </c>
      <c r="B1562" s="2">
        <v>9126.8496090000008</v>
      </c>
      <c r="C1562" s="16">
        <f t="shared" si="1073"/>
        <v>-3.6310400933002229E-3</v>
      </c>
    </row>
    <row r="1563" spans="1:3" x14ac:dyDescent="0.25">
      <c r="A1563" s="1">
        <v>42815</v>
      </c>
      <c r="B1563" s="2">
        <v>9121.5</v>
      </c>
      <c r="C1563" s="16">
        <f t="shared" si="1073"/>
        <v>-5.8631155889427283E-4</v>
      </c>
    </row>
    <row r="1564" spans="1:3" x14ac:dyDescent="0.25">
      <c r="A1564" s="1">
        <v>42816</v>
      </c>
      <c r="B1564" s="2">
        <v>9030.4501949999994</v>
      </c>
      <c r="C1564" s="16">
        <f t="shared" si="1073"/>
        <v>-1.0032042578258727E-2</v>
      </c>
    </row>
    <row r="1565" spans="1:3" x14ac:dyDescent="0.25">
      <c r="A1565" s="1">
        <v>42817</v>
      </c>
      <c r="B1565" s="2">
        <v>9086.2998050000006</v>
      </c>
      <c r="C1565" s="16">
        <f t="shared" si="1073"/>
        <v>6.1655414930039242E-3</v>
      </c>
    </row>
    <row r="1566" spans="1:3" x14ac:dyDescent="0.25">
      <c r="A1566" s="1">
        <v>42818</v>
      </c>
      <c r="B1566" s="2">
        <v>9108</v>
      </c>
      <c r="C1566" s="16">
        <f t="shared" si="1073"/>
        <v>2.3853850406109029E-3</v>
      </c>
    </row>
    <row r="1567" spans="1:3" x14ac:dyDescent="0.25">
      <c r="A1567" s="1">
        <v>42821</v>
      </c>
      <c r="B1567" s="2">
        <v>9045.2001949999994</v>
      </c>
      <c r="C1567" s="16">
        <f t="shared" si="1073"/>
        <v>-6.9188963763959655E-3</v>
      </c>
    </row>
    <row r="1568" spans="1:3" x14ac:dyDescent="0.25">
      <c r="A1568" s="1">
        <v>42822</v>
      </c>
      <c r="B1568" s="2">
        <v>9100.7998050000006</v>
      </c>
      <c r="C1568" s="16">
        <f t="shared" si="1073"/>
        <v>6.1280484948901719E-3</v>
      </c>
    </row>
    <row r="1569" spans="1:3" x14ac:dyDescent="0.25">
      <c r="A1569" s="1">
        <v>42823</v>
      </c>
      <c r="B1569" s="2">
        <v>9143.7998050000006</v>
      </c>
      <c r="C1569" s="16">
        <f t="shared" si="1073"/>
        <v>4.7137323414279094E-3</v>
      </c>
    </row>
    <row r="1570" spans="1:3" x14ac:dyDescent="0.25">
      <c r="A1570" s="1">
        <v>42824</v>
      </c>
      <c r="B1570" s="2">
        <v>9173.75</v>
      </c>
      <c r="C1570" s="16">
        <f t="shared" si="1073"/>
        <v>3.2701122157200598E-3</v>
      </c>
    </row>
    <row r="1571" spans="1:3" x14ac:dyDescent="0.25">
      <c r="A1571" s="1">
        <v>42825</v>
      </c>
      <c r="B1571" s="2">
        <v>9173.75</v>
      </c>
      <c r="C1571" s="16">
        <f t="shared" si="1073"/>
        <v>0</v>
      </c>
    </row>
    <row r="1572" spans="1:3" x14ac:dyDescent="0.25">
      <c r="A1572" s="1">
        <v>42828</v>
      </c>
      <c r="B1572" s="2">
        <v>9237.8496090000008</v>
      </c>
      <c r="C1572" s="16">
        <f t="shared" si="1073"/>
        <v>6.962987392788696E-3</v>
      </c>
    </row>
    <row r="1573" spans="1:3" x14ac:dyDescent="0.25">
      <c r="A1573" s="1">
        <v>42830</v>
      </c>
      <c r="B1573" s="2">
        <v>9265.1503909999992</v>
      </c>
      <c r="C1573" s="16">
        <f t="shared" si="1073"/>
        <v>2.9509594997169345E-3</v>
      </c>
    </row>
    <row r="1574" spans="1:3" x14ac:dyDescent="0.25">
      <c r="A1574" s="1">
        <v>42831</v>
      </c>
      <c r="B1574" s="2">
        <v>9261.9501949999994</v>
      </c>
      <c r="C1574" s="16">
        <f t="shared" si="1073"/>
        <v>-3.4546107384388785E-4</v>
      </c>
    </row>
    <row r="1575" spans="1:3" x14ac:dyDescent="0.25">
      <c r="A1575" s="1">
        <v>42832</v>
      </c>
      <c r="B1575" s="2">
        <v>9198.2998050000006</v>
      </c>
      <c r="C1575" s="16">
        <f t="shared" si="1073"/>
        <v>-6.8959675234775974E-3</v>
      </c>
    </row>
    <row r="1576" spans="1:3" x14ac:dyDescent="0.25">
      <c r="A1576" s="1">
        <v>42835</v>
      </c>
      <c r="B1576" s="2">
        <v>9181.4501949999994</v>
      </c>
      <c r="C1576" s="16">
        <f t="shared" si="1073"/>
        <v>-1.8334977048434025E-3</v>
      </c>
    </row>
    <row r="1577" spans="1:3" x14ac:dyDescent="0.25">
      <c r="A1577" s="1">
        <v>42836</v>
      </c>
      <c r="B1577" s="2">
        <v>9237</v>
      </c>
      <c r="C1577" s="16">
        <f t="shared" si="1073"/>
        <v>6.0319921429967784E-3</v>
      </c>
    </row>
    <row r="1578" spans="1:3" x14ac:dyDescent="0.25">
      <c r="A1578" s="1">
        <v>42837</v>
      </c>
      <c r="B1578" s="2">
        <v>9203.4501949999994</v>
      </c>
      <c r="C1578" s="16">
        <f t="shared" si="1073"/>
        <v>-3.638722662698718E-3</v>
      </c>
    </row>
    <row r="1579" spans="1:3" x14ac:dyDescent="0.25">
      <c r="A1579" s="1">
        <v>42838</v>
      </c>
      <c r="B1579" s="2">
        <v>9150.7998050000006</v>
      </c>
      <c r="C1579" s="16">
        <f t="shared" si="1073"/>
        <v>-5.7371490978955627E-3</v>
      </c>
    </row>
    <row r="1580" spans="1:3" x14ac:dyDescent="0.25">
      <c r="A1580" s="1">
        <v>42842</v>
      </c>
      <c r="B1580" s="2">
        <v>9139.2998050000006</v>
      </c>
      <c r="C1580" s="16">
        <f t="shared" si="1073"/>
        <v>-1.2575110863975911E-3</v>
      </c>
    </row>
    <row r="1581" spans="1:3" x14ac:dyDescent="0.25">
      <c r="A1581" s="1">
        <v>42843</v>
      </c>
      <c r="B1581" s="2">
        <v>9105.1503909999992</v>
      </c>
      <c r="C1581" s="16">
        <f t="shared" si="1073"/>
        <v>-3.7435443123033335E-3</v>
      </c>
    </row>
    <row r="1582" spans="1:3" x14ac:dyDescent="0.25">
      <c r="A1582" s="1">
        <v>42844</v>
      </c>
      <c r="B1582" s="2">
        <v>9103.5</v>
      </c>
      <c r="C1582" s="16">
        <f t="shared" si="1073"/>
        <v>-1.8127548929538532E-4</v>
      </c>
    </row>
    <row r="1583" spans="1:3" x14ac:dyDescent="0.25">
      <c r="A1583" s="1">
        <v>42845</v>
      </c>
      <c r="B1583" s="2">
        <v>9136.4003909999992</v>
      </c>
      <c r="C1583" s="16">
        <f t="shared" si="1073"/>
        <v>3.6075226263079106E-3</v>
      </c>
    </row>
    <row r="1584" spans="1:3" x14ac:dyDescent="0.25">
      <c r="A1584" s="1">
        <v>42846</v>
      </c>
      <c r="B1584" s="2">
        <v>9119.4003909999992</v>
      </c>
      <c r="C1584" s="16">
        <f t="shared" si="1073"/>
        <v>-1.8624222642301608E-3</v>
      </c>
    </row>
    <row r="1585" spans="1:3" x14ac:dyDescent="0.25">
      <c r="A1585" s="1">
        <v>42849</v>
      </c>
      <c r="B1585" s="2">
        <v>9217.9501949999994</v>
      </c>
      <c r="C1585" s="16">
        <f t="shared" si="1073"/>
        <v>1.0748635943921225E-2</v>
      </c>
    </row>
    <row r="1586" spans="1:3" x14ac:dyDescent="0.25">
      <c r="A1586" s="1">
        <v>42850</v>
      </c>
      <c r="B1586" s="2">
        <v>9306.5996090000008</v>
      </c>
      <c r="C1586" s="16">
        <f t="shared" si="1073"/>
        <v>9.5710925955457236E-3</v>
      </c>
    </row>
    <row r="1587" spans="1:3" x14ac:dyDescent="0.25">
      <c r="A1587" s="1">
        <v>42851</v>
      </c>
      <c r="B1587" s="2">
        <v>9351.8496090000008</v>
      </c>
      <c r="C1587" s="16">
        <f t="shared" si="1073"/>
        <v>4.8503590179264054E-3</v>
      </c>
    </row>
    <row r="1588" spans="1:3" x14ac:dyDescent="0.25">
      <c r="A1588" s="1">
        <v>42852</v>
      </c>
      <c r="B1588" s="2">
        <v>9342.1503909999992</v>
      </c>
      <c r="C1588" s="16">
        <f t="shared" si="1073"/>
        <v>-1.037682558075658E-3</v>
      </c>
    </row>
    <row r="1589" spans="1:3" x14ac:dyDescent="0.25">
      <c r="A1589" s="1">
        <v>42853</v>
      </c>
      <c r="B1589" s="2">
        <v>9304.0498050000006</v>
      </c>
      <c r="C1589" s="16">
        <f t="shared" si="1073"/>
        <v>-4.0866920472957405E-3</v>
      </c>
    </row>
    <row r="1590" spans="1:3" x14ac:dyDescent="0.25">
      <c r="A1590" s="1">
        <v>42857</v>
      </c>
      <c r="B1590" s="2">
        <v>9313.7998050000006</v>
      </c>
      <c r="C1590" s="16">
        <f t="shared" si="1073"/>
        <v>1.0473820656584744E-3</v>
      </c>
    </row>
    <row r="1591" spans="1:3" x14ac:dyDescent="0.25">
      <c r="A1591" s="1">
        <v>42858</v>
      </c>
      <c r="B1591" s="2">
        <v>9311.9501949999994</v>
      </c>
      <c r="C1591" s="16">
        <f t="shared" si="1073"/>
        <v>-1.9860784194798174E-4</v>
      </c>
    </row>
    <row r="1592" spans="1:3" x14ac:dyDescent="0.25">
      <c r="A1592" s="1">
        <v>42859</v>
      </c>
      <c r="B1592" s="2">
        <v>9359.9003909999992</v>
      </c>
      <c r="C1592" s="16">
        <f t="shared" si="1073"/>
        <v>5.1361059460017728E-3</v>
      </c>
    </row>
    <row r="1593" spans="1:3" x14ac:dyDescent="0.25">
      <c r="A1593" s="1">
        <v>42860</v>
      </c>
      <c r="B1593" s="2">
        <v>9285.2998050000006</v>
      </c>
      <c r="C1593" s="16">
        <f t="shared" si="1073"/>
        <v>-8.0021649862193744E-3</v>
      </c>
    </row>
    <row r="1594" spans="1:3" x14ac:dyDescent="0.25">
      <c r="A1594" s="1">
        <v>42863</v>
      </c>
      <c r="B1594" s="2">
        <v>9314.0498050000006</v>
      </c>
      <c r="C1594" s="16">
        <f t="shared" si="1073"/>
        <v>3.0915084130182496E-3</v>
      </c>
    </row>
    <row r="1595" spans="1:3" x14ac:dyDescent="0.25">
      <c r="A1595" s="1">
        <v>42864</v>
      </c>
      <c r="B1595" s="2">
        <v>9316.8496090000008</v>
      </c>
      <c r="C1595" s="16">
        <f t="shared" si="1073"/>
        <v>3.0055489634300456E-4</v>
      </c>
    </row>
    <row r="1596" spans="1:3" x14ac:dyDescent="0.25">
      <c r="A1596" s="1">
        <v>42865</v>
      </c>
      <c r="B1596" s="2">
        <v>9407.2998050000006</v>
      </c>
      <c r="C1596" s="16">
        <f t="shared" si="1073"/>
        <v>9.6614161287745855E-3</v>
      </c>
    </row>
    <row r="1597" spans="1:3" x14ac:dyDescent="0.25">
      <c r="A1597" s="1">
        <v>42866</v>
      </c>
      <c r="B1597" s="2">
        <v>9422.4003909999992</v>
      </c>
      <c r="C1597" s="16">
        <f t="shared" si="1073"/>
        <v>1.6039118074154838E-3</v>
      </c>
    </row>
    <row r="1598" spans="1:3" x14ac:dyDescent="0.25">
      <c r="A1598" s="1">
        <v>42867</v>
      </c>
      <c r="B1598" s="2">
        <v>9400.9003909999992</v>
      </c>
      <c r="C1598" s="16">
        <f t="shared" si="1073"/>
        <v>-2.2844037396854704E-3</v>
      </c>
    </row>
    <row r="1599" spans="1:3" x14ac:dyDescent="0.25">
      <c r="A1599" s="1">
        <v>42870</v>
      </c>
      <c r="B1599" s="2">
        <v>9445.4003909999992</v>
      </c>
      <c r="C1599" s="16">
        <f t="shared" si="1073"/>
        <v>4.7224209371608383E-3</v>
      </c>
    </row>
    <row r="1600" spans="1:3" x14ac:dyDescent="0.25">
      <c r="A1600" s="1">
        <v>42871</v>
      </c>
      <c r="B1600" s="2">
        <v>9512.25</v>
      </c>
      <c r="C1600" s="16">
        <f t="shared" si="1073"/>
        <v>7.0525497310094188E-3</v>
      </c>
    </row>
    <row r="1601" spans="1:3" x14ac:dyDescent="0.25">
      <c r="A1601" s="1">
        <v>42872</v>
      </c>
      <c r="B1601" s="2">
        <v>9525.75</v>
      </c>
      <c r="C1601" s="16">
        <f t="shared" si="1073"/>
        <v>1.4182164368899746E-3</v>
      </c>
    </row>
    <row r="1602" spans="1:3" x14ac:dyDescent="0.25">
      <c r="A1602" s="1">
        <v>42873</v>
      </c>
      <c r="B1602" s="2">
        <v>9429.4501949999994</v>
      </c>
      <c r="C1602" s="16">
        <f t="shared" si="1073"/>
        <v>-1.0160866942372416E-2</v>
      </c>
    </row>
    <row r="1603" spans="1:3" x14ac:dyDescent="0.25">
      <c r="A1603" s="1">
        <v>42874</v>
      </c>
      <c r="B1603" s="2">
        <v>9427.9003909999992</v>
      </c>
      <c r="C1603" s="16">
        <f t="shared" si="1073"/>
        <v>-1.6437134118297859E-4</v>
      </c>
    </row>
    <row r="1604" spans="1:3" x14ac:dyDescent="0.25">
      <c r="A1604" s="1">
        <v>42877</v>
      </c>
      <c r="B1604" s="2">
        <v>9438.25</v>
      </c>
      <c r="C1604" s="16">
        <f t="shared" ref="C1604:C1667" si="1074">LN(B1604/B1603)</f>
        <v>1.09716182938356E-3</v>
      </c>
    </row>
    <row r="1605" spans="1:3" x14ac:dyDescent="0.25">
      <c r="A1605" s="1">
        <v>42878</v>
      </c>
      <c r="B1605" s="2">
        <v>9386.1503909999992</v>
      </c>
      <c r="C1605" s="16">
        <f t="shared" si="1074"/>
        <v>-5.5353414659127277E-3</v>
      </c>
    </row>
    <row r="1606" spans="1:3" x14ac:dyDescent="0.25">
      <c r="A1606" s="1">
        <v>42879</v>
      </c>
      <c r="B1606" s="2">
        <v>9360.5498050000006</v>
      </c>
      <c r="C1606" s="16">
        <f t="shared" si="1074"/>
        <v>-2.731211535506187E-3</v>
      </c>
    </row>
    <row r="1607" spans="1:3" x14ac:dyDescent="0.25">
      <c r="A1607" s="1">
        <v>42880</v>
      </c>
      <c r="B1607" s="2">
        <v>9509.75</v>
      </c>
      <c r="C1607" s="16">
        <f t="shared" si="1074"/>
        <v>1.5813559479179021E-2</v>
      </c>
    </row>
    <row r="1608" spans="1:3" x14ac:dyDescent="0.25">
      <c r="A1608" s="1">
        <v>42881</v>
      </c>
      <c r="B1608" s="2">
        <v>9595.0996090000008</v>
      </c>
      <c r="C1608" s="16">
        <f t="shared" si="1074"/>
        <v>8.934922656238237E-3</v>
      </c>
    </row>
    <row r="1609" spans="1:3" x14ac:dyDescent="0.25">
      <c r="A1609" s="1">
        <v>42884</v>
      </c>
      <c r="B1609" s="2">
        <v>9604.9003909999992</v>
      </c>
      <c r="C1609" s="16">
        <f t="shared" si="1074"/>
        <v>1.0209148803387073E-3</v>
      </c>
    </row>
    <row r="1610" spans="1:3" x14ac:dyDescent="0.25">
      <c r="A1610" s="1">
        <v>42885</v>
      </c>
      <c r="B1610" s="2">
        <v>9624.5498050000006</v>
      </c>
      <c r="C1610" s="16">
        <f t="shared" si="1074"/>
        <v>2.0436799428735597E-3</v>
      </c>
    </row>
    <row r="1611" spans="1:3" x14ac:dyDescent="0.25">
      <c r="A1611" s="1">
        <v>42886</v>
      </c>
      <c r="B1611" s="2">
        <v>9621.25</v>
      </c>
      <c r="C1611" s="16">
        <f t="shared" si="1074"/>
        <v>-3.4291170704974611E-4</v>
      </c>
    </row>
    <row r="1612" spans="1:3" x14ac:dyDescent="0.25">
      <c r="A1612" s="1">
        <v>42887</v>
      </c>
      <c r="B1612" s="2">
        <v>9616.0996090000008</v>
      </c>
      <c r="C1612" s="16">
        <f t="shared" si="1074"/>
        <v>-5.3545745414404901E-4</v>
      </c>
    </row>
    <row r="1613" spans="1:3" x14ac:dyDescent="0.25">
      <c r="A1613" s="1">
        <v>42888</v>
      </c>
      <c r="B1613" s="2">
        <v>9653.5</v>
      </c>
      <c r="C1613" s="16">
        <f t="shared" si="1074"/>
        <v>3.8818074814882435E-3</v>
      </c>
    </row>
    <row r="1614" spans="1:3" x14ac:dyDescent="0.25">
      <c r="A1614" s="1">
        <v>42891</v>
      </c>
      <c r="B1614" s="2">
        <v>9675.0996090000008</v>
      </c>
      <c r="C1614" s="16">
        <f t="shared" si="1074"/>
        <v>2.2349904729888261E-3</v>
      </c>
    </row>
    <row r="1615" spans="1:3" x14ac:dyDescent="0.25">
      <c r="A1615" s="1">
        <v>42892</v>
      </c>
      <c r="B1615" s="2">
        <v>9637.1503909999992</v>
      </c>
      <c r="C1615" s="16">
        <f t="shared" si="1074"/>
        <v>-3.9300720366885139E-3</v>
      </c>
    </row>
    <row r="1616" spans="1:3" x14ac:dyDescent="0.25">
      <c r="A1616" s="1">
        <v>42893</v>
      </c>
      <c r="B1616" s="2">
        <v>9663.9003909999992</v>
      </c>
      <c r="C1616" s="16">
        <f t="shared" si="1074"/>
        <v>2.7718715866224823E-3</v>
      </c>
    </row>
    <row r="1617" spans="1:3" x14ac:dyDescent="0.25">
      <c r="A1617" s="1">
        <v>42894</v>
      </c>
      <c r="B1617" s="2">
        <v>9647.25</v>
      </c>
      <c r="C1617" s="16">
        <f t="shared" si="1074"/>
        <v>-1.7244332718597184E-3</v>
      </c>
    </row>
    <row r="1618" spans="1:3" x14ac:dyDescent="0.25">
      <c r="A1618" s="1">
        <v>42895</v>
      </c>
      <c r="B1618" s="2">
        <v>9668.25</v>
      </c>
      <c r="C1618" s="16">
        <f t="shared" si="1074"/>
        <v>2.1744203643893584E-3</v>
      </c>
    </row>
    <row r="1619" spans="1:3" x14ac:dyDescent="0.25">
      <c r="A1619" s="1">
        <v>42898</v>
      </c>
      <c r="B1619" s="2">
        <v>9616.4003909999992</v>
      </c>
      <c r="C1619" s="16">
        <f t="shared" si="1074"/>
        <v>-5.3773060840045057E-3</v>
      </c>
    </row>
    <row r="1620" spans="1:3" x14ac:dyDescent="0.25">
      <c r="A1620" s="1">
        <v>42899</v>
      </c>
      <c r="B1620" s="2">
        <v>9606.9003909999992</v>
      </c>
      <c r="C1620" s="16">
        <f t="shared" si="1074"/>
        <v>-9.8838392855783263E-4</v>
      </c>
    </row>
    <row r="1621" spans="1:3" x14ac:dyDescent="0.25">
      <c r="A1621" s="1">
        <v>42900</v>
      </c>
      <c r="B1621" s="2">
        <v>9618.1503909999992</v>
      </c>
      <c r="C1621" s="16">
        <f t="shared" si="1074"/>
        <v>1.1703481474951863E-3</v>
      </c>
    </row>
    <row r="1622" spans="1:3" x14ac:dyDescent="0.25">
      <c r="A1622" s="1">
        <v>42901</v>
      </c>
      <c r="B1622" s="2">
        <v>9578.0498050000006</v>
      </c>
      <c r="C1622" s="16">
        <f t="shared" si="1074"/>
        <v>-4.1779772998651729E-3</v>
      </c>
    </row>
    <row r="1623" spans="1:3" x14ac:dyDescent="0.25">
      <c r="A1623" s="1">
        <v>42902</v>
      </c>
      <c r="B1623" s="2">
        <v>9588.0498050000006</v>
      </c>
      <c r="C1623" s="16">
        <f t="shared" si="1074"/>
        <v>1.043509228367868E-3</v>
      </c>
    </row>
    <row r="1624" spans="1:3" x14ac:dyDescent="0.25">
      <c r="A1624" s="1">
        <v>42905</v>
      </c>
      <c r="B1624" s="2">
        <v>9657.5498050000006</v>
      </c>
      <c r="C1624" s="16">
        <f t="shared" si="1074"/>
        <v>7.2224616041420171E-3</v>
      </c>
    </row>
    <row r="1625" spans="1:3" x14ac:dyDescent="0.25">
      <c r="A1625" s="1">
        <v>42906</v>
      </c>
      <c r="B1625" s="2">
        <v>9653.5</v>
      </c>
      <c r="C1625" s="16">
        <f t="shared" si="1074"/>
        <v>-4.1942878302995252E-4</v>
      </c>
    </row>
    <row r="1626" spans="1:3" x14ac:dyDescent="0.25">
      <c r="A1626" s="1">
        <v>42907</v>
      </c>
      <c r="B1626" s="2">
        <v>9633.5996090000008</v>
      </c>
      <c r="C1626" s="16">
        <f t="shared" si="1074"/>
        <v>-2.063596752800555E-3</v>
      </c>
    </row>
    <row r="1627" spans="1:3" x14ac:dyDescent="0.25">
      <c r="A1627" s="1">
        <v>42908</v>
      </c>
      <c r="B1627" s="2">
        <v>9630</v>
      </c>
      <c r="C1627" s="16">
        <f t="shared" si="1074"/>
        <v>-3.7372133089965981E-4</v>
      </c>
    </row>
    <row r="1628" spans="1:3" x14ac:dyDescent="0.25">
      <c r="A1628" s="1">
        <v>42909</v>
      </c>
      <c r="B1628" s="2">
        <v>9574.9501949999994</v>
      </c>
      <c r="C1628" s="16">
        <f t="shared" si="1074"/>
        <v>-5.7328923234323753E-3</v>
      </c>
    </row>
    <row r="1629" spans="1:3" x14ac:dyDescent="0.25">
      <c r="A1629" s="1">
        <v>42913</v>
      </c>
      <c r="B1629" s="2">
        <v>9511.4003909999992</v>
      </c>
      <c r="C1629" s="16">
        <f t="shared" si="1074"/>
        <v>-6.6592131960610508E-3</v>
      </c>
    </row>
    <row r="1630" spans="1:3" x14ac:dyDescent="0.25">
      <c r="A1630" s="1">
        <v>42914</v>
      </c>
      <c r="B1630" s="2">
        <v>9491.25</v>
      </c>
      <c r="C1630" s="16">
        <f t="shared" si="1074"/>
        <v>-2.1207987452343496E-3</v>
      </c>
    </row>
    <row r="1631" spans="1:3" x14ac:dyDescent="0.25">
      <c r="A1631" s="1">
        <v>42915</v>
      </c>
      <c r="B1631" s="2">
        <v>9504.0996090000008</v>
      </c>
      <c r="C1631" s="16">
        <f t="shared" si="1074"/>
        <v>1.3529217650096849E-3</v>
      </c>
    </row>
    <row r="1632" spans="1:3" x14ac:dyDescent="0.25">
      <c r="A1632" s="1">
        <v>42916</v>
      </c>
      <c r="B1632" s="2">
        <v>9520.9003909999992</v>
      </c>
      <c r="C1632" s="16">
        <f t="shared" si="1074"/>
        <v>1.7661799072115796E-3</v>
      </c>
    </row>
    <row r="1633" spans="1:3" x14ac:dyDescent="0.25">
      <c r="A1633" s="1">
        <v>42919</v>
      </c>
      <c r="B1633" s="2">
        <v>9615</v>
      </c>
      <c r="C1633" s="16">
        <f t="shared" si="1074"/>
        <v>9.8349558232155281E-3</v>
      </c>
    </row>
    <row r="1634" spans="1:3" x14ac:dyDescent="0.25">
      <c r="A1634" s="1">
        <v>42920</v>
      </c>
      <c r="B1634" s="2">
        <v>9613.2998050000006</v>
      </c>
      <c r="C1634" s="16">
        <f t="shared" si="1074"/>
        <v>-1.7684298889375304E-4</v>
      </c>
    </row>
    <row r="1635" spans="1:3" x14ac:dyDescent="0.25">
      <c r="A1635" s="1">
        <v>42921</v>
      </c>
      <c r="B1635" s="2">
        <v>9637.5996090000008</v>
      </c>
      <c r="C1635" s="16">
        <f t="shared" si="1074"/>
        <v>2.5245383483893983E-3</v>
      </c>
    </row>
    <row r="1636" spans="1:3" x14ac:dyDescent="0.25">
      <c r="A1636" s="1">
        <v>42922</v>
      </c>
      <c r="B1636" s="2">
        <v>9674.5498050000006</v>
      </c>
      <c r="C1636" s="16">
        <f t="shared" si="1074"/>
        <v>3.8266316500240112E-3</v>
      </c>
    </row>
    <row r="1637" spans="1:3" x14ac:dyDescent="0.25">
      <c r="A1637" s="1">
        <v>42923</v>
      </c>
      <c r="B1637" s="2">
        <v>9665.7998050000006</v>
      </c>
      <c r="C1637" s="16">
        <f t="shared" si="1074"/>
        <v>-9.0484409780020373E-4</v>
      </c>
    </row>
    <row r="1638" spans="1:3" x14ac:dyDescent="0.25">
      <c r="A1638" s="1">
        <v>42926</v>
      </c>
      <c r="B1638" s="2">
        <v>9771.0498050000006</v>
      </c>
      <c r="C1638" s="16">
        <f t="shared" si="1074"/>
        <v>1.0830050223239206E-2</v>
      </c>
    </row>
    <row r="1639" spans="1:3" x14ac:dyDescent="0.25">
      <c r="A1639" s="1">
        <v>42927</v>
      </c>
      <c r="B1639" s="2">
        <v>9786.0498050000006</v>
      </c>
      <c r="C1639" s="16">
        <f t="shared" si="1074"/>
        <v>1.5339700917267616E-3</v>
      </c>
    </row>
    <row r="1640" spans="1:3" x14ac:dyDescent="0.25">
      <c r="A1640" s="1">
        <v>42928</v>
      </c>
      <c r="B1640" s="2">
        <v>9816.0996090000008</v>
      </c>
      <c r="C1640" s="16">
        <f t="shared" si="1074"/>
        <v>3.065972705832031E-3</v>
      </c>
    </row>
    <row r="1641" spans="1:3" x14ac:dyDescent="0.25">
      <c r="A1641" s="1">
        <v>42929</v>
      </c>
      <c r="B1641" s="2">
        <v>9891.7001949999994</v>
      </c>
      <c r="C1641" s="16">
        <f t="shared" si="1074"/>
        <v>7.6721864021130678E-3</v>
      </c>
    </row>
    <row r="1642" spans="1:3" x14ac:dyDescent="0.25">
      <c r="A1642" s="1">
        <v>42930</v>
      </c>
      <c r="B1642" s="2">
        <v>9886.3496090000008</v>
      </c>
      <c r="C1642" s="16">
        <f t="shared" si="1074"/>
        <v>-5.4106306572737715E-4</v>
      </c>
    </row>
    <row r="1643" spans="1:3" x14ac:dyDescent="0.25">
      <c r="A1643" s="1">
        <v>42933</v>
      </c>
      <c r="B1643" s="2">
        <v>9915.9501949999994</v>
      </c>
      <c r="C1643" s="16">
        <f t="shared" si="1074"/>
        <v>2.9896131600829611E-3</v>
      </c>
    </row>
    <row r="1644" spans="1:3" x14ac:dyDescent="0.25">
      <c r="A1644" s="1">
        <v>42934</v>
      </c>
      <c r="B1644" s="2">
        <v>9827.1503909999992</v>
      </c>
      <c r="C1644" s="16">
        <f t="shared" si="1074"/>
        <v>-8.9955883498210251E-3</v>
      </c>
    </row>
    <row r="1645" spans="1:3" x14ac:dyDescent="0.25">
      <c r="A1645" s="1">
        <v>42935</v>
      </c>
      <c r="B1645" s="2">
        <v>9899.5996090000008</v>
      </c>
      <c r="C1645" s="16">
        <f t="shared" si="1074"/>
        <v>7.3453096674208586E-3</v>
      </c>
    </row>
    <row r="1646" spans="1:3" x14ac:dyDescent="0.25">
      <c r="A1646" s="1">
        <v>42936</v>
      </c>
      <c r="B1646" s="2">
        <v>9873.2998050000006</v>
      </c>
      <c r="C1646" s="16">
        <f t="shared" si="1074"/>
        <v>-2.6601884689521726E-3</v>
      </c>
    </row>
    <row r="1647" spans="1:3" x14ac:dyDescent="0.25">
      <c r="A1647" s="1">
        <v>42937</v>
      </c>
      <c r="B1647" s="2">
        <v>9915.25</v>
      </c>
      <c r="C1647" s="16">
        <f t="shared" si="1074"/>
        <v>4.2398516572415487E-3</v>
      </c>
    </row>
    <row r="1648" spans="1:3" x14ac:dyDescent="0.25">
      <c r="A1648" s="1">
        <v>42940</v>
      </c>
      <c r="B1648" s="2">
        <v>9966.4003909999992</v>
      </c>
      <c r="C1648" s="16">
        <f t="shared" si="1074"/>
        <v>5.1454987739436965E-3</v>
      </c>
    </row>
    <row r="1649" spans="1:3" x14ac:dyDescent="0.25">
      <c r="A1649" s="1">
        <v>42941</v>
      </c>
      <c r="B1649" s="2">
        <v>9964.5498050000006</v>
      </c>
      <c r="C1649" s="16">
        <f t="shared" si="1074"/>
        <v>-1.8569972701930251E-4</v>
      </c>
    </row>
    <row r="1650" spans="1:3" x14ac:dyDescent="0.25">
      <c r="A1650" s="1">
        <v>42942</v>
      </c>
      <c r="B1650" s="2">
        <v>10020.650390999999</v>
      </c>
      <c r="C1650" s="16">
        <f t="shared" si="1074"/>
        <v>5.6142278090967803E-3</v>
      </c>
    </row>
    <row r="1651" spans="1:3" x14ac:dyDescent="0.25">
      <c r="A1651" s="1">
        <v>42943</v>
      </c>
      <c r="B1651" s="2">
        <v>10020.549805000001</v>
      </c>
      <c r="C1651" s="16">
        <f t="shared" si="1074"/>
        <v>-1.0037921782736369E-5</v>
      </c>
    </row>
    <row r="1652" spans="1:3" x14ac:dyDescent="0.25">
      <c r="A1652" s="1">
        <v>42944</v>
      </c>
      <c r="B1652" s="2">
        <v>10014.5</v>
      </c>
      <c r="C1652" s="16">
        <f t="shared" si="1074"/>
        <v>-6.039221507066813E-4</v>
      </c>
    </row>
    <row r="1653" spans="1:3" x14ac:dyDescent="0.25">
      <c r="A1653" s="1">
        <v>42947</v>
      </c>
      <c r="B1653" s="2">
        <v>10077.099609000001</v>
      </c>
      <c r="C1653" s="16">
        <f t="shared" si="1074"/>
        <v>6.2314412774000265E-3</v>
      </c>
    </row>
    <row r="1654" spans="1:3" x14ac:dyDescent="0.25">
      <c r="A1654" s="1">
        <v>42948</v>
      </c>
      <c r="B1654" s="2">
        <v>10114.650390999999</v>
      </c>
      <c r="C1654" s="16">
        <f t="shared" si="1074"/>
        <v>3.7194225651672984E-3</v>
      </c>
    </row>
    <row r="1655" spans="1:3" x14ac:dyDescent="0.25">
      <c r="A1655" s="1">
        <v>42949</v>
      </c>
      <c r="B1655" s="2">
        <v>10081.5</v>
      </c>
      <c r="C1655" s="16">
        <f t="shared" si="1074"/>
        <v>-3.2828455057243439E-3</v>
      </c>
    </row>
    <row r="1656" spans="1:3" x14ac:dyDescent="0.25">
      <c r="A1656" s="1">
        <v>42950</v>
      </c>
      <c r="B1656" s="2">
        <v>10013.650390999999</v>
      </c>
      <c r="C1656" s="16">
        <f t="shared" si="1074"/>
        <v>-6.7528598208466857E-3</v>
      </c>
    </row>
    <row r="1657" spans="1:3" x14ac:dyDescent="0.25">
      <c r="A1657" s="1">
        <v>42951</v>
      </c>
      <c r="B1657" s="2">
        <v>10066.400390999999</v>
      </c>
      <c r="C1657" s="16">
        <f t="shared" si="1074"/>
        <v>5.2539828625622134E-3</v>
      </c>
    </row>
    <row r="1658" spans="1:3" x14ac:dyDescent="0.25">
      <c r="A1658" s="1">
        <v>42954</v>
      </c>
      <c r="B1658" s="2">
        <v>10057.400390999999</v>
      </c>
      <c r="C1658" s="16">
        <f t="shared" si="1074"/>
        <v>-8.9446329722149781E-4</v>
      </c>
    </row>
    <row r="1659" spans="1:3" x14ac:dyDescent="0.25">
      <c r="A1659" s="1">
        <v>42955</v>
      </c>
      <c r="B1659" s="2">
        <v>9978.5498050000006</v>
      </c>
      <c r="C1659" s="16">
        <f t="shared" si="1074"/>
        <v>-7.8709511958934639E-3</v>
      </c>
    </row>
    <row r="1660" spans="1:3" x14ac:dyDescent="0.25">
      <c r="A1660" s="1">
        <v>42956</v>
      </c>
      <c r="B1660" s="2">
        <v>9908.0498050000006</v>
      </c>
      <c r="C1660" s="16">
        <f t="shared" si="1074"/>
        <v>-7.0902312840508989E-3</v>
      </c>
    </row>
    <row r="1661" spans="1:3" x14ac:dyDescent="0.25">
      <c r="A1661" s="1">
        <v>42957</v>
      </c>
      <c r="B1661" s="2">
        <v>9820.25</v>
      </c>
      <c r="C1661" s="16">
        <f t="shared" si="1074"/>
        <v>-8.9009580697515644E-3</v>
      </c>
    </row>
    <row r="1662" spans="1:3" x14ac:dyDescent="0.25">
      <c r="A1662" s="1">
        <v>42958</v>
      </c>
      <c r="B1662" s="2">
        <v>9710.7998050000006</v>
      </c>
      <c r="C1662" s="16">
        <f t="shared" si="1074"/>
        <v>-1.1207932172711453E-2</v>
      </c>
    </row>
    <row r="1663" spans="1:3" x14ac:dyDescent="0.25">
      <c r="A1663" s="1">
        <v>42961</v>
      </c>
      <c r="B1663" s="2">
        <v>9794.1503909999992</v>
      </c>
      <c r="C1663" s="16">
        <f t="shared" si="1074"/>
        <v>8.5466604658390906E-3</v>
      </c>
    </row>
    <row r="1664" spans="1:3" x14ac:dyDescent="0.25">
      <c r="A1664" s="1">
        <v>42963</v>
      </c>
      <c r="B1664" s="2">
        <v>9897.2998050000006</v>
      </c>
      <c r="C1664" s="16">
        <f t="shared" si="1074"/>
        <v>1.0476664384708798E-2</v>
      </c>
    </row>
    <row r="1665" spans="1:3" x14ac:dyDescent="0.25">
      <c r="A1665" s="1">
        <v>42964</v>
      </c>
      <c r="B1665" s="2">
        <v>9904.1503909999992</v>
      </c>
      <c r="C1665" s="16">
        <f t="shared" si="1074"/>
        <v>6.9192773312121419E-4</v>
      </c>
    </row>
    <row r="1666" spans="1:3" x14ac:dyDescent="0.25">
      <c r="A1666" s="1">
        <v>42965</v>
      </c>
      <c r="B1666" s="2">
        <v>9837.4003909999992</v>
      </c>
      <c r="C1666" s="16">
        <f t="shared" si="1074"/>
        <v>-6.7624124478638317E-3</v>
      </c>
    </row>
    <row r="1667" spans="1:3" x14ac:dyDescent="0.25">
      <c r="A1667" s="1">
        <v>42968</v>
      </c>
      <c r="B1667" s="2">
        <v>9754.3496090000008</v>
      </c>
      <c r="C1667" s="16">
        <f t="shared" si="1074"/>
        <v>-8.4781889796909163E-3</v>
      </c>
    </row>
    <row r="1668" spans="1:3" x14ac:dyDescent="0.25">
      <c r="A1668" s="1">
        <v>42969</v>
      </c>
      <c r="B1668" s="2">
        <v>9765.5498050000006</v>
      </c>
      <c r="C1668" s="16">
        <f t="shared" ref="C1668:C1731" si="1075">LN(B1668/B1667)</f>
        <v>1.1475671048904016E-3</v>
      </c>
    </row>
    <row r="1669" spans="1:3" x14ac:dyDescent="0.25">
      <c r="A1669" s="1">
        <v>42970</v>
      </c>
      <c r="B1669" s="2">
        <v>9852.5</v>
      </c>
      <c r="C1669" s="16">
        <f t="shared" si="1075"/>
        <v>8.86436370793681E-3</v>
      </c>
    </row>
    <row r="1670" spans="1:3" x14ac:dyDescent="0.25">
      <c r="A1670" s="1">
        <v>42971</v>
      </c>
      <c r="B1670" s="2">
        <v>9857.0498050000006</v>
      </c>
      <c r="C1670" s="16">
        <f t="shared" si="1075"/>
        <v>4.6168533790280739E-4</v>
      </c>
    </row>
    <row r="1671" spans="1:3" x14ac:dyDescent="0.25">
      <c r="A1671" s="1">
        <v>42975</v>
      </c>
      <c r="B1671" s="2">
        <v>9912.7998050000006</v>
      </c>
      <c r="C1671" s="16">
        <f t="shared" si="1075"/>
        <v>5.6399162236854929E-3</v>
      </c>
    </row>
    <row r="1672" spans="1:3" x14ac:dyDescent="0.25">
      <c r="A1672" s="1">
        <v>42976</v>
      </c>
      <c r="B1672" s="2">
        <v>9796.0498050000006</v>
      </c>
      <c r="C1672" s="16">
        <f t="shared" si="1075"/>
        <v>-1.1847608353565242E-2</v>
      </c>
    </row>
    <row r="1673" spans="1:3" x14ac:dyDescent="0.25">
      <c r="A1673" s="1">
        <v>42977</v>
      </c>
      <c r="B1673" s="2">
        <v>9884.4003909999992</v>
      </c>
      <c r="C1673" s="16">
        <f t="shared" si="1075"/>
        <v>8.978573015302584E-3</v>
      </c>
    </row>
    <row r="1674" spans="1:3" x14ac:dyDescent="0.25">
      <c r="A1674" s="1">
        <v>42978</v>
      </c>
      <c r="B1674" s="2">
        <v>9917.9003909999992</v>
      </c>
      <c r="C1674" s="16">
        <f t="shared" si="1075"/>
        <v>3.3834484514721273E-3</v>
      </c>
    </row>
    <row r="1675" spans="1:3" x14ac:dyDescent="0.25">
      <c r="A1675" s="1">
        <v>42979</v>
      </c>
      <c r="B1675" s="2">
        <v>9974.4003909999992</v>
      </c>
      <c r="C1675" s="16">
        <f t="shared" si="1075"/>
        <v>5.6806050294131924E-3</v>
      </c>
    </row>
    <row r="1676" spans="1:3" x14ac:dyDescent="0.25">
      <c r="A1676" s="1">
        <v>42982</v>
      </c>
      <c r="B1676" s="2">
        <v>9912.8496090000008</v>
      </c>
      <c r="C1676" s="16">
        <f t="shared" si="1075"/>
        <v>-6.1899939440242299E-3</v>
      </c>
    </row>
    <row r="1677" spans="1:3" x14ac:dyDescent="0.25">
      <c r="A1677" s="1">
        <v>42983</v>
      </c>
      <c r="B1677" s="2">
        <v>9952.2001949999994</v>
      </c>
      <c r="C1677" s="16">
        <f t="shared" si="1075"/>
        <v>3.9617960043635912E-3</v>
      </c>
    </row>
    <row r="1678" spans="1:3" x14ac:dyDescent="0.25">
      <c r="A1678" s="1">
        <v>42984</v>
      </c>
      <c r="B1678" s="2">
        <v>9916.2001949999994</v>
      </c>
      <c r="C1678" s="16">
        <f t="shared" si="1075"/>
        <v>-3.6238487940832057E-3</v>
      </c>
    </row>
    <row r="1679" spans="1:3" x14ac:dyDescent="0.25">
      <c r="A1679" s="1">
        <v>42985</v>
      </c>
      <c r="B1679" s="2">
        <v>9929.9003909999992</v>
      </c>
      <c r="C1679" s="16">
        <f t="shared" si="1075"/>
        <v>1.3806438314551746E-3</v>
      </c>
    </row>
    <row r="1680" spans="1:3" x14ac:dyDescent="0.25">
      <c r="A1680" s="1">
        <v>42986</v>
      </c>
      <c r="B1680" s="2">
        <v>9934.7998050000006</v>
      </c>
      <c r="C1680" s="16">
        <f t="shared" si="1075"/>
        <v>4.9327843370447781E-4</v>
      </c>
    </row>
    <row r="1681" spans="1:3" x14ac:dyDescent="0.25">
      <c r="A1681" s="1">
        <v>42989</v>
      </c>
      <c r="B1681" s="2">
        <v>10006.049805000001</v>
      </c>
      <c r="C1681" s="16">
        <f t="shared" si="1075"/>
        <v>7.146165244468667E-3</v>
      </c>
    </row>
    <row r="1682" spans="1:3" x14ac:dyDescent="0.25">
      <c r="A1682" s="1">
        <v>42990</v>
      </c>
      <c r="B1682" s="2">
        <v>10093.049805000001</v>
      </c>
      <c r="C1682" s="16">
        <f t="shared" si="1075"/>
        <v>8.6571582855741649E-3</v>
      </c>
    </row>
    <row r="1683" spans="1:3" x14ac:dyDescent="0.25">
      <c r="A1683" s="1">
        <v>42991</v>
      </c>
      <c r="B1683" s="2">
        <v>10079.299805000001</v>
      </c>
      <c r="C1683" s="16">
        <f t="shared" si="1075"/>
        <v>-1.3632524118722953E-3</v>
      </c>
    </row>
    <row r="1684" spans="1:3" x14ac:dyDescent="0.25">
      <c r="A1684" s="1">
        <v>42992</v>
      </c>
      <c r="B1684" s="2">
        <v>10086.599609000001</v>
      </c>
      <c r="C1684" s="16">
        <f t="shared" si="1075"/>
        <v>7.2397507980981226E-4</v>
      </c>
    </row>
    <row r="1685" spans="1:3" x14ac:dyDescent="0.25">
      <c r="A1685" s="1">
        <v>42993</v>
      </c>
      <c r="B1685" s="2">
        <v>10085.400390999999</v>
      </c>
      <c r="C1685" s="16">
        <f t="shared" si="1075"/>
        <v>-1.1889926645001482E-4</v>
      </c>
    </row>
    <row r="1686" spans="1:3" x14ac:dyDescent="0.25">
      <c r="A1686" s="1">
        <v>42996</v>
      </c>
      <c r="B1686" s="2">
        <v>10153.099609000001</v>
      </c>
      <c r="C1686" s="16">
        <f t="shared" si="1075"/>
        <v>6.6901668116200932E-3</v>
      </c>
    </row>
    <row r="1687" spans="1:3" x14ac:dyDescent="0.25">
      <c r="A1687" s="1">
        <v>42997</v>
      </c>
      <c r="B1687" s="2">
        <v>10147.549805000001</v>
      </c>
      <c r="C1687" s="16">
        <f t="shared" si="1075"/>
        <v>-5.4676124148333918E-4</v>
      </c>
    </row>
    <row r="1688" spans="1:3" x14ac:dyDescent="0.25">
      <c r="A1688" s="1">
        <v>42998</v>
      </c>
      <c r="B1688" s="2">
        <v>10141.150390999999</v>
      </c>
      <c r="C1688" s="16">
        <f t="shared" si="1075"/>
        <v>-6.308353073781371E-4</v>
      </c>
    </row>
    <row r="1689" spans="1:3" x14ac:dyDescent="0.25">
      <c r="A1689" s="1">
        <v>42999</v>
      </c>
      <c r="B1689" s="2">
        <v>10121.900390999999</v>
      </c>
      <c r="C1689" s="16">
        <f t="shared" si="1075"/>
        <v>-1.9000106152037475E-3</v>
      </c>
    </row>
    <row r="1690" spans="1:3" x14ac:dyDescent="0.25">
      <c r="A1690" s="1">
        <v>43000</v>
      </c>
      <c r="B1690" s="2">
        <v>9964.4003909999992</v>
      </c>
      <c r="C1690" s="16">
        <f t="shared" si="1075"/>
        <v>-1.5682651547604121E-2</v>
      </c>
    </row>
    <row r="1691" spans="1:3" x14ac:dyDescent="0.25">
      <c r="A1691" s="1">
        <v>43003</v>
      </c>
      <c r="B1691" s="2">
        <v>9872.5996090000008</v>
      </c>
      <c r="C1691" s="16">
        <f t="shared" si="1075"/>
        <v>-9.2555766847052124E-3</v>
      </c>
    </row>
    <row r="1692" spans="1:3" x14ac:dyDescent="0.25">
      <c r="A1692" s="1">
        <v>43004</v>
      </c>
      <c r="B1692" s="2">
        <v>9871.5</v>
      </c>
      <c r="C1692" s="16">
        <f t="shared" si="1075"/>
        <v>-1.1138608727806727E-4</v>
      </c>
    </row>
    <row r="1693" spans="1:3" x14ac:dyDescent="0.25">
      <c r="A1693" s="1">
        <v>43005</v>
      </c>
      <c r="B1693" s="2">
        <v>9735.75</v>
      </c>
      <c r="C1693" s="16">
        <f t="shared" si="1075"/>
        <v>-1.3847140123069935E-2</v>
      </c>
    </row>
    <row r="1694" spans="1:3" x14ac:dyDescent="0.25">
      <c r="A1694" s="1">
        <v>43006</v>
      </c>
      <c r="B1694" s="2">
        <v>9768.9501949999994</v>
      </c>
      <c r="C1694" s="16">
        <f t="shared" si="1075"/>
        <v>3.4043309286948737E-3</v>
      </c>
    </row>
    <row r="1695" spans="1:3" x14ac:dyDescent="0.25">
      <c r="A1695" s="1">
        <v>43007</v>
      </c>
      <c r="B1695" s="2">
        <v>9788.5996090000008</v>
      </c>
      <c r="C1695" s="16">
        <f t="shared" si="1075"/>
        <v>2.0093949199573736E-3</v>
      </c>
    </row>
    <row r="1696" spans="1:3" x14ac:dyDescent="0.25">
      <c r="A1696" s="1">
        <v>43011</v>
      </c>
      <c r="B1696" s="2">
        <v>9859.5</v>
      </c>
      <c r="C1696" s="16">
        <f t="shared" si="1075"/>
        <v>7.2170540818747809E-3</v>
      </c>
    </row>
    <row r="1697" spans="1:3" x14ac:dyDescent="0.25">
      <c r="A1697" s="1">
        <v>43012</v>
      </c>
      <c r="B1697" s="2">
        <v>9914.9003909999992</v>
      </c>
      <c r="C1697" s="16">
        <f t="shared" si="1075"/>
        <v>5.6032582381966714E-3</v>
      </c>
    </row>
    <row r="1698" spans="1:3" x14ac:dyDescent="0.25">
      <c r="A1698" s="1">
        <v>43013</v>
      </c>
      <c r="B1698" s="2">
        <v>9888.7001949999994</v>
      </c>
      <c r="C1698" s="16">
        <f t="shared" si="1075"/>
        <v>-2.6460048184264958E-3</v>
      </c>
    </row>
    <row r="1699" spans="1:3" x14ac:dyDescent="0.25">
      <c r="A1699" s="1">
        <v>43014</v>
      </c>
      <c r="B1699" s="2">
        <v>9979.7001949999994</v>
      </c>
      <c r="C1699" s="16">
        <f t="shared" si="1075"/>
        <v>9.1603384816091593E-3</v>
      </c>
    </row>
    <row r="1700" spans="1:3" x14ac:dyDescent="0.25">
      <c r="A1700" s="1">
        <v>43017</v>
      </c>
      <c r="B1700" s="2">
        <v>9988.75</v>
      </c>
      <c r="C1700" s="16">
        <f t="shared" si="1075"/>
        <v>9.0641041555257463E-4</v>
      </c>
    </row>
    <row r="1701" spans="1:3" x14ac:dyDescent="0.25">
      <c r="A1701" s="1">
        <v>43018</v>
      </c>
      <c r="B1701" s="2">
        <v>10016.950194999999</v>
      </c>
      <c r="C1701" s="16">
        <f t="shared" si="1075"/>
        <v>2.8192178632117566E-3</v>
      </c>
    </row>
    <row r="1702" spans="1:3" x14ac:dyDescent="0.25">
      <c r="A1702" s="1">
        <v>43019</v>
      </c>
      <c r="B1702" s="2">
        <v>9984.7998050000006</v>
      </c>
      <c r="C1702" s="16">
        <f t="shared" si="1075"/>
        <v>-3.2147604773255672E-3</v>
      </c>
    </row>
    <row r="1703" spans="1:3" x14ac:dyDescent="0.25">
      <c r="A1703" s="1">
        <v>43020</v>
      </c>
      <c r="B1703" s="2">
        <v>10096.400390999999</v>
      </c>
      <c r="C1703" s="16">
        <f t="shared" si="1075"/>
        <v>1.1115046299619099E-2</v>
      </c>
    </row>
    <row r="1704" spans="1:3" x14ac:dyDescent="0.25">
      <c r="A1704" s="1">
        <v>43021</v>
      </c>
      <c r="B1704" s="2">
        <v>10167.450194999999</v>
      </c>
      <c r="C1704" s="16">
        <f t="shared" si="1075"/>
        <v>7.0124969442576053E-3</v>
      </c>
    </row>
    <row r="1705" spans="1:3" x14ac:dyDescent="0.25">
      <c r="A1705" s="1">
        <v>43024</v>
      </c>
      <c r="B1705" s="2">
        <v>10230.849609000001</v>
      </c>
      <c r="C1705" s="16">
        <f t="shared" si="1075"/>
        <v>6.2161669118533233E-3</v>
      </c>
    </row>
    <row r="1706" spans="1:3" x14ac:dyDescent="0.25">
      <c r="A1706" s="1">
        <v>43025</v>
      </c>
      <c r="B1706" s="2">
        <v>10234.450194999999</v>
      </c>
      <c r="C1706" s="16">
        <f t="shared" si="1075"/>
        <v>3.5187229814695437E-4</v>
      </c>
    </row>
    <row r="1707" spans="1:3" x14ac:dyDescent="0.25">
      <c r="A1707" s="1">
        <v>43026</v>
      </c>
      <c r="B1707" s="2">
        <v>10210.849609000001</v>
      </c>
      <c r="C1707" s="16">
        <f t="shared" si="1075"/>
        <v>-2.3086574135513954E-3</v>
      </c>
    </row>
    <row r="1708" spans="1:3" x14ac:dyDescent="0.25">
      <c r="A1708" s="1">
        <v>43027</v>
      </c>
      <c r="B1708" s="2">
        <v>10146.549805000001</v>
      </c>
      <c r="C1708" s="16">
        <f t="shared" si="1075"/>
        <v>-6.3171151207391755E-3</v>
      </c>
    </row>
    <row r="1709" spans="1:3" x14ac:dyDescent="0.25">
      <c r="A1709" s="1">
        <v>43031</v>
      </c>
      <c r="B1709" s="2">
        <v>10184.849609000001</v>
      </c>
      <c r="C1709" s="16">
        <f t="shared" si="1075"/>
        <v>3.7675566274541117E-3</v>
      </c>
    </row>
    <row r="1710" spans="1:3" x14ac:dyDescent="0.25">
      <c r="A1710" s="1">
        <v>43032</v>
      </c>
      <c r="B1710" s="2">
        <v>10207.700194999999</v>
      </c>
      <c r="C1710" s="16">
        <f t="shared" si="1075"/>
        <v>2.2410729196074247E-3</v>
      </c>
    </row>
    <row r="1711" spans="1:3" x14ac:dyDescent="0.25">
      <c r="A1711" s="1">
        <v>43033</v>
      </c>
      <c r="B1711" s="2">
        <v>10295.349609000001</v>
      </c>
      <c r="C1711" s="16">
        <f t="shared" si="1075"/>
        <v>8.5499424504482131E-3</v>
      </c>
    </row>
    <row r="1712" spans="1:3" x14ac:dyDescent="0.25">
      <c r="A1712" s="1">
        <v>43034</v>
      </c>
      <c r="B1712" s="2">
        <v>10343.799805000001</v>
      </c>
      <c r="C1712" s="16">
        <f t="shared" si="1075"/>
        <v>4.6949885411209412E-3</v>
      </c>
    </row>
    <row r="1713" spans="1:3" x14ac:dyDescent="0.25">
      <c r="A1713" s="1">
        <v>43035</v>
      </c>
      <c r="B1713" s="2">
        <v>10323.049805000001</v>
      </c>
      <c r="C1713" s="16">
        <f t="shared" si="1075"/>
        <v>-2.0080474154512045E-3</v>
      </c>
    </row>
    <row r="1714" spans="1:3" x14ac:dyDescent="0.25">
      <c r="A1714" s="1">
        <v>43038</v>
      </c>
      <c r="B1714" s="2">
        <v>10363.650390999999</v>
      </c>
      <c r="C1714" s="16">
        <f t="shared" si="1075"/>
        <v>3.9252889775651468E-3</v>
      </c>
    </row>
    <row r="1715" spans="1:3" x14ac:dyDescent="0.25">
      <c r="A1715" s="1">
        <v>43039</v>
      </c>
      <c r="B1715" s="2">
        <v>10335.299805000001</v>
      </c>
      <c r="C1715" s="16">
        <f t="shared" si="1075"/>
        <v>-2.7393276914926558E-3</v>
      </c>
    </row>
    <row r="1716" spans="1:3" x14ac:dyDescent="0.25">
      <c r="A1716" s="1">
        <v>43040</v>
      </c>
      <c r="B1716" s="2">
        <v>10440.5</v>
      </c>
      <c r="C1716" s="16">
        <f t="shared" si="1075"/>
        <v>1.0127272606719357E-2</v>
      </c>
    </row>
    <row r="1717" spans="1:3" x14ac:dyDescent="0.25">
      <c r="A1717" s="1">
        <v>43041</v>
      </c>
      <c r="B1717" s="2">
        <v>10423.799805000001</v>
      </c>
      <c r="C1717" s="16">
        <f t="shared" si="1075"/>
        <v>-1.6008395893971023E-3</v>
      </c>
    </row>
    <row r="1718" spans="1:3" x14ac:dyDescent="0.25">
      <c r="A1718" s="1">
        <v>43042</v>
      </c>
      <c r="B1718" s="2">
        <v>10452.5</v>
      </c>
      <c r="C1718" s="16">
        <f t="shared" si="1075"/>
        <v>2.7495498100006408E-3</v>
      </c>
    </row>
    <row r="1719" spans="1:3" x14ac:dyDescent="0.25">
      <c r="A1719" s="1">
        <v>43045</v>
      </c>
      <c r="B1719" s="2">
        <v>10451.799805000001</v>
      </c>
      <c r="C1719" s="16">
        <f t="shared" si="1075"/>
        <v>-6.6990524130761735E-5</v>
      </c>
    </row>
    <row r="1720" spans="1:3" x14ac:dyDescent="0.25">
      <c r="A1720" s="1">
        <v>43046</v>
      </c>
      <c r="B1720" s="2">
        <v>10350.150390999999</v>
      </c>
      <c r="C1720" s="16">
        <f t="shared" si="1075"/>
        <v>-9.7731435872404921E-3</v>
      </c>
    </row>
    <row r="1721" spans="1:3" x14ac:dyDescent="0.25">
      <c r="A1721" s="1">
        <v>43047</v>
      </c>
      <c r="B1721" s="2">
        <v>10303.150390999999</v>
      </c>
      <c r="C1721" s="16">
        <f t="shared" si="1075"/>
        <v>-4.5513384643521429E-3</v>
      </c>
    </row>
    <row r="1722" spans="1:3" x14ac:dyDescent="0.25">
      <c r="A1722" s="1">
        <v>43048</v>
      </c>
      <c r="B1722" s="2">
        <v>10308.950194999999</v>
      </c>
      <c r="C1722" s="16">
        <f t="shared" si="1075"/>
        <v>5.6275721427477955E-4</v>
      </c>
    </row>
    <row r="1723" spans="1:3" x14ac:dyDescent="0.25">
      <c r="A1723" s="1">
        <v>43049</v>
      </c>
      <c r="B1723" s="2">
        <v>10321.75</v>
      </c>
      <c r="C1723" s="16">
        <f t="shared" si="1075"/>
        <v>1.2408504337079174E-3</v>
      </c>
    </row>
    <row r="1724" spans="1:3" x14ac:dyDescent="0.25">
      <c r="A1724" s="1">
        <v>43052</v>
      </c>
      <c r="B1724" s="2">
        <v>10224.950194999999</v>
      </c>
      <c r="C1724" s="16">
        <f t="shared" si="1075"/>
        <v>-9.4224883084854036E-3</v>
      </c>
    </row>
    <row r="1725" spans="1:3" x14ac:dyDescent="0.25">
      <c r="A1725" s="1">
        <v>43053</v>
      </c>
      <c r="B1725" s="2">
        <v>10186.599609000001</v>
      </c>
      <c r="C1725" s="16">
        <f t="shared" si="1075"/>
        <v>-3.7577382899398573E-3</v>
      </c>
    </row>
    <row r="1726" spans="1:3" x14ac:dyDescent="0.25">
      <c r="A1726" s="1">
        <v>43054</v>
      </c>
      <c r="B1726" s="2">
        <v>10118.049805000001</v>
      </c>
      <c r="C1726" s="16">
        <f t="shared" si="1075"/>
        <v>-6.7521544492906921E-3</v>
      </c>
    </row>
    <row r="1727" spans="1:3" x14ac:dyDescent="0.25">
      <c r="A1727" s="1">
        <v>43055</v>
      </c>
      <c r="B1727" s="2">
        <v>10214.75</v>
      </c>
      <c r="C1727" s="16">
        <f t="shared" si="1075"/>
        <v>9.5118158839501404E-3</v>
      </c>
    </row>
    <row r="1728" spans="1:3" x14ac:dyDescent="0.25">
      <c r="A1728" s="1">
        <v>43056</v>
      </c>
      <c r="B1728" s="2">
        <v>10283.599609000001</v>
      </c>
      <c r="C1728" s="16">
        <f t="shared" si="1075"/>
        <v>6.7176010969658972E-3</v>
      </c>
    </row>
    <row r="1729" spans="1:3" x14ac:dyDescent="0.25">
      <c r="A1729" s="1">
        <v>43059</v>
      </c>
      <c r="B1729" s="2">
        <v>10298.75</v>
      </c>
      <c r="C1729" s="16">
        <f t="shared" si="1075"/>
        <v>1.4721733936202397E-3</v>
      </c>
    </row>
    <row r="1730" spans="1:3" x14ac:dyDescent="0.25">
      <c r="A1730" s="1">
        <v>43060</v>
      </c>
      <c r="B1730" s="2">
        <v>10326.900390999999</v>
      </c>
      <c r="C1730" s="16">
        <f t="shared" si="1075"/>
        <v>2.729650502687551E-3</v>
      </c>
    </row>
    <row r="1731" spans="1:3" x14ac:dyDescent="0.25">
      <c r="A1731" s="1">
        <v>43061</v>
      </c>
      <c r="B1731" s="2">
        <v>10342.299805000001</v>
      </c>
      <c r="C1731" s="16">
        <f t="shared" si="1075"/>
        <v>1.4900834771846359E-3</v>
      </c>
    </row>
    <row r="1732" spans="1:3" x14ac:dyDescent="0.25">
      <c r="A1732" s="1">
        <v>43062</v>
      </c>
      <c r="B1732" s="2">
        <v>10348.75</v>
      </c>
      <c r="C1732" s="16">
        <f t="shared" ref="C1732:C1795" si="1076">LN(B1732/B1731)</f>
        <v>6.2347684334366376E-4</v>
      </c>
    </row>
    <row r="1733" spans="1:3" x14ac:dyDescent="0.25">
      <c r="A1733" s="1">
        <v>43063</v>
      </c>
      <c r="B1733" s="2">
        <v>10389.700194999999</v>
      </c>
      <c r="C1733" s="16">
        <f t="shared" si="1076"/>
        <v>3.9492100747575863E-3</v>
      </c>
    </row>
    <row r="1734" spans="1:3" x14ac:dyDescent="0.25">
      <c r="A1734" s="1">
        <v>43066</v>
      </c>
      <c r="B1734" s="2">
        <v>10399.549805000001</v>
      </c>
      <c r="C1734" s="16">
        <f t="shared" si="1076"/>
        <v>9.4756768396993447E-4</v>
      </c>
    </row>
    <row r="1735" spans="1:3" x14ac:dyDescent="0.25">
      <c r="A1735" s="1">
        <v>43067</v>
      </c>
      <c r="B1735" s="2">
        <v>10370.25</v>
      </c>
      <c r="C1735" s="16">
        <f t="shared" si="1076"/>
        <v>-2.8213872749061021E-3</v>
      </c>
    </row>
    <row r="1736" spans="1:3" x14ac:dyDescent="0.25">
      <c r="A1736" s="1">
        <v>43068</v>
      </c>
      <c r="B1736" s="2">
        <v>10361.299805000001</v>
      </c>
      <c r="C1736" s="16">
        <f t="shared" si="1076"/>
        <v>-8.6343719019887195E-4</v>
      </c>
    </row>
    <row r="1737" spans="1:3" x14ac:dyDescent="0.25">
      <c r="A1737" s="1">
        <v>43069</v>
      </c>
      <c r="B1737" s="2">
        <v>10226.549805000001</v>
      </c>
      <c r="C1737" s="16">
        <f t="shared" si="1076"/>
        <v>-1.3090432150084387E-2</v>
      </c>
    </row>
    <row r="1738" spans="1:3" x14ac:dyDescent="0.25">
      <c r="A1738" s="1">
        <v>43070</v>
      </c>
      <c r="B1738" s="2">
        <v>10121.799805000001</v>
      </c>
      <c r="C1738" s="16">
        <f t="shared" si="1076"/>
        <v>-1.0295766224009933E-2</v>
      </c>
    </row>
    <row r="1739" spans="1:3" x14ac:dyDescent="0.25">
      <c r="A1739" s="1">
        <v>43073</v>
      </c>
      <c r="B1739" s="2">
        <v>10127.75</v>
      </c>
      <c r="C1739" s="16">
        <f t="shared" si="1076"/>
        <v>5.8768666252377035E-4</v>
      </c>
    </row>
    <row r="1740" spans="1:3" x14ac:dyDescent="0.25">
      <c r="A1740" s="1">
        <v>43074</v>
      </c>
      <c r="B1740" s="2">
        <v>10118.25</v>
      </c>
      <c r="C1740" s="16">
        <f t="shared" si="1076"/>
        <v>-9.3845704803147796E-4</v>
      </c>
    </row>
    <row r="1741" spans="1:3" x14ac:dyDescent="0.25">
      <c r="A1741" s="1">
        <v>43075</v>
      </c>
      <c r="B1741" s="2">
        <v>10044.099609000001</v>
      </c>
      <c r="C1741" s="16">
        <f t="shared" si="1076"/>
        <v>-7.3553654946980074E-3</v>
      </c>
    </row>
    <row r="1742" spans="1:3" x14ac:dyDescent="0.25">
      <c r="A1742" s="1">
        <v>43076</v>
      </c>
      <c r="B1742" s="2">
        <v>10166.700194999999</v>
      </c>
      <c r="C1742" s="16">
        <f t="shared" si="1076"/>
        <v>1.21323342984696E-2</v>
      </c>
    </row>
    <row r="1743" spans="1:3" x14ac:dyDescent="0.25">
      <c r="A1743" s="1">
        <v>43077</v>
      </c>
      <c r="B1743" s="2">
        <v>10265.650390999999</v>
      </c>
      <c r="C1743" s="16">
        <f t="shared" si="1076"/>
        <v>9.6857157135135513E-3</v>
      </c>
    </row>
    <row r="1744" spans="1:3" x14ac:dyDescent="0.25">
      <c r="A1744" s="1">
        <v>43080</v>
      </c>
      <c r="B1744" s="2">
        <v>10322.25</v>
      </c>
      <c r="C1744" s="16">
        <f t="shared" si="1076"/>
        <v>5.4983510234303387E-3</v>
      </c>
    </row>
    <row r="1745" spans="1:3" x14ac:dyDescent="0.25">
      <c r="A1745" s="1">
        <v>43081</v>
      </c>
      <c r="B1745" s="2">
        <v>10240.150390999999</v>
      </c>
      <c r="C1745" s="16">
        <f t="shared" si="1076"/>
        <v>-7.9854534210065057E-3</v>
      </c>
    </row>
    <row r="1746" spans="1:3" x14ac:dyDescent="0.25">
      <c r="A1746" s="1">
        <v>43082</v>
      </c>
      <c r="B1746" s="2">
        <v>10192.950194999999</v>
      </c>
      <c r="C1746" s="16">
        <f t="shared" si="1076"/>
        <v>-4.6199821466791349E-3</v>
      </c>
    </row>
    <row r="1747" spans="1:3" x14ac:dyDescent="0.25">
      <c r="A1747" s="1">
        <v>43083</v>
      </c>
      <c r="B1747" s="2">
        <v>10252.099609000001</v>
      </c>
      <c r="C1747" s="16">
        <f t="shared" si="1076"/>
        <v>5.7862005320990758E-3</v>
      </c>
    </row>
    <row r="1748" spans="1:3" x14ac:dyDescent="0.25">
      <c r="A1748" s="1">
        <v>43084</v>
      </c>
      <c r="B1748" s="2">
        <v>10333.25</v>
      </c>
      <c r="C1748" s="16">
        <f t="shared" si="1076"/>
        <v>7.8843267583611817E-3</v>
      </c>
    </row>
    <row r="1749" spans="1:3" x14ac:dyDescent="0.25">
      <c r="A1749" s="1">
        <v>43087</v>
      </c>
      <c r="B1749" s="2">
        <v>10388.75</v>
      </c>
      <c r="C1749" s="16">
        <f t="shared" si="1076"/>
        <v>5.356638616709943E-3</v>
      </c>
    </row>
    <row r="1750" spans="1:3" x14ac:dyDescent="0.25">
      <c r="A1750" s="1">
        <v>43088</v>
      </c>
      <c r="B1750" s="2">
        <v>10463.200194999999</v>
      </c>
      <c r="C1750" s="16">
        <f t="shared" si="1076"/>
        <v>7.1408679444521705E-3</v>
      </c>
    </row>
    <row r="1751" spans="1:3" x14ac:dyDescent="0.25">
      <c r="A1751" s="1">
        <v>43089</v>
      </c>
      <c r="B1751" s="2">
        <v>10444.200194999999</v>
      </c>
      <c r="C1751" s="16">
        <f t="shared" si="1076"/>
        <v>-1.817538754320261E-3</v>
      </c>
    </row>
    <row r="1752" spans="1:3" x14ac:dyDescent="0.25">
      <c r="A1752" s="1">
        <v>43090</v>
      </c>
      <c r="B1752" s="2">
        <v>10440.299805000001</v>
      </c>
      <c r="C1752" s="16">
        <f t="shared" si="1076"/>
        <v>-3.7352007903919675E-4</v>
      </c>
    </row>
    <row r="1753" spans="1:3" x14ac:dyDescent="0.25">
      <c r="A1753" s="1">
        <v>43091</v>
      </c>
      <c r="B1753" s="2">
        <v>10493</v>
      </c>
      <c r="C1753" s="16">
        <f t="shared" si="1076"/>
        <v>5.0350691795821032E-3</v>
      </c>
    </row>
    <row r="1754" spans="1:3" x14ac:dyDescent="0.25">
      <c r="A1754" s="1">
        <v>43095</v>
      </c>
      <c r="B1754" s="2">
        <v>10531.5</v>
      </c>
      <c r="C1754" s="16">
        <f t="shared" si="1076"/>
        <v>3.6623979675021196E-3</v>
      </c>
    </row>
    <row r="1755" spans="1:3" x14ac:dyDescent="0.25">
      <c r="A1755" s="1">
        <v>43096</v>
      </c>
      <c r="B1755" s="2">
        <v>10490.75</v>
      </c>
      <c r="C1755" s="16">
        <f t="shared" si="1076"/>
        <v>-3.8768496273459364E-3</v>
      </c>
    </row>
    <row r="1756" spans="1:3" x14ac:dyDescent="0.25">
      <c r="A1756" s="1">
        <v>43097</v>
      </c>
      <c r="B1756" s="2">
        <v>10477.900390999999</v>
      </c>
      <c r="C1756" s="16">
        <f t="shared" si="1076"/>
        <v>-1.2256020648774074E-3</v>
      </c>
    </row>
    <row r="1757" spans="1:3" x14ac:dyDescent="0.25">
      <c r="A1757" s="1">
        <v>43098</v>
      </c>
      <c r="B1757" s="2">
        <v>10530.700194999999</v>
      </c>
      <c r="C1757" s="16">
        <f t="shared" si="1076"/>
        <v>5.0265047357818532E-3</v>
      </c>
    </row>
    <row r="1758" spans="1:3" x14ac:dyDescent="0.25">
      <c r="A1758" s="1">
        <v>43102</v>
      </c>
      <c r="B1758" s="2">
        <v>10442.200194999999</v>
      </c>
      <c r="C1758" s="16">
        <f t="shared" si="1076"/>
        <v>-8.43951228878774E-3</v>
      </c>
    </row>
    <row r="1759" spans="1:3" x14ac:dyDescent="0.25">
      <c r="A1759" s="1">
        <v>43103</v>
      </c>
      <c r="B1759" s="2">
        <v>10443.200194999999</v>
      </c>
      <c r="C1759" s="16">
        <f t="shared" si="1076"/>
        <v>9.5760673206307301E-5</v>
      </c>
    </row>
    <row r="1760" spans="1:3" x14ac:dyDescent="0.25">
      <c r="A1760" s="1">
        <v>43104</v>
      </c>
      <c r="B1760" s="2">
        <v>10504.799805000001</v>
      </c>
      <c r="C1760" s="16">
        <f t="shared" si="1076"/>
        <v>5.8812094284621131E-3</v>
      </c>
    </row>
    <row r="1761" spans="1:3" x14ac:dyDescent="0.25">
      <c r="A1761" s="1">
        <v>43105</v>
      </c>
      <c r="B1761" s="2">
        <v>10558.849609000001</v>
      </c>
      <c r="C1761" s="16">
        <f t="shared" si="1076"/>
        <v>5.1320568024995064E-3</v>
      </c>
    </row>
    <row r="1762" spans="1:3" x14ac:dyDescent="0.25">
      <c r="A1762" s="1">
        <v>43108</v>
      </c>
      <c r="B1762" s="2">
        <v>10623.599609000001</v>
      </c>
      <c r="C1762" s="16">
        <f t="shared" si="1076"/>
        <v>6.1135708158015561E-3</v>
      </c>
    </row>
    <row r="1763" spans="1:3" x14ac:dyDescent="0.25">
      <c r="A1763" s="1">
        <v>43109</v>
      </c>
      <c r="B1763" s="2">
        <v>10637</v>
      </c>
      <c r="C1763" s="16">
        <f t="shared" si="1076"/>
        <v>1.2605846515112817E-3</v>
      </c>
    </row>
    <row r="1764" spans="1:3" x14ac:dyDescent="0.25">
      <c r="A1764" s="1">
        <v>43110</v>
      </c>
      <c r="B1764" s="2">
        <v>10632.200194999999</v>
      </c>
      <c r="C1764" s="16">
        <f t="shared" si="1076"/>
        <v>-4.5133855880561693E-4</v>
      </c>
    </row>
    <row r="1765" spans="1:3" x14ac:dyDescent="0.25">
      <c r="A1765" s="1">
        <v>43111</v>
      </c>
      <c r="B1765" s="2">
        <v>10651.200194999999</v>
      </c>
      <c r="C1765" s="16">
        <f t="shared" si="1076"/>
        <v>1.7854294613759466E-3</v>
      </c>
    </row>
    <row r="1766" spans="1:3" x14ac:dyDescent="0.25">
      <c r="A1766" s="1">
        <v>43112</v>
      </c>
      <c r="B1766" s="2">
        <v>10681.25</v>
      </c>
      <c r="C1766" s="16">
        <f t="shared" si="1076"/>
        <v>2.8172877096658304E-3</v>
      </c>
    </row>
    <row r="1767" spans="1:3" x14ac:dyDescent="0.25">
      <c r="A1767" s="1">
        <v>43115</v>
      </c>
      <c r="B1767" s="2">
        <v>10741.549805000001</v>
      </c>
      <c r="C1767" s="16">
        <f t="shared" si="1076"/>
        <v>5.6295129299290892E-3</v>
      </c>
    </row>
    <row r="1768" spans="1:3" x14ac:dyDescent="0.25">
      <c r="A1768" s="1">
        <v>43116</v>
      </c>
      <c r="B1768" s="2">
        <v>10700.450194999999</v>
      </c>
      <c r="C1768" s="16">
        <f t="shared" si="1076"/>
        <v>-3.8335659298657891E-3</v>
      </c>
    </row>
    <row r="1769" spans="1:3" x14ac:dyDescent="0.25">
      <c r="A1769" s="1">
        <v>43117</v>
      </c>
      <c r="B1769" s="2">
        <v>10788.549805000001</v>
      </c>
      <c r="C1769" s="16">
        <f t="shared" si="1076"/>
        <v>8.199553594600166E-3</v>
      </c>
    </row>
    <row r="1770" spans="1:3" x14ac:dyDescent="0.25">
      <c r="A1770" s="1">
        <v>43118</v>
      </c>
      <c r="B1770" s="2">
        <v>10817</v>
      </c>
      <c r="C1770" s="16">
        <f t="shared" si="1076"/>
        <v>2.633602171724969E-3</v>
      </c>
    </row>
    <row r="1771" spans="1:3" x14ac:dyDescent="0.25">
      <c r="A1771" s="1">
        <v>43119</v>
      </c>
      <c r="B1771" s="2">
        <v>10894.700194999999</v>
      </c>
      <c r="C1771" s="16">
        <f t="shared" si="1076"/>
        <v>7.157479701157223E-3</v>
      </c>
    </row>
    <row r="1772" spans="1:3" x14ac:dyDescent="0.25">
      <c r="A1772" s="1">
        <v>43122</v>
      </c>
      <c r="B1772" s="2">
        <v>10966.200194999999</v>
      </c>
      <c r="C1772" s="16">
        <f t="shared" si="1076"/>
        <v>6.5413824389161917E-3</v>
      </c>
    </row>
    <row r="1773" spans="1:3" x14ac:dyDescent="0.25">
      <c r="A1773" s="1">
        <v>43123</v>
      </c>
      <c r="B1773" s="2">
        <v>11083.700194999999</v>
      </c>
      <c r="C1773" s="16">
        <f t="shared" si="1076"/>
        <v>1.0657745398476418E-2</v>
      </c>
    </row>
    <row r="1774" spans="1:3" x14ac:dyDescent="0.25">
      <c r="A1774" s="1">
        <v>43124</v>
      </c>
      <c r="B1774" s="2">
        <v>11086</v>
      </c>
      <c r="C1774" s="16">
        <f t="shared" si="1076"/>
        <v>2.0747281091049774E-4</v>
      </c>
    </row>
    <row r="1775" spans="1:3" x14ac:dyDescent="0.25">
      <c r="A1775" s="1">
        <v>43125</v>
      </c>
      <c r="B1775" s="2">
        <v>11069.650390999999</v>
      </c>
      <c r="C1775" s="16">
        <f t="shared" si="1076"/>
        <v>-1.4758864379286569E-3</v>
      </c>
    </row>
    <row r="1776" spans="1:3" x14ac:dyDescent="0.25">
      <c r="A1776" s="1">
        <v>43129</v>
      </c>
      <c r="B1776" s="2">
        <v>11130.400390999999</v>
      </c>
      <c r="C1776" s="16">
        <f t="shared" si="1076"/>
        <v>5.4729741148610228E-3</v>
      </c>
    </row>
    <row r="1777" spans="1:3" x14ac:dyDescent="0.25">
      <c r="A1777" s="1">
        <v>43130</v>
      </c>
      <c r="B1777" s="2">
        <v>11049.650390999999</v>
      </c>
      <c r="C1777" s="16">
        <f t="shared" si="1076"/>
        <v>-7.2813500348311491E-3</v>
      </c>
    </row>
    <row r="1778" spans="1:3" x14ac:dyDescent="0.25">
      <c r="A1778" s="1">
        <v>43131</v>
      </c>
      <c r="B1778" s="2">
        <v>11027.700194999999</v>
      </c>
      <c r="C1778" s="16">
        <f t="shared" si="1076"/>
        <v>-1.9884816474868292E-3</v>
      </c>
    </row>
    <row r="1779" spans="1:3" x14ac:dyDescent="0.25">
      <c r="A1779" s="1">
        <v>43132</v>
      </c>
      <c r="B1779" s="2">
        <v>11016.900390999999</v>
      </c>
      <c r="C1779" s="16">
        <f t="shared" si="1076"/>
        <v>-9.7981406575137382E-4</v>
      </c>
    </row>
    <row r="1780" spans="1:3" x14ac:dyDescent="0.25">
      <c r="A1780" s="1">
        <v>43133</v>
      </c>
      <c r="B1780" s="2">
        <v>10760.599609000001</v>
      </c>
      <c r="C1780" s="16">
        <f t="shared" si="1076"/>
        <v>-2.3539214001964671E-2</v>
      </c>
    </row>
    <row r="1781" spans="1:3" x14ac:dyDescent="0.25">
      <c r="A1781" s="1">
        <v>43136</v>
      </c>
      <c r="B1781" s="2">
        <v>10666.549805000001</v>
      </c>
      <c r="C1781" s="16">
        <f t="shared" si="1076"/>
        <v>-8.7786206341594342E-3</v>
      </c>
    </row>
    <row r="1782" spans="1:3" x14ac:dyDescent="0.25">
      <c r="A1782" s="1">
        <v>43137</v>
      </c>
      <c r="B1782" s="2">
        <v>10498.25</v>
      </c>
      <c r="C1782" s="16">
        <f t="shared" si="1076"/>
        <v>-1.5904081683973142E-2</v>
      </c>
    </row>
    <row r="1783" spans="1:3" x14ac:dyDescent="0.25">
      <c r="A1783" s="1">
        <v>43138</v>
      </c>
      <c r="B1783" s="2">
        <v>10476.700194999999</v>
      </c>
      <c r="C1783" s="16">
        <f t="shared" si="1076"/>
        <v>-2.054814183782506E-3</v>
      </c>
    </row>
    <row r="1784" spans="1:3" x14ac:dyDescent="0.25">
      <c r="A1784" s="1">
        <v>43139</v>
      </c>
      <c r="B1784" s="2">
        <v>10576.849609000001</v>
      </c>
      <c r="C1784" s="16">
        <f t="shared" si="1076"/>
        <v>9.5138511401873047E-3</v>
      </c>
    </row>
    <row r="1785" spans="1:3" x14ac:dyDescent="0.25">
      <c r="A1785" s="1">
        <v>43140</v>
      </c>
      <c r="B1785" s="2">
        <v>10454.950194999999</v>
      </c>
      <c r="C1785" s="16">
        <f t="shared" si="1076"/>
        <v>-1.1592044442935589E-2</v>
      </c>
    </row>
    <row r="1786" spans="1:3" x14ac:dyDescent="0.25">
      <c r="A1786" s="1">
        <v>43143</v>
      </c>
      <c r="B1786" s="2">
        <v>10539.75</v>
      </c>
      <c r="C1786" s="16">
        <f t="shared" si="1076"/>
        <v>8.0782545469790593E-3</v>
      </c>
    </row>
    <row r="1787" spans="1:3" x14ac:dyDescent="0.25">
      <c r="A1787" s="1">
        <v>43145</v>
      </c>
      <c r="B1787" s="2">
        <v>10500.900390999999</v>
      </c>
      <c r="C1787" s="16">
        <f t="shared" si="1076"/>
        <v>-3.6928186559916985E-3</v>
      </c>
    </row>
    <row r="1788" spans="1:3" x14ac:dyDescent="0.25">
      <c r="A1788" s="1">
        <v>43146</v>
      </c>
      <c r="B1788" s="2">
        <v>10545.5</v>
      </c>
      <c r="C1788" s="16">
        <f t="shared" si="1076"/>
        <v>4.2382236326967814E-3</v>
      </c>
    </row>
    <row r="1789" spans="1:3" x14ac:dyDescent="0.25">
      <c r="A1789" s="1">
        <v>43147</v>
      </c>
      <c r="B1789" s="2">
        <v>10452.299805000001</v>
      </c>
      <c r="C1789" s="16">
        <f t="shared" si="1076"/>
        <v>-8.8771974126171712E-3</v>
      </c>
    </row>
    <row r="1790" spans="1:3" x14ac:dyDescent="0.25">
      <c r="A1790" s="1">
        <v>43150</v>
      </c>
      <c r="B1790" s="2">
        <v>10378.400390999999</v>
      </c>
      <c r="C1790" s="16">
        <f t="shared" si="1076"/>
        <v>-7.0952702818495358E-3</v>
      </c>
    </row>
    <row r="1791" spans="1:3" x14ac:dyDescent="0.25">
      <c r="A1791" s="1">
        <v>43151</v>
      </c>
      <c r="B1791" s="2">
        <v>10360.400390999999</v>
      </c>
      <c r="C1791" s="16">
        <f t="shared" si="1076"/>
        <v>-1.7358770846120017E-3</v>
      </c>
    </row>
    <row r="1792" spans="1:3" x14ac:dyDescent="0.25">
      <c r="A1792" s="1">
        <v>43152</v>
      </c>
      <c r="B1792" s="2">
        <v>10397.450194999999</v>
      </c>
      <c r="C1792" s="16">
        <f t="shared" si="1076"/>
        <v>3.5697186652310377E-3</v>
      </c>
    </row>
    <row r="1793" spans="1:3" x14ac:dyDescent="0.25">
      <c r="A1793" s="1">
        <v>43153</v>
      </c>
      <c r="B1793" s="2">
        <v>10382.700194999999</v>
      </c>
      <c r="C1793" s="16">
        <f t="shared" si="1076"/>
        <v>-1.4196242279630698E-3</v>
      </c>
    </row>
    <row r="1794" spans="1:3" x14ac:dyDescent="0.25">
      <c r="A1794" s="1">
        <v>43154</v>
      </c>
      <c r="B1794" s="2">
        <v>10491.049805000001</v>
      </c>
      <c r="C1794" s="16">
        <f t="shared" si="1076"/>
        <v>1.0381515838893627E-2</v>
      </c>
    </row>
    <row r="1795" spans="1:3" x14ac:dyDescent="0.25">
      <c r="A1795" s="1">
        <v>43157</v>
      </c>
      <c r="B1795" s="2">
        <v>10582.599609000001</v>
      </c>
      <c r="C1795" s="16">
        <f t="shared" si="1076"/>
        <v>8.688611843194801E-3</v>
      </c>
    </row>
    <row r="1796" spans="1:3" x14ac:dyDescent="0.25">
      <c r="A1796" s="1">
        <v>43158</v>
      </c>
      <c r="B1796" s="2">
        <v>10554.299805000001</v>
      </c>
      <c r="C1796" s="16">
        <f t="shared" ref="C1796:C1859" si="1077">LN(B1796/B1795)</f>
        <v>-2.6777646385907966E-3</v>
      </c>
    </row>
    <row r="1797" spans="1:3" x14ac:dyDescent="0.25">
      <c r="A1797" s="1">
        <v>43159</v>
      </c>
      <c r="B1797" s="2">
        <v>10492.849609000001</v>
      </c>
      <c r="C1797" s="16">
        <f t="shared" si="1077"/>
        <v>-5.8393057795423989E-3</v>
      </c>
    </row>
    <row r="1798" spans="1:3" x14ac:dyDescent="0.25">
      <c r="A1798" s="1">
        <v>43160</v>
      </c>
      <c r="B1798" s="2">
        <v>10458.349609000001</v>
      </c>
      <c r="C1798" s="16">
        <f t="shared" si="1077"/>
        <v>-3.2933705440055714E-3</v>
      </c>
    </row>
    <row r="1799" spans="1:3" x14ac:dyDescent="0.25">
      <c r="A1799" s="1">
        <v>43164</v>
      </c>
      <c r="B1799" s="2">
        <v>10358.849609000001</v>
      </c>
      <c r="C1799" s="16">
        <f t="shared" si="1077"/>
        <v>-9.5594759582258715E-3</v>
      </c>
    </row>
    <row r="1800" spans="1:3" x14ac:dyDescent="0.25">
      <c r="A1800" s="1">
        <v>43165</v>
      </c>
      <c r="B1800" s="2">
        <v>10249.25</v>
      </c>
      <c r="C1800" s="16">
        <f t="shared" si="1077"/>
        <v>-1.0636656887844081E-2</v>
      </c>
    </row>
    <row r="1801" spans="1:3" x14ac:dyDescent="0.25">
      <c r="A1801" s="1">
        <v>43166</v>
      </c>
      <c r="B1801" s="2">
        <v>10154.200194999999</v>
      </c>
      <c r="C1801" s="16">
        <f t="shared" si="1077"/>
        <v>-9.3170999692370905E-3</v>
      </c>
    </row>
    <row r="1802" spans="1:3" x14ac:dyDescent="0.25">
      <c r="A1802" s="1">
        <v>43167</v>
      </c>
      <c r="B1802" s="2">
        <v>10242.650390999999</v>
      </c>
      <c r="C1802" s="16">
        <f t="shared" si="1077"/>
        <v>8.6729811610981224E-3</v>
      </c>
    </row>
    <row r="1803" spans="1:3" x14ac:dyDescent="0.25">
      <c r="A1803" s="1">
        <v>43168</v>
      </c>
      <c r="B1803" s="2">
        <v>10226.849609000001</v>
      </c>
      <c r="C1803" s="16">
        <f t="shared" si="1077"/>
        <v>-1.543836941629285E-3</v>
      </c>
    </row>
    <row r="1804" spans="1:3" x14ac:dyDescent="0.25">
      <c r="A1804" s="1">
        <v>43171</v>
      </c>
      <c r="B1804" s="2">
        <v>10421.400390999999</v>
      </c>
      <c r="C1804" s="16">
        <f t="shared" si="1077"/>
        <v>1.8844845399002483E-2</v>
      </c>
    </row>
    <row r="1805" spans="1:3" x14ac:dyDescent="0.25">
      <c r="A1805" s="1">
        <v>43172</v>
      </c>
      <c r="B1805" s="2">
        <v>10426.849609000001</v>
      </c>
      <c r="C1805" s="16">
        <f t="shared" si="1077"/>
        <v>5.2275065044710709E-4</v>
      </c>
    </row>
    <row r="1806" spans="1:3" x14ac:dyDescent="0.25">
      <c r="A1806" s="1">
        <v>43173</v>
      </c>
      <c r="B1806" s="2">
        <v>10410.900390999999</v>
      </c>
      <c r="C1806" s="16">
        <f t="shared" si="1077"/>
        <v>-1.5308006972492333E-3</v>
      </c>
    </row>
    <row r="1807" spans="1:3" x14ac:dyDescent="0.25">
      <c r="A1807" s="1">
        <v>43174</v>
      </c>
      <c r="B1807" s="2">
        <v>10360.150390999999</v>
      </c>
      <c r="C1807" s="16">
        <f t="shared" si="1077"/>
        <v>-4.8866185462684945E-3</v>
      </c>
    </row>
    <row r="1808" spans="1:3" x14ac:dyDescent="0.25">
      <c r="A1808" s="1">
        <v>43175</v>
      </c>
      <c r="B1808" s="2">
        <v>10195.150390999999</v>
      </c>
      <c r="C1808" s="16">
        <f t="shared" si="1077"/>
        <v>-1.6054597867360427E-2</v>
      </c>
    </row>
    <row r="1809" spans="1:3" x14ac:dyDescent="0.25">
      <c r="A1809" s="1">
        <v>43178</v>
      </c>
      <c r="B1809" s="2">
        <v>10094.25</v>
      </c>
      <c r="C1809" s="16">
        <f t="shared" si="1077"/>
        <v>-9.9462005646068496E-3</v>
      </c>
    </row>
    <row r="1810" spans="1:3" x14ac:dyDescent="0.25">
      <c r="A1810" s="1">
        <v>43179</v>
      </c>
      <c r="B1810" s="2">
        <v>10124.349609000001</v>
      </c>
      <c r="C1810" s="16">
        <f t="shared" si="1077"/>
        <v>2.9774199814274838E-3</v>
      </c>
    </row>
    <row r="1811" spans="1:3" x14ac:dyDescent="0.25">
      <c r="A1811" s="1">
        <v>43180</v>
      </c>
      <c r="B1811" s="2">
        <v>10155.25</v>
      </c>
      <c r="C1811" s="16">
        <f t="shared" si="1077"/>
        <v>3.0474383626688827E-3</v>
      </c>
    </row>
    <row r="1812" spans="1:3" x14ac:dyDescent="0.25">
      <c r="A1812" s="1">
        <v>43181</v>
      </c>
      <c r="B1812" s="2">
        <v>10114.75</v>
      </c>
      <c r="C1812" s="16">
        <f t="shared" si="1077"/>
        <v>-3.9960585982851977E-3</v>
      </c>
    </row>
    <row r="1813" spans="1:3" x14ac:dyDescent="0.25">
      <c r="A1813" s="1">
        <v>43182</v>
      </c>
      <c r="B1813" s="2">
        <v>9998.0498050000006</v>
      </c>
      <c r="C1813" s="16">
        <f t="shared" si="1077"/>
        <v>-1.1604700070338389E-2</v>
      </c>
    </row>
    <row r="1814" spans="1:3" x14ac:dyDescent="0.25">
      <c r="A1814" s="1">
        <v>43185</v>
      </c>
      <c r="B1814" s="2">
        <v>10130.650390999999</v>
      </c>
      <c r="C1814" s="16">
        <f t="shared" si="1077"/>
        <v>1.3175466166555299E-2</v>
      </c>
    </row>
    <row r="1815" spans="1:3" x14ac:dyDescent="0.25">
      <c r="A1815" s="1">
        <v>43186</v>
      </c>
      <c r="B1815" s="2">
        <v>10184.150390999999</v>
      </c>
      <c r="C1815" s="16">
        <f t="shared" si="1077"/>
        <v>5.2671078844472178E-3</v>
      </c>
    </row>
    <row r="1816" spans="1:3" x14ac:dyDescent="0.25">
      <c r="A1816" s="1">
        <v>43187</v>
      </c>
      <c r="B1816" s="2">
        <v>10113.700194999999</v>
      </c>
      <c r="C1816" s="16">
        <f t="shared" si="1077"/>
        <v>-6.9416688824803898E-3</v>
      </c>
    </row>
    <row r="1817" spans="1:3" x14ac:dyDescent="0.25">
      <c r="A1817" s="1">
        <v>43192</v>
      </c>
      <c r="B1817" s="2">
        <v>10211.799805000001</v>
      </c>
      <c r="C1817" s="16">
        <f t="shared" si="1077"/>
        <v>9.6529356459103873E-3</v>
      </c>
    </row>
    <row r="1818" spans="1:3" x14ac:dyDescent="0.25">
      <c r="A1818" s="1">
        <v>43193</v>
      </c>
      <c r="B1818" s="2">
        <v>10245</v>
      </c>
      <c r="C1818" s="16">
        <f t="shared" si="1077"/>
        <v>3.2458864011601549E-3</v>
      </c>
    </row>
    <row r="1819" spans="1:3" x14ac:dyDescent="0.25">
      <c r="A1819" s="1">
        <v>43194</v>
      </c>
      <c r="B1819" s="2">
        <v>10128.400390999999</v>
      </c>
      <c r="C1819" s="16">
        <f t="shared" si="1077"/>
        <v>-1.1446383993834987E-2</v>
      </c>
    </row>
    <row r="1820" spans="1:3" x14ac:dyDescent="0.25">
      <c r="A1820" s="1">
        <v>43195</v>
      </c>
      <c r="B1820" s="2">
        <v>10325.150390999999</v>
      </c>
      <c r="C1820" s="16">
        <f t="shared" si="1077"/>
        <v>1.9239306758275083E-2</v>
      </c>
    </row>
    <row r="1821" spans="1:3" x14ac:dyDescent="0.25">
      <c r="A1821" s="1">
        <v>43196</v>
      </c>
      <c r="B1821" s="2">
        <v>10331.599609000001</v>
      </c>
      <c r="C1821" s="16">
        <f t="shared" si="1077"/>
        <v>6.2441751093914011E-4</v>
      </c>
    </row>
    <row r="1822" spans="1:3" x14ac:dyDescent="0.25">
      <c r="A1822" s="1">
        <v>43199</v>
      </c>
      <c r="B1822" s="2">
        <v>10379.349609000001</v>
      </c>
      <c r="C1822" s="16">
        <f t="shared" si="1077"/>
        <v>4.6110957159146765E-3</v>
      </c>
    </row>
    <row r="1823" spans="1:3" x14ac:dyDescent="0.25">
      <c r="A1823" s="1">
        <v>43200</v>
      </c>
      <c r="B1823" s="2">
        <v>10402.25</v>
      </c>
      <c r="C1823" s="16">
        <f t="shared" si="1077"/>
        <v>2.20391121956196E-3</v>
      </c>
    </row>
    <row r="1824" spans="1:3" x14ac:dyDescent="0.25">
      <c r="A1824" s="1">
        <v>43201</v>
      </c>
      <c r="B1824" s="2">
        <v>10417.150390999999</v>
      </c>
      <c r="C1824" s="16">
        <f t="shared" si="1077"/>
        <v>1.4313950703929632E-3</v>
      </c>
    </row>
    <row r="1825" spans="1:3" x14ac:dyDescent="0.25">
      <c r="A1825" s="1">
        <v>43202</v>
      </c>
      <c r="B1825" s="2">
        <v>10458.650390999999</v>
      </c>
      <c r="C1825" s="16">
        <f t="shared" si="1077"/>
        <v>3.9759006231139876E-3</v>
      </c>
    </row>
    <row r="1826" spans="1:3" x14ac:dyDescent="0.25">
      <c r="A1826" s="1">
        <v>43203</v>
      </c>
      <c r="B1826" s="2">
        <v>10480.599609000001</v>
      </c>
      <c r="C1826" s="16">
        <f t="shared" si="1077"/>
        <v>2.0964672602142914E-3</v>
      </c>
    </row>
    <row r="1827" spans="1:3" x14ac:dyDescent="0.25">
      <c r="A1827" s="1">
        <v>43206</v>
      </c>
      <c r="B1827" s="2">
        <v>10528.349609000001</v>
      </c>
      <c r="C1827" s="16">
        <f t="shared" si="1077"/>
        <v>4.5456897179564542E-3</v>
      </c>
    </row>
    <row r="1828" spans="1:3" x14ac:dyDescent="0.25">
      <c r="A1828" s="1">
        <v>43207</v>
      </c>
      <c r="B1828" s="2">
        <v>10548.700194999999</v>
      </c>
      <c r="C1828" s="16">
        <f t="shared" si="1077"/>
        <v>1.9310664930070659E-3</v>
      </c>
    </row>
    <row r="1829" spans="1:3" x14ac:dyDescent="0.25">
      <c r="A1829" s="1">
        <v>43208</v>
      </c>
      <c r="B1829" s="2">
        <v>10526.200194999999</v>
      </c>
      <c r="C1829" s="16">
        <f t="shared" si="1077"/>
        <v>-2.1352422201043621E-3</v>
      </c>
    </row>
    <row r="1830" spans="1:3" x14ac:dyDescent="0.25">
      <c r="A1830" s="1">
        <v>43209</v>
      </c>
      <c r="B1830" s="2">
        <v>10565.299805000001</v>
      </c>
      <c r="C1830" s="16">
        <f t="shared" si="1077"/>
        <v>3.7076220079269289E-3</v>
      </c>
    </row>
    <row r="1831" spans="1:3" x14ac:dyDescent="0.25">
      <c r="A1831" s="1">
        <v>43210</v>
      </c>
      <c r="B1831" s="2">
        <v>10564.049805000001</v>
      </c>
      <c r="C1831" s="16">
        <f t="shared" si="1077"/>
        <v>-1.1831883371047178E-4</v>
      </c>
    </row>
    <row r="1832" spans="1:3" x14ac:dyDescent="0.25">
      <c r="A1832" s="1">
        <v>43213</v>
      </c>
      <c r="B1832" s="2">
        <v>10584.700194999999</v>
      </c>
      <c r="C1832" s="16">
        <f t="shared" si="1077"/>
        <v>1.9528715941015274E-3</v>
      </c>
    </row>
    <row r="1833" spans="1:3" x14ac:dyDescent="0.25">
      <c r="A1833" s="1">
        <v>43214</v>
      </c>
      <c r="B1833" s="2">
        <v>10614.349609000001</v>
      </c>
      <c r="C1833" s="16">
        <f t="shared" si="1077"/>
        <v>2.7972417261087155E-3</v>
      </c>
    </row>
    <row r="1834" spans="1:3" x14ac:dyDescent="0.25">
      <c r="A1834" s="1">
        <v>43215</v>
      </c>
      <c r="B1834" s="2">
        <v>10570.549805000001</v>
      </c>
      <c r="C1834" s="16">
        <f t="shared" si="1077"/>
        <v>-4.1350082011271409E-3</v>
      </c>
    </row>
    <row r="1835" spans="1:3" x14ac:dyDescent="0.25">
      <c r="A1835" s="1">
        <v>43216</v>
      </c>
      <c r="B1835" s="2">
        <v>10617.799805000001</v>
      </c>
      <c r="C1835" s="16">
        <f t="shared" si="1077"/>
        <v>4.4600055401240535E-3</v>
      </c>
    </row>
    <row r="1836" spans="1:3" x14ac:dyDescent="0.25">
      <c r="A1836" s="1">
        <v>43217</v>
      </c>
      <c r="B1836" s="2">
        <v>10692.299805000001</v>
      </c>
      <c r="C1836" s="16">
        <f t="shared" si="1077"/>
        <v>6.9920183272893996E-3</v>
      </c>
    </row>
    <row r="1837" spans="1:3" x14ac:dyDescent="0.25">
      <c r="A1837" s="1">
        <v>43220</v>
      </c>
      <c r="B1837" s="2">
        <v>10739.349609000001</v>
      </c>
      <c r="C1837" s="16">
        <f t="shared" si="1077"/>
        <v>4.3906914187781896E-3</v>
      </c>
    </row>
    <row r="1838" spans="1:3" x14ac:dyDescent="0.25">
      <c r="A1838" s="1">
        <v>43222</v>
      </c>
      <c r="B1838" s="2">
        <v>10718.049805000001</v>
      </c>
      <c r="C1838" s="16">
        <f t="shared" si="1077"/>
        <v>-1.9853115081721246E-3</v>
      </c>
    </row>
    <row r="1839" spans="1:3" x14ac:dyDescent="0.25">
      <c r="A1839" s="1">
        <v>43223</v>
      </c>
      <c r="B1839" s="2">
        <v>10679.650390999999</v>
      </c>
      <c r="C1839" s="16">
        <f t="shared" si="1077"/>
        <v>-3.5891198464629058E-3</v>
      </c>
    </row>
    <row r="1840" spans="1:3" x14ac:dyDescent="0.25">
      <c r="A1840" s="1">
        <v>43224</v>
      </c>
      <c r="B1840" s="2">
        <v>10618.25</v>
      </c>
      <c r="C1840" s="16">
        <f t="shared" si="1077"/>
        <v>-5.7658792631388421E-3</v>
      </c>
    </row>
    <row r="1841" spans="1:3" x14ac:dyDescent="0.25">
      <c r="A1841" s="1">
        <v>43227</v>
      </c>
      <c r="B1841" s="2">
        <v>10715.5</v>
      </c>
      <c r="C1841" s="16">
        <f t="shared" si="1077"/>
        <v>9.1170725845766357E-3</v>
      </c>
    </row>
    <row r="1842" spans="1:3" x14ac:dyDescent="0.25">
      <c r="A1842" s="1">
        <v>43228</v>
      </c>
      <c r="B1842" s="2">
        <v>10717.799805000001</v>
      </c>
      <c r="C1842" s="16">
        <f t="shared" si="1077"/>
        <v>2.1460111413094425E-4</v>
      </c>
    </row>
    <row r="1843" spans="1:3" x14ac:dyDescent="0.25">
      <c r="A1843" s="1">
        <v>43229</v>
      </c>
      <c r="B1843" s="2">
        <v>10741.700194999999</v>
      </c>
      <c r="C1843" s="16">
        <f t="shared" si="1077"/>
        <v>2.227488979913437E-3</v>
      </c>
    </row>
    <row r="1844" spans="1:3" x14ac:dyDescent="0.25">
      <c r="A1844" s="1">
        <v>43230</v>
      </c>
      <c r="B1844" s="2">
        <v>10716.549805000001</v>
      </c>
      <c r="C1844" s="16">
        <f t="shared" si="1077"/>
        <v>-2.3441241962050734E-3</v>
      </c>
    </row>
    <row r="1845" spans="1:3" x14ac:dyDescent="0.25">
      <c r="A1845" s="1">
        <v>43231</v>
      </c>
      <c r="B1845" s="2">
        <v>10806.5</v>
      </c>
      <c r="C1845" s="16">
        <f t="shared" si="1077"/>
        <v>8.3585476514034217E-3</v>
      </c>
    </row>
    <row r="1846" spans="1:3" x14ac:dyDescent="0.25">
      <c r="A1846" s="1">
        <v>43234</v>
      </c>
      <c r="B1846" s="2">
        <v>10806.599609000001</v>
      </c>
      <c r="C1846" s="16">
        <f t="shared" si="1077"/>
        <v>9.2174655003638278E-6</v>
      </c>
    </row>
    <row r="1847" spans="1:3" x14ac:dyDescent="0.25">
      <c r="A1847" s="1">
        <v>43235</v>
      </c>
      <c r="B1847" s="2">
        <v>10801.849609000001</v>
      </c>
      <c r="C1847" s="16">
        <f t="shared" si="1077"/>
        <v>-4.3964284790528035E-4</v>
      </c>
    </row>
    <row r="1848" spans="1:3" x14ac:dyDescent="0.25">
      <c r="A1848" s="1">
        <v>43236</v>
      </c>
      <c r="B1848" s="2">
        <v>10741.099609000001</v>
      </c>
      <c r="C1848" s="16">
        <f t="shared" si="1077"/>
        <v>-5.6399112689907976E-3</v>
      </c>
    </row>
    <row r="1849" spans="1:3" x14ac:dyDescent="0.25">
      <c r="A1849" s="1">
        <v>43237</v>
      </c>
      <c r="B1849" s="2">
        <v>10682.700194999999</v>
      </c>
      <c r="C1849" s="16">
        <f t="shared" si="1077"/>
        <v>-5.4518394666230692E-3</v>
      </c>
    </row>
    <row r="1850" spans="1:3" x14ac:dyDescent="0.25">
      <c r="A1850" s="1">
        <v>43238</v>
      </c>
      <c r="B1850" s="2">
        <v>10596.400390999999</v>
      </c>
      <c r="C1850" s="16">
        <f t="shared" si="1077"/>
        <v>-8.1112711328121413E-3</v>
      </c>
    </row>
    <row r="1851" spans="1:3" x14ac:dyDescent="0.25">
      <c r="A1851" s="1">
        <v>43241</v>
      </c>
      <c r="B1851" s="2">
        <v>10516.700194999999</v>
      </c>
      <c r="C1851" s="16">
        <f t="shared" si="1077"/>
        <v>-7.5498692628701951E-3</v>
      </c>
    </row>
    <row r="1852" spans="1:3" x14ac:dyDescent="0.25">
      <c r="A1852" s="1">
        <v>43242</v>
      </c>
      <c r="B1852" s="2">
        <v>10536.700194999999</v>
      </c>
      <c r="C1852" s="16">
        <f t="shared" si="1077"/>
        <v>1.8999311888572615E-3</v>
      </c>
    </row>
    <row r="1853" spans="1:3" x14ac:dyDescent="0.25">
      <c r="A1853" s="1">
        <v>43243</v>
      </c>
      <c r="B1853" s="2">
        <v>10430.349609000001</v>
      </c>
      <c r="C1853" s="16">
        <f t="shared" si="1077"/>
        <v>-1.0144631607114476E-2</v>
      </c>
    </row>
    <row r="1854" spans="1:3" x14ac:dyDescent="0.25">
      <c r="A1854" s="1">
        <v>43244</v>
      </c>
      <c r="B1854" s="2">
        <v>10513.849609000001</v>
      </c>
      <c r="C1854" s="16">
        <f t="shared" si="1077"/>
        <v>7.9736104045368458E-3</v>
      </c>
    </row>
    <row r="1855" spans="1:3" x14ac:dyDescent="0.25">
      <c r="A1855" s="1">
        <v>43245</v>
      </c>
      <c r="B1855" s="2">
        <v>10605.150390999999</v>
      </c>
      <c r="C1855" s="16">
        <f t="shared" si="1077"/>
        <v>8.6463706426509381E-3</v>
      </c>
    </row>
    <row r="1856" spans="1:3" x14ac:dyDescent="0.25">
      <c r="A1856" s="1">
        <v>43248</v>
      </c>
      <c r="B1856" s="2">
        <v>10688.650390999999</v>
      </c>
      <c r="C1856" s="16">
        <f t="shared" si="1077"/>
        <v>7.8426983371363817E-3</v>
      </c>
    </row>
    <row r="1857" spans="1:3" x14ac:dyDescent="0.25">
      <c r="A1857" s="1">
        <v>43249</v>
      </c>
      <c r="B1857" s="2">
        <v>10633.299805000001</v>
      </c>
      <c r="C1857" s="16">
        <f t="shared" si="1077"/>
        <v>-5.1918994112799127E-3</v>
      </c>
    </row>
    <row r="1858" spans="1:3" x14ac:dyDescent="0.25">
      <c r="A1858" s="1">
        <v>43250</v>
      </c>
      <c r="B1858" s="2">
        <v>10614.349609000001</v>
      </c>
      <c r="C1858" s="16">
        <f t="shared" si="1077"/>
        <v>-1.7837456421957883E-3</v>
      </c>
    </row>
    <row r="1859" spans="1:3" x14ac:dyDescent="0.25">
      <c r="A1859" s="1">
        <v>43251</v>
      </c>
      <c r="B1859" s="2">
        <v>10736.150390999999</v>
      </c>
      <c r="C1859" s="16">
        <f t="shared" si="1077"/>
        <v>1.1409765894063902E-2</v>
      </c>
    </row>
    <row r="1860" spans="1:3" x14ac:dyDescent="0.25">
      <c r="A1860" s="1">
        <v>43252</v>
      </c>
      <c r="B1860" s="2">
        <v>10696.200194999999</v>
      </c>
      <c r="C1860" s="16">
        <f t="shared" ref="C1860:C1923" si="1078">LN(B1860/B1859)</f>
        <v>-3.7280318002829516E-3</v>
      </c>
    </row>
    <row r="1861" spans="1:3" x14ac:dyDescent="0.25">
      <c r="A1861" s="1">
        <v>43255</v>
      </c>
      <c r="B1861" s="2">
        <v>10628.5</v>
      </c>
      <c r="C1861" s="16">
        <f t="shared" si="1078"/>
        <v>-6.3494841034640002E-3</v>
      </c>
    </row>
    <row r="1862" spans="1:3" x14ac:dyDescent="0.25">
      <c r="A1862" s="1">
        <v>43256</v>
      </c>
      <c r="B1862" s="2">
        <v>10593.150390999999</v>
      </c>
      <c r="C1862" s="16">
        <f t="shared" si="1078"/>
        <v>-3.3314696117616718E-3</v>
      </c>
    </row>
    <row r="1863" spans="1:3" x14ac:dyDescent="0.25">
      <c r="A1863" s="1">
        <v>43257</v>
      </c>
      <c r="B1863" s="2">
        <v>10684.650390999999</v>
      </c>
      <c r="C1863" s="16">
        <f t="shared" si="1078"/>
        <v>8.6005659096057823E-3</v>
      </c>
    </row>
    <row r="1864" spans="1:3" x14ac:dyDescent="0.25">
      <c r="A1864" s="1">
        <v>43258</v>
      </c>
      <c r="B1864" s="2">
        <v>10768.349609000001</v>
      </c>
      <c r="C1864" s="16">
        <f t="shared" si="1078"/>
        <v>7.8030711498476447E-3</v>
      </c>
    </row>
    <row r="1865" spans="1:3" x14ac:dyDescent="0.25">
      <c r="A1865" s="1">
        <v>43259</v>
      </c>
      <c r="B1865" s="2">
        <v>10767.650390999999</v>
      </c>
      <c r="C1865" s="16">
        <f t="shared" si="1078"/>
        <v>-6.4934806857991375E-5</v>
      </c>
    </row>
    <row r="1866" spans="1:3" x14ac:dyDescent="0.25">
      <c r="A1866" s="1">
        <v>43262</v>
      </c>
      <c r="B1866" s="2">
        <v>10786.950194999999</v>
      </c>
      <c r="C1866" s="16">
        <f t="shared" si="1078"/>
        <v>1.7907832790234935E-3</v>
      </c>
    </row>
    <row r="1867" spans="1:3" x14ac:dyDescent="0.25">
      <c r="A1867" s="1">
        <v>43263</v>
      </c>
      <c r="B1867" s="2">
        <v>10842.849609000001</v>
      </c>
      <c r="C1867" s="16">
        <f t="shared" si="1078"/>
        <v>5.1687522729949959E-3</v>
      </c>
    </row>
    <row r="1868" spans="1:3" x14ac:dyDescent="0.25">
      <c r="A1868" s="1">
        <v>43264</v>
      </c>
      <c r="B1868" s="2">
        <v>10856.700194999999</v>
      </c>
      <c r="C1868" s="16">
        <f t="shared" si="1078"/>
        <v>1.276578362783937E-3</v>
      </c>
    </row>
    <row r="1869" spans="1:3" x14ac:dyDescent="0.25">
      <c r="A1869" s="1">
        <v>43265</v>
      </c>
      <c r="B1869" s="2">
        <v>10808.049805000001</v>
      </c>
      <c r="C1869" s="16">
        <f t="shared" si="1078"/>
        <v>-4.4912100787771045E-3</v>
      </c>
    </row>
    <row r="1870" spans="1:3" x14ac:dyDescent="0.25">
      <c r="A1870" s="1">
        <v>43266</v>
      </c>
      <c r="B1870" s="2">
        <v>10817.700194999999</v>
      </c>
      <c r="C1870" s="16">
        <f t="shared" si="1078"/>
        <v>8.9249072430552345E-4</v>
      </c>
    </row>
    <row r="1871" spans="1:3" x14ac:dyDescent="0.25">
      <c r="A1871" s="1">
        <v>43269</v>
      </c>
      <c r="B1871" s="2">
        <v>10799.849609000001</v>
      </c>
      <c r="C1871" s="16">
        <f t="shared" si="1078"/>
        <v>-1.6514905915810858E-3</v>
      </c>
    </row>
    <row r="1872" spans="1:3" x14ac:dyDescent="0.25">
      <c r="A1872" s="1">
        <v>43270</v>
      </c>
      <c r="B1872" s="2">
        <v>10710.450194999999</v>
      </c>
      <c r="C1872" s="16">
        <f t="shared" si="1078"/>
        <v>-8.3122903504099632E-3</v>
      </c>
    </row>
    <row r="1873" spans="1:3" x14ac:dyDescent="0.25">
      <c r="A1873" s="1">
        <v>43271</v>
      </c>
      <c r="B1873" s="2">
        <v>10772.049805000001</v>
      </c>
      <c r="C1873" s="16">
        <f t="shared" si="1078"/>
        <v>5.7348799095317928E-3</v>
      </c>
    </row>
    <row r="1874" spans="1:3" x14ac:dyDescent="0.25">
      <c r="A1874" s="1">
        <v>43272</v>
      </c>
      <c r="B1874" s="2">
        <v>10741.099609000001</v>
      </c>
      <c r="C1874" s="16">
        <f t="shared" si="1078"/>
        <v>-2.8773302093078601E-3</v>
      </c>
    </row>
    <row r="1875" spans="1:3" x14ac:dyDescent="0.25">
      <c r="A1875" s="1">
        <v>43273</v>
      </c>
      <c r="B1875" s="2">
        <v>10821.849609000001</v>
      </c>
      <c r="C1875" s="16">
        <f t="shared" si="1078"/>
        <v>7.4897340492138679E-3</v>
      </c>
    </row>
    <row r="1876" spans="1:3" x14ac:dyDescent="0.25">
      <c r="A1876" s="1">
        <v>43276</v>
      </c>
      <c r="B1876" s="2">
        <v>10762.450194999999</v>
      </c>
      <c r="C1876" s="16">
        <f t="shared" si="1078"/>
        <v>-5.5039602387890853E-3</v>
      </c>
    </row>
    <row r="1877" spans="1:3" x14ac:dyDescent="0.25">
      <c r="A1877" s="1">
        <v>43277</v>
      </c>
      <c r="B1877" s="2">
        <v>10769.150390999999</v>
      </c>
      <c r="C1877" s="16">
        <f t="shared" si="1078"/>
        <v>6.2235932619169655E-4</v>
      </c>
    </row>
    <row r="1878" spans="1:3" x14ac:dyDescent="0.25">
      <c r="A1878" s="1">
        <v>43278</v>
      </c>
      <c r="B1878" s="2">
        <v>10671.400390999999</v>
      </c>
      <c r="C1878" s="16">
        <f t="shared" si="1078"/>
        <v>-9.1182990833638209E-3</v>
      </c>
    </row>
    <row r="1879" spans="1:3" x14ac:dyDescent="0.25">
      <c r="A1879" s="1">
        <v>43279</v>
      </c>
      <c r="B1879" s="2">
        <v>10589.099609000001</v>
      </c>
      <c r="C1879" s="16">
        <f t="shared" si="1078"/>
        <v>-7.7421691023356462E-3</v>
      </c>
    </row>
    <row r="1880" spans="1:3" x14ac:dyDescent="0.25">
      <c r="A1880" s="1">
        <v>43280</v>
      </c>
      <c r="B1880" s="2">
        <v>10714.299805000001</v>
      </c>
      <c r="C1880" s="16">
        <f t="shared" si="1078"/>
        <v>1.175414637210829E-2</v>
      </c>
    </row>
    <row r="1881" spans="1:3" x14ac:dyDescent="0.25">
      <c r="A1881" s="1">
        <v>43283</v>
      </c>
      <c r="B1881" s="2">
        <v>10657.299805000001</v>
      </c>
      <c r="C1881" s="16">
        <f t="shared" si="1078"/>
        <v>-5.3341945567812838E-3</v>
      </c>
    </row>
    <row r="1882" spans="1:3" x14ac:dyDescent="0.25">
      <c r="A1882" s="1">
        <v>43284</v>
      </c>
      <c r="B1882" s="2">
        <v>10699.900390999999</v>
      </c>
      <c r="C1882" s="16">
        <f t="shared" si="1078"/>
        <v>3.9893471155081576E-3</v>
      </c>
    </row>
    <row r="1883" spans="1:3" x14ac:dyDescent="0.25">
      <c r="A1883" s="1">
        <v>43285</v>
      </c>
      <c r="B1883" s="2">
        <v>10769.900390999999</v>
      </c>
      <c r="C1883" s="16">
        <f t="shared" si="1078"/>
        <v>6.5208102068165267E-3</v>
      </c>
    </row>
    <row r="1884" spans="1:3" x14ac:dyDescent="0.25">
      <c r="A1884" s="1">
        <v>43286</v>
      </c>
      <c r="B1884" s="2">
        <v>10749.75</v>
      </c>
      <c r="C1884" s="16">
        <f t="shared" si="1078"/>
        <v>-1.8727438897114645E-3</v>
      </c>
    </row>
    <row r="1885" spans="1:3" x14ac:dyDescent="0.25">
      <c r="A1885" s="1">
        <v>43287</v>
      </c>
      <c r="B1885" s="2">
        <v>10772.650390999999</v>
      </c>
      <c r="C1885" s="16">
        <f t="shared" si="1078"/>
        <v>2.1280525616292657E-3</v>
      </c>
    </row>
    <row r="1886" spans="1:3" x14ac:dyDescent="0.25">
      <c r="A1886" s="1">
        <v>43290</v>
      </c>
      <c r="B1886" s="2">
        <v>10852.900390999999</v>
      </c>
      <c r="C1886" s="16">
        <f t="shared" si="1078"/>
        <v>7.421810355537373E-3</v>
      </c>
    </row>
    <row r="1887" spans="1:3" x14ac:dyDescent="0.25">
      <c r="A1887" s="1">
        <v>43291</v>
      </c>
      <c r="B1887" s="2">
        <v>10947.25</v>
      </c>
      <c r="C1887" s="16">
        <f t="shared" si="1078"/>
        <v>8.6559217622135306E-3</v>
      </c>
    </row>
    <row r="1888" spans="1:3" x14ac:dyDescent="0.25">
      <c r="A1888" s="1">
        <v>43292</v>
      </c>
      <c r="B1888" s="2">
        <v>10948.299805000001</v>
      </c>
      <c r="C1888" s="16">
        <f t="shared" si="1078"/>
        <v>9.5892088589145266E-5</v>
      </c>
    </row>
    <row r="1889" spans="1:3" x14ac:dyDescent="0.25">
      <c r="A1889" s="1">
        <v>43293</v>
      </c>
      <c r="B1889" s="2">
        <v>11023.200194999999</v>
      </c>
      <c r="C1889" s="16">
        <f t="shared" si="1078"/>
        <v>6.8179851302522174E-3</v>
      </c>
    </row>
    <row r="1890" spans="1:3" x14ac:dyDescent="0.25">
      <c r="A1890" s="1">
        <v>43294</v>
      </c>
      <c r="B1890" s="2">
        <v>11018.900390999999</v>
      </c>
      <c r="C1890" s="16">
        <f t="shared" si="1078"/>
        <v>-3.901446722615389E-4</v>
      </c>
    </row>
    <row r="1891" spans="1:3" x14ac:dyDescent="0.25">
      <c r="A1891" s="1">
        <v>43297</v>
      </c>
      <c r="B1891" s="2">
        <v>10936.849609000001</v>
      </c>
      <c r="C1891" s="16">
        <f t="shared" si="1078"/>
        <v>-7.4742301195974761E-3</v>
      </c>
    </row>
    <row r="1892" spans="1:3" x14ac:dyDescent="0.25">
      <c r="A1892" s="1">
        <v>43298</v>
      </c>
      <c r="B1892" s="2">
        <v>11008.049805000001</v>
      </c>
      <c r="C1892" s="16">
        <f t="shared" si="1078"/>
        <v>6.4890200218657504E-3</v>
      </c>
    </row>
    <row r="1893" spans="1:3" x14ac:dyDescent="0.25">
      <c r="A1893" s="1">
        <v>43299</v>
      </c>
      <c r="B1893" s="2">
        <v>10980.450194999999</v>
      </c>
      <c r="C1893" s="16">
        <f t="shared" si="1078"/>
        <v>-2.5103690105541905E-3</v>
      </c>
    </row>
    <row r="1894" spans="1:3" x14ac:dyDescent="0.25">
      <c r="A1894" s="1">
        <v>43300</v>
      </c>
      <c r="B1894" s="2">
        <v>10957.099609000001</v>
      </c>
      <c r="C1894" s="16">
        <f t="shared" si="1078"/>
        <v>-2.1288243242433762E-3</v>
      </c>
    </row>
    <row r="1895" spans="1:3" x14ac:dyDescent="0.25">
      <c r="A1895" s="1">
        <v>43301</v>
      </c>
      <c r="B1895" s="2">
        <v>11010.200194999999</v>
      </c>
      <c r="C1895" s="16">
        <f t="shared" si="1078"/>
        <v>4.834521301991709E-3</v>
      </c>
    </row>
    <row r="1896" spans="1:3" x14ac:dyDescent="0.25">
      <c r="A1896" s="1">
        <v>43304</v>
      </c>
      <c r="B1896" s="2">
        <v>11084.75</v>
      </c>
      <c r="C1896" s="16">
        <f t="shared" si="1078"/>
        <v>6.7481562296832073E-3</v>
      </c>
    </row>
    <row r="1897" spans="1:3" x14ac:dyDescent="0.25">
      <c r="A1897" s="1">
        <v>43305</v>
      </c>
      <c r="B1897" s="2">
        <v>11134.299805000001</v>
      </c>
      <c r="C1897" s="16">
        <f t="shared" si="1078"/>
        <v>4.4601265648086504E-3</v>
      </c>
    </row>
    <row r="1898" spans="1:3" x14ac:dyDescent="0.25">
      <c r="A1898" s="1">
        <v>43306</v>
      </c>
      <c r="B1898" s="2">
        <v>11132</v>
      </c>
      <c r="C1898" s="16">
        <f t="shared" si="1078"/>
        <v>-2.065727155674234E-4</v>
      </c>
    </row>
    <row r="1899" spans="1:3" x14ac:dyDescent="0.25">
      <c r="A1899" s="1">
        <v>43307</v>
      </c>
      <c r="B1899" s="2">
        <v>11167.299805000001</v>
      </c>
      <c r="C1899" s="16">
        <f t="shared" si="1078"/>
        <v>3.1660038471655692E-3</v>
      </c>
    </row>
    <row r="1900" spans="1:3" x14ac:dyDescent="0.25">
      <c r="A1900" s="1">
        <v>43308</v>
      </c>
      <c r="B1900" s="2">
        <v>11278.349609000001</v>
      </c>
      <c r="C1900" s="16">
        <f t="shared" si="1078"/>
        <v>9.895076595701319E-3</v>
      </c>
    </row>
    <row r="1901" spans="1:3" x14ac:dyDescent="0.25">
      <c r="A1901" s="1">
        <v>43311</v>
      </c>
      <c r="B1901" s="2">
        <v>11319.549805000001</v>
      </c>
      <c r="C1901" s="16">
        <f t="shared" si="1078"/>
        <v>3.646378001357952E-3</v>
      </c>
    </row>
    <row r="1902" spans="1:3" x14ac:dyDescent="0.25">
      <c r="A1902" s="1">
        <v>43312</v>
      </c>
      <c r="B1902" s="2">
        <v>11356.5</v>
      </c>
      <c r="C1902" s="16">
        <f t="shared" si="1078"/>
        <v>3.2589651214645242E-3</v>
      </c>
    </row>
    <row r="1903" spans="1:3" x14ac:dyDescent="0.25">
      <c r="A1903" s="1">
        <v>43313</v>
      </c>
      <c r="B1903" s="2">
        <v>11346.200194999999</v>
      </c>
      <c r="C1903" s="16">
        <f t="shared" si="1078"/>
        <v>-9.0736393628886394E-4</v>
      </c>
    </row>
    <row r="1904" spans="1:3" x14ac:dyDescent="0.25">
      <c r="A1904" s="1">
        <v>43314</v>
      </c>
      <c r="B1904" s="2">
        <v>11244.700194999999</v>
      </c>
      <c r="C1904" s="16">
        <f t="shared" si="1078"/>
        <v>-8.9859794199295857E-3</v>
      </c>
    </row>
    <row r="1905" spans="1:3" x14ac:dyDescent="0.25">
      <c r="A1905" s="1">
        <v>43315</v>
      </c>
      <c r="B1905" s="2">
        <v>11360.799805000001</v>
      </c>
      <c r="C1905" s="16">
        <f t="shared" si="1078"/>
        <v>1.0271892311266548E-2</v>
      </c>
    </row>
    <row r="1906" spans="1:3" x14ac:dyDescent="0.25">
      <c r="A1906" s="1">
        <v>43318</v>
      </c>
      <c r="B1906" s="2">
        <v>11387.099609000001</v>
      </c>
      <c r="C1906" s="16">
        <f t="shared" si="1078"/>
        <v>2.3122852127460637E-3</v>
      </c>
    </row>
    <row r="1907" spans="1:3" x14ac:dyDescent="0.25">
      <c r="A1907" s="1">
        <v>43319</v>
      </c>
      <c r="B1907" s="2">
        <v>11389.450194999999</v>
      </c>
      <c r="C1907" s="16">
        <f t="shared" si="1078"/>
        <v>2.0640404526324073E-4</v>
      </c>
    </row>
    <row r="1908" spans="1:3" x14ac:dyDescent="0.25">
      <c r="A1908" s="1">
        <v>43320</v>
      </c>
      <c r="B1908" s="2">
        <v>11450</v>
      </c>
      <c r="C1908" s="16">
        <f t="shared" si="1078"/>
        <v>5.3022245578571159E-3</v>
      </c>
    </row>
    <row r="1909" spans="1:3" x14ac:dyDescent="0.25">
      <c r="A1909" s="1">
        <v>43321</v>
      </c>
      <c r="B1909" s="2">
        <v>11470.700194999999</v>
      </c>
      <c r="C1909" s="16">
        <f t="shared" si="1078"/>
        <v>1.8062450493914674E-3</v>
      </c>
    </row>
    <row r="1910" spans="1:3" x14ac:dyDescent="0.25">
      <c r="A1910" s="1">
        <v>43322</v>
      </c>
      <c r="B1910" s="2">
        <v>11429.5</v>
      </c>
      <c r="C1910" s="16">
        <f t="shared" si="1078"/>
        <v>-3.5982427316741412E-3</v>
      </c>
    </row>
    <row r="1911" spans="1:3" x14ac:dyDescent="0.25">
      <c r="A1911" s="1">
        <v>43325</v>
      </c>
      <c r="B1911" s="2">
        <v>11355.75</v>
      </c>
      <c r="C1911" s="16">
        <f t="shared" si="1078"/>
        <v>-6.4735087435117758E-3</v>
      </c>
    </row>
    <row r="1912" spans="1:3" x14ac:dyDescent="0.25">
      <c r="A1912" s="1">
        <v>43326</v>
      </c>
      <c r="B1912" s="2">
        <v>11435.099609000001</v>
      </c>
      <c r="C1912" s="16">
        <f t="shared" si="1078"/>
        <v>6.9633147499765123E-3</v>
      </c>
    </row>
    <row r="1913" spans="1:3" x14ac:dyDescent="0.25">
      <c r="A1913" s="1">
        <v>43328</v>
      </c>
      <c r="B1913" s="2">
        <v>11385.049805000001</v>
      </c>
      <c r="C1913" s="16">
        <f t="shared" si="1078"/>
        <v>-4.3864642025738176E-3</v>
      </c>
    </row>
    <row r="1914" spans="1:3" x14ac:dyDescent="0.25">
      <c r="A1914" s="1">
        <v>43329</v>
      </c>
      <c r="B1914" s="2">
        <v>11470.75</v>
      </c>
      <c r="C1914" s="16">
        <f t="shared" si="1078"/>
        <v>7.4992428503363141E-3</v>
      </c>
    </row>
    <row r="1915" spans="1:3" x14ac:dyDescent="0.25">
      <c r="A1915" s="1">
        <v>43332</v>
      </c>
      <c r="B1915" s="2">
        <v>11551.75</v>
      </c>
      <c r="C1915" s="16">
        <f t="shared" si="1078"/>
        <v>7.0366236698632748E-3</v>
      </c>
    </row>
    <row r="1916" spans="1:3" x14ac:dyDescent="0.25">
      <c r="A1916" s="1">
        <v>43333</v>
      </c>
      <c r="B1916" s="2">
        <v>11570.900390999999</v>
      </c>
      <c r="C1916" s="16">
        <f t="shared" si="1078"/>
        <v>1.6564187110719888E-3</v>
      </c>
    </row>
    <row r="1917" spans="1:3" x14ac:dyDescent="0.25">
      <c r="A1917" s="1">
        <v>43335</v>
      </c>
      <c r="B1917" s="2">
        <v>11582.75</v>
      </c>
      <c r="C1917" s="16">
        <f t="shared" si="1078"/>
        <v>1.0235630092400145E-3</v>
      </c>
    </row>
    <row r="1918" spans="1:3" x14ac:dyDescent="0.25">
      <c r="A1918" s="1">
        <v>43336</v>
      </c>
      <c r="B1918" s="2">
        <v>11557.099609000001</v>
      </c>
      <c r="C1918" s="16">
        <f t="shared" si="1078"/>
        <v>-2.2169894739579193E-3</v>
      </c>
    </row>
    <row r="1919" spans="1:3" x14ac:dyDescent="0.25">
      <c r="A1919" s="1">
        <v>43339</v>
      </c>
      <c r="B1919" s="2">
        <v>11691.950194999999</v>
      </c>
      <c r="C1919" s="16">
        <f t="shared" si="1078"/>
        <v>1.1600654601259809E-2</v>
      </c>
    </row>
    <row r="1920" spans="1:3" x14ac:dyDescent="0.25">
      <c r="A1920" s="1">
        <v>43340</v>
      </c>
      <c r="B1920" s="2">
        <v>11738.5</v>
      </c>
      <c r="C1920" s="16">
        <f t="shared" si="1078"/>
        <v>3.9734504337556962E-3</v>
      </c>
    </row>
    <row r="1921" spans="1:3" x14ac:dyDescent="0.25">
      <c r="A1921" s="1">
        <v>43341</v>
      </c>
      <c r="B1921" s="2">
        <v>11691.900390999999</v>
      </c>
      <c r="C1921" s="16">
        <f t="shared" si="1078"/>
        <v>-3.9777101257013996E-3</v>
      </c>
    </row>
    <row r="1922" spans="1:3" x14ac:dyDescent="0.25">
      <c r="A1922" s="1">
        <v>43342</v>
      </c>
      <c r="B1922" s="2">
        <v>11676.799805000001</v>
      </c>
      <c r="C1922" s="16">
        <f t="shared" si="1078"/>
        <v>-1.2923772375137944E-3</v>
      </c>
    </row>
    <row r="1923" spans="1:3" x14ac:dyDescent="0.25">
      <c r="A1923" s="1">
        <v>43343</v>
      </c>
      <c r="B1923" s="2">
        <v>11680.5</v>
      </c>
      <c r="C1923" s="16">
        <f t="shared" si="1078"/>
        <v>3.1683414280289667E-4</v>
      </c>
    </row>
    <row r="1924" spans="1:3" x14ac:dyDescent="0.25">
      <c r="A1924" s="1">
        <v>43346</v>
      </c>
      <c r="B1924" s="2">
        <v>11582.349609000001</v>
      </c>
      <c r="C1924" s="16">
        <f t="shared" ref="C1924:C1987" si="1079">LN(B1924/B1923)</f>
        <v>-8.4384308084520399E-3</v>
      </c>
    </row>
    <row r="1925" spans="1:3" x14ac:dyDescent="0.25">
      <c r="A1925" s="1">
        <v>43347</v>
      </c>
      <c r="B1925" s="2">
        <v>11520.299805000001</v>
      </c>
      <c r="C1925" s="16">
        <f t="shared" si="1079"/>
        <v>-5.3716742258705496E-3</v>
      </c>
    </row>
    <row r="1926" spans="1:3" x14ac:dyDescent="0.25">
      <c r="A1926" s="1">
        <v>43348</v>
      </c>
      <c r="B1926" s="2">
        <v>11476.950194999999</v>
      </c>
      <c r="C1926" s="16">
        <f t="shared" si="1079"/>
        <v>-3.7699865282380444E-3</v>
      </c>
    </row>
    <row r="1927" spans="1:3" x14ac:dyDescent="0.25">
      <c r="A1927" s="1">
        <v>43349</v>
      </c>
      <c r="B1927" s="2">
        <v>11536.900390999999</v>
      </c>
      <c r="C1927" s="16">
        <f t="shared" si="1079"/>
        <v>5.2099348938035939E-3</v>
      </c>
    </row>
    <row r="1928" spans="1:3" x14ac:dyDescent="0.25">
      <c r="A1928" s="1">
        <v>43350</v>
      </c>
      <c r="B1928" s="2">
        <v>11589.099609000001</v>
      </c>
      <c r="C1928" s="16">
        <f t="shared" si="1079"/>
        <v>4.5143394143757317E-3</v>
      </c>
    </row>
    <row r="1929" spans="1:3" x14ac:dyDescent="0.25">
      <c r="A1929" s="1">
        <v>43353</v>
      </c>
      <c r="B1929" s="2">
        <v>11438.099609000001</v>
      </c>
      <c r="C1929" s="16">
        <f t="shared" si="1079"/>
        <v>-1.3115113390524723E-2</v>
      </c>
    </row>
    <row r="1930" spans="1:3" x14ac:dyDescent="0.25">
      <c r="A1930" s="1">
        <v>43354</v>
      </c>
      <c r="B1930" s="2">
        <v>11287.5</v>
      </c>
      <c r="C1930" s="16">
        <f t="shared" si="1079"/>
        <v>-1.325393531500367E-2</v>
      </c>
    </row>
    <row r="1931" spans="1:3" x14ac:dyDescent="0.25">
      <c r="A1931" s="1">
        <v>43355</v>
      </c>
      <c r="B1931" s="2">
        <v>11369.900390999999</v>
      </c>
      <c r="C1931" s="16">
        <f t="shared" si="1079"/>
        <v>7.2736282949500061E-3</v>
      </c>
    </row>
    <row r="1932" spans="1:3" x14ac:dyDescent="0.25">
      <c r="A1932" s="1">
        <v>43357</v>
      </c>
      <c r="B1932" s="2">
        <v>11515.200194999999</v>
      </c>
      <c r="C1932" s="16">
        <f t="shared" si="1079"/>
        <v>1.2698371667488164E-2</v>
      </c>
    </row>
    <row r="1933" spans="1:3" x14ac:dyDescent="0.25">
      <c r="A1933" s="1">
        <v>43360</v>
      </c>
      <c r="B1933" s="2">
        <v>11377.75</v>
      </c>
      <c r="C1933" s="16">
        <f t="shared" si="1079"/>
        <v>-1.2008224845584061E-2</v>
      </c>
    </row>
    <row r="1934" spans="1:3" x14ac:dyDescent="0.25">
      <c r="A1934" s="1">
        <v>43361</v>
      </c>
      <c r="B1934" s="2">
        <v>11278.900390999999</v>
      </c>
      <c r="C1934" s="16">
        <f t="shared" si="1079"/>
        <v>-8.7259356092039223E-3</v>
      </c>
    </row>
    <row r="1935" spans="1:3" x14ac:dyDescent="0.25">
      <c r="A1935" s="1">
        <v>43362</v>
      </c>
      <c r="B1935" s="2">
        <v>11234.349609000001</v>
      </c>
      <c r="C1935" s="16">
        <f t="shared" si="1079"/>
        <v>-3.9577440087619304E-3</v>
      </c>
    </row>
    <row r="1936" spans="1:3" x14ac:dyDescent="0.25">
      <c r="A1936" s="1">
        <v>43364</v>
      </c>
      <c r="B1936" s="2">
        <v>11143.099609000001</v>
      </c>
      <c r="C1936" s="16">
        <f t="shared" si="1079"/>
        <v>-8.1555770624027347E-3</v>
      </c>
    </row>
    <row r="1937" spans="1:3" x14ac:dyDescent="0.25">
      <c r="A1937" s="1">
        <v>43367</v>
      </c>
      <c r="B1937" s="2">
        <v>10967.400390999999</v>
      </c>
      <c r="C1937" s="16">
        <f t="shared" si="1079"/>
        <v>-1.5893165360002102E-2</v>
      </c>
    </row>
    <row r="1938" spans="1:3" x14ac:dyDescent="0.25">
      <c r="A1938" s="1">
        <v>43368</v>
      </c>
      <c r="B1938" s="2">
        <v>11067.450194999999</v>
      </c>
      <c r="C1938" s="16">
        <f t="shared" si="1079"/>
        <v>9.0811136815029583E-3</v>
      </c>
    </row>
    <row r="1939" spans="1:3" x14ac:dyDescent="0.25">
      <c r="A1939" s="1">
        <v>43369</v>
      </c>
      <c r="B1939" s="2">
        <v>11053.799805000001</v>
      </c>
      <c r="C1939" s="16">
        <f t="shared" si="1079"/>
        <v>-1.2341428927013253E-3</v>
      </c>
    </row>
    <row r="1940" spans="1:3" x14ac:dyDescent="0.25">
      <c r="A1940" s="1">
        <v>43370</v>
      </c>
      <c r="B1940" s="2">
        <v>10977.549805000001</v>
      </c>
      <c r="C1940" s="16">
        <f t="shared" si="1079"/>
        <v>-6.9219821574301021E-3</v>
      </c>
    </row>
    <row r="1941" spans="1:3" x14ac:dyDescent="0.25">
      <c r="A1941" s="1">
        <v>43371</v>
      </c>
      <c r="B1941" s="2">
        <v>10930.450194999999</v>
      </c>
      <c r="C1941" s="16">
        <f t="shared" si="1079"/>
        <v>-4.2997701812005022E-3</v>
      </c>
    </row>
    <row r="1942" spans="1:3" x14ac:dyDescent="0.25">
      <c r="A1942" s="1">
        <v>43374</v>
      </c>
      <c r="B1942" s="2">
        <v>11008.299805000001</v>
      </c>
      <c r="C1942" s="16">
        <f t="shared" si="1079"/>
        <v>7.0970257429458757E-3</v>
      </c>
    </row>
    <row r="1943" spans="1:3" x14ac:dyDescent="0.25">
      <c r="A1943" s="1">
        <v>43376</v>
      </c>
      <c r="B1943" s="2">
        <v>10858.25</v>
      </c>
      <c r="C1943" s="16">
        <f t="shared" si="1079"/>
        <v>-1.372435629643837E-2</v>
      </c>
    </row>
    <row r="1944" spans="1:3" x14ac:dyDescent="0.25">
      <c r="A1944" s="1">
        <v>43377</v>
      </c>
      <c r="B1944" s="2">
        <v>10599.25</v>
      </c>
      <c r="C1944" s="16">
        <f t="shared" si="1079"/>
        <v>-2.4141915818458322E-2</v>
      </c>
    </row>
    <row r="1945" spans="1:3" x14ac:dyDescent="0.25">
      <c r="A1945" s="1">
        <v>43378</v>
      </c>
      <c r="B1945" s="2">
        <v>10316.450194999999</v>
      </c>
      <c r="C1945" s="16">
        <f t="shared" si="1079"/>
        <v>-2.7043516369507008E-2</v>
      </c>
    </row>
    <row r="1946" spans="1:3" x14ac:dyDescent="0.25">
      <c r="A1946" s="1">
        <v>43381</v>
      </c>
      <c r="B1946" s="2">
        <v>10348.049805000001</v>
      </c>
      <c r="C1946" s="16">
        <f t="shared" si="1079"/>
        <v>3.0583497912445808E-3</v>
      </c>
    </row>
    <row r="1947" spans="1:3" x14ac:dyDescent="0.25">
      <c r="A1947" s="1">
        <v>43382</v>
      </c>
      <c r="B1947" s="2">
        <v>10301.049805000001</v>
      </c>
      <c r="C1947" s="16">
        <f t="shared" si="1079"/>
        <v>-4.5522644621977838E-3</v>
      </c>
    </row>
    <row r="1948" spans="1:3" x14ac:dyDescent="0.25">
      <c r="A1948" s="1">
        <v>43383</v>
      </c>
      <c r="B1948" s="2">
        <v>10460.099609000001</v>
      </c>
      <c r="C1948" s="16">
        <f t="shared" si="1079"/>
        <v>1.5322168583036483E-2</v>
      </c>
    </row>
    <row r="1949" spans="1:3" x14ac:dyDescent="0.25">
      <c r="A1949" s="1">
        <v>43384</v>
      </c>
      <c r="B1949" s="2">
        <v>10234.650390999999</v>
      </c>
      <c r="C1949" s="16">
        <f t="shared" si="1079"/>
        <v>-2.1788921093240834E-2</v>
      </c>
    </row>
    <row r="1950" spans="1:3" x14ac:dyDescent="0.25">
      <c r="A1950" s="1">
        <v>43385</v>
      </c>
      <c r="B1950" s="2">
        <v>10472.5</v>
      </c>
      <c r="C1950" s="16">
        <f t="shared" si="1079"/>
        <v>2.2973713491910481E-2</v>
      </c>
    </row>
    <row r="1951" spans="1:3" x14ac:dyDescent="0.25">
      <c r="A1951" s="1">
        <v>43388</v>
      </c>
      <c r="B1951" s="2">
        <v>10512.5</v>
      </c>
      <c r="C1951" s="16">
        <f t="shared" si="1079"/>
        <v>3.8122514600135221E-3</v>
      </c>
    </row>
    <row r="1952" spans="1:3" x14ac:dyDescent="0.25">
      <c r="A1952" s="1">
        <v>43389</v>
      </c>
      <c r="B1952" s="2">
        <v>10584.75</v>
      </c>
      <c r="C1952" s="16">
        <f t="shared" si="1079"/>
        <v>6.8492606810225632E-3</v>
      </c>
    </row>
    <row r="1953" spans="1:3" x14ac:dyDescent="0.25">
      <c r="A1953" s="1">
        <v>43390</v>
      </c>
      <c r="B1953" s="2">
        <v>10453.049805000001</v>
      </c>
      <c r="C1953" s="16">
        <f t="shared" si="1079"/>
        <v>-1.2520502780006944E-2</v>
      </c>
    </row>
    <row r="1954" spans="1:3" x14ac:dyDescent="0.25">
      <c r="A1954" s="1">
        <v>43392</v>
      </c>
      <c r="B1954" s="2">
        <v>10303.549805000001</v>
      </c>
      <c r="C1954" s="16">
        <f t="shared" si="1079"/>
        <v>-1.4405306077514082E-2</v>
      </c>
    </row>
    <row r="1955" spans="1:3" x14ac:dyDescent="0.25">
      <c r="A1955" s="1">
        <v>43395</v>
      </c>
      <c r="B1955" s="2">
        <v>10245.25</v>
      </c>
      <c r="C1955" s="16">
        <f t="shared" si="1079"/>
        <v>-5.6742935820435119E-3</v>
      </c>
    </row>
    <row r="1956" spans="1:3" x14ac:dyDescent="0.25">
      <c r="A1956" s="1">
        <v>43396</v>
      </c>
      <c r="B1956" s="2">
        <v>10146.799805000001</v>
      </c>
      <c r="C1956" s="16">
        <f t="shared" si="1079"/>
        <v>-9.6558179148999498E-3</v>
      </c>
    </row>
    <row r="1957" spans="1:3" x14ac:dyDescent="0.25">
      <c r="A1957" s="1">
        <v>43397</v>
      </c>
      <c r="B1957" s="2">
        <v>10224.75</v>
      </c>
      <c r="C1957" s="16">
        <f t="shared" si="1079"/>
        <v>7.652886126587201E-3</v>
      </c>
    </row>
    <row r="1958" spans="1:3" x14ac:dyDescent="0.25">
      <c r="A1958" s="1">
        <v>43398</v>
      </c>
      <c r="B1958" s="2">
        <v>10124.900390999999</v>
      </c>
      <c r="C1958" s="16">
        <f t="shared" si="1079"/>
        <v>-9.8134767339275349E-3</v>
      </c>
    </row>
    <row r="1959" spans="1:3" x14ac:dyDescent="0.25">
      <c r="A1959" s="1">
        <v>43399</v>
      </c>
      <c r="B1959" s="2">
        <v>10030</v>
      </c>
      <c r="C1959" s="16">
        <f t="shared" si="1079"/>
        <v>-9.4171730444400012E-3</v>
      </c>
    </row>
    <row r="1960" spans="1:3" x14ac:dyDescent="0.25">
      <c r="A1960" s="1">
        <v>43402</v>
      </c>
      <c r="B1960" s="2">
        <v>10250.849609000001</v>
      </c>
      <c r="C1960" s="16">
        <f t="shared" si="1079"/>
        <v>2.1779988858422788E-2</v>
      </c>
    </row>
    <row r="1961" spans="1:3" x14ac:dyDescent="0.25">
      <c r="A1961" s="1">
        <v>43403</v>
      </c>
      <c r="B1961" s="2">
        <v>10198.400390999999</v>
      </c>
      <c r="C1961" s="16">
        <f t="shared" si="1079"/>
        <v>-5.1297072520402965E-3</v>
      </c>
    </row>
    <row r="1962" spans="1:3" x14ac:dyDescent="0.25">
      <c r="A1962" s="1">
        <v>43404</v>
      </c>
      <c r="B1962" s="2">
        <v>10386.599609000001</v>
      </c>
      <c r="C1962" s="16">
        <f t="shared" si="1079"/>
        <v>1.8285592603716923E-2</v>
      </c>
    </row>
    <row r="1963" spans="1:3" x14ac:dyDescent="0.25">
      <c r="A1963" s="1">
        <v>43405</v>
      </c>
      <c r="B1963" s="2">
        <v>10380.450194999999</v>
      </c>
      <c r="C1963" s="16">
        <f t="shared" si="1079"/>
        <v>-5.9222799942923877E-4</v>
      </c>
    </row>
    <row r="1964" spans="1:3" x14ac:dyDescent="0.25">
      <c r="A1964" s="1">
        <v>43406</v>
      </c>
      <c r="B1964" s="2">
        <v>10553</v>
      </c>
      <c r="C1964" s="16">
        <f t="shared" si="1079"/>
        <v>1.6485931504438823E-2</v>
      </c>
    </row>
    <row r="1965" spans="1:3" x14ac:dyDescent="0.25">
      <c r="A1965" s="1">
        <v>43409</v>
      </c>
      <c r="B1965" s="2">
        <v>10524</v>
      </c>
      <c r="C1965" s="16">
        <f t="shared" si="1079"/>
        <v>-2.7518165109068284E-3</v>
      </c>
    </row>
    <row r="1966" spans="1:3" x14ac:dyDescent="0.25">
      <c r="A1966" s="1">
        <v>43410</v>
      </c>
      <c r="B1966" s="2">
        <v>10530</v>
      </c>
      <c r="C1966" s="16">
        <f t="shared" si="1079"/>
        <v>5.6996296783781274E-4</v>
      </c>
    </row>
    <row r="1967" spans="1:3" x14ac:dyDescent="0.25">
      <c r="A1967" s="1">
        <v>43411</v>
      </c>
      <c r="B1967" s="2">
        <v>10598.400390999999</v>
      </c>
      <c r="C1967" s="16">
        <f t="shared" si="1079"/>
        <v>6.4747570751704248E-3</v>
      </c>
    </row>
    <row r="1968" spans="1:3" x14ac:dyDescent="0.25">
      <c r="A1968" s="1">
        <v>43413</v>
      </c>
      <c r="B1968" s="2">
        <v>10585.200194999999</v>
      </c>
      <c r="C1968" s="16">
        <f t="shared" si="1079"/>
        <v>-1.246265728522567E-3</v>
      </c>
    </row>
    <row r="1969" spans="1:3" x14ac:dyDescent="0.25">
      <c r="A1969" s="1">
        <v>43416</v>
      </c>
      <c r="B1969" s="2">
        <v>10482.200194999999</v>
      </c>
      <c r="C1969" s="16">
        <f t="shared" si="1079"/>
        <v>-9.7782183634381493E-3</v>
      </c>
    </row>
    <row r="1970" spans="1:3" x14ac:dyDescent="0.25">
      <c r="A1970" s="1">
        <v>43417</v>
      </c>
      <c r="B1970" s="2">
        <v>10582.5</v>
      </c>
      <c r="C1970" s="16">
        <f t="shared" si="1079"/>
        <v>9.5230942838478265E-3</v>
      </c>
    </row>
    <row r="1971" spans="1:3" x14ac:dyDescent="0.25">
      <c r="A1971" s="1">
        <v>43418</v>
      </c>
      <c r="B1971" s="2">
        <v>10576.299805000001</v>
      </c>
      <c r="C1971" s="16">
        <f t="shared" si="1079"/>
        <v>-5.8606303142010345E-4</v>
      </c>
    </row>
    <row r="1972" spans="1:3" x14ac:dyDescent="0.25">
      <c r="A1972" s="1">
        <v>43419</v>
      </c>
      <c r="B1972" s="2">
        <v>10616.700194999999</v>
      </c>
      <c r="C1972" s="16">
        <f t="shared" si="1079"/>
        <v>3.8126210483265489E-3</v>
      </c>
    </row>
    <row r="1973" spans="1:3" x14ac:dyDescent="0.25">
      <c r="A1973" s="1">
        <v>43420</v>
      </c>
      <c r="B1973" s="2">
        <v>10682.200194999999</v>
      </c>
      <c r="C1973" s="16">
        <f t="shared" si="1079"/>
        <v>6.1505716526863976E-3</v>
      </c>
    </row>
    <row r="1974" spans="1:3" x14ac:dyDescent="0.25">
      <c r="A1974" s="1">
        <v>43423</v>
      </c>
      <c r="B1974" s="2">
        <v>10763.400390999999</v>
      </c>
      <c r="C1974" s="16">
        <f t="shared" si="1079"/>
        <v>7.5727031952386517E-3</v>
      </c>
    </row>
    <row r="1975" spans="1:3" x14ac:dyDescent="0.25">
      <c r="A1975" s="1">
        <v>43424</v>
      </c>
      <c r="B1975" s="2">
        <v>10656.200194999999</v>
      </c>
      <c r="C1975" s="16">
        <f t="shared" si="1079"/>
        <v>-1.0009625587896559E-2</v>
      </c>
    </row>
    <row r="1976" spans="1:3" x14ac:dyDescent="0.25">
      <c r="A1976" s="1">
        <v>43425</v>
      </c>
      <c r="B1976" s="2">
        <v>10600.049805000001</v>
      </c>
      <c r="C1976" s="16">
        <f t="shared" si="1079"/>
        <v>-5.2832009979879892E-3</v>
      </c>
    </row>
    <row r="1977" spans="1:3" x14ac:dyDescent="0.25">
      <c r="A1977" s="1">
        <v>43426</v>
      </c>
      <c r="B1977" s="2">
        <v>10526.75</v>
      </c>
      <c r="C1977" s="16">
        <f t="shared" si="1079"/>
        <v>-6.9390631610505129E-3</v>
      </c>
    </row>
    <row r="1978" spans="1:3" x14ac:dyDescent="0.25">
      <c r="A1978" s="1">
        <v>43430</v>
      </c>
      <c r="B1978" s="2">
        <v>10628.599609000001</v>
      </c>
      <c r="C1978" s="16">
        <f t="shared" si="1079"/>
        <v>9.6288076337881986E-3</v>
      </c>
    </row>
    <row r="1979" spans="1:3" x14ac:dyDescent="0.25">
      <c r="A1979" s="1">
        <v>43431</v>
      </c>
      <c r="B1979" s="2">
        <v>10685.599609000001</v>
      </c>
      <c r="C1979" s="16">
        <f t="shared" si="1079"/>
        <v>5.3485599248308275E-3</v>
      </c>
    </row>
    <row r="1980" spans="1:3" x14ac:dyDescent="0.25">
      <c r="A1980" s="1">
        <v>43432</v>
      </c>
      <c r="B1980" s="2">
        <v>10728.849609000001</v>
      </c>
      <c r="C1980" s="16">
        <f t="shared" si="1079"/>
        <v>4.0393342239229569E-3</v>
      </c>
    </row>
    <row r="1981" spans="1:3" x14ac:dyDescent="0.25">
      <c r="A1981" s="1">
        <v>43433</v>
      </c>
      <c r="B1981" s="2">
        <v>10858.700194999999</v>
      </c>
      <c r="C1981" s="16">
        <f t="shared" si="1079"/>
        <v>1.2030281644403527E-2</v>
      </c>
    </row>
    <row r="1982" spans="1:3" x14ac:dyDescent="0.25">
      <c r="A1982" s="1">
        <v>43434</v>
      </c>
      <c r="B1982" s="2">
        <v>10876.75</v>
      </c>
      <c r="C1982" s="16">
        <f t="shared" si="1079"/>
        <v>1.6608636110333403E-3</v>
      </c>
    </row>
    <row r="1983" spans="1:3" x14ac:dyDescent="0.25">
      <c r="A1983" s="1">
        <v>43437</v>
      </c>
      <c r="B1983" s="2">
        <v>10883.75</v>
      </c>
      <c r="C1983" s="16">
        <f t="shared" si="1079"/>
        <v>6.4336759187107249E-4</v>
      </c>
    </row>
    <row r="1984" spans="1:3" x14ac:dyDescent="0.25">
      <c r="A1984" s="1">
        <v>43438</v>
      </c>
      <c r="B1984" s="2">
        <v>10869.5</v>
      </c>
      <c r="C1984" s="16">
        <f t="shared" si="1079"/>
        <v>-1.3101492455916805E-3</v>
      </c>
    </row>
    <row r="1985" spans="1:3" x14ac:dyDescent="0.25">
      <c r="A1985" s="1">
        <v>43439</v>
      </c>
      <c r="B1985" s="2">
        <v>10782.900390999999</v>
      </c>
      <c r="C1985" s="16">
        <f t="shared" si="1079"/>
        <v>-7.9991196540445276E-3</v>
      </c>
    </row>
    <row r="1986" spans="1:3" x14ac:dyDescent="0.25">
      <c r="A1986" s="1">
        <v>43440</v>
      </c>
      <c r="B1986" s="2">
        <v>10601.150390999999</v>
      </c>
      <c r="C1986" s="16">
        <f t="shared" si="1079"/>
        <v>-1.6999059578878456E-2</v>
      </c>
    </row>
    <row r="1987" spans="1:3" x14ac:dyDescent="0.25">
      <c r="A1987" s="1">
        <v>43441</v>
      </c>
      <c r="B1987" s="2">
        <v>10693.700194999999</v>
      </c>
      <c r="C1987" s="16">
        <f t="shared" si="1079"/>
        <v>8.6922785720099805E-3</v>
      </c>
    </row>
    <row r="1988" spans="1:3" x14ac:dyDescent="0.25">
      <c r="A1988" s="1">
        <v>43444</v>
      </c>
      <c r="B1988" s="2">
        <v>10488.450194999999</v>
      </c>
      <c r="C1988" s="16">
        <f t="shared" ref="C1988:C2051" si="1080">LN(B1988/B1987)</f>
        <v>-1.9380130942859484E-2</v>
      </c>
    </row>
    <row r="1989" spans="1:3" x14ac:dyDescent="0.25">
      <c r="A1989" s="1">
        <v>43445</v>
      </c>
      <c r="B1989" s="2">
        <v>10549.150390999999</v>
      </c>
      <c r="C1989" s="16">
        <f t="shared" si="1080"/>
        <v>5.7706547091354657E-3</v>
      </c>
    </row>
    <row r="1990" spans="1:3" x14ac:dyDescent="0.25">
      <c r="A1990" s="1">
        <v>43446</v>
      </c>
      <c r="B1990" s="2">
        <v>10737.599609000001</v>
      </c>
      <c r="C1990" s="16">
        <f t="shared" si="1080"/>
        <v>1.7706238987281447E-2</v>
      </c>
    </row>
    <row r="1991" spans="1:3" x14ac:dyDescent="0.25">
      <c r="A1991" s="1">
        <v>43447</v>
      </c>
      <c r="B1991" s="2">
        <v>10791.549805000001</v>
      </c>
      <c r="C1991" s="16">
        <f t="shared" si="1080"/>
        <v>5.011838404909652E-3</v>
      </c>
    </row>
    <row r="1992" spans="1:3" x14ac:dyDescent="0.25">
      <c r="A1992" s="1">
        <v>43448</v>
      </c>
      <c r="B1992" s="2">
        <v>10805.450194999999</v>
      </c>
      <c r="C1992" s="16">
        <f t="shared" si="1080"/>
        <v>1.2872521108886798E-3</v>
      </c>
    </row>
    <row r="1993" spans="1:3" x14ac:dyDescent="0.25">
      <c r="A1993" s="1">
        <v>43451</v>
      </c>
      <c r="B1993" s="2">
        <v>10888.349609000001</v>
      </c>
      <c r="C1993" s="16">
        <f t="shared" si="1080"/>
        <v>7.6427198802934242E-3</v>
      </c>
    </row>
    <row r="1994" spans="1:3" x14ac:dyDescent="0.25">
      <c r="A1994" s="1">
        <v>43452</v>
      </c>
      <c r="B1994" s="2">
        <v>10908.700194999999</v>
      </c>
      <c r="C1994" s="16">
        <f t="shared" si="1080"/>
        <v>1.8672794801203154E-3</v>
      </c>
    </row>
    <row r="1995" spans="1:3" x14ac:dyDescent="0.25">
      <c r="A1995" s="1">
        <v>43453</v>
      </c>
      <c r="B1995" s="2">
        <v>10967.299805000001</v>
      </c>
      <c r="C1995" s="16">
        <f t="shared" si="1080"/>
        <v>5.3574465315024741E-3</v>
      </c>
    </row>
    <row r="1996" spans="1:3" x14ac:dyDescent="0.25">
      <c r="A1996" s="1">
        <v>43454</v>
      </c>
      <c r="B1996" s="2">
        <v>10951.700194999999</v>
      </c>
      <c r="C1996" s="16">
        <f t="shared" si="1080"/>
        <v>-1.4233872561500126E-3</v>
      </c>
    </row>
    <row r="1997" spans="1:3" x14ac:dyDescent="0.25">
      <c r="A1997" s="1">
        <v>43455</v>
      </c>
      <c r="B1997" s="2">
        <v>10754</v>
      </c>
      <c r="C1997" s="16">
        <f t="shared" si="1080"/>
        <v>-1.8216934771819394E-2</v>
      </c>
    </row>
    <row r="1998" spans="1:3" x14ac:dyDescent="0.25">
      <c r="A1998" s="1">
        <v>43458</v>
      </c>
      <c r="B1998" s="2">
        <v>10663.5</v>
      </c>
      <c r="C1998" s="16">
        <f t="shared" si="1080"/>
        <v>-8.4510833319758998E-3</v>
      </c>
    </row>
    <row r="1999" spans="1:3" x14ac:dyDescent="0.25">
      <c r="A1999" s="1">
        <v>43460</v>
      </c>
      <c r="B1999" s="2">
        <v>10729.849609000001</v>
      </c>
      <c r="C1999" s="16">
        <f t="shared" si="1080"/>
        <v>6.2028455522462368E-3</v>
      </c>
    </row>
    <row r="2000" spans="1:3" x14ac:dyDescent="0.25">
      <c r="A2000" s="1">
        <v>43461</v>
      </c>
      <c r="B2000" s="2">
        <v>10779.799805000001</v>
      </c>
      <c r="C2000" s="16">
        <f t="shared" si="1080"/>
        <v>4.6444537359022686E-3</v>
      </c>
    </row>
    <row r="2001" spans="1:3" x14ac:dyDescent="0.25">
      <c r="A2001" s="1">
        <v>43462</v>
      </c>
      <c r="B2001" s="2">
        <v>10859.900390999999</v>
      </c>
      <c r="C2001" s="16">
        <f t="shared" si="1080"/>
        <v>7.4031480206186891E-3</v>
      </c>
    </row>
    <row r="2002" spans="1:3" x14ac:dyDescent="0.25">
      <c r="A2002" s="1">
        <v>43465</v>
      </c>
      <c r="B2002" s="2">
        <v>10862.549805000001</v>
      </c>
      <c r="C2002" s="16">
        <f t="shared" si="1080"/>
        <v>2.4393325699749213E-4</v>
      </c>
    </row>
    <row r="2003" spans="1:3" x14ac:dyDescent="0.25">
      <c r="A2003" s="1">
        <v>43467</v>
      </c>
      <c r="B2003" s="2">
        <v>10792.5</v>
      </c>
      <c r="C2003" s="16">
        <f t="shared" si="1080"/>
        <v>-6.4696271737799153E-3</v>
      </c>
    </row>
    <row r="2004" spans="1:3" x14ac:dyDescent="0.25">
      <c r="A2004" s="1">
        <v>43468</v>
      </c>
      <c r="B2004" s="2">
        <v>10672.25</v>
      </c>
      <c r="C2004" s="16">
        <f t="shared" si="1080"/>
        <v>-1.1204533761500678E-2</v>
      </c>
    </row>
    <row r="2005" spans="1:3" x14ac:dyDescent="0.25">
      <c r="A2005" s="1">
        <v>43469</v>
      </c>
      <c r="B2005" s="2">
        <v>10727.349609000001</v>
      </c>
      <c r="C2005" s="16">
        <f t="shared" si="1080"/>
        <v>5.149603896294961E-3</v>
      </c>
    </row>
    <row r="2006" spans="1:3" x14ac:dyDescent="0.25">
      <c r="A2006" s="1">
        <v>43472</v>
      </c>
      <c r="B2006" s="2">
        <v>10771.799805000001</v>
      </c>
      <c r="C2006" s="16">
        <f t="shared" si="1080"/>
        <v>4.1350714375870245E-3</v>
      </c>
    </row>
    <row r="2007" spans="1:3" x14ac:dyDescent="0.25">
      <c r="A2007" s="1">
        <v>43473</v>
      </c>
      <c r="B2007" s="2">
        <v>10802.150390999999</v>
      </c>
      <c r="C2007" s="16">
        <f t="shared" si="1080"/>
        <v>2.8136345682542646E-3</v>
      </c>
    </row>
    <row r="2008" spans="1:3" x14ac:dyDescent="0.25">
      <c r="A2008" s="1">
        <v>43474</v>
      </c>
      <c r="B2008" s="2">
        <v>10855.150390999999</v>
      </c>
      <c r="C2008" s="16">
        <f t="shared" si="1080"/>
        <v>4.8944331832304474E-3</v>
      </c>
    </row>
    <row r="2009" spans="1:3" x14ac:dyDescent="0.25">
      <c r="A2009" s="1">
        <v>43475</v>
      </c>
      <c r="B2009" s="2">
        <v>10821.599609000001</v>
      </c>
      <c r="C2009" s="16">
        <f t="shared" si="1080"/>
        <v>-3.0955571099559268E-3</v>
      </c>
    </row>
    <row r="2010" spans="1:3" x14ac:dyDescent="0.25">
      <c r="A2010" s="1">
        <v>43476</v>
      </c>
      <c r="B2010" s="2">
        <v>10794.950194999999</v>
      </c>
      <c r="C2010" s="16">
        <f t="shared" si="1080"/>
        <v>-2.4656504153291736E-3</v>
      </c>
    </row>
    <row r="2011" spans="1:3" x14ac:dyDescent="0.25">
      <c r="A2011" s="1">
        <v>43479</v>
      </c>
      <c r="B2011" s="2">
        <v>10737.599609000001</v>
      </c>
      <c r="C2011" s="16">
        <f t="shared" si="1080"/>
        <v>-5.3268862383354758E-3</v>
      </c>
    </row>
    <row r="2012" spans="1:3" x14ac:dyDescent="0.25">
      <c r="A2012" s="1">
        <v>43480</v>
      </c>
      <c r="B2012" s="2">
        <v>10886.799805000001</v>
      </c>
      <c r="C2012" s="16">
        <f t="shared" si="1080"/>
        <v>1.3799464277298199E-2</v>
      </c>
    </row>
    <row r="2013" spans="1:3" x14ac:dyDescent="0.25">
      <c r="A2013" s="1">
        <v>43481</v>
      </c>
      <c r="B2013" s="2">
        <v>10890.299805000001</v>
      </c>
      <c r="C2013" s="16">
        <f t="shared" si="1080"/>
        <v>3.2143858390835109E-4</v>
      </c>
    </row>
    <row r="2014" spans="1:3" x14ac:dyDescent="0.25">
      <c r="A2014" s="1">
        <v>43482</v>
      </c>
      <c r="B2014" s="2">
        <v>10905.200194999999</v>
      </c>
      <c r="C2014" s="16">
        <f t="shared" si="1080"/>
        <v>1.3672907087551381E-3</v>
      </c>
    </row>
    <row r="2015" spans="1:3" x14ac:dyDescent="0.25">
      <c r="A2015" s="1">
        <v>43483</v>
      </c>
      <c r="B2015" s="2">
        <v>10906.950194999999</v>
      </c>
      <c r="C2015" s="16">
        <f t="shared" si="1080"/>
        <v>1.6046102493004886E-4</v>
      </c>
    </row>
    <row r="2016" spans="1:3" x14ac:dyDescent="0.25">
      <c r="A2016" s="1">
        <v>43486</v>
      </c>
      <c r="B2016" s="2">
        <v>10961.849609000001</v>
      </c>
      <c r="C2016" s="16">
        <f t="shared" si="1080"/>
        <v>5.0208086241344471E-3</v>
      </c>
    </row>
    <row r="2017" spans="1:3" x14ac:dyDescent="0.25">
      <c r="A2017" s="1">
        <v>43487</v>
      </c>
      <c r="B2017" s="2">
        <v>10922.75</v>
      </c>
      <c r="C2017" s="16">
        <f t="shared" si="1080"/>
        <v>-3.5732571124068831E-3</v>
      </c>
    </row>
    <row r="2018" spans="1:3" x14ac:dyDescent="0.25">
      <c r="A2018" s="1">
        <v>43488</v>
      </c>
      <c r="B2018" s="2">
        <v>10831.5</v>
      </c>
      <c r="C2018" s="16">
        <f t="shared" si="1080"/>
        <v>-8.3892145371514976E-3</v>
      </c>
    </row>
    <row r="2019" spans="1:3" x14ac:dyDescent="0.25">
      <c r="A2019" s="1">
        <v>43489</v>
      </c>
      <c r="B2019" s="2">
        <v>10849.799805000001</v>
      </c>
      <c r="C2019" s="16">
        <f t="shared" si="1080"/>
        <v>1.6880730869612299E-3</v>
      </c>
    </row>
    <row r="2020" spans="1:3" x14ac:dyDescent="0.25">
      <c r="A2020" s="1">
        <v>43490</v>
      </c>
      <c r="B2020" s="2">
        <v>10780.549805000001</v>
      </c>
      <c r="C2020" s="16">
        <f t="shared" si="1080"/>
        <v>-6.4030621647836669E-3</v>
      </c>
    </row>
    <row r="2021" spans="1:3" x14ac:dyDescent="0.25">
      <c r="A2021" s="1">
        <v>43493</v>
      </c>
      <c r="B2021" s="2">
        <v>10661.549805000001</v>
      </c>
      <c r="C2021" s="16">
        <f t="shared" si="1080"/>
        <v>-1.1099773244647464E-2</v>
      </c>
    </row>
    <row r="2022" spans="1:3" x14ac:dyDescent="0.25">
      <c r="A2022" s="1">
        <v>43494</v>
      </c>
      <c r="B2022" s="2">
        <v>10652.200194999999</v>
      </c>
      <c r="C2022" s="16">
        <f t="shared" si="1080"/>
        <v>-8.7733135649134303E-4</v>
      </c>
    </row>
    <row r="2023" spans="1:3" x14ac:dyDescent="0.25">
      <c r="A2023" s="1">
        <v>43495</v>
      </c>
      <c r="B2023" s="2">
        <v>10651.799805000001</v>
      </c>
      <c r="C2023" s="16">
        <f t="shared" si="1080"/>
        <v>-3.7588246343066341E-5</v>
      </c>
    </row>
    <row r="2024" spans="1:3" x14ac:dyDescent="0.25">
      <c r="A2024" s="1">
        <v>43496</v>
      </c>
      <c r="B2024" s="2">
        <v>10830.950194999999</v>
      </c>
      <c r="C2024" s="16">
        <f t="shared" si="1080"/>
        <v>1.6678920816088114E-2</v>
      </c>
    </row>
    <row r="2025" spans="1:3" x14ac:dyDescent="0.25">
      <c r="A2025" s="1">
        <v>43497</v>
      </c>
      <c r="B2025" s="2">
        <v>10893.650390999999</v>
      </c>
      <c r="C2025" s="16">
        <f t="shared" si="1080"/>
        <v>5.7722920930927801E-3</v>
      </c>
    </row>
    <row r="2026" spans="1:3" x14ac:dyDescent="0.25">
      <c r="A2026" s="1">
        <v>43500</v>
      </c>
      <c r="B2026" s="2">
        <v>10912.25</v>
      </c>
      <c r="C2026" s="16">
        <f t="shared" si="1080"/>
        <v>1.7059248347626147E-3</v>
      </c>
    </row>
    <row r="2027" spans="1:3" x14ac:dyDescent="0.25">
      <c r="A2027" s="1">
        <v>43501</v>
      </c>
      <c r="B2027" s="2">
        <v>10934.349609000001</v>
      </c>
      <c r="C2027" s="16">
        <f t="shared" si="1080"/>
        <v>2.0231630490496039E-3</v>
      </c>
    </row>
    <row r="2028" spans="1:3" x14ac:dyDescent="0.25">
      <c r="A2028" s="1">
        <v>43502</v>
      </c>
      <c r="B2028" s="2">
        <v>11062.450194999999</v>
      </c>
      <c r="C2028" s="16">
        <f t="shared" si="1080"/>
        <v>1.1647333732122497E-2</v>
      </c>
    </row>
    <row r="2029" spans="1:3" x14ac:dyDescent="0.25">
      <c r="A2029" s="1">
        <v>43503</v>
      </c>
      <c r="B2029" s="2">
        <v>11069.400390999999</v>
      </c>
      <c r="C2029" s="16">
        <f t="shared" si="1080"/>
        <v>6.2807185521738227E-4</v>
      </c>
    </row>
    <row r="2030" spans="1:3" x14ac:dyDescent="0.25">
      <c r="A2030" s="1">
        <v>43504</v>
      </c>
      <c r="B2030" s="2">
        <v>10943.599609000001</v>
      </c>
      <c r="C2030" s="16">
        <f t="shared" si="1080"/>
        <v>-1.1429805256248168E-2</v>
      </c>
    </row>
    <row r="2031" spans="1:3" x14ac:dyDescent="0.25">
      <c r="A2031" s="1">
        <v>43507</v>
      </c>
      <c r="B2031" s="2">
        <v>10888.799805000001</v>
      </c>
      <c r="C2031" s="16">
        <f t="shared" si="1080"/>
        <v>-5.0200546485725944E-3</v>
      </c>
    </row>
    <row r="2032" spans="1:3" x14ac:dyDescent="0.25">
      <c r="A2032" s="1">
        <v>43508</v>
      </c>
      <c r="B2032" s="2">
        <v>10831.400390999999</v>
      </c>
      <c r="C2032" s="16">
        <f t="shared" si="1080"/>
        <v>-5.2853608257026749E-3</v>
      </c>
    </row>
    <row r="2033" spans="1:3" x14ac:dyDescent="0.25">
      <c r="A2033" s="1">
        <v>43510</v>
      </c>
      <c r="B2033" s="2">
        <v>10746.049805000001</v>
      </c>
      <c r="C2033" s="16">
        <f t="shared" si="1080"/>
        <v>-7.9111322580121372E-3</v>
      </c>
    </row>
    <row r="2034" spans="1:3" x14ac:dyDescent="0.25">
      <c r="A2034" s="1">
        <v>43511</v>
      </c>
      <c r="B2034" s="2">
        <v>10724.400390999999</v>
      </c>
      <c r="C2034" s="16">
        <f t="shared" si="1080"/>
        <v>-2.0166713915775653E-3</v>
      </c>
    </row>
    <row r="2035" spans="1:3" x14ac:dyDescent="0.25">
      <c r="A2035" s="1">
        <v>43514</v>
      </c>
      <c r="B2035" s="2">
        <v>10640.950194999999</v>
      </c>
      <c r="C2035" s="16">
        <f t="shared" si="1080"/>
        <v>-7.8117716846418262E-3</v>
      </c>
    </row>
    <row r="2036" spans="1:3" x14ac:dyDescent="0.25">
      <c r="A2036" s="1">
        <v>43515</v>
      </c>
      <c r="B2036" s="2">
        <v>10604.349609000001</v>
      </c>
      <c r="C2036" s="16">
        <f t="shared" si="1080"/>
        <v>-3.4455265443910127E-3</v>
      </c>
    </row>
    <row r="2037" spans="1:3" x14ac:dyDescent="0.25">
      <c r="A2037" s="1">
        <v>43516</v>
      </c>
      <c r="B2037" s="2">
        <v>10735.450194999999</v>
      </c>
      <c r="C2037" s="16">
        <f t="shared" si="1080"/>
        <v>1.2287110149880702E-2</v>
      </c>
    </row>
    <row r="2038" spans="1:3" x14ac:dyDescent="0.25">
      <c r="A2038" s="1">
        <v>43517</v>
      </c>
      <c r="B2038" s="2">
        <v>10789.849609000001</v>
      </c>
      <c r="C2038" s="16">
        <f t="shared" si="1080"/>
        <v>5.0544736017894528E-3</v>
      </c>
    </row>
    <row r="2039" spans="1:3" x14ac:dyDescent="0.25">
      <c r="A2039" s="1">
        <v>43518</v>
      </c>
      <c r="B2039" s="2">
        <v>10791.650390999999</v>
      </c>
      <c r="C2039" s="16">
        <f t="shared" si="1080"/>
        <v>1.6688200580840612E-4</v>
      </c>
    </row>
    <row r="2040" spans="1:3" x14ac:dyDescent="0.25">
      <c r="A2040" s="1">
        <v>43521</v>
      </c>
      <c r="B2040" s="2">
        <v>10880.099609000001</v>
      </c>
      <c r="C2040" s="16">
        <f t="shared" si="1080"/>
        <v>8.1626734442876037E-3</v>
      </c>
    </row>
    <row r="2041" spans="1:3" x14ac:dyDescent="0.25">
      <c r="A2041" s="1">
        <v>43522</v>
      </c>
      <c r="B2041" s="2">
        <v>10835.299805000001</v>
      </c>
      <c r="C2041" s="16">
        <f t="shared" si="1080"/>
        <v>-4.126091968583284E-3</v>
      </c>
    </row>
    <row r="2042" spans="1:3" x14ac:dyDescent="0.25">
      <c r="A2042" s="1">
        <v>43523</v>
      </c>
      <c r="B2042" s="2">
        <v>10806.650390999999</v>
      </c>
      <c r="C2042" s="16">
        <f t="shared" si="1080"/>
        <v>-2.6475830944848932E-3</v>
      </c>
    </row>
    <row r="2043" spans="1:3" x14ac:dyDescent="0.25">
      <c r="A2043" s="1">
        <v>43524</v>
      </c>
      <c r="B2043" s="2">
        <v>10792.5</v>
      </c>
      <c r="C2043" s="16">
        <f t="shared" si="1080"/>
        <v>-1.3102731142945981E-3</v>
      </c>
    </row>
    <row r="2044" spans="1:3" x14ac:dyDescent="0.25">
      <c r="A2044" s="1">
        <v>43525</v>
      </c>
      <c r="B2044" s="2">
        <v>10863.5</v>
      </c>
      <c r="C2044" s="16">
        <f t="shared" si="1080"/>
        <v>6.5570977456633371E-3</v>
      </c>
    </row>
    <row r="2045" spans="1:3" x14ac:dyDescent="0.25">
      <c r="A2045" s="1">
        <v>43529</v>
      </c>
      <c r="B2045" s="2">
        <v>10987.450194999999</v>
      </c>
      <c r="C2045" s="16">
        <f t="shared" si="1080"/>
        <v>1.1345183929592299E-2</v>
      </c>
    </row>
    <row r="2046" spans="1:3" x14ac:dyDescent="0.25">
      <c r="A2046" s="1">
        <v>43530</v>
      </c>
      <c r="B2046" s="2">
        <v>11053</v>
      </c>
      <c r="C2046" s="16">
        <f t="shared" si="1080"/>
        <v>5.9481542060672351E-3</v>
      </c>
    </row>
    <row r="2047" spans="1:3" x14ac:dyDescent="0.25">
      <c r="A2047" s="1">
        <v>43531</v>
      </c>
      <c r="B2047" s="2">
        <v>11058.200194999999</v>
      </c>
      <c r="C2047" s="16">
        <f t="shared" si="1080"/>
        <v>4.703675105843121E-4</v>
      </c>
    </row>
    <row r="2048" spans="1:3" x14ac:dyDescent="0.25">
      <c r="A2048" s="1">
        <v>43532</v>
      </c>
      <c r="B2048" s="2">
        <v>11035.400390999999</v>
      </c>
      <c r="C2048" s="16">
        <f t="shared" si="1080"/>
        <v>-2.0639290553666804E-3</v>
      </c>
    </row>
    <row r="2049" spans="1:3" x14ac:dyDescent="0.25">
      <c r="A2049" s="1">
        <v>43535</v>
      </c>
      <c r="B2049" s="2">
        <v>11168.049805000001</v>
      </c>
      <c r="C2049" s="16">
        <f t="shared" si="1080"/>
        <v>1.194868284279892E-2</v>
      </c>
    </row>
    <row r="2050" spans="1:3" x14ac:dyDescent="0.25">
      <c r="A2050" s="1">
        <v>43536</v>
      </c>
      <c r="B2050" s="2">
        <v>11301.200194999999</v>
      </c>
      <c r="C2050" s="16">
        <f t="shared" si="1080"/>
        <v>1.1851926398273259E-2</v>
      </c>
    </row>
    <row r="2051" spans="1:3" x14ac:dyDescent="0.25">
      <c r="A2051" s="1">
        <v>43537</v>
      </c>
      <c r="B2051" s="2">
        <v>11341.700194999999</v>
      </c>
      <c r="C2051" s="16">
        <f t="shared" si="1080"/>
        <v>3.5772840486126166E-3</v>
      </c>
    </row>
    <row r="2052" spans="1:3" x14ac:dyDescent="0.25">
      <c r="A2052" s="1">
        <v>43538</v>
      </c>
      <c r="B2052" s="2">
        <v>11343.25</v>
      </c>
      <c r="C2052" s="16">
        <f t="shared" ref="C2052:C2115" si="1081">LN(B2052/B2051)</f>
        <v>1.3663728499199981E-4</v>
      </c>
    </row>
    <row r="2053" spans="1:3" x14ac:dyDescent="0.25">
      <c r="A2053" s="1">
        <v>43539</v>
      </c>
      <c r="B2053" s="2">
        <v>11426.849609000001</v>
      </c>
      <c r="C2053" s="16">
        <f t="shared" si="1081"/>
        <v>7.3429616971166433E-3</v>
      </c>
    </row>
    <row r="2054" spans="1:3" x14ac:dyDescent="0.25">
      <c r="A2054" s="1">
        <v>43542</v>
      </c>
      <c r="B2054" s="2">
        <v>11462.200194999999</v>
      </c>
      <c r="C2054" s="16">
        <f t="shared" si="1081"/>
        <v>3.0888668957126681E-3</v>
      </c>
    </row>
    <row r="2055" spans="1:3" x14ac:dyDescent="0.25">
      <c r="A2055" s="1">
        <v>43543</v>
      </c>
      <c r="B2055" s="2">
        <v>11532.400390999999</v>
      </c>
      <c r="C2055" s="16">
        <f t="shared" si="1081"/>
        <v>6.1058172184202128E-3</v>
      </c>
    </row>
    <row r="2056" spans="1:3" x14ac:dyDescent="0.25">
      <c r="A2056" s="1">
        <v>43544</v>
      </c>
      <c r="B2056" s="2">
        <v>11521.049805000001</v>
      </c>
      <c r="C2056" s="16">
        <f t="shared" si="1081"/>
        <v>-9.8471914795319809E-4</v>
      </c>
    </row>
    <row r="2057" spans="1:3" x14ac:dyDescent="0.25">
      <c r="A2057" s="1">
        <v>43546</v>
      </c>
      <c r="B2057" s="2">
        <v>11456.900390999999</v>
      </c>
      <c r="C2057" s="16">
        <f t="shared" si="1081"/>
        <v>-5.5835773090893975E-3</v>
      </c>
    </row>
    <row r="2058" spans="1:3" x14ac:dyDescent="0.25">
      <c r="A2058" s="1">
        <v>43549</v>
      </c>
      <c r="B2058" s="2">
        <v>11354.25</v>
      </c>
      <c r="C2058" s="16">
        <f t="shared" si="1081"/>
        <v>-9.0000795349584536E-3</v>
      </c>
    </row>
    <row r="2059" spans="1:3" x14ac:dyDescent="0.25">
      <c r="A2059" s="1">
        <v>43550</v>
      </c>
      <c r="B2059" s="2">
        <v>11483.25</v>
      </c>
      <c r="C2059" s="16">
        <f t="shared" si="1081"/>
        <v>1.1297328693216403E-2</v>
      </c>
    </row>
    <row r="2060" spans="1:3" x14ac:dyDescent="0.25">
      <c r="A2060" s="1">
        <v>43551</v>
      </c>
      <c r="B2060" s="2">
        <v>11445.049805000001</v>
      </c>
      <c r="C2060" s="16">
        <f t="shared" si="1081"/>
        <v>-3.3321467941584302E-3</v>
      </c>
    </row>
    <row r="2061" spans="1:3" x14ac:dyDescent="0.25">
      <c r="A2061" s="1">
        <v>43552</v>
      </c>
      <c r="B2061" s="2">
        <v>11570</v>
      </c>
      <c r="C2061" s="16">
        <f t="shared" si="1081"/>
        <v>1.0858236128566491E-2</v>
      </c>
    </row>
    <row r="2062" spans="1:3" x14ac:dyDescent="0.25">
      <c r="A2062" s="1">
        <v>43556</v>
      </c>
      <c r="B2062" s="2">
        <v>11669.150390999999</v>
      </c>
      <c r="C2062" s="16">
        <f t="shared" si="1081"/>
        <v>8.533099614861428E-3</v>
      </c>
    </row>
    <row r="2063" spans="1:3" x14ac:dyDescent="0.25">
      <c r="A2063" s="1">
        <v>43557</v>
      </c>
      <c r="B2063" s="2">
        <v>11713.200194999999</v>
      </c>
      <c r="C2063" s="16">
        <f t="shared" si="1081"/>
        <v>3.7677868142204714E-3</v>
      </c>
    </row>
    <row r="2064" spans="1:3" x14ac:dyDescent="0.25">
      <c r="A2064" s="1">
        <v>43558</v>
      </c>
      <c r="B2064" s="2">
        <v>11643.950194999999</v>
      </c>
      <c r="C2064" s="16">
        <f t="shared" si="1081"/>
        <v>-5.9296790706406177E-3</v>
      </c>
    </row>
    <row r="2065" spans="1:3" x14ac:dyDescent="0.25">
      <c r="A2065" s="1">
        <v>43559</v>
      </c>
      <c r="B2065" s="2">
        <v>11598</v>
      </c>
      <c r="C2065" s="16">
        <f t="shared" si="1081"/>
        <v>-3.9540791097775188E-3</v>
      </c>
    </row>
    <row r="2066" spans="1:3" x14ac:dyDescent="0.25">
      <c r="A2066" s="1">
        <v>43560</v>
      </c>
      <c r="B2066" s="2">
        <v>11665.950194999999</v>
      </c>
      <c r="C2066" s="16">
        <f t="shared" si="1081"/>
        <v>5.8416896241268992E-3</v>
      </c>
    </row>
    <row r="2067" spans="1:3" x14ac:dyDescent="0.25">
      <c r="A2067" s="1">
        <v>43563</v>
      </c>
      <c r="B2067" s="2">
        <v>11604.5</v>
      </c>
      <c r="C2067" s="16">
        <f t="shared" si="1081"/>
        <v>-5.2814051573635444E-3</v>
      </c>
    </row>
    <row r="2068" spans="1:3" x14ac:dyDescent="0.25">
      <c r="A2068" s="1">
        <v>43564</v>
      </c>
      <c r="B2068" s="2">
        <v>11671.950194999999</v>
      </c>
      <c r="C2068" s="16">
        <f t="shared" si="1081"/>
        <v>5.795590241019364E-3</v>
      </c>
    </row>
    <row r="2069" spans="1:3" x14ac:dyDescent="0.25">
      <c r="A2069" s="1">
        <v>43565</v>
      </c>
      <c r="B2069" s="2">
        <v>11584.299805000001</v>
      </c>
      <c r="C2069" s="16">
        <f t="shared" si="1081"/>
        <v>-7.5378278970855963E-3</v>
      </c>
    </row>
    <row r="2070" spans="1:3" x14ac:dyDescent="0.25">
      <c r="A2070" s="1">
        <v>43566</v>
      </c>
      <c r="B2070" s="2">
        <v>11596.700194999999</v>
      </c>
      <c r="C2070" s="16">
        <f t="shared" si="1081"/>
        <v>1.0698754309843514E-3</v>
      </c>
    </row>
    <row r="2071" spans="1:3" x14ac:dyDescent="0.25">
      <c r="A2071" s="1">
        <v>43567</v>
      </c>
      <c r="B2071" s="2">
        <v>11643.450194999999</v>
      </c>
      <c r="C2071" s="16">
        <f t="shared" si="1081"/>
        <v>4.0232151921936413E-3</v>
      </c>
    </row>
    <row r="2072" spans="1:3" x14ac:dyDescent="0.25">
      <c r="A2072" s="1">
        <v>43570</v>
      </c>
      <c r="B2072" s="2">
        <v>11690.349609000001</v>
      </c>
      <c r="C2072" s="16">
        <f t="shared" si="1081"/>
        <v>4.0198748210269961E-3</v>
      </c>
    </row>
    <row r="2073" spans="1:3" x14ac:dyDescent="0.25">
      <c r="A2073" s="1">
        <v>43571</v>
      </c>
      <c r="B2073" s="2">
        <v>11787.150390999999</v>
      </c>
      <c r="C2073" s="16">
        <f t="shared" si="1081"/>
        <v>8.2463065104729037E-3</v>
      </c>
    </row>
    <row r="2074" spans="1:3" x14ac:dyDescent="0.25">
      <c r="A2074" s="1">
        <v>43573</v>
      </c>
      <c r="B2074" s="2">
        <v>11752.799805000001</v>
      </c>
      <c r="C2074" s="16">
        <f t="shared" si="1081"/>
        <v>-2.9184947373347495E-3</v>
      </c>
    </row>
    <row r="2075" spans="1:3" x14ac:dyDescent="0.25">
      <c r="A2075" s="1">
        <v>43577</v>
      </c>
      <c r="B2075" s="2">
        <v>11594.450194999999</v>
      </c>
      <c r="C2075" s="16">
        <f t="shared" si="1081"/>
        <v>-1.3564941320338083E-2</v>
      </c>
    </row>
    <row r="2076" spans="1:3" x14ac:dyDescent="0.25">
      <c r="A2076" s="1">
        <v>43578</v>
      </c>
      <c r="B2076" s="2">
        <v>11575.950194999999</v>
      </c>
      <c r="C2076" s="16">
        <f t="shared" si="1081"/>
        <v>-1.5968652780986544E-3</v>
      </c>
    </row>
    <row r="2077" spans="1:3" x14ac:dyDescent="0.25">
      <c r="A2077" s="1">
        <v>43579</v>
      </c>
      <c r="B2077" s="2">
        <v>11726.150390999999</v>
      </c>
      <c r="C2077" s="16">
        <f t="shared" si="1081"/>
        <v>1.2891737006592428E-2</v>
      </c>
    </row>
    <row r="2078" spans="1:3" x14ac:dyDescent="0.25">
      <c r="A2078" s="1">
        <v>43580</v>
      </c>
      <c r="B2078" s="2">
        <v>11641.799805000001</v>
      </c>
      <c r="C2078" s="16">
        <f t="shared" si="1081"/>
        <v>-7.2193711172874563E-3</v>
      </c>
    </row>
    <row r="2079" spans="1:3" x14ac:dyDescent="0.25">
      <c r="A2079" s="1">
        <v>43581</v>
      </c>
      <c r="B2079" s="2">
        <v>11754.650390999999</v>
      </c>
      <c r="C2079" s="16">
        <f t="shared" si="1081"/>
        <v>9.6468874750201047E-3</v>
      </c>
    </row>
    <row r="2080" spans="1:3" x14ac:dyDescent="0.25">
      <c r="A2080" s="1">
        <v>43585</v>
      </c>
      <c r="B2080" s="2">
        <v>11748.150390999999</v>
      </c>
      <c r="C2080" s="16">
        <f t="shared" si="1081"/>
        <v>-5.5312558073499234E-4</v>
      </c>
    </row>
    <row r="2081" spans="1:3" x14ac:dyDescent="0.25">
      <c r="A2081" s="1">
        <v>43587</v>
      </c>
      <c r="B2081" s="2">
        <v>11724.75</v>
      </c>
      <c r="C2081" s="16">
        <f t="shared" si="1081"/>
        <v>-1.993822524036262E-3</v>
      </c>
    </row>
    <row r="2082" spans="1:3" x14ac:dyDescent="0.25">
      <c r="A2082" s="1">
        <v>43588</v>
      </c>
      <c r="B2082" s="2">
        <v>11712.25</v>
      </c>
      <c r="C2082" s="16">
        <f t="shared" si="1081"/>
        <v>-1.0666895238500144E-3</v>
      </c>
    </row>
    <row r="2083" spans="1:3" x14ac:dyDescent="0.25">
      <c r="A2083" s="1">
        <v>43591</v>
      </c>
      <c r="B2083" s="2">
        <v>11598.25</v>
      </c>
      <c r="C2083" s="16">
        <f t="shared" si="1081"/>
        <v>-9.7810779570294496E-3</v>
      </c>
    </row>
    <row r="2084" spans="1:3" x14ac:dyDescent="0.25">
      <c r="A2084" s="1">
        <v>43592</v>
      </c>
      <c r="B2084" s="2">
        <v>11497.900390999999</v>
      </c>
      <c r="C2084" s="16">
        <f t="shared" si="1081"/>
        <v>-8.6897806577633709E-3</v>
      </c>
    </row>
    <row r="2085" spans="1:3" x14ac:dyDescent="0.25">
      <c r="A2085" s="1">
        <v>43593</v>
      </c>
      <c r="B2085" s="2">
        <v>11359.450194999999</v>
      </c>
      <c r="C2085" s="16">
        <f t="shared" si="1081"/>
        <v>-1.2114430210459902E-2</v>
      </c>
    </row>
    <row r="2086" spans="1:3" x14ac:dyDescent="0.25">
      <c r="A2086" s="1">
        <v>43594</v>
      </c>
      <c r="B2086" s="2">
        <v>11301.799805000001</v>
      </c>
      <c r="C2086" s="16">
        <f t="shared" si="1081"/>
        <v>-5.0880259801285542E-3</v>
      </c>
    </row>
    <row r="2087" spans="1:3" x14ac:dyDescent="0.25">
      <c r="A2087" s="1">
        <v>43595</v>
      </c>
      <c r="B2087" s="2">
        <v>11278.900390999999</v>
      </c>
      <c r="C2087" s="16">
        <f t="shared" si="1081"/>
        <v>-2.0282295634212583E-3</v>
      </c>
    </row>
    <row r="2088" spans="1:3" x14ac:dyDescent="0.25">
      <c r="A2088" s="1">
        <v>43598</v>
      </c>
      <c r="B2088" s="2">
        <v>11148.200194999999</v>
      </c>
      <c r="C2088" s="16">
        <f t="shared" si="1081"/>
        <v>-1.1655690862620371E-2</v>
      </c>
    </row>
    <row r="2089" spans="1:3" x14ac:dyDescent="0.25">
      <c r="A2089" s="1">
        <v>43599</v>
      </c>
      <c r="B2089" s="2">
        <v>11222.049805000001</v>
      </c>
      <c r="C2089" s="16">
        <f t="shared" si="1081"/>
        <v>6.6025080879894994E-3</v>
      </c>
    </row>
    <row r="2090" spans="1:3" x14ac:dyDescent="0.25">
      <c r="A2090" s="1">
        <v>43600</v>
      </c>
      <c r="B2090" s="2">
        <v>11157</v>
      </c>
      <c r="C2090" s="16">
        <f t="shared" si="1081"/>
        <v>-5.8134718650802207E-3</v>
      </c>
    </row>
    <row r="2091" spans="1:3" x14ac:dyDescent="0.25">
      <c r="A2091" s="1">
        <v>43601</v>
      </c>
      <c r="B2091" s="2">
        <v>11257.099609000001</v>
      </c>
      <c r="C2091" s="16">
        <f t="shared" si="1081"/>
        <v>8.9319023499960896E-3</v>
      </c>
    </row>
    <row r="2092" spans="1:3" x14ac:dyDescent="0.25">
      <c r="A2092" s="1">
        <v>43602</v>
      </c>
      <c r="B2092" s="2">
        <v>11407.150390999999</v>
      </c>
      <c r="C2092" s="16">
        <f t="shared" si="1081"/>
        <v>1.3241380095296469E-2</v>
      </c>
    </row>
    <row r="2093" spans="1:3" x14ac:dyDescent="0.25">
      <c r="A2093" s="1">
        <v>43605</v>
      </c>
      <c r="B2093" s="2">
        <v>11828.25</v>
      </c>
      <c r="C2093" s="16">
        <f t="shared" si="1081"/>
        <v>3.6250351997304406E-2</v>
      </c>
    </row>
    <row r="2094" spans="1:3" x14ac:dyDescent="0.25">
      <c r="A2094" s="1">
        <v>43606</v>
      </c>
      <c r="B2094" s="2">
        <v>11709.099609000001</v>
      </c>
      <c r="C2094" s="16">
        <f t="shared" si="1081"/>
        <v>-1.0124454177374651E-2</v>
      </c>
    </row>
    <row r="2095" spans="1:3" x14ac:dyDescent="0.25">
      <c r="A2095" s="1">
        <v>43607</v>
      </c>
      <c r="B2095" s="2">
        <v>11737.900390999999</v>
      </c>
      <c r="C2095" s="16">
        <f t="shared" si="1081"/>
        <v>2.456672195586838E-3</v>
      </c>
    </row>
    <row r="2096" spans="1:3" x14ac:dyDescent="0.25">
      <c r="A2096" s="1">
        <v>43608</v>
      </c>
      <c r="B2096" s="2">
        <v>11657.049805000001</v>
      </c>
      <c r="C2096" s="16">
        <f t="shared" si="1081"/>
        <v>-6.9118256031791706E-3</v>
      </c>
    </row>
    <row r="2097" spans="1:3" x14ac:dyDescent="0.25">
      <c r="A2097" s="1">
        <v>43609</v>
      </c>
      <c r="B2097" s="2">
        <v>11844.099609000001</v>
      </c>
      <c r="C2097" s="16">
        <f t="shared" si="1081"/>
        <v>1.5918689816361319E-2</v>
      </c>
    </row>
    <row r="2098" spans="1:3" x14ac:dyDescent="0.25">
      <c r="A2098" s="1">
        <v>43612</v>
      </c>
      <c r="B2098" s="2">
        <v>11924.75</v>
      </c>
      <c r="C2098" s="16">
        <f t="shared" si="1081"/>
        <v>6.7862519090284732E-3</v>
      </c>
    </row>
    <row r="2099" spans="1:3" x14ac:dyDescent="0.25">
      <c r="A2099" s="1">
        <v>43613</v>
      </c>
      <c r="B2099" s="2">
        <v>11928.75</v>
      </c>
      <c r="C2099" s="16">
        <f t="shared" si="1081"/>
        <v>3.3538055526396364E-4</v>
      </c>
    </row>
    <row r="2100" spans="1:3" x14ac:dyDescent="0.25">
      <c r="A2100" s="1">
        <v>43614</v>
      </c>
      <c r="B2100" s="2">
        <v>11861.099609000001</v>
      </c>
      <c r="C2100" s="16">
        <f t="shared" si="1081"/>
        <v>-5.6873477103031346E-3</v>
      </c>
    </row>
    <row r="2101" spans="1:3" x14ac:dyDescent="0.25">
      <c r="A2101" s="1">
        <v>43615</v>
      </c>
      <c r="B2101" s="2">
        <v>11945.900390999999</v>
      </c>
      <c r="C2101" s="16">
        <f t="shared" si="1081"/>
        <v>7.124050964102329E-3</v>
      </c>
    </row>
    <row r="2102" spans="1:3" x14ac:dyDescent="0.25">
      <c r="A2102" s="1">
        <v>43616</v>
      </c>
      <c r="B2102" s="2">
        <v>11922.799805000001</v>
      </c>
      <c r="C2102" s="16">
        <f t="shared" si="1081"/>
        <v>-1.9356389768092378E-3</v>
      </c>
    </row>
    <row r="2103" spans="1:3" x14ac:dyDescent="0.25">
      <c r="A2103" s="1">
        <v>43619</v>
      </c>
      <c r="B2103" s="2">
        <v>12088.549805000001</v>
      </c>
      <c r="C2103" s="16">
        <f t="shared" si="1081"/>
        <v>1.380619044716986E-2</v>
      </c>
    </row>
    <row r="2104" spans="1:3" x14ac:dyDescent="0.25">
      <c r="A2104" s="1">
        <v>43620</v>
      </c>
      <c r="B2104" s="2">
        <v>12021.650390999999</v>
      </c>
      <c r="C2104" s="16">
        <f t="shared" si="1081"/>
        <v>-5.5494840479606237E-3</v>
      </c>
    </row>
    <row r="2105" spans="1:3" x14ac:dyDescent="0.25">
      <c r="A2105" s="1">
        <v>43622</v>
      </c>
      <c r="B2105" s="2">
        <v>11843.75</v>
      </c>
      <c r="C2105" s="16">
        <f t="shared" si="1081"/>
        <v>-1.4908921142825811E-2</v>
      </c>
    </row>
    <row r="2106" spans="1:3" x14ac:dyDescent="0.25">
      <c r="A2106" s="1">
        <v>43623</v>
      </c>
      <c r="B2106" s="2">
        <v>11870.650390999999</v>
      </c>
      <c r="C2106" s="16">
        <f t="shared" si="1081"/>
        <v>2.2686976768942673E-3</v>
      </c>
    </row>
    <row r="2107" spans="1:3" x14ac:dyDescent="0.25">
      <c r="A2107" s="1">
        <v>43626</v>
      </c>
      <c r="B2107" s="2">
        <v>11922.700194999999</v>
      </c>
      <c r="C2107" s="16">
        <f t="shared" si="1081"/>
        <v>4.375162450547255E-3</v>
      </c>
    </row>
    <row r="2108" spans="1:3" x14ac:dyDescent="0.25">
      <c r="A2108" s="1">
        <v>43627</v>
      </c>
      <c r="B2108" s="2">
        <v>11965.599609000001</v>
      </c>
      <c r="C2108" s="16">
        <f t="shared" si="1081"/>
        <v>3.5916712758305371E-3</v>
      </c>
    </row>
    <row r="2109" spans="1:3" x14ac:dyDescent="0.25">
      <c r="A2109" s="1">
        <v>43628</v>
      </c>
      <c r="B2109" s="2">
        <v>11906.200194999999</v>
      </c>
      <c r="C2109" s="16">
        <f t="shared" si="1081"/>
        <v>-4.9765444648594967E-3</v>
      </c>
    </row>
    <row r="2110" spans="1:3" x14ac:dyDescent="0.25">
      <c r="A2110" s="1">
        <v>43629</v>
      </c>
      <c r="B2110" s="2">
        <v>11914.049805000001</v>
      </c>
      <c r="C2110" s="16">
        <f t="shared" si="1081"/>
        <v>6.5907035267385799E-4</v>
      </c>
    </row>
    <row r="2111" spans="1:3" x14ac:dyDescent="0.25">
      <c r="A2111" s="1">
        <v>43630</v>
      </c>
      <c r="B2111" s="2">
        <v>11823.299805000001</v>
      </c>
      <c r="C2111" s="16">
        <f t="shared" si="1081"/>
        <v>-7.6462152370988861E-3</v>
      </c>
    </row>
    <row r="2112" spans="1:3" x14ac:dyDescent="0.25">
      <c r="A2112" s="1">
        <v>43633</v>
      </c>
      <c r="B2112" s="2">
        <v>11672.150390999999</v>
      </c>
      <c r="C2112" s="16">
        <f t="shared" si="1081"/>
        <v>-1.2866448432247053E-2</v>
      </c>
    </row>
    <row r="2113" spans="1:3" x14ac:dyDescent="0.25">
      <c r="A2113" s="1">
        <v>43634</v>
      </c>
      <c r="B2113" s="2">
        <v>11691.5</v>
      </c>
      <c r="C2113" s="16">
        <f t="shared" si="1081"/>
        <v>1.6563861468706226E-3</v>
      </c>
    </row>
    <row r="2114" spans="1:3" x14ac:dyDescent="0.25">
      <c r="A2114" s="1">
        <v>43635</v>
      </c>
      <c r="B2114" s="2">
        <v>11691.450194999999</v>
      </c>
      <c r="C2114" s="16">
        <f t="shared" si="1081"/>
        <v>-4.2599415031223666E-6</v>
      </c>
    </row>
    <row r="2115" spans="1:3" x14ac:dyDescent="0.25">
      <c r="A2115" s="1">
        <v>43636</v>
      </c>
      <c r="B2115" s="2">
        <v>11831.75</v>
      </c>
      <c r="C2115" s="16">
        <f t="shared" si="1081"/>
        <v>1.1928773934155687E-2</v>
      </c>
    </row>
    <row r="2116" spans="1:3" x14ac:dyDescent="0.25">
      <c r="A2116" s="1">
        <v>43637</v>
      </c>
      <c r="B2116" s="2">
        <v>11724.099609000001</v>
      </c>
      <c r="C2116" s="16">
        <f t="shared" ref="C2116:C2179" si="1082">LN(B2116/B2115)</f>
        <v>-9.1400770696901286E-3</v>
      </c>
    </row>
    <row r="2117" spans="1:3" x14ac:dyDescent="0.25">
      <c r="A2117" s="1">
        <v>43640</v>
      </c>
      <c r="B2117" s="2">
        <v>11699.650390999999</v>
      </c>
      <c r="C2117" s="16">
        <f t="shared" si="1082"/>
        <v>-2.0875587281234289E-3</v>
      </c>
    </row>
    <row r="2118" spans="1:3" x14ac:dyDescent="0.25">
      <c r="A2118" s="1">
        <v>43641</v>
      </c>
      <c r="B2118" s="2">
        <v>11796.450194999999</v>
      </c>
      <c r="C2118" s="16">
        <f t="shared" si="1082"/>
        <v>8.2396950345638622E-3</v>
      </c>
    </row>
    <row r="2119" spans="1:3" x14ac:dyDescent="0.25">
      <c r="A2119" s="1">
        <v>43642</v>
      </c>
      <c r="B2119" s="2">
        <v>11847.549805000001</v>
      </c>
      <c r="C2119" s="16">
        <f t="shared" si="1082"/>
        <v>4.3224234105292796E-3</v>
      </c>
    </row>
    <row r="2120" spans="1:3" x14ac:dyDescent="0.25">
      <c r="A2120" s="1">
        <v>43643</v>
      </c>
      <c r="B2120" s="2">
        <v>11841.549805000001</v>
      </c>
      <c r="C2120" s="16">
        <f t="shared" si="1082"/>
        <v>-5.065621089093002E-4</v>
      </c>
    </row>
    <row r="2121" spans="1:3" x14ac:dyDescent="0.25">
      <c r="A2121" s="1">
        <v>43644</v>
      </c>
      <c r="B2121" s="2">
        <v>11788.849609000001</v>
      </c>
      <c r="C2121" s="16">
        <f t="shared" si="1082"/>
        <v>-4.4603802457309806E-3</v>
      </c>
    </row>
    <row r="2122" spans="1:3" x14ac:dyDescent="0.25">
      <c r="A2122" s="1">
        <v>43647</v>
      </c>
      <c r="B2122" s="2">
        <v>11865.599609000001</v>
      </c>
      <c r="C2122" s="16">
        <f t="shared" si="1082"/>
        <v>6.4892882202861714E-3</v>
      </c>
    </row>
    <row r="2123" spans="1:3" x14ac:dyDescent="0.25">
      <c r="A2123" s="1">
        <v>43648</v>
      </c>
      <c r="B2123" s="2">
        <v>11910.299805000001</v>
      </c>
      <c r="C2123" s="16">
        <f t="shared" si="1082"/>
        <v>3.7601310375773938E-3</v>
      </c>
    </row>
    <row r="2124" spans="1:3" x14ac:dyDescent="0.25">
      <c r="A2124" s="1">
        <v>43649</v>
      </c>
      <c r="B2124" s="2">
        <v>11916.75</v>
      </c>
      <c r="C2124" s="16">
        <f t="shared" si="1082"/>
        <v>5.4141785998288209E-4</v>
      </c>
    </row>
    <row r="2125" spans="1:3" x14ac:dyDescent="0.25">
      <c r="A2125" s="1">
        <v>43650</v>
      </c>
      <c r="B2125" s="2">
        <v>11946.75</v>
      </c>
      <c r="C2125" s="16">
        <f t="shared" si="1082"/>
        <v>2.5143014062712723E-3</v>
      </c>
    </row>
    <row r="2126" spans="1:3" x14ac:dyDescent="0.25">
      <c r="A2126" s="1">
        <v>43651</v>
      </c>
      <c r="B2126" s="2">
        <v>11811.150390999999</v>
      </c>
      <c r="C2126" s="16">
        <f t="shared" si="1082"/>
        <v>-1.1415241181942903E-2</v>
      </c>
    </row>
    <row r="2127" spans="1:3" x14ac:dyDescent="0.25">
      <c r="A2127" s="1">
        <v>43654</v>
      </c>
      <c r="B2127" s="2">
        <v>11558.599609000001</v>
      </c>
      <c r="C2127" s="16">
        <f t="shared" si="1082"/>
        <v>-2.1614318862685784E-2</v>
      </c>
    </row>
    <row r="2128" spans="1:3" x14ac:dyDescent="0.25">
      <c r="A2128" s="1">
        <v>43655</v>
      </c>
      <c r="B2128" s="2">
        <v>11555.900390999999</v>
      </c>
      <c r="C2128" s="16">
        <f t="shared" si="1082"/>
        <v>-2.3355192734177927E-4</v>
      </c>
    </row>
    <row r="2129" spans="1:3" x14ac:dyDescent="0.25">
      <c r="A2129" s="1">
        <v>43656</v>
      </c>
      <c r="B2129" s="2">
        <v>11498.900390999999</v>
      </c>
      <c r="C2129" s="16">
        <f t="shared" si="1082"/>
        <v>-4.9447502651675237E-3</v>
      </c>
    </row>
    <row r="2130" spans="1:3" x14ac:dyDescent="0.25">
      <c r="A2130" s="1">
        <v>43657</v>
      </c>
      <c r="B2130" s="2">
        <v>11582.900390999999</v>
      </c>
      <c r="C2130" s="16">
        <f t="shared" si="1082"/>
        <v>7.2784937040503818E-3</v>
      </c>
    </row>
    <row r="2131" spans="1:3" x14ac:dyDescent="0.25">
      <c r="A2131" s="1">
        <v>43658</v>
      </c>
      <c r="B2131" s="2">
        <v>11552.5</v>
      </c>
      <c r="C2131" s="16">
        <f t="shared" si="1082"/>
        <v>-2.6280425653482584E-3</v>
      </c>
    </row>
    <row r="2132" spans="1:3" x14ac:dyDescent="0.25">
      <c r="A2132" s="1">
        <v>43661</v>
      </c>
      <c r="B2132" s="2">
        <v>11588.349609000001</v>
      </c>
      <c r="C2132" s="16">
        <f t="shared" si="1082"/>
        <v>3.098385606872537E-3</v>
      </c>
    </row>
    <row r="2133" spans="1:3" x14ac:dyDescent="0.25">
      <c r="A2133" s="1">
        <v>43662</v>
      </c>
      <c r="B2133" s="2">
        <v>11662.599609000001</v>
      </c>
      <c r="C2133" s="16">
        <f t="shared" si="1082"/>
        <v>6.3868577324617138E-3</v>
      </c>
    </row>
    <row r="2134" spans="1:3" x14ac:dyDescent="0.25">
      <c r="A2134" s="1">
        <v>43663</v>
      </c>
      <c r="B2134" s="2">
        <v>11687.5</v>
      </c>
      <c r="C2134" s="16">
        <f t="shared" si="1082"/>
        <v>2.1327875131867281E-3</v>
      </c>
    </row>
    <row r="2135" spans="1:3" x14ac:dyDescent="0.25">
      <c r="A2135" s="1">
        <v>43664</v>
      </c>
      <c r="B2135" s="2">
        <v>11596.900390999999</v>
      </c>
      <c r="C2135" s="16">
        <f t="shared" si="1082"/>
        <v>-7.7820398812311438E-3</v>
      </c>
    </row>
    <row r="2136" spans="1:3" x14ac:dyDescent="0.25">
      <c r="A2136" s="1">
        <v>43665</v>
      </c>
      <c r="B2136" s="2">
        <v>11419.25</v>
      </c>
      <c r="C2136" s="16">
        <f t="shared" si="1082"/>
        <v>-1.5437326918050148E-2</v>
      </c>
    </row>
    <row r="2137" spans="1:3" x14ac:dyDescent="0.25">
      <c r="A2137" s="1">
        <v>43668</v>
      </c>
      <c r="B2137" s="2">
        <v>11346.200194999999</v>
      </c>
      <c r="C2137" s="16">
        <f t="shared" si="1082"/>
        <v>-6.4176245224789596E-3</v>
      </c>
    </row>
    <row r="2138" spans="1:3" x14ac:dyDescent="0.25">
      <c r="A2138" s="1">
        <v>43669</v>
      </c>
      <c r="B2138" s="2">
        <v>11331.049805000001</v>
      </c>
      <c r="C2138" s="16">
        <f t="shared" si="1082"/>
        <v>-1.3361754405035531E-3</v>
      </c>
    </row>
    <row r="2139" spans="1:3" x14ac:dyDescent="0.25">
      <c r="A2139" s="1">
        <v>43670</v>
      </c>
      <c r="B2139" s="2">
        <v>11271.299805000001</v>
      </c>
      <c r="C2139" s="16">
        <f t="shared" si="1082"/>
        <v>-5.287073265768891E-3</v>
      </c>
    </row>
    <row r="2140" spans="1:3" x14ac:dyDescent="0.25">
      <c r="A2140" s="1">
        <v>43671</v>
      </c>
      <c r="B2140" s="2">
        <v>11252.150390999999</v>
      </c>
      <c r="C2140" s="16">
        <f t="shared" si="1082"/>
        <v>-1.7003983357204489E-3</v>
      </c>
    </row>
    <row r="2141" spans="1:3" x14ac:dyDescent="0.25">
      <c r="A2141" s="1">
        <v>43672</v>
      </c>
      <c r="B2141" s="2">
        <v>11284.299805000001</v>
      </c>
      <c r="C2141" s="16">
        <f t="shared" si="1082"/>
        <v>2.853105571550156E-3</v>
      </c>
    </row>
    <row r="2142" spans="1:3" x14ac:dyDescent="0.25">
      <c r="A2142" s="1">
        <v>43675</v>
      </c>
      <c r="B2142" s="2">
        <v>11189.200194999999</v>
      </c>
      <c r="C2142" s="16">
        <f t="shared" si="1082"/>
        <v>-8.4633170308849644E-3</v>
      </c>
    </row>
    <row r="2143" spans="1:3" x14ac:dyDescent="0.25">
      <c r="A2143" s="1">
        <v>43676</v>
      </c>
      <c r="B2143" s="2">
        <v>11085.400390999999</v>
      </c>
      <c r="C2143" s="16">
        <f t="shared" si="1082"/>
        <v>-9.3200823035869997E-3</v>
      </c>
    </row>
    <row r="2144" spans="1:3" x14ac:dyDescent="0.25">
      <c r="A2144" s="1">
        <v>43677</v>
      </c>
      <c r="B2144" s="2">
        <v>11118</v>
      </c>
      <c r="C2144" s="16">
        <f t="shared" si="1082"/>
        <v>2.9364540431474407E-3</v>
      </c>
    </row>
    <row r="2145" spans="1:3" x14ac:dyDescent="0.25">
      <c r="A2145" s="1">
        <v>43678</v>
      </c>
      <c r="B2145" s="2">
        <v>10980</v>
      </c>
      <c r="C2145" s="16">
        <f t="shared" si="1082"/>
        <v>-1.2489980449893174E-2</v>
      </c>
    </row>
    <row r="2146" spans="1:3" x14ac:dyDescent="0.25">
      <c r="A2146" s="1">
        <v>43679</v>
      </c>
      <c r="B2146" s="2">
        <v>10997.349609000001</v>
      </c>
      <c r="C2146" s="16">
        <f t="shared" si="1082"/>
        <v>1.5788630487999537E-3</v>
      </c>
    </row>
    <row r="2147" spans="1:3" x14ac:dyDescent="0.25">
      <c r="A2147" s="1">
        <v>43682</v>
      </c>
      <c r="B2147" s="2">
        <v>10862.599609000001</v>
      </c>
      <c r="C2147" s="16">
        <f t="shared" si="1082"/>
        <v>-1.2328638592225724E-2</v>
      </c>
    </row>
    <row r="2148" spans="1:3" x14ac:dyDescent="0.25">
      <c r="A2148" s="1">
        <v>43683</v>
      </c>
      <c r="B2148" s="2">
        <v>10948.25</v>
      </c>
      <c r="C2148" s="16">
        <f t="shared" si="1082"/>
        <v>7.8539656007989723E-3</v>
      </c>
    </row>
    <row r="2149" spans="1:3" x14ac:dyDescent="0.25">
      <c r="A2149" s="1">
        <v>43684</v>
      </c>
      <c r="B2149" s="2">
        <v>10855.5</v>
      </c>
      <c r="C2149" s="16">
        <f t="shared" si="1082"/>
        <v>-8.5077621466028291E-3</v>
      </c>
    </row>
    <row r="2150" spans="1:3" x14ac:dyDescent="0.25">
      <c r="A2150" s="1">
        <v>43685</v>
      </c>
      <c r="B2150" s="2">
        <v>11032.450194999999</v>
      </c>
      <c r="C2150" s="16">
        <f t="shared" si="1082"/>
        <v>1.6169083769915913E-2</v>
      </c>
    </row>
    <row r="2151" spans="1:3" x14ac:dyDescent="0.25">
      <c r="A2151" s="1">
        <v>43686</v>
      </c>
      <c r="B2151" s="2">
        <v>11109.650390999999</v>
      </c>
      <c r="C2151" s="16">
        <f t="shared" si="1082"/>
        <v>6.9731874375453624E-3</v>
      </c>
    </row>
    <row r="2152" spans="1:3" x14ac:dyDescent="0.25">
      <c r="A2152" s="1">
        <v>43690</v>
      </c>
      <c r="B2152" s="2">
        <v>10925.849609000001</v>
      </c>
      <c r="C2152" s="16">
        <f t="shared" si="1082"/>
        <v>-1.6682629827503324E-2</v>
      </c>
    </row>
    <row r="2153" spans="1:3" x14ac:dyDescent="0.25">
      <c r="A2153" s="1">
        <v>43691</v>
      </c>
      <c r="B2153" s="2">
        <v>11029.400390999999</v>
      </c>
      <c r="C2153" s="16">
        <f t="shared" si="1082"/>
        <v>9.4329647656046112E-3</v>
      </c>
    </row>
    <row r="2154" spans="1:3" x14ac:dyDescent="0.25">
      <c r="A2154" s="1">
        <v>43693</v>
      </c>
      <c r="B2154" s="2">
        <v>11047.799805000001</v>
      </c>
      <c r="C2154" s="16">
        <f t="shared" si="1082"/>
        <v>1.6668253308015919E-3</v>
      </c>
    </row>
    <row r="2155" spans="1:3" x14ac:dyDescent="0.25">
      <c r="A2155" s="1">
        <v>43696</v>
      </c>
      <c r="B2155" s="2">
        <v>11053.900390999999</v>
      </c>
      <c r="C2155" s="16">
        <f t="shared" si="1082"/>
        <v>5.5204677475757856E-4</v>
      </c>
    </row>
    <row r="2156" spans="1:3" x14ac:dyDescent="0.25">
      <c r="A2156" s="1">
        <v>43697</v>
      </c>
      <c r="B2156" s="2">
        <v>11017</v>
      </c>
      <c r="C2156" s="16">
        <f t="shared" si="1082"/>
        <v>-3.3438078853490227E-3</v>
      </c>
    </row>
    <row r="2157" spans="1:3" x14ac:dyDescent="0.25">
      <c r="A2157" s="1">
        <v>43698</v>
      </c>
      <c r="B2157" s="2">
        <v>10918.700194999999</v>
      </c>
      <c r="C2157" s="16">
        <f t="shared" si="1082"/>
        <v>-8.9626008876780069E-3</v>
      </c>
    </row>
    <row r="2158" spans="1:3" x14ac:dyDescent="0.25">
      <c r="A2158" s="1">
        <v>43699</v>
      </c>
      <c r="B2158" s="2">
        <v>10741.349609000001</v>
      </c>
      <c r="C2158" s="16">
        <f t="shared" si="1082"/>
        <v>-1.6376190366265336E-2</v>
      </c>
    </row>
    <row r="2159" spans="1:3" x14ac:dyDescent="0.25">
      <c r="A2159" s="1">
        <v>43700</v>
      </c>
      <c r="B2159" s="2">
        <v>10829.349609000001</v>
      </c>
      <c r="C2159" s="16">
        <f t="shared" si="1082"/>
        <v>8.1592615349296554E-3</v>
      </c>
    </row>
    <row r="2160" spans="1:3" x14ac:dyDescent="0.25">
      <c r="A2160" s="1">
        <v>43703</v>
      </c>
      <c r="B2160" s="2">
        <v>11057.849609000001</v>
      </c>
      <c r="C2160" s="16">
        <f t="shared" si="1082"/>
        <v>2.0880542985392429E-2</v>
      </c>
    </row>
    <row r="2161" spans="1:3" x14ac:dyDescent="0.25">
      <c r="A2161" s="1">
        <v>43704</v>
      </c>
      <c r="B2161" s="2">
        <v>11105.349609000001</v>
      </c>
      <c r="C2161" s="16">
        <f t="shared" si="1082"/>
        <v>4.2863913517013014E-3</v>
      </c>
    </row>
    <row r="2162" spans="1:3" x14ac:dyDescent="0.25">
      <c r="A2162" s="1">
        <v>43705</v>
      </c>
      <c r="B2162" s="2">
        <v>11046.099609000001</v>
      </c>
      <c r="C2162" s="16">
        <f t="shared" si="1082"/>
        <v>-5.3495498842216554E-3</v>
      </c>
    </row>
    <row r="2163" spans="1:3" x14ac:dyDescent="0.25">
      <c r="A2163" s="1">
        <v>43706</v>
      </c>
      <c r="B2163" s="2">
        <v>10948.299805000001</v>
      </c>
      <c r="C2163" s="16">
        <f t="shared" si="1082"/>
        <v>-8.8932138345194454E-3</v>
      </c>
    </row>
    <row r="2164" spans="1:3" x14ac:dyDescent="0.25">
      <c r="A2164" s="1">
        <v>43707</v>
      </c>
      <c r="B2164" s="2">
        <v>11023.25</v>
      </c>
      <c r="C2164" s="16">
        <f t="shared" si="1082"/>
        <v>6.8225033179476939E-3</v>
      </c>
    </row>
    <row r="2165" spans="1:3" x14ac:dyDescent="0.25">
      <c r="A2165" s="1">
        <v>43711</v>
      </c>
      <c r="B2165" s="2">
        <v>10797.900390999999</v>
      </c>
      <c r="C2165" s="16">
        <f t="shared" si="1082"/>
        <v>-2.0654971585512986E-2</v>
      </c>
    </row>
    <row r="2166" spans="1:3" x14ac:dyDescent="0.25">
      <c r="A2166" s="1">
        <v>43712</v>
      </c>
      <c r="B2166" s="2">
        <v>10844.650390999999</v>
      </c>
      <c r="C2166" s="16">
        <f t="shared" si="1082"/>
        <v>4.3201998861602114E-3</v>
      </c>
    </row>
    <row r="2167" spans="1:3" x14ac:dyDescent="0.25">
      <c r="A2167" s="1">
        <v>43713</v>
      </c>
      <c r="B2167" s="2">
        <v>10847.900390999999</v>
      </c>
      <c r="C2167" s="16">
        <f t="shared" si="1082"/>
        <v>2.9964203444566488E-4</v>
      </c>
    </row>
    <row r="2168" spans="1:3" x14ac:dyDescent="0.25">
      <c r="A2168" s="1">
        <v>43714</v>
      </c>
      <c r="B2168" s="2">
        <v>10946.200194999999</v>
      </c>
      <c r="C2168" s="16">
        <f t="shared" si="1082"/>
        <v>9.0208329736066011E-3</v>
      </c>
    </row>
    <row r="2169" spans="1:3" x14ac:dyDescent="0.25">
      <c r="A2169" s="1">
        <v>43717</v>
      </c>
      <c r="B2169" s="2">
        <v>11003.049805000001</v>
      </c>
      <c r="C2169" s="16">
        <f t="shared" si="1082"/>
        <v>5.1801074863917695E-3</v>
      </c>
    </row>
    <row r="2170" spans="1:3" x14ac:dyDescent="0.25">
      <c r="A2170" s="1">
        <v>43719</v>
      </c>
      <c r="B2170" s="2">
        <v>11035.700194999999</v>
      </c>
      <c r="C2170" s="16">
        <f t="shared" si="1082"/>
        <v>2.9630005229414544E-3</v>
      </c>
    </row>
    <row r="2171" spans="1:3" x14ac:dyDescent="0.25">
      <c r="A2171" s="1">
        <v>43720</v>
      </c>
      <c r="B2171" s="2">
        <v>10982.799805000001</v>
      </c>
      <c r="C2171" s="16">
        <f t="shared" si="1082"/>
        <v>-4.80509496872573E-3</v>
      </c>
    </row>
    <row r="2172" spans="1:3" x14ac:dyDescent="0.25">
      <c r="A2172" s="1">
        <v>43721</v>
      </c>
      <c r="B2172" s="2">
        <v>11075.900390999999</v>
      </c>
      <c r="C2172" s="16">
        <f t="shared" si="1082"/>
        <v>8.4412171151518958E-3</v>
      </c>
    </row>
    <row r="2173" spans="1:3" x14ac:dyDescent="0.25">
      <c r="A2173" s="1">
        <v>43724</v>
      </c>
      <c r="B2173" s="2">
        <v>11003.5</v>
      </c>
      <c r="C2173" s="16">
        <f t="shared" si="1082"/>
        <v>-6.5582080322210481E-3</v>
      </c>
    </row>
    <row r="2174" spans="1:3" x14ac:dyDescent="0.25">
      <c r="A2174" s="1">
        <v>43725</v>
      </c>
      <c r="B2174" s="2">
        <v>10817.599609000001</v>
      </c>
      <c r="C2174" s="16">
        <f t="shared" si="1082"/>
        <v>-1.7039002797977848E-2</v>
      </c>
    </row>
    <row r="2175" spans="1:3" x14ac:dyDescent="0.25">
      <c r="A2175" s="1">
        <v>43726</v>
      </c>
      <c r="B2175" s="2">
        <v>10840.650390999999</v>
      </c>
      <c r="C2175" s="16">
        <f t="shared" si="1082"/>
        <v>2.1285921718889266E-3</v>
      </c>
    </row>
    <row r="2176" spans="1:3" x14ac:dyDescent="0.25">
      <c r="A2176" s="1">
        <v>43727</v>
      </c>
      <c r="B2176" s="2">
        <v>10704.799805000001</v>
      </c>
      <c r="C2176" s="16">
        <f t="shared" si="1082"/>
        <v>-1.2610772588849095E-2</v>
      </c>
    </row>
    <row r="2177" spans="1:3" x14ac:dyDescent="0.25">
      <c r="A2177" s="1">
        <v>43728</v>
      </c>
      <c r="B2177" s="2">
        <v>11274.200194999999</v>
      </c>
      <c r="C2177" s="16">
        <f t="shared" si="1082"/>
        <v>5.1824725938233583E-2</v>
      </c>
    </row>
    <row r="2178" spans="1:3" x14ac:dyDescent="0.25">
      <c r="A2178" s="1">
        <v>43731</v>
      </c>
      <c r="B2178" s="2">
        <v>11600.200194999999</v>
      </c>
      <c r="C2178" s="16">
        <f t="shared" si="1082"/>
        <v>2.8505409422305155E-2</v>
      </c>
    </row>
    <row r="2179" spans="1:3" x14ac:dyDescent="0.25">
      <c r="A2179" s="1">
        <v>43732</v>
      </c>
      <c r="B2179" s="2">
        <v>11588.200194999999</v>
      </c>
      <c r="C2179" s="16">
        <f t="shared" si="1082"/>
        <v>-1.0350003337359246E-3</v>
      </c>
    </row>
    <row r="2180" spans="1:3" x14ac:dyDescent="0.25">
      <c r="A2180" s="1">
        <v>43733</v>
      </c>
      <c r="B2180" s="2">
        <v>11440.200194999999</v>
      </c>
      <c r="C2180" s="16">
        <f t="shared" ref="C2180:C2243" si="1083">LN(B2180/B2179)</f>
        <v>-1.2853870457844058E-2</v>
      </c>
    </row>
    <row r="2181" spans="1:3" x14ac:dyDescent="0.25">
      <c r="A2181" s="1">
        <v>43734</v>
      </c>
      <c r="B2181" s="2">
        <v>11571.200194999999</v>
      </c>
      <c r="C2181" s="16">
        <f t="shared" si="1083"/>
        <v>1.1385783826322106E-2</v>
      </c>
    </row>
    <row r="2182" spans="1:3" x14ac:dyDescent="0.25">
      <c r="A2182" s="1">
        <v>43735</v>
      </c>
      <c r="B2182" s="2">
        <v>11512.400390999999</v>
      </c>
      <c r="C2182" s="16">
        <f t="shared" si="1083"/>
        <v>-5.0945198913582256E-3</v>
      </c>
    </row>
    <row r="2183" spans="1:3" x14ac:dyDescent="0.25">
      <c r="A2183" s="1">
        <v>43738</v>
      </c>
      <c r="B2183" s="2">
        <v>11474.450194999999</v>
      </c>
      <c r="C2183" s="16">
        <f t="shared" si="1083"/>
        <v>-3.3019077874670783E-3</v>
      </c>
    </row>
    <row r="2184" spans="1:3" x14ac:dyDescent="0.25">
      <c r="A2184" s="1">
        <v>43739</v>
      </c>
      <c r="B2184" s="2">
        <v>11359.900390999999</v>
      </c>
      <c r="C2184" s="16">
        <f t="shared" si="1083"/>
        <v>-1.0033196652294853E-2</v>
      </c>
    </row>
    <row r="2185" spans="1:3" x14ac:dyDescent="0.25">
      <c r="A2185" s="1">
        <v>43741</v>
      </c>
      <c r="B2185" s="2">
        <v>11314</v>
      </c>
      <c r="C2185" s="16">
        <f t="shared" si="1083"/>
        <v>-4.0487479357112785E-3</v>
      </c>
    </row>
    <row r="2186" spans="1:3" x14ac:dyDescent="0.25">
      <c r="A2186" s="1">
        <v>43742</v>
      </c>
      <c r="B2186" s="2">
        <v>11174.75</v>
      </c>
      <c r="C2186" s="16">
        <f t="shared" si="1083"/>
        <v>-1.2384128036227408E-2</v>
      </c>
    </row>
    <row r="2187" spans="1:3" x14ac:dyDescent="0.25">
      <c r="A2187" s="1">
        <v>43745</v>
      </c>
      <c r="B2187" s="2">
        <v>11126.400390999999</v>
      </c>
      <c r="C2187" s="16">
        <f t="shared" si="1083"/>
        <v>-4.3360709116869187E-3</v>
      </c>
    </row>
    <row r="2188" spans="1:3" x14ac:dyDescent="0.25">
      <c r="A2188" s="1">
        <v>43747</v>
      </c>
      <c r="B2188" s="2">
        <v>11313.299805000001</v>
      </c>
      <c r="C2188" s="16">
        <f t="shared" si="1083"/>
        <v>1.6658309548272538E-2</v>
      </c>
    </row>
    <row r="2189" spans="1:3" x14ac:dyDescent="0.25">
      <c r="A2189" s="1">
        <v>43748</v>
      </c>
      <c r="B2189" s="2">
        <v>11234.549805000001</v>
      </c>
      <c r="C2189" s="16">
        <f t="shared" si="1083"/>
        <v>-6.9851734478986955E-3</v>
      </c>
    </row>
    <row r="2190" spans="1:3" x14ac:dyDescent="0.25">
      <c r="A2190" s="1">
        <v>43749</v>
      </c>
      <c r="B2190" s="2">
        <v>11305.049805000001</v>
      </c>
      <c r="C2190" s="16">
        <f t="shared" si="1083"/>
        <v>6.2556772195605801E-3</v>
      </c>
    </row>
    <row r="2191" spans="1:3" x14ac:dyDescent="0.25">
      <c r="A2191" s="1">
        <v>43752</v>
      </c>
      <c r="B2191" s="2">
        <v>11341.150390999999</v>
      </c>
      <c r="C2191" s="16">
        <f t="shared" si="1083"/>
        <v>3.1882272758458935E-3</v>
      </c>
    </row>
    <row r="2192" spans="1:3" x14ac:dyDescent="0.25">
      <c r="A2192" s="1">
        <v>43753</v>
      </c>
      <c r="B2192" s="2">
        <v>11428.299805000001</v>
      </c>
      <c r="C2192" s="16">
        <f t="shared" si="1083"/>
        <v>7.6549797047972068E-3</v>
      </c>
    </row>
    <row r="2193" spans="1:3" x14ac:dyDescent="0.25">
      <c r="A2193" s="1">
        <v>43754</v>
      </c>
      <c r="B2193" s="2">
        <v>11464</v>
      </c>
      <c r="C2193" s="16">
        <f t="shared" si="1083"/>
        <v>3.1189722522435227E-3</v>
      </c>
    </row>
    <row r="2194" spans="1:3" x14ac:dyDescent="0.25">
      <c r="A2194" s="1">
        <v>43755</v>
      </c>
      <c r="B2194" s="2">
        <v>11586.349609000001</v>
      </c>
      <c r="C2194" s="16">
        <f t="shared" si="1083"/>
        <v>1.0615956818452918E-2</v>
      </c>
    </row>
    <row r="2195" spans="1:3" x14ac:dyDescent="0.25">
      <c r="A2195" s="1">
        <v>43756</v>
      </c>
      <c r="B2195" s="2">
        <v>11661.849609000001</v>
      </c>
      <c r="C2195" s="16">
        <f t="shared" si="1083"/>
        <v>6.4951495570198577E-3</v>
      </c>
    </row>
    <row r="2196" spans="1:3" x14ac:dyDescent="0.25">
      <c r="A2196" s="1">
        <v>43760</v>
      </c>
      <c r="B2196" s="2">
        <v>11588.349609000001</v>
      </c>
      <c r="C2196" s="16">
        <f t="shared" si="1083"/>
        <v>-6.3225475321866302E-3</v>
      </c>
    </row>
    <row r="2197" spans="1:3" x14ac:dyDescent="0.25">
      <c r="A2197" s="1">
        <v>43761</v>
      </c>
      <c r="B2197" s="2">
        <v>11604.099609000001</v>
      </c>
      <c r="C2197" s="16">
        <f t="shared" si="1083"/>
        <v>1.3582008759090707E-3</v>
      </c>
    </row>
    <row r="2198" spans="1:3" x14ac:dyDescent="0.25">
      <c r="A2198" s="1">
        <v>43762</v>
      </c>
      <c r="B2198" s="2">
        <v>11582.599609000001</v>
      </c>
      <c r="C2198" s="16">
        <f t="shared" si="1083"/>
        <v>-1.8545120165474503E-3</v>
      </c>
    </row>
    <row r="2199" spans="1:3" x14ac:dyDescent="0.25">
      <c r="A2199" s="1">
        <v>43763</v>
      </c>
      <c r="B2199" s="2">
        <v>11583.900390999999</v>
      </c>
      <c r="C2199" s="16">
        <f t="shared" si="1083"/>
        <v>1.1229853463970123E-4</v>
      </c>
    </row>
    <row r="2200" spans="1:3" x14ac:dyDescent="0.25">
      <c r="A2200" s="1">
        <v>43767</v>
      </c>
      <c r="B2200" s="2">
        <v>11786.849609000001</v>
      </c>
      <c r="C2200" s="16">
        <f t="shared" si="1083"/>
        <v>1.7368233343289099E-2</v>
      </c>
    </row>
    <row r="2201" spans="1:3" x14ac:dyDescent="0.25">
      <c r="A2201" s="1">
        <v>43768</v>
      </c>
      <c r="B2201" s="2">
        <v>11844.099609000001</v>
      </c>
      <c r="C2201" s="16">
        <f t="shared" si="1083"/>
        <v>4.8453501785867886E-3</v>
      </c>
    </row>
    <row r="2202" spans="1:3" x14ac:dyDescent="0.25">
      <c r="A2202" s="1">
        <v>43769</v>
      </c>
      <c r="B2202" s="2">
        <v>11877.450194999999</v>
      </c>
      <c r="C2202" s="16">
        <f t="shared" si="1083"/>
        <v>2.8118405626341683E-3</v>
      </c>
    </row>
    <row r="2203" spans="1:3" x14ac:dyDescent="0.25">
      <c r="A2203" s="1">
        <v>43770</v>
      </c>
      <c r="B2203" s="2">
        <v>11890.599609000001</v>
      </c>
      <c r="C2203" s="16">
        <f t="shared" si="1083"/>
        <v>1.1064782723023624E-3</v>
      </c>
    </row>
    <row r="2204" spans="1:3" x14ac:dyDescent="0.25">
      <c r="A2204" s="1">
        <v>43773</v>
      </c>
      <c r="B2204" s="2">
        <v>11941.299805000001</v>
      </c>
      <c r="C2204" s="16">
        <f t="shared" si="1083"/>
        <v>4.2548243097989451E-3</v>
      </c>
    </row>
    <row r="2205" spans="1:3" x14ac:dyDescent="0.25">
      <c r="A2205" s="1">
        <v>43774</v>
      </c>
      <c r="B2205" s="2">
        <v>11917.200194999999</v>
      </c>
      <c r="C2205" s="16">
        <f t="shared" si="1083"/>
        <v>-2.0202123516896557E-3</v>
      </c>
    </row>
    <row r="2206" spans="1:3" x14ac:dyDescent="0.25">
      <c r="A2206" s="1">
        <v>43775</v>
      </c>
      <c r="B2206" s="2">
        <v>11966.049805000001</v>
      </c>
      <c r="C2206" s="16">
        <f t="shared" si="1083"/>
        <v>4.0907060906920792E-3</v>
      </c>
    </row>
    <row r="2207" spans="1:3" x14ac:dyDescent="0.25">
      <c r="A2207" s="1">
        <v>43776</v>
      </c>
      <c r="B2207" s="2">
        <v>12012.049805000001</v>
      </c>
      <c r="C2207" s="16">
        <f t="shared" si="1083"/>
        <v>3.8368392141123861E-3</v>
      </c>
    </row>
    <row r="2208" spans="1:3" x14ac:dyDescent="0.25">
      <c r="A2208" s="1">
        <v>43777</v>
      </c>
      <c r="B2208" s="2">
        <v>11908.150390999999</v>
      </c>
      <c r="C2208" s="16">
        <f t="shared" si="1083"/>
        <v>-8.6872239003040336E-3</v>
      </c>
    </row>
    <row r="2209" spans="1:3" x14ac:dyDescent="0.25">
      <c r="A2209" s="1">
        <v>43780</v>
      </c>
      <c r="B2209" s="2">
        <v>11913.450194999999</v>
      </c>
      <c r="C2209" s="16">
        <f t="shared" si="1083"/>
        <v>4.4495784977226932E-4</v>
      </c>
    </row>
    <row r="2210" spans="1:3" x14ac:dyDescent="0.25">
      <c r="A2210" s="1">
        <v>43782</v>
      </c>
      <c r="B2210" s="2">
        <v>11840.450194999999</v>
      </c>
      <c r="C2210" s="16">
        <f t="shared" si="1083"/>
        <v>-6.1463783730064305E-3</v>
      </c>
    </row>
    <row r="2211" spans="1:3" x14ac:dyDescent="0.25">
      <c r="A2211" s="1">
        <v>43783</v>
      </c>
      <c r="B2211" s="2">
        <v>11872.099609000001</v>
      </c>
      <c r="C2211" s="16">
        <f t="shared" si="1083"/>
        <v>2.669424676437267E-3</v>
      </c>
    </row>
    <row r="2212" spans="1:3" x14ac:dyDescent="0.25">
      <c r="A2212" s="1">
        <v>43784</v>
      </c>
      <c r="B2212" s="2">
        <v>11895.450194999999</v>
      </c>
      <c r="C2212" s="16">
        <f t="shared" si="1083"/>
        <v>1.9649138178221386E-3</v>
      </c>
    </row>
    <row r="2213" spans="1:3" x14ac:dyDescent="0.25">
      <c r="A2213" s="1">
        <v>43787</v>
      </c>
      <c r="B2213" s="2">
        <v>11884.5</v>
      </c>
      <c r="C2213" s="16">
        <f t="shared" si="1083"/>
        <v>-9.2096036233660003E-4</v>
      </c>
    </row>
    <row r="2214" spans="1:3" x14ac:dyDescent="0.25">
      <c r="A2214" s="1">
        <v>43788</v>
      </c>
      <c r="B2214" s="2">
        <v>11940.099609000001</v>
      </c>
      <c r="C2214" s="16">
        <f t="shared" si="1083"/>
        <v>4.6674203007002445E-3</v>
      </c>
    </row>
    <row r="2215" spans="1:3" x14ac:dyDescent="0.25">
      <c r="A2215" s="1">
        <v>43789</v>
      </c>
      <c r="B2215" s="2">
        <v>11999.099609000001</v>
      </c>
      <c r="C2215" s="16">
        <f t="shared" si="1083"/>
        <v>4.9291639976124253E-3</v>
      </c>
    </row>
    <row r="2216" spans="1:3" x14ac:dyDescent="0.25">
      <c r="A2216" s="1">
        <v>43790</v>
      </c>
      <c r="B2216" s="2">
        <v>11968.400390999999</v>
      </c>
      <c r="C2216" s="16">
        <f t="shared" si="1083"/>
        <v>-2.5617385867234195E-3</v>
      </c>
    </row>
    <row r="2217" spans="1:3" x14ac:dyDescent="0.25">
      <c r="A2217" s="1">
        <v>43791</v>
      </c>
      <c r="B2217" s="2">
        <v>11914.400390999999</v>
      </c>
      <c r="C2217" s="16">
        <f t="shared" si="1083"/>
        <v>-4.5220903959073159E-3</v>
      </c>
    </row>
    <row r="2218" spans="1:3" x14ac:dyDescent="0.25">
      <c r="A2218" s="1">
        <v>43794</v>
      </c>
      <c r="B2218" s="2">
        <v>12073.75</v>
      </c>
      <c r="C2218" s="16">
        <f t="shared" si="1083"/>
        <v>1.3285889104417388E-2</v>
      </c>
    </row>
    <row r="2219" spans="1:3" x14ac:dyDescent="0.25">
      <c r="A2219" s="1">
        <v>43795</v>
      </c>
      <c r="B2219" s="2">
        <v>12037.700194999999</v>
      </c>
      <c r="C2219" s="16">
        <f t="shared" si="1083"/>
        <v>-2.9902665804536904E-3</v>
      </c>
    </row>
    <row r="2220" spans="1:3" x14ac:dyDescent="0.25">
      <c r="A2220" s="1">
        <v>43796</v>
      </c>
      <c r="B2220" s="2">
        <v>12100.700194999999</v>
      </c>
      <c r="C2220" s="16">
        <f t="shared" si="1083"/>
        <v>5.2199103529014437E-3</v>
      </c>
    </row>
    <row r="2221" spans="1:3" x14ac:dyDescent="0.25">
      <c r="A2221" s="1">
        <v>43797</v>
      </c>
      <c r="B2221" s="2">
        <v>12151.150390999999</v>
      </c>
      <c r="C2221" s="16">
        <f t="shared" si="1083"/>
        <v>4.1605294074779659E-3</v>
      </c>
    </row>
    <row r="2222" spans="1:3" x14ac:dyDescent="0.25">
      <c r="A2222" s="1">
        <v>43798</v>
      </c>
      <c r="B2222" s="2">
        <v>12056.049805000001</v>
      </c>
      <c r="C2222" s="16">
        <f t="shared" si="1083"/>
        <v>-7.8572552376106261E-3</v>
      </c>
    </row>
    <row r="2223" spans="1:3" x14ac:dyDescent="0.25">
      <c r="A2223" s="1">
        <v>43801</v>
      </c>
      <c r="B2223" s="2">
        <v>12048.200194999999</v>
      </c>
      <c r="C2223" s="16">
        <f t="shared" si="1083"/>
        <v>-6.5130508333457419E-4</v>
      </c>
    </row>
    <row r="2224" spans="1:3" x14ac:dyDescent="0.25">
      <c r="A2224" s="1">
        <v>43802</v>
      </c>
      <c r="B2224" s="2">
        <v>11994.200194999999</v>
      </c>
      <c r="C2224" s="16">
        <f t="shared" si="1083"/>
        <v>-4.4920715010309774E-3</v>
      </c>
    </row>
    <row r="2225" spans="1:3" x14ac:dyDescent="0.25">
      <c r="A2225" s="1">
        <v>43803</v>
      </c>
      <c r="B2225" s="2">
        <v>12043.200194999999</v>
      </c>
      <c r="C2225" s="16">
        <f t="shared" si="1083"/>
        <v>4.0769856205219923E-3</v>
      </c>
    </row>
    <row r="2226" spans="1:3" x14ac:dyDescent="0.25">
      <c r="A2226" s="1">
        <v>43804</v>
      </c>
      <c r="B2226" s="2">
        <v>12018.400390999999</v>
      </c>
      <c r="C2226" s="16">
        <f t="shared" si="1083"/>
        <v>-2.061360190315178E-3</v>
      </c>
    </row>
    <row r="2227" spans="1:3" x14ac:dyDescent="0.25">
      <c r="A2227" s="1">
        <v>43805</v>
      </c>
      <c r="B2227" s="2">
        <v>11921.5</v>
      </c>
      <c r="C2227" s="16">
        <f t="shared" si="1083"/>
        <v>-8.0953486532002461E-3</v>
      </c>
    </row>
    <row r="2228" spans="1:3" x14ac:dyDescent="0.25">
      <c r="A2228" s="1">
        <v>43808</v>
      </c>
      <c r="B2228" s="2">
        <v>11937.5</v>
      </c>
      <c r="C2228" s="16">
        <f t="shared" si="1083"/>
        <v>1.3412131605239934E-3</v>
      </c>
    </row>
    <row r="2229" spans="1:3" x14ac:dyDescent="0.25">
      <c r="A2229" s="1">
        <v>43809</v>
      </c>
      <c r="B2229" s="2">
        <v>11856.799805000001</v>
      </c>
      <c r="C2229" s="16">
        <f t="shared" si="1083"/>
        <v>-6.7831795925392116E-3</v>
      </c>
    </row>
    <row r="2230" spans="1:3" x14ac:dyDescent="0.25">
      <c r="A2230" s="1">
        <v>43810</v>
      </c>
      <c r="B2230" s="2">
        <v>11910.150390999999</v>
      </c>
      <c r="C2230" s="16">
        <f t="shared" si="1083"/>
        <v>4.489484361168917E-3</v>
      </c>
    </row>
    <row r="2231" spans="1:3" x14ac:dyDescent="0.25">
      <c r="A2231" s="1">
        <v>43811</v>
      </c>
      <c r="B2231" s="2">
        <v>11971.799805000001</v>
      </c>
      <c r="C2231" s="16">
        <f t="shared" si="1083"/>
        <v>5.1628573406471007E-3</v>
      </c>
    </row>
    <row r="2232" spans="1:3" x14ac:dyDescent="0.25">
      <c r="A2232" s="1">
        <v>43812</v>
      </c>
      <c r="B2232" s="2">
        <v>12086.700194999999</v>
      </c>
      <c r="C2232" s="16">
        <f t="shared" si="1083"/>
        <v>9.5518227320033604E-3</v>
      </c>
    </row>
    <row r="2233" spans="1:3" x14ac:dyDescent="0.25">
      <c r="A2233" s="1">
        <v>43815</v>
      </c>
      <c r="B2233" s="2">
        <v>12053.950194999999</v>
      </c>
      <c r="C2233" s="16">
        <f t="shared" si="1083"/>
        <v>-2.7132674192736086E-3</v>
      </c>
    </row>
    <row r="2234" spans="1:3" x14ac:dyDescent="0.25">
      <c r="A2234" s="1">
        <v>43816</v>
      </c>
      <c r="B2234" s="2">
        <v>12165</v>
      </c>
      <c r="C2234" s="16">
        <f t="shared" si="1083"/>
        <v>9.1705530066307286E-3</v>
      </c>
    </row>
    <row r="2235" spans="1:3" x14ac:dyDescent="0.25">
      <c r="A2235" s="1">
        <v>43817</v>
      </c>
      <c r="B2235" s="2">
        <v>12221.650390999999</v>
      </c>
      <c r="C2235" s="16">
        <f t="shared" si="1083"/>
        <v>4.6460249352938661E-3</v>
      </c>
    </row>
    <row r="2236" spans="1:3" x14ac:dyDescent="0.25">
      <c r="A2236" s="1">
        <v>43818</v>
      </c>
      <c r="B2236" s="2">
        <v>12259.700194999999</v>
      </c>
      <c r="C2236" s="16">
        <f t="shared" si="1083"/>
        <v>3.1084751231123539E-3</v>
      </c>
    </row>
    <row r="2237" spans="1:3" x14ac:dyDescent="0.25">
      <c r="A2237" s="1">
        <v>43819</v>
      </c>
      <c r="B2237" s="2">
        <v>12271.799805000001</v>
      </c>
      <c r="C2237" s="16">
        <f t="shared" si="1083"/>
        <v>9.8645504605682091E-4</v>
      </c>
    </row>
    <row r="2238" spans="1:3" x14ac:dyDescent="0.25">
      <c r="A2238" s="1">
        <v>43822</v>
      </c>
      <c r="B2238" s="2">
        <v>12262.75</v>
      </c>
      <c r="C2238" s="16">
        <f t="shared" si="1083"/>
        <v>-7.3771929645007333E-4</v>
      </c>
    </row>
    <row r="2239" spans="1:3" x14ac:dyDescent="0.25">
      <c r="A2239" s="1">
        <v>43823</v>
      </c>
      <c r="B2239" s="2">
        <v>12214.549805000001</v>
      </c>
      <c r="C2239" s="16">
        <f t="shared" si="1083"/>
        <v>-3.9383639278498276E-3</v>
      </c>
    </row>
    <row r="2240" spans="1:3" x14ac:dyDescent="0.25">
      <c r="A2240" s="1">
        <v>43825</v>
      </c>
      <c r="B2240" s="2">
        <v>12126.549805000001</v>
      </c>
      <c r="C2240" s="16">
        <f t="shared" si="1083"/>
        <v>-7.2306004911783872E-3</v>
      </c>
    </row>
    <row r="2241" spans="1:3" x14ac:dyDescent="0.25">
      <c r="A2241" s="1">
        <v>43826</v>
      </c>
      <c r="B2241" s="2">
        <v>12245.799805000001</v>
      </c>
      <c r="C2241" s="16">
        <f t="shared" si="1083"/>
        <v>9.7857575106329864E-3</v>
      </c>
    </row>
    <row r="2242" spans="1:3" x14ac:dyDescent="0.25">
      <c r="A2242" s="1">
        <v>43829</v>
      </c>
      <c r="B2242" s="2">
        <v>12255.849609000001</v>
      </c>
      <c r="C2242" s="16">
        <f t="shared" si="1083"/>
        <v>8.2033698170906437E-4</v>
      </c>
    </row>
    <row r="2243" spans="1:3" x14ac:dyDescent="0.25">
      <c r="A2243" s="1">
        <v>43830</v>
      </c>
      <c r="B2243" s="2">
        <v>12168.450194999999</v>
      </c>
      <c r="C2243" s="16">
        <f t="shared" si="1083"/>
        <v>-7.156789570078685E-3</v>
      </c>
    </row>
    <row r="2244" spans="1:3" x14ac:dyDescent="0.25">
      <c r="A2244" s="1">
        <v>43831</v>
      </c>
      <c r="B2244" s="2">
        <v>12182.5</v>
      </c>
      <c r="C2244" s="16">
        <f t="shared" ref="C2244:C2307" si="1084">LN(B2244/B2243)</f>
        <v>1.1539431887901464E-3</v>
      </c>
    </row>
    <row r="2245" spans="1:3" x14ac:dyDescent="0.25">
      <c r="A2245" s="1">
        <v>43832</v>
      </c>
      <c r="B2245" s="2">
        <v>12282.200194999999</v>
      </c>
      <c r="C2245" s="16">
        <f t="shared" si="1084"/>
        <v>8.1505799085697765E-3</v>
      </c>
    </row>
    <row r="2246" spans="1:3" x14ac:dyDescent="0.25">
      <c r="A2246" s="1">
        <v>43833</v>
      </c>
      <c r="B2246" s="2">
        <v>12226.650390999999</v>
      </c>
      <c r="C2246" s="16">
        <f t="shared" si="1084"/>
        <v>-4.5330480862215356E-3</v>
      </c>
    </row>
    <row r="2247" spans="1:3" x14ac:dyDescent="0.25">
      <c r="A2247" s="1">
        <v>43836</v>
      </c>
      <c r="B2247" s="2">
        <v>11993.049805000001</v>
      </c>
      <c r="C2247" s="16">
        <f t="shared" si="1084"/>
        <v>-1.9290728477755242E-2</v>
      </c>
    </row>
    <row r="2248" spans="1:3" x14ac:dyDescent="0.25">
      <c r="A2248" s="1">
        <v>43837</v>
      </c>
      <c r="B2248" s="2">
        <v>12052.950194999999</v>
      </c>
      <c r="C2248" s="16">
        <f t="shared" si="1084"/>
        <v>4.9821603512861263E-3</v>
      </c>
    </row>
    <row r="2249" spans="1:3" x14ac:dyDescent="0.25">
      <c r="A2249" s="1">
        <v>43838</v>
      </c>
      <c r="B2249" s="2">
        <v>12025.349609000001</v>
      </c>
      <c r="C2249" s="16">
        <f t="shared" si="1084"/>
        <v>-2.29257034869132E-3</v>
      </c>
    </row>
    <row r="2250" spans="1:3" x14ac:dyDescent="0.25">
      <c r="A2250" s="1">
        <v>43839</v>
      </c>
      <c r="B2250" s="2">
        <v>12215.900390999999</v>
      </c>
      <c r="C2250" s="16">
        <f t="shared" si="1084"/>
        <v>1.5721524821986389E-2</v>
      </c>
    </row>
    <row r="2251" spans="1:3" x14ac:dyDescent="0.25">
      <c r="A2251" s="1">
        <v>43840</v>
      </c>
      <c r="B2251" s="2">
        <v>12256.799805000001</v>
      </c>
      <c r="C2251" s="16">
        <f t="shared" si="1084"/>
        <v>3.3424552051725003E-3</v>
      </c>
    </row>
    <row r="2252" spans="1:3" x14ac:dyDescent="0.25">
      <c r="A2252" s="1">
        <v>43843</v>
      </c>
      <c r="B2252" s="2">
        <v>12329.549805000001</v>
      </c>
      <c r="C2252" s="16">
        <f t="shared" si="1084"/>
        <v>5.9179352343466524E-3</v>
      </c>
    </row>
    <row r="2253" spans="1:3" x14ac:dyDescent="0.25">
      <c r="A2253" s="1">
        <v>43844</v>
      </c>
      <c r="B2253" s="2">
        <v>12362.299805000001</v>
      </c>
      <c r="C2253" s="16">
        <f t="shared" si="1084"/>
        <v>2.6526987424516594E-3</v>
      </c>
    </row>
    <row r="2254" spans="1:3" x14ac:dyDescent="0.25">
      <c r="A2254" s="1">
        <v>43845</v>
      </c>
      <c r="B2254" s="2">
        <v>12343.299805000001</v>
      </c>
      <c r="C2254" s="16">
        <f t="shared" si="1084"/>
        <v>-1.538113144045866E-3</v>
      </c>
    </row>
    <row r="2255" spans="1:3" x14ac:dyDescent="0.25">
      <c r="A2255" s="1">
        <v>43846</v>
      </c>
      <c r="B2255" s="2">
        <v>12355.5</v>
      </c>
      <c r="C2255" s="16">
        <f t="shared" si="1084"/>
        <v>9.8791812465269242E-4</v>
      </c>
    </row>
    <row r="2256" spans="1:3" x14ac:dyDescent="0.25">
      <c r="A2256" s="1">
        <v>43847</v>
      </c>
      <c r="B2256" s="2">
        <v>12352.349609000001</v>
      </c>
      <c r="C2256" s="16">
        <f t="shared" si="1084"/>
        <v>-2.5501134796646855E-4</v>
      </c>
    </row>
    <row r="2257" spans="1:3" x14ac:dyDescent="0.25">
      <c r="A2257" s="1">
        <v>43850</v>
      </c>
      <c r="B2257" s="2">
        <v>12224.549805000001</v>
      </c>
      <c r="C2257" s="16">
        <f t="shared" si="1084"/>
        <v>-1.0400087803330228E-2</v>
      </c>
    </row>
    <row r="2258" spans="1:3" x14ac:dyDescent="0.25">
      <c r="A2258" s="1">
        <v>43851</v>
      </c>
      <c r="B2258" s="2">
        <v>12169.849609000001</v>
      </c>
      <c r="C2258" s="16">
        <f t="shared" si="1084"/>
        <v>-4.4846595113863293E-3</v>
      </c>
    </row>
    <row r="2259" spans="1:3" x14ac:dyDescent="0.25">
      <c r="A2259" s="1">
        <v>43852</v>
      </c>
      <c r="B2259" s="2">
        <v>12106.900390999999</v>
      </c>
      <c r="C2259" s="16">
        <f t="shared" si="1084"/>
        <v>-5.185979101948711E-3</v>
      </c>
    </row>
    <row r="2260" spans="1:3" x14ac:dyDescent="0.25">
      <c r="A2260" s="1">
        <v>43853</v>
      </c>
      <c r="B2260" s="2">
        <v>12180.349609000001</v>
      </c>
      <c r="C2260" s="16">
        <f t="shared" si="1084"/>
        <v>6.0483950975458852E-3</v>
      </c>
    </row>
    <row r="2261" spans="1:3" x14ac:dyDescent="0.25">
      <c r="A2261" s="1">
        <v>43854</v>
      </c>
      <c r="B2261" s="2">
        <v>12248.25</v>
      </c>
      <c r="C2261" s="16">
        <f t="shared" si="1084"/>
        <v>5.5591042426349846E-3</v>
      </c>
    </row>
    <row r="2262" spans="1:3" x14ac:dyDescent="0.25">
      <c r="A2262" s="1">
        <v>43857</v>
      </c>
      <c r="B2262" s="2">
        <v>12119</v>
      </c>
      <c r="C2262" s="16">
        <f t="shared" si="1084"/>
        <v>-1.0608600656474901E-2</v>
      </c>
    </row>
    <row r="2263" spans="1:3" x14ac:dyDescent="0.25">
      <c r="A2263" s="1">
        <v>43858</v>
      </c>
      <c r="B2263" s="2">
        <v>12055.799805000001</v>
      </c>
      <c r="C2263" s="16">
        <f t="shared" si="1084"/>
        <v>-5.2286132247123043E-3</v>
      </c>
    </row>
    <row r="2264" spans="1:3" x14ac:dyDescent="0.25">
      <c r="A2264" s="1">
        <v>43859</v>
      </c>
      <c r="B2264" s="2">
        <v>12129.5</v>
      </c>
      <c r="C2264" s="16">
        <f t="shared" si="1084"/>
        <v>6.0946462293322151E-3</v>
      </c>
    </row>
    <row r="2265" spans="1:3" x14ac:dyDescent="0.25">
      <c r="A2265" s="1">
        <v>43860</v>
      </c>
      <c r="B2265" s="2">
        <v>12035.799805000001</v>
      </c>
      <c r="C2265" s="16">
        <f t="shared" si="1084"/>
        <v>-7.7549763791152776E-3</v>
      </c>
    </row>
    <row r="2266" spans="1:3" x14ac:dyDescent="0.25">
      <c r="A2266" s="1">
        <v>43861</v>
      </c>
      <c r="B2266" s="2">
        <v>11962.099609000001</v>
      </c>
      <c r="C2266" s="16">
        <f t="shared" si="1084"/>
        <v>-6.1422399049489828E-3</v>
      </c>
    </row>
    <row r="2267" spans="1:3" x14ac:dyDescent="0.25">
      <c r="A2267" s="1">
        <v>43864</v>
      </c>
      <c r="B2267" s="2">
        <v>11707.900390999999</v>
      </c>
      <c r="C2267" s="16">
        <f t="shared" si="1084"/>
        <v>-2.1479424685921178E-2</v>
      </c>
    </row>
    <row r="2268" spans="1:3" x14ac:dyDescent="0.25">
      <c r="A2268" s="1">
        <v>43865</v>
      </c>
      <c r="B2268" s="2">
        <v>11979.650390999999</v>
      </c>
      <c r="C2268" s="16">
        <f t="shared" si="1084"/>
        <v>2.2945548519292577E-2</v>
      </c>
    </row>
    <row r="2269" spans="1:3" x14ac:dyDescent="0.25">
      <c r="A2269" s="1">
        <v>43866</v>
      </c>
      <c r="B2269" s="2">
        <v>12089.150390999999</v>
      </c>
      <c r="C2269" s="16">
        <f t="shared" si="1084"/>
        <v>9.098978919841464E-3</v>
      </c>
    </row>
    <row r="2270" spans="1:3" x14ac:dyDescent="0.25">
      <c r="A2270" s="1">
        <v>43867</v>
      </c>
      <c r="B2270" s="2">
        <v>12137.950194999999</v>
      </c>
      <c r="C2270" s="16">
        <f t="shared" si="1084"/>
        <v>4.0285357155990928E-3</v>
      </c>
    </row>
    <row r="2271" spans="1:3" x14ac:dyDescent="0.25">
      <c r="A2271" s="1">
        <v>43868</v>
      </c>
      <c r="B2271" s="2">
        <v>12098.349609000001</v>
      </c>
      <c r="C2271" s="16">
        <f t="shared" si="1084"/>
        <v>-3.2678768262092901E-3</v>
      </c>
    </row>
    <row r="2272" spans="1:3" x14ac:dyDescent="0.25">
      <c r="A2272" s="1">
        <v>43871</v>
      </c>
      <c r="B2272" s="2">
        <v>12031.5</v>
      </c>
      <c r="C2272" s="16">
        <f t="shared" si="1084"/>
        <v>-5.5408368565567842E-3</v>
      </c>
    </row>
    <row r="2273" spans="1:3" x14ac:dyDescent="0.25">
      <c r="A2273" s="1">
        <v>43872</v>
      </c>
      <c r="B2273" s="2">
        <v>12107.900390999999</v>
      </c>
      <c r="C2273" s="16">
        <f t="shared" si="1084"/>
        <v>6.3299539230673267E-3</v>
      </c>
    </row>
    <row r="2274" spans="1:3" x14ac:dyDescent="0.25">
      <c r="A2274" s="1">
        <v>43873</v>
      </c>
      <c r="B2274" s="2">
        <v>12201.200194999999</v>
      </c>
      <c r="C2274" s="16">
        <f t="shared" si="1084"/>
        <v>7.6761591238716839E-3</v>
      </c>
    </row>
    <row r="2275" spans="1:3" x14ac:dyDescent="0.25">
      <c r="A2275" s="1">
        <v>43874</v>
      </c>
      <c r="B2275" s="2">
        <v>12174.650390999999</v>
      </c>
      <c r="C2275" s="16">
        <f t="shared" si="1084"/>
        <v>-2.1783703018052442E-3</v>
      </c>
    </row>
    <row r="2276" spans="1:3" x14ac:dyDescent="0.25">
      <c r="A2276" s="1">
        <v>43875</v>
      </c>
      <c r="B2276" s="2">
        <v>12113.450194999999</v>
      </c>
      <c r="C2276" s="16">
        <f t="shared" si="1084"/>
        <v>-5.0395316264228041E-3</v>
      </c>
    </row>
    <row r="2277" spans="1:3" x14ac:dyDescent="0.25">
      <c r="A2277" s="1">
        <v>43878</v>
      </c>
      <c r="B2277" s="2">
        <v>12045.799805000001</v>
      </c>
      <c r="C2277" s="16">
        <f t="shared" si="1084"/>
        <v>-5.6003863379301749E-3</v>
      </c>
    </row>
    <row r="2278" spans="1:3" x14ac:dyDescent="0.25">
      <c r="A2278" s="1">
        <v>43879</v>
      </c>
      <c r="B2278" s="2">
        <v>11992.5</v>
      </c>
      <c r="C2278" s="16">
        <f t="shared" si="1084"/>
        <v>-4.4345808796506583E-3</v>
      </c>
    </row>
    <row r="2279" spans="1:3" x14ac:dyDescent="0.25">
      <c r="A2279" s="1">
        <v>43880</v>
      </c>
      <c r="B2279" s="2">
        <v>12125.900390999999</v>
      </c>
      <c r="C2279" s="16">
        <f t="shared" si="1084"/>
        <v>1.1062238723944356E-2</v>
      </c>
    </row>
    <row r="2280" spans="1:3" x14ac:dyDescent="0.25">
      <c r="A2280" s="1">
        <v>43881</v>
      </c>
      <c r="B2280" s="2">
        <v>12080.849609000001</v>
      </c>
      <c r="C2280" s="16">
        <f t="shared" si="1084"/>
        <v>-3.722171213666504E-3</v>
      </c>
    </row>
    <row r="2281" spans="1:3" x14ac:dyDescent="0.25">
      <c r="A2281" s="1">
        <v>43885</v>
      </c>
      <c r="B2281" s="2">
        <v>11829.400390999999</v>
      </c>
      <c r="C2281" s="16">
        <f t="shared" si="1084"/>
        <v>-2.1033530659308956E-2</v>
      </c>
    </row>
    <row r="2282" spans="1:3" x14ac:dyDescent="0.25">
      <c r="A2282" s="1">
        <v>43886</v>
      </c>
      <c r="B2282" s="2">
        <v>11797.900390999999</v>
      </c>
      <c r="C2282" s="16">
        <f t="shared" si="1084"/>
        <v>-2.6664085714817841E-3</v>
      </c>
    </row>
    <row r="2283" spans="1:3" x14ac:dyDescent="0.25">
      <c r="A2283" s="1">
        <v>43887</v>
      </c>
      <c r="B2283" s="2">
        <v>11678.5</v>
      </c>
      <c r="C2283" s="16">
        <f t="shared" si="1084"/>
        <v>-1.0172038178174725E-2</v>
      </c>
    </row>
    <row r="2284" spans="1:3" x14ac:dyDescent="0.25">
      <c r="A2284" s="1">
        <v>43888</v>
      </c>
      <c r="B2284" s="2">
        <v>11633.299805000001</v>
      </c>
      <c r="C2284" s="16">
        <f t="shared" si="1084"/>
        <v>-3.8778860509662907E-3</v>
      </c>
    </row>
    <row r="2285" spans="1:3" x14ac:dyDescent="0.25">
      <c r="A2285" s="1">
        <v>43889</v>
      </c>
      <c r="B2285" s="2">
        <v>11201.75</v>
      </c>
      <c r="C2285" s="16">
        <f t="shared" si="1084"/>
        <v>-3.7801642349138985E-2</v>
      </c>
    </row>
    <row r="2286" spans="1:3" x14ac:dyDescent="0.25">
      <c r="A2286" s="1">
        <v>43892</v>
      </c>
      <c r="B2286" s="2">
        <v>11132.75</v>
      </c>
      <c r="C2286" s="16">
        <f t="shared" si="1084"/>
        <v>-6.1788013630017435E-3</v>
      </c>
    </row>
    <row r="2287" spans="1:3" x14ac:dyDescent="0.25">
      <c r="A2287" s="1">
        <v>43893</v>
      </c>
      <c r="B2287" s="2">
        <v>11303.299805000001</v>
      </c>
      <c r="C2287" s="16">
        <f t="shared" si="1084"/>
        <v>1.5203486498601893E-2</v>
      </c>
    </row>
    <row r="2288" spans="1:3" x14ac:dyDescent="0.25">
      <c r="A2288" s="1">
        <v>43894</v>
      </c>
      <c r="B2288" s="2">
        <v>11251</v>
      </c>
      <c r="C2288" s="16">
        <f t="shared" si="1084"/>
        <v>-4.6376876419542308E-3</v>
      </c>
    </row>
    <row r="2289" spans="1:3" x14ac:dyDescent="0.25">
      <c r="A2289" s="1">
        <v>43895</v>
      </c>
      <c r="B2289" s="2">
        <v>11269</v>
      </c>
      <c r="C2289" s="16">
        <f t="shared" si="1084"/>
        <v>1.5985793812774052E-3</v>
      </c>
    </row>
    <row r="2290" spans="1:3" x14ac:dyDescent="0.25">
      <c r="A2290" s="1">
        <v>43896</v>
      </c>
      <c r="B2290" s="2">
        <v>10989.450194999999</v>
      </c>
      <c r="C2290" s="16">
        <f t="shared" si="1084"/>
        <v>-2.5119853558614329E-2</v>
      </c>
    </row>
    <row r="2291" spans="1:3" x14ac:dyDescent="0.25">
      <c r="A2291" s="1">
        <v>43899</v>
      </c>
      <c r="B2291" s="2">
        <v>10451.450194999999</v>
      </c>
      <c r="C2291" s="16">
        <f t="shared" si="1084"/>
        <v>-5.019499598793941E-2</v>
      </c>
    </row>
    <row r="2292" spans="1:3" x14ac:dyDescent="0.25">
      <c r="A2292" s="1">
        <v>43901</v>
      </c>
      <c r="B2292" s="2">
        <v>10458.400390999999</v>
      </c>
      <c r="C2292" s="16">
        <f t="shared" si="1084"/>
        <v>6.6477722806987166E-4</v>
      </c>
    </row>
    <row r="2293" spans="1:3" x14ac:dyDescent="0.25">
      <c r="A2293" s="1">
        <v>43902</v>
      </c>
      <c r="B2293" s="2">
        <v>9590.1503909999992</v>
      </c>
      <c r="C2293" s="16">
        <f t="shared" si="1084"/>
        <v>-8.6668949814693128E-2</v>
      </c>
    </row>
    <row r="2294" spans="1:3" x14ac:dyDescent="0.25">
      <c r="A2294" s="1">
        <v>43903</v>
      </c>
      <c r="B2294" s="2">
        <v>9955.2001949999994</v>
      </c>
      <c r="C2294" s="16">
        <f t="shared" si="1084"/>
        <v>3.7358476471898529E-2</v>
      </c>
    </row>
    <row r="2295" spans="1:3" x14ac:dyDescent="0.25">
      <c r="A2295" s="1">
        <v>43906</v>
      </c>
      <c r="B2295" s="2">
        <v>9197.4003909999992</v>
      </c>
      <c r="C2295" s="16">
        <f t="shared" si="1084"/>
        <v>-7.9174169378940826E-2</v>
      </c>
    </row>
    <row r="2296" spans="1:3" x14ac:dyDescent="0.25">
      <c r="A2296" s="1">
        <v>43907</v>
      </c>
      <c r="B2296" s="2">
        <v>8967.0498050000006</v>
      </c>
      <c r="C2296" s="16">
        <f t="shared" si="1084"/>
        <v>-2.5364151721018517E-2</v>
      </c>
    </row>
    <row r="2297" spans="1:3" x14ac:dyDescent="0.25">
      <c r="A2297" s="1">
        <v>43908</v>
      </c>
      <c r="B2297" s="2">
        <v>8468.7998050000006</v>
      </c>
      <c r="C2297" s="16">
        <f t="shared" si="1084"/>
        <v>-5.7167927113082891E-2</v>
      </c>
    </row>
    <row r="2298" spans="1:3" x14ac:dyDescent="0.25">
      <c r="A2298" s="1">
        <v>43909</v>
      </c>
      <c r="B2298" s="2">
        <v>8263.4501949999994</v>
      </c>
      <c r="C2298" s="16">
        <f t="shared" si="1084"/>
        <v>-2.4546599622468867E-2</v>
      </c>
    </row>
    <row r="2299" spans="1:3" x14ac:dyDescent="0.25">
      <c r="A2299" s="1">
        <v>43910</v>
      </c>
      <c r="B2299" s="2">
        <v>8745.4501949999994</v>
      </c>
      <c r="C2299" s="16">
        <f t="shared" si="1084"/>
        <v>5.6691387946521211E-2</v>
      </c>
    </row>
    <row r="2300" spans="1:3" x14ac:dyDescent="0.25">
      <c r="A2300" s="1">
        <v>43913</v>
      </c>
      <c r="B2300" s="2">
        <v>7610.25</v>
      </c>
      <c r="C2300" s="16">
        <f t="shared" si="1084"/>
        <v>-0.13903756457477903</v>
      </c>
    </row>
    <row r="2301" spans="1:3" x14ac:dyDescent="0.25">
      <c r="A2301" s="1">
        <v>43914</v>
      </c>
      <c r="B2301" s="2">
        <v>7801.0498049999997</v>
      </c>
      <c r="C2301" s="16">
        <f t="shared" si="1084"/>
        <v>2.4762292178523267E-2</v>
      </c>
    </row>
    <row r="2302" spans="1:3" x14ac:dyDescent="0.25">
      <c r="A2302" s="1">
        <v>43915</v>
      </c>
      <c r="B2302" s="2">
        <v>8317.8496090000008</v>
      </c>
      <c r="C2302" s="16">
        <f t="shared" si="1084"/>
        <v>6.414544594603809E-2</v>
      </c>
    </row>
    <row r="2303" spans="1:3" x14ac:dyDescent="0.25">
      <c r="A2303" s="1">
        <v>43916</v>
      </c>
      <c r="B2303" s="2">
        <v>8641.4501949999994</v>
      </c>
      <c r="C2303" s="16">
        <f t="shared" si="1084"/>
        <v>3.816665440508453E-2</v>
      </c>
    </row>
    <row r="2304" spans="1:3" x14ac:dyDescent="0.25">
      <c r="A2304" s="1">
        <v>43917</v>
      </c>
      <c r="B2304" s="2">
        <v>8660.25</v>
      </c>
      <c r="C2304" s="16">
        <f t="shared" si="1084"/>
        <v>2.1731751431269394E-3</v>
      </c>
    </row>
    <row r="2305" spans="1:3" x14ac:dyDescent="0.25">
      <c r="A2305" s="1">
        <v>43920</v>
      </c>
      <c r="B2305" s="2">
        <v>8281.0996090000008</v>
      </c>
      <c r="C2305" s="16">
        <f t="shared" si="1084"/>
        <v>-4.476782791898605E-2</v>
      </c>
    </row>
    <row r="2306" spans="1:3" x14ac:dyDescent="0.25">
      <c r="A2306" s="1">
        <v>43921</v>
      </c>
      <c r="B2306" s="2">
        <v>8597.75</v>
      </c>
      <c r="C2306" s="16">
        <f t="shared" si="1084"/>
        <v>3.7524778522982055E-2</v>
      </c>
    </row>
    <row r="2307" spans="1:3" x14ac:dyDescent="0.25">
      <c r="A2307" s="1">
        <v>43922</v>
      </c>
      <c r="B2307" s="2">
        <v>8253.7998050000006</v>
      </c>
      <c r="C2307" s="16">
        <f t="shared" si="1084"/>
        <v>-4.0826864386629004E-2</v>
      </c>
    </row>
    <row r="2308" spans="1:3" x14ac:dyDescent="0.25">
      <c r="A2308" s="1">
        <v>43924</v>
      </c>
      <c r="B2308" s="2">
        <v>8083.7998049999997</v>
      </c>
      <c r="C2308" s="16">
        <f t="shared" ref="C2308:C2371" si="1085">LN(B2308/B2307)</f>
        <v>-2.0811641849903865E-2</v>
      </c>
    </row>
    <row r="2309" spans="1:3" x14ac:dyDescent="0.25">
      <c r="A2309" s="1">
        <v>43928</v>
      </c>
      <c r="B2309" s="2">
        <v>8792.2001949999994</v>
      </c>
      <c r="C2309" s="16">
        <f t="shared" si="1085"/>
        <v>8.400295208862181E-2</v>
      </c>
    </row>
    <row r="2310" spans="1:3" x14ac:dyDescent="0.25">
      <c r="A2310" s="1">
        <v>43929</v>
      </c>
      <c r="B2310" s="2">
        <v>8748.75</v>
      </c>
      <c r="C2310" s="16">
        <f t="shared" si="1085"/>
        <v>-4.9541539524103843E-3</v>
      </c>
    </row>
    <row r="2311" spans="1:3" x14ac:dyDescent="0.25">
      <c r="A2311" s="1">
        <v>43930</v>
      </c>
      <c r="B2311" s="2">
        <v>9111.9003909999992</v>
      </c>
      <c r="C2311" s="16">
        <f t="shared" si="1085"/>
        <v>4.0670461434896277E-2</v>
      </c>
    </row>
    <row r="2312" spans="1:3" x14ac:dyDescent="0.25">
      <c r="A2312" s="1">
        <v>43934</v>
      </c>
      <c r="B2312" s="2">
        <v>8993.8496090000008</v>
      </c>
      <c r="C2312" s="16">
        <f t="shared" si="1085"/>
        <v>-1.3040327506411611E-2</v>
      </c>
    </row>
    <row r="2313" spans="1:3" x14ac:dyDescent="0.25">
      <c r="A2313" s="1">
        <v>43936</v>
      </c>
      <c r="B2313" s="2">
        <v>8925.2998050000006</v>
      </c>
      <c r="C2313" s="16">
        <f t="shared" si="1085"/>
        <v>-7.6510482519406807E-3</v>
      </c>
    </row>
    <row r="2314" spans="1:3" x14ac:dyDescent="0.25">
      <c r="A2314" s="1">
        <v>43937</v>
      </c>
      <c r="B2314" s="2">
        <v>8992.7998050000006</v>
      </c>
      <c r="C2314" s="16">
        <f t="shared" si="1085"/>
        <v>7.5343167832797901E-3</v>
      </c>
    </row>
    <row r="2315" spans="1:3" x14ac:dyDescent="0.25">
      <c r="A2315" s="1">
        <v>43938</v>
      </c>
      <c r="B2315" s="2">
        <v>9266.75</v>
      </c>
      <c r="C2315" s="16">
        <f t="shared" si="1085"/>
        <v>3.0008489312365903E-2</v>
      </c>
    </row>
    <row r="2316" spans="1:3" x14ac:dyDescent="0.25">
      <c r="A2316" s="1">
        <v>43941</v>
      </c>
      <c r="B2316" s="2">
        <v>9261.8496090000008</v>
      </c>
      <c r="C2316" s="16">
        <f t="shared" si="1085"/>
        <v>-5.2895428879330567E-4</v>
      </c>
    </row>
    <row r="2317" spans="1:3" x14ac:dyDescent="0.25">
      <c r="A2317" s="1">
        <v>43942</v>
      </c>
      <c r="B2317" s="2">
        <v>8981.4501949999994</v>
      </c>
      <c r="C2317" s="16">
        <f t="shared" si="1085"/>
        <v>-3.074240958116619E-2</v>
      </c>
    </row>
    <row r="2318" spans="1:3" x14ac:dyDescent="0.25">
      <c r="A2318" s="1">
        <v>43943</v>
      </c>
      <c r="B2318" s="2">
        <v>9187.2998050000006</v>
      </c>
      <c r="C2318" s="16">
        <f t="shared" si="1085"/>
        <v>2.2660713445735725E-2</v>
      </c>
    </row>
    <row r="2319" spans="1:3" x14ac:dyDescent="0.25">
      <c r="A2319" s="1">
        <v>43944</v>
      </c>
      <c r="B2319" s="2">
        <v>9313.9003909999992</v>
      </c>
      <c r="C2319" s="16">
        <f t="shared" si="1085"/>
        <v>1.3685875587574961E-2</v>
      </c>
    </row>
    <row r="2320" spans="1:3" x14ac:dyDescent="0.25">
      <c r="A2320" s="1">
        <v>43945</v>
      </c>
      <c r="B2320" s="2">
        <v>9154.4003909999992</v>
      </c>
      <c r="C2320" s="16">
        <f t="shared" si="1085"/>
        <v>-1.7273269224084911E-2</v>
      </c>
    </row>
    <row r="2321" spans="1:3" x14ac:dyDescent="0.25">
      <c r="A2321" s="1">
        <v>43948</v>
      </c>
      <c r="B2321" s="2">
        <v>9282.2998050000006</v>
      </c>
      <c r="C2321" s="16">
        <f t="shared" si="1085"/>
        <v>1.3874659176446962E-2</v>
      </c>
    </row>
    <row r="2322" spans="1:3" x14ac:dyDescent="0.25">
      <c r="A2322" s="1">
        <v>43949</v>
      </c>
      <c r="B2322" s="2">
        <v>9380.9003909999992</v>
      </c>
      <c r="C2322" s="16">
        <f t="shared" si="1085"/>
        <v>1.0566409013550391E-2</v>
      </c>
    </row>
    <row r="2323" spans="1:3" x14ac:dyDescent="0.25">
      <c r="A2323" s="1">
        <v>43950</v>
      </c>
      <c r="B2323" s="2">
        <v>9553.3496090000008</v>
      </c>
      <c r="C2323" s="16">
        <f t="shared" si="1085"/>
        <v>1.8216088471041673E-2</v>
      </c>
    </row>
    <row r="2324" spans="1:3" x14ac:dyDescent="0.25">
      <c r="A2324" s="1">
        <v>43951</v>
      </c>
      <c r="B2324" s="2">
        <v>9859.9003909999992</v>
      </c>
      <c r="C2324" s="16">
        <f t="shared" si="1085"/>
        <v>3.1584228836750217E-2</v>
      </c>
    </row>
    <row r="2325" spans="1:3" x14ac:dyDescent="0.25">
      <c r="A2325" s="1">
        <v>43955</v>
      </c>
      <c r="B2325" s="2">
        <v>9293.5</v>
      </c>
      <c r="C2325" s="16">
        <f t="shared" si="1085"/>
        <v>-5.9160835164587325E-2</v>
      </c>
    </row>
    <row r="2326" spans="1:3" x14ac:dyDescent="0.25">
      <c r="A2326" s="1">
        <v>43956</v>
      </c>
      <c r="B2326" s="2">
        <v>9205.5996090000008</v>
      </c>
      <c r="C2326" s="16">
        <f t="shared" si="1085"/>
        <v>-9.5032790133058181E-3</v>
      </c>
    </row>
    <row r="2327" spans="1:3" x14ac:dyDescent="0.25">
      <c r="A2327" s="1">
        <v>43957</v>
      </c>
      <c r="B2327" s="2">
        <v>9270.9003909999992</v>
      </c>
      <c r="C2327" s="16">
        <f t="shared" si="1085"/>
        <v>7.0685523657418254E-3</v>
      </c>
    </row>
    <row r="2328" spans="1:3" x14ac:dyDescent="0.25">
      <c r="A2328" s="1">
        <v>43958</v>
      </c>
      <c r="B2328" s="2">
        <v>9199.0498050000006</v>
      </c>
      <c r="C2328" s="16">
        <f t="shared" si="1085"/>
        <v>-7.7803077628891392E-3</v>
      </c>
    </row>
    <row r="2329" spans="1:3" x14ac:dyDescent="0.25">
      <c r="A2329" s="1">
        <v>43959</v>
      </c>
      <c r="B2329" s="2">
        <v>9251.5</v>
      </c>
      <c r="C2329" s="16">
        <f t="shared" si="1085"/>
        <v>5.6855038838162474E-3</v>
      </c>
    </row>
    <row r="2330" spans="1:3" x14ac:dyDescent="0.25">
      <c r="A2330" s="1">
        <v>43962</v>
      </c>
      <c r="B2330" s="2">
        <v>9239.2001949999994</v>
      </c>
      <c r="C2330" s="16">
        <f t="shared" si="1085"/>
        <v>-1.3303776151699822E-3</v>
      </c>
    </row>
    <row r="2331" spans="1:3" x14ac:dyDescent="0.25">
      <c r="A2331" s="1">
        <v>43963</v>
      </c>
      <c r="B2331" s="2">
        <v>9196.5498050000006</v>
      </c>
      <c r="C2331" s="16">
        <f t="shared" si="1085"/>
        <v>-4.6269304031558928E-3</v>
      </c>
    </row>
    <row r="2332" spans="1:3" x14ac:dyDescent="0.25">
      <c r="A2332" s="1">
        <v>43964</v>
      </c>
      <c r="B2332" s="2">
        <v>9383.5498050000006</v>
      </c>
      <c r="C2332" s="16">
        <f t="shared" si="1085"/>
        <v>2.0129742934796208E-2</v>
      </c>
    </row>
    <row r="2333" spans="1:3" x14ac:dyDescent="0.25">
      <c r="A2333" s="1">
        <v>43965</v>
      </c>
      <c r="B2333" s="2">
        <v>9142.75</v>
      </c>
      <c r="C2333" s="16">
        <f t="shared" si="1085"/>
        <v>-2.5996919970410579E-2</v>
      </c>
    </row>
    <row r="2334" spans="1:3" x14ac:dyDescent="0.25">
      <c r="A2334" s="1">
        <v>43966</v>
      </c>
      <c r="B2334" s="2">
        <v>9136.8496090000008</v>
      </c>
      <c r="C2334" s="16">
        <f t="shared" si="1085"/>
        <v>-6.4557116470058862E-4</v>
      </c>
    </row>
    <row r="2335" spans="1:3" x14ac:dyDescent="0.25">
      <c r="A2335" s="1">
        <v>43969</v>
      </c>
      <c r="B2335" s="2">
        <v>8823.25</v>
      </c>
      <c r="C2335" s="16">
        <f t="shared" si="1085"/>
        <v>-3.4925361449019345E-2</v>
      </c>
    </row>
    <row r="2336" spans="1:3" x14ac:dyDescent="0.25">
      <c r="A2336" s="1">
        <v>43970</v>
      </c>
      <c r="B2336" s="2">
        <v>8879.0996090000008</v>
      </c>
      <c r="C2336" s="16">
        <f t="shared" si="1085"/>
        <v>6.309873608362996E-3</v>
      </c>
    </row>
    <row r="2337" spans="1:3" x14ac:dyDescent="0.25">
      <c r="A2337" s="1">
        <v>43971</v>
      </c>
      <c r="B2337" s="2">
        <v>9066.5498050000006</v>
      </c>
      <c r="C2337" s="16">
        <f t="shared" si="1085"/>
        <v>2.0891638916027716E-2</v>
      </c>
    </row>
    <row r="2338" spans="1:3" x14ac:dyDescent="0.25">
      <c r="A2338" s="1">
        <v>43972</v>
      </c>
      <c r="B2338" s="2">
        <v>9106.25</v>
      </c>
      <c r="C2338" s="16">
        <f t="shared" si="1085"/>
        <v>4.3691955650135301E-3</v>
      </c>
    </row>
    <row r="2339" spans="1:3" x14ac:dyDescent="0.25">
      <c r="A2339" s="1">
        <v>43973</v>
      </c>
      <c r="B2339" s="2">
        <v>9039.25</v>
      </c>
      <c r="C2339" s="16">
        <f t="shared" si="1085"/>
        <v>-7.3847846008156101E-3</v>
      </c>
    </row>
    <row r="2340" spans="1:3" x14ac:dyDescent="0.25">
      <c r="A2340" s="1">
        <v>43977</v>
      </c>
      <c r="B2340" s="2">
        <v>9029.0498050000006</v>
      </c>
      <c r="C2340" s="16">
        <f t="shared" si="1085"/>
        <v>-1.1290709356924474E-3</v>
      </c>
    </row>
    <row r="2341" spans="1:3" x14ac:dyDescent="0.25">
      <c r="A2341" s="1">
        <v>43978</v>
      </c>
      <c r="B2341" s="2">
        <v>9314.9501949999994</v>
      </c>
      <c r="C2341" s="16">
        <f t="shared" si="1085"/>
        <v>3.1173521861838329E-2</v>
      </c>
    </row>
    <row r="2342" spans="1:3" x14ac:dyDescent="0.25">
      <c r="A2342" s="1">
        <v>43979</v>
      </c>
      <c r="B2342" s="2">
        <v>9490.0996090000008</v>
      </c>
      <c r="C2342" s="16">
        <f t="shared" si="1085"/>
        <v>1.8628451486576769E-2</v>
      </c>
    </row>
    <row r="2343" spans="1:3" x14ac:dyDescent="0.25">
      <c r="A2343" s="1">
        <v>43980</v>
      </c>
      <c r="B2343" s="2">
        <v>9580.2998050000006</v>
      </c>
      <c r="C2343" s="16">
        <f t="shared" si="1085"/>
        <v>9.4597776049870162E-3</v>
      </c>
    </row>
    <row r="2344" spans="1:3" x14ac:dyDescent="0.25">
      <c r="A2344" s="1">
        <v>43983</v>
      </c>
      <c r="B2344" s="2">
        <v>9826.1503909999992</v>
      </c>
      <c r="C2344" s="16">
        <f t="shared" si="1085"/>
        <v>2.5338352665264921E-2</v>
      </c>
    </row>
    <row r="2345" spans="1:3" x14ac:dyDescent="0.25">
      <c r="A2345" s="1">
        <v>43984</v>
      </c>
      <c r="B2345" s="2">
        <v>9979.0996090000008</v>
      </c>
      <c r="C2345" s="16">
        <f t="shared" si="1085"/>
        <v>1.5445627670730074E-2</v>
      </c>
    </row>
    <row r="2346" spans="1:3" x14ac:dyDescent="0.25">
      <c r="A2346" s="1">
        <v>43985</v>
      </c>
      <c r="B2346" s="2">
        <v>10061.549805000001</v>
      </c>
      <c r="C2346" s="16">
        <f t="shared" si="1085"/>
        <v>8.2283422549158363E-3</v>
      </c>
    </row>
    <row r="2347" spans="1:3" x14ac:dyDescent="0.25">
      <c r="A2347" s="1">
        <v>43986</v>
      </c>
      <c r="B2347" s="2">
        <v>10029.099609000001</v>
      </c>
      <c r="C2347" s="16">
        <f t="shared" si="1085"/>
        <v>-3.2303808155156586E-3</v>
      </c>
    </row>
    <row r="2348" spans="1:3" x14ac:dyDescent="0.25">
      <c r="A2348" s="1">
        <v>43987</v>
      </c>
      <c r="B2348" s="2">
        <v>10142.150390999999</v>
      </c>
      <c r="C2348" s="16">
        <f t="shared" si="1085"/>
        <v>1.1209217644024085E-2</v>
      </c>
    </row>
    <row r="2349" spans="1:3" x14ac:dyDescent="0.25">
      <c r="A2349" s="1">
        <v>43990</v>
      </c>
      <c r="B2349" s="2">
        <v>10167.450194999999</v>
      </c>
      <c r="C2349" s="16">
        <f t="shared" si="1085"/>
        <v>2.4914145386071085E-3</v>
      </c>
    </row>
    <row r="2350" spans="1:3" x14ac:dyDescent="0.25">
      <c r="A2350" s="1">
        <v>43991</v>
      </c>
      <c r="B2350" s="2">
        <v>10046.650390999999</v>
      </c>
      <c r="C2350" s="16">
        <f t="shared" si="1085"/>
        <v>-1.1952175814006641E-2</v>
      </c>
    </row>
    <row r="2351" spans="1:3" x14ac:dyDescent="0.25">
      <c r="A2351" s="1">
        <v>43992</v>
      </c>
      <c r="B2351" s="2">
        <v>10116.150390999999</v>
      </c>
      <c r="C2351" s="16">
        <f t="shared" si="1085"/>
        <v>6.8939108218153255E-3</v>
      </c>
    </row>
    <row r="2352" spans="1:3" x14ac:dyDescent="0.25">
      <c r="A2352" s="1">
        <v>43993</v>
      </c>
      <c r="B2352" s="2">
        <v>9902</v>
      </c>
      <c r="C2352" s="16">
        <f t="shared" si="1085"/>
        <v>-2.1396438404875824E-2</v>
      </c>
    </row>
    <row r="2353" spans="1:3" x14ac:dyDescent="0.25">
      <c r="A2353" s="1">
        <v>43994</v>
      </c>
      <c r="B2353" s="2">
        <v>9972.9003909999992</v>
      </c>
      <c r="C2353" s="16">
        <f t="shared" si="1085"/>
        <v>7.1346965633789739E-3</v>
      </c>
    </row>
    <row r="2354" spans="1:3" x14ac:dyDescent="0.25">
      <c r="A2354" s="1">
        <v>43997</v>
      </c>
      <c r="B2354" s="2">
        <v>9813.7001949999994</v>
      </c>
      <c r="C2354" s="16">
        <f t="shared" si="1085"/>
        <v>-1.6092065007450133E-2</v>
      </c>
    </row>
    <row r="2355" spans="1:3" x14ac:dyDescent="0.25">
      <c r="A2355" s="1">
        <v>43998</v>
      </c>
      <c r="B2355" s="2">
        <v>9914</v>
      </c>
      <c r="C2355" s="16">
        <f t="shared" si="1085"/>
        <v>1.0168511103222025E-2</v>
      </c>
    </row>
    <row r="2356" spans="1:3" x14ac:dyDescent="0.25">
      <c r="A2356" s="1">
        <v>43999</v>
      </c>
      <c r="B2356" s="2">
        <v>9881.1503909999992</v>
      </c>
      <c r="C2356" s="16">
        <f t="shared" si="1085"/>
        <v>-3.3189582807574372E-3</v>
      </c>
    </row>
    <row r="2357" spans="1:3" x14ac:dyDescent="0.25">
      <c r="A2357" s="1">
        <v>44000</v>
      </c>
      <c r="B2357" s="2">
        <v>10091.650390999999</v>
      </c>
      <c r="C2357" s="16">
        <f t="shared" si="1085"/>
        <v>2.1079446669296793E-2</v>
      </c>
    </row>
    <row r="2358" spans="1:3" x14ac:dyDescent="0.25">
      <c r="A2358" s="1">
        <v>44001</v>
      </c>
      <c r="B2358" s="2">
        <v>10244.400390999999</v>
      </c>
      <c r="C2358" s="16">
        <f t="shared" si="1085"/>
        <v>1.5022865002395434E-2</v>
      </c>
    </row>
    <row r="2359" spans="1:3" x14ac:dyDescent="0.25">
      <c r="A2359" s="1">
        <v>44004</v>
      </c>
      <c r="B2359" s="2">
        <v>10311.200194999999</v>
      </c>
      <c r="C2359" s="16">
        <f t="shared" si="1085"/>
        <v>6.4994490305904555E-3</v>
      </c>
    </row>
    <row r="2360" spans="1:3" x14ac:dyDescent="0.25">
      <c r="A2360" s="1">
        <v>44005</v>
      </c>
      <c r="B2360" s="2">
        <v>10471</v>
      </c>
      <c r="C2360" s="16">
        <f t="shared" si="1085"/>
        <v>1.5378829285417494E-2</v>
      </c>
    </row>
    <row r="2361" spans="1:3" x14ac:dyDescent="0.25">
      <c r="A2361" s="1">
        <v>44006</v>
      </c>
      <c r="B2361" s="2">
        <v>10305.299805000001</v>
      </c>
      <c r="C2361" s="16">
        <f t="shared" si="1085"/>
        <v>-1.5951224227439473E-2</v>
      </c>
    </row>
    <row r="2362" spans="1:3" x14ac:dyDescent="0.25">
      <c r="A2362" s="1">
        <v>44007</v>
      </c>
      <c r="B2362" s="2">
        <v>10288.900390999999</v>
      </c>
      <c r="C2362" s="16">
        <f t="shared" si="1085"/>
        <v>-1.5926248468293904E-3</v>
      </c>
    </row>
    <row r="2363" spans="1:3" x14ac:dyDescent="0.25">
      <c r="A2363" s="1">
        <v>44008</v>
      </c>
      <c r="B2363" s="2">
        <v>10383</v>
      </c>
      <c r="C2363" s="16">
        <f t="shared" si="1085"/>
        <v>9.1041710902608677E-3</v>
      </c>
    </row>
    <row r="2364" spans="1:3" x14ac:dyDescent="0.25">
      <c r="A2364" s="1">
        <v>44011</v>
      </c>
      <c r="B2364" s="2">
        <v>10312.400390999999</v>
      </c>
      <c r="C2364" s="16">
        <f t="shared" si="1085"/>
        <v>-6.822760761711991E-3</v>
      </c>
    </row>
    <row r="2365" spans="1:3" x14ac:dyDescent="0.25">
      <c r="A2365" s="1">
        <v>44012</v>
      </c>
      <c r="B2365" s="2">
        <v>10302.099609000001</v>
      </c>
      <c r="C2365" s="16">
        <f t="shared" si="1085"/>
        <v>-9.9937256371196697E-4</v>
      </c>
    </row>
    <row r="2366" spans="1:3" x14ac:dyDescent="0.25">
      <c r="A2366" s="1">
        <v>44013</v>
      </c>
      <c r="B2366" s="2">
        <v>10430.049805000001</v>
      </c>
      <c r="C2366" s="16">
        <f t="shared" si="1085"/>
        <v>1.2343324173172269E-2</v>
      </c>
    </row>
    <row r="2367" spans="1:3" x14ac:dyDescent="0.25">
      <c r="A2367" s="1">
        <v>44014</v>
      </c>
      <c r="B2367" s="2">
        <v>10551.700194999999</v>
      </c>
      <c r="C2367" s="16">
        <f t="shared" si="1085"/>
        <v>1.1595958692959749E-2</v>
      </c>
    </row>
    <row r="2368" spans="1:3" x14ac:dyDescent="0.25">
      <c r="A2368" s="1">
        <v>44015</v>
      </c>
      <c r="B2368" s="2">
        <v>10607.349609000001</v>
      </c>
      <c r="C2368" s="16">
        <f t="shared" si="1085"/>
        <v>5.2601173330845408E-3</v>
      </c>
    </row>
    <row r="2369" spans="1:3" x14ac:dyDescent="0.25">
      <c r="A2369" s="1">
        <v>44018</v>
      </c>
      <c r="B2369" s="2">
        <v>10763.650390999999</v>
      </c>
      <c r="C2369" s="16">
        <f t="shared" si="1085"/>
        <v>1.4627632673481319E-2</v>
      </c>
    </row>
    <row r="2370" spans="1:3" x14ac:dyDescent="0.25">
      <c r="A2370" s="1">
        <v>44019</v>
      </c>
      <c r="B2370" s="2">
        <v>10799.650390999999</v>
      </c>
      <c r="C2370" s="16">
        <f t="shared" si="1085"/>
        <v>3.339009533920531E-3</v>
      </c>
    </row>
    <row r="2371" spans="1:3" x14ac:dyDescent="0.25">
      <c r="A2371" s="1">
        <v>44020</v>
      </c>
      <c r="B2371" s="2">
        <v>10705.75</v>
      </c>
      <c r="C2371" s="16">
        <f t="shared" si="1085"/>
        <v>-8.7327820957128904E-3</v>
      </c>
    </row>
    <row r="2372" spans="1:3" x14ac:dyDescent="0.25">
      <c r="A2372" s="1">
        <v>44021</v>
      </c>
      <c r="B2372" s="2">
        <v>10813.450194999999</v>
      </c>
      <c r="C2372" s="16">
        <f t="shared" ref="C2372:C2435" si="1086">LN(B2372/B2371)</f>
        <v>1.0009767396397423E-2</v>
      </c>
    </row>
    <row r="2373" spans="1:3" x14ac:dyDescent="0.25">
      <c r="A2373" s="1">
        <v>44022</v>
      </c>
      <c r="B2373" s="2">
        <v>10768.049805000001</v>
      </c>
      <c r="C2373" s="16">
        <f t="shared" si="1086"/>
        <v>-4.2073495329172442E-3</v>
      </c>
    </row>
    <row r="2374" spans="1:3" x14ac:dyDescent="0.25">
      <c r="A2374" s="1">
        <v>44025</v>
      </c>
      <c r="B2374" s="2">
        <v>10802.700194999999</v>
      </c>
      <c r="C2374" s="16">
        <f t="shared" si="1086"/>
        <v>3.2127227661452162E-3</v>
      </c>
    </row>
    <row r="2375" spans="1:3" x14ac:dyDescent="0.25">
      <c r="A2375" s="1">
        <v>44026</v>
      </c>
      <c r="B2375" s="2">
        <v>10607.349609000001</v>
      </c>
      <c r="C2375" s="16">
        <f t="shared" si="1086"/>
        <v>-1.8249000741314265E-2</v>
      </c>
    </row>
    <row r="2376" spans="1:3" x14ac:dyDescent="0.25">
      <c r="A2376" s="1">
        <v>44027</v>
      </c>
      <c r="B2376" s="2">
        <v>10618.200194999999</v>
      </c>
      <c r="C2376" s="16">
        <f t="shared" si="1086"/>
        <v>1.0224080926418339E-3</v>
      </c>
    </row>
    <row r="2377" spans="1:3" x14ac:dyDescent="0.25">
      <c r="A2377" s="1">
        <v>44028</v>
      </c>
      <c r="B2377" s="2">
        <v>10739.950194999999</v>
      </c>
      <c r="C2377" s="16">
        <f t="shared" si="1086"/>
        <v>1.1400923445156702E-2</v>
      </c>
    </row>
    <row r="2378" spans="1:3" x14ac:dyDescent="0.25">
      <c r="A2378" s="1">
        <v>44029</v>
      </c>
      <c r="B2378" s="2">
        <v>10901.700194999999</v>
      </c>
      <c r="C2378" s="16">
        <f t="shared" si="1086"/>
        <v>1.4948306531048805E-2</v>
      </c>
    </row>
    <row r="2379" spans="1:3" x14ac:dyDescent="0.25">
      <c r="A2379" s="1">
        <v>44032</v>
      </c>
      <c r="B2379" s="2">
        <v>11022.200194999999</v>
      </c>
      <c r="C2379" s="16">
        <f t="shared" si="1086"/>
        <v>1.0992680251153707E-2</v>
      </c>
    </row>
    <row r="2380" spans="1:3" x14ac:dyDescent="0.25">
      <c r="A2380" s="1">
        <v>44033</v>
      </c>
      <c r="B2380" s="2">
        <v>11162.25</v>
      </c>
      <c r="C2380" s="16">
        <f t="shared" si="1086"/>
        <v>1.2626111020129836E-2</v>
      </c>
    </row>
    <row r="2381" spans="1:3" x14ac:dyDescent="0.25">
      <c r="A2381" s="1">
        <v>44034</v>
      </c>
      <c r="B2381" s="2">
        <v>11132.599609000001</v>
      </c>
      <c r="C2381" s="16">
        <f t="shared" si="1086"/>
        <v>-2.659843775652353E-3</v>
      </c>
    </row>
    <row r="2382" spans="1:3" x14ac:dyDescent="0.25">
      <c r="A2382" s="1">
        <v>44035</v>
      </c>
      <c r="B2382" s="2">
        <v>11215.450194999999</v>
      </c>
      <c r="C2382" s="16">
        <f t="shared" si="1086"/>
        <v>7.4146036271468376E-3</v>
      </c>
    </row>
    <row r="2383" spans="1:3" x14ac:dyDescent="0.25">
      <c r="A2383" s="1">
        <v>44036</v>
      </c>
      <c r="B2383" s="2">
        <v>11194.150390999999</v>
      </c>
      <c r="C2383" s="16">
        <f t="shared" si="1086"/>
        <v>-1.900954042655633E-3</v>
      </c>
    </row>
    <row r="2384" spans="1:3" x14ac:dyDescent="0.25">
      <c r="A2384" s="1">
        <v>44039</v>
      </c>
      <c r="B2384" s="2">
        <v>11131.799805000001</v>
      </c>
      <c r="C2384" s="16">
        <f t="shared" si="1086"/>
        <v>-5.5854955827120733E-3</v>
      </c>
    </row>
    <row r="2385" spans="1:3" x14ac:dyDescent="0.25">
      <c r="A2385" s="1">
        <v>44040</v>
      </c>
      <c r="B2385" s="2">
        <v>11300.549805000001</v>
      </c>
      <c r="C2385" s="16">
        <f t="shared" si="1086"/>
        <v>1.5045520083030939E-2</v>
      </c>
    </row>
    <row r="2386" spans="1:3" x14ac:dyDescent="0.25">
      <c r="A2386" s="1">
        <v>44041</v>
      </c>
      <c r="B2386" s="2">
        <v>11202.849609000001</v>
      </c>
      <c r="C2386" s="16">
        <f t="shared" si="1086"/>
        <v>-8.6832045300137516E-3</v>
      </c>
    </row>
    <row r="2387" spans="1:3" x14ac:dyDescent="0.25">
      <c r="A2387" s="1">
        <v>44042</v>
      </c>
      <c r="B2387" s="2">
        <v>11102.150390999999</v>
      </c>
      <c r="C2387" s="16">
        <f t="shared" si="1086"/>
        <v>-9.0293568402010013E-3</v>
      </c>
    </row>
    <row r="2388" spans="1:3" x14ac:dyDescent="0.25">
      <c r="A2388" s="1">
        <v>44043</v>
      </c>
      <c r="B2388" s="2">
        <v>11073.450194999999</v>
      </c>
      <c r="C2388" s="16">
        <f t="shared" si="1086"/>
        <v>-2.5884495811638437E-3</v>
      </c>
    </row>
    <row r="2389" spans="1:3" x14ac:dyDescent="0.25">
      <c r="A2389" s="1">
        <v>44046</v>
      </c>
      <c r="B2389" s="2">
        <v>10891.599609000001</v>
      </c>
      <c r="C2389" s="16">
        <f t="shared" si="1086"/>
        <v>-1.6558554856330752E-2</v>
      </c>
    </row>
    <row r="2390" spans="1:3" x14ac:dyDescent="0.25">
      <c r="A2390" s="1">
        <v>44047</v>
      </c>
      <c r="B2390" s="2">
        <v>11095.25</v>
      </c>
      <c r="C2390" s="16">
        <f t="shared" si="1086"/>
        <v>1.852527476638648E-2</v>
      </c>
    </row>
    <row r="2391" spans="1:3" x14ac:dyDescent="0.25">
      <c r="A2391" s="1">
        <v>44048</v>
      </c>
      <c r="B2391" s="2">
        <v>11101.650390999999</v>
      </c>
      <c r="C2391" s="16">
        <f t="shared" si="1086"/>
        <v>5.7669233673537576E-4</v>
      </c>
    </row>
    <row r="2392" spans="1:3" x14ac:dyDescent="0.25">
      <c r="A2392" s="1">
        <v>44049</v>
      </c>
      <c r="B2392" s="2">
        <v>11200.150390999999</v>
      </c>
      <c r="C2392" s="16">
        <f t="shared" si="1086"/>
        <v>8.8334248389435651E-3</v>
      </c>
    </row>
    <row r="2393" spans="1:3" x14ac:dyDescent="0.25">
      <c r="A2393" s="1">
        <v>44050</v>
      </c>
      <c r="B2393" s="2">
        <v>11214.049805000001</v>
      </c>
      <c r="C2393" s="16">
        <f t="shared" si="1086"/>
        <v>1.2402330362097972E-3</v>
      </c>
    </row>
    <row r="2394" spans="1:3" x14ac:dyDescent="0.25">
      <c r="A2394" s="1">
        <v>44053</v>
      </c>
      <c r="B2394" s="2">
        <v>11270.150390999999</v>
      </c>
      <c r="C2394" s="16">
        <f t="shared" si="1086"/>
        <v>4.9902333132578617E-3</v>
      </c>
    </row>
    <row r="2395" spans="1:3" x14ac:dyDescent="0.25">
      <c r="A2395" s="1">
        <v>44054</v>
      </c>
      <c r="B2395" s="2">
        <v>11322.5</v>
      </c>
      <c r="C2395" s="16">
        <f t="shared" si="1086"/>
        <v>4.6342241200098711E-3</v>
      </c>
    </row>
    <row r="2396" spans="1:3" x14ac:dyDescent="0.25">
      <c r="A2396" s="1">
        <v>44055</v>
      </c>
      <c r="B2396" s="2">
        <v>11308.400390999999</v>
      </c>
      <c r="C2396" s="16">
        <f t="shared" si="1086"/>
        <v>-1.2460494793135079E-3</v>
      </c>
    </row>
    <row r="2397" spans="1:3" x14ac:dyDescent="0.25">
      <c r="A2397" s="1">
        <v>44056</v>
      </c>
      <c r="B2397" s="2">
        <v>11300.450194999999</v>
      </c>
      <c r="C2397" s="16">
        <f t="shared" si="1086"/>
        <v>-7.0328177873903283E-4</v>
      </c>
    </row>
    <row r="2398" spans="1:3" x14ac:dyDescent="0.25">
      <c r="A2398" s="1">
        <v>44057</v>
      </c>
      <c r="B2398" s="2">
        <v>11178.400390999999</v>
      </c>
      <c r="C2398" s="16">
        <f t="shared" si="1086"/>
        <v>-1.0859185427906671E-2</v>
      </c>
    </row>
    <row r="2399" spans="1:3" x14ac:dyDescent="0.25">
      <c r="A2399" s="1">
        <v>44060</v>
      </c>
      <c r="B2399" s="2">
        <v>11247.099609000001</v>
      </c>
      <c r="C2399" s="16">
        <f t="shared" si="1086"/>
        <v>6.1269031154590758E-3</v>
      </c>
    </row>
    <row r="2400" spans="1:3" x14ac:dyDescent="0.25">
      <c r="A2400" s="1">
        <v>44061</v>
      </c>
      <c r="B2400" s="2">
        <v>11385.349609000001</v>
      </c>
      <c r="C2400" s="16">
        <f t="shared" si="1086"/>
        <v>1.2217124027715562E-2</v>
      </c>
    </row>
    <row r="2401" spans="1:3" x14ac:dyDescent="0.25">
      <c r="A2401" s="1">
        <v>44062</v>
      </c>
      <c r="B2401" s="2">
        <v>11408.400390999999</v>
      </c>
      <c r="C2401" s="16">
        <f t="shared" si="1086"/>
        <v>2.0225535383920482E-3</v>
      </c>
    </row>
    <row r="2402" spans="1:3" x14ac:dyDescent="0.25">
      <c r="A2402" s="1">
        <v>44063</v>
      </c>
      <c r="B2402" s="2">
        <v>11312.200194999999</v>
      </c>
      <c r="C2402" s="16">
        <f t="shared" si="1086"/>
        <v>-8.4681538684290847E-3</v>
      </c>
    </row>
    <row r="2403" spans="1:3" x14ac:dyDescent="0.25">
      <c r="A2403" s="1">
        <v>44064</v>
      </c>
      <c r="B2403" s="2">
        <v>11371.599609000001</v>
      </c>
      <c r="C2403" s="16">
        <f t="shared" si="1086"/>
        <v>5.2371780989617029E-3</v>
      </c>
    </row>
    <row r="2404" spans="1:3" x14ac:dyDescent="0.25">
      <c r="A2404" s="1">
        <v>44067</v>
      </c>
      <c r="B2404" s="2">
        <v>11466.450194999999</v>
      </c>
      <c r="C2404" s="16">
        <f t="shared" si="1086"/>
        <v>8.3064125156496853E-3</v>
      </c>
    </row>
    <row r="2405" spans="1:3" x14ac:dyDescent="0.25">
      <c r="A2405" s="1">
        <v>44068</v>
      </c>
      <c r="B2405" s="2">
        <v>11472.25</v>
      </c>
      <c r="C2405" s="16">
        <f t="shared" si="1086"/>
        <v>5.0567861947584862E-4</v>
      </c>
    </row>
    <row r="2406" spans="1:3" x14ac:dyDescent="0.25">
      <c r="A2406" s="1">
        <v>44069</v>
      </c>
      <c r="B2406" s="2">
        <v>11549.599609000001</v>
      </c>
      <c r="C2406" s="16">
        <f t="shared" si="1086"/>
        <v>6.7196946699834567E-3</v>
      </c>
    </row>
    <row r="2407" spans="1:3" x14ac:dyDescent="0.25">
      <c r="A2407" s="1">
        <v>44070</v>
      </c>
      <c r="B2407" s="2">
        <v>11559.25</v>
      </c>
      <c r="C2407" s="16">
        <f t="shared" si="1086"/>
        <v>8.3521176729040036E-4</v>
      </c>
    </row>
    <row r="2408" spans="1:3" x14ac:dyDescent="0.25">
      <c r="A2408" s="1">
        <v>44071</v>
      </c>
      <c r="B2408" s="2">
        <v>11647.599609000001</v>
      </c>
      <c r="C2408" s="16">
        <f t="shared" si="1086"/>
        <v>7.6141343894162153E-3</v>
      </c>
    </row>
    <row r="2409" spans="1:3" x14ac:dyDescent="0.25">
      <c r="A2409" s="1">
        <v>44074</v>
      </c>
      <c r="B2409" s="2">
        <v>11387.5</v>
      </c>
      <c r="C2409" s="16">
        <f t="shared" si="1086"/>
        <v>-2.2583854050111062E-2</v>
      </c>
    </row>
    <row r="2410" spans="1:3" x14ac:dyDescent="0.25">
      <c r="A2410" s="1">
        <v>44075</v>
      </c>
      <c r="B2410" s="2">
        <v>11470.25</v>
      </c>
      <c r="C2410" s="16">
        <f t="shared" si="1086"/>
        <v>7.2404643072113339E-3</v>
      </c>
    </row>
    <row r="2411" spans="1:3" x14ac:dyDescent="0.25">
      <c r="A2411" s="1">
        <v>44076</v>
      </c>
      <c r="B2411" s="2">
        <v>11535</v>
      </c>
      <c r="C2411" s="16">
        <f t="shared" si="1086"/>
        <v>5.6291647324288943E-3</v>
      </c>
    </row>
    <row r="2412" spans="1:3" x14ac:dyDescent="0.25">
      <c r="A2412" s="1">
        <v>44077</v>
      </c>
      <c r="B2412" s="2">
        <v>11527.450194999999</v>
      </c>
      <c r="C2412" s="16">
        <f t="shared" si="1086"/>
        <v>-6.547270741713221E-4</v>
      </c>
    </row>
    <row r="2413" spans="1:3" x14ac:dyDescent="0.25">
      <c r="A2413" s="1">
        <v>44078</v>
      </c>
      <c r="B2413" s="2">
        <v>11333.849609000001</v>
      </c>
      <c r="C2413" s="16">
        <f t="shared" si="1086"/>
        <v>-1.69373759057397E-2</v>
      </c>
    </row>
    <row r="2414" spans="1:3" x14ac:dyDescent="0.25">
      <c r="A2414" s="1">
        <v>44081</v>
      </c>
      <c r="B2414" s="2">
        <v>11355.049805000001</v>
      </c>
      <c r="C2414" s="16">
        <f t="shared" si="1086"/>
        <v>1.8687730755885309E-3</v>
      </c>
    </row>
    <row r="2415" spans="1:3" x14ac:dyDescent="0.25">
      <c r="A2415" s="1">
        <v>44082</v>
      </c>
      <c r="B2415" s="2">
        <v>11317.349609000001</v>
      </c>
      <c r="C2415" s="16">
        <f t="shared" si="1086"/>
        <v>-3.3256498404452715E-3</v>
      </c>
    </row>
    <row r="2416" spans="1:3" x14ac:dyDescent="0.25">
      <c r="A2416" s="1">
        <v>44083</v>
      </c>
      <c r="B2416" s="2">
        <v>11278</v>
      </c>
      <c r="C2416" s="16">
        <f t="shared" si="1086"/>
        <v>-3.4829864959587471E-3</v>
      </c>
    </row>
    <row r="2417" spans="1:3" x14ac:dyDescent="0.25">
      <c r="A2417" s="1">
        <v>44084</v>
      </c>
      <c r="B2417" s="2">
        <v>11449.25</v>
      </c>
      <c r="C2417" s="16">
        <f t="shared" si="1086"/>
        <v>1.507030028649042E-2</v>
      </c>
    </row>
    <row r="2418" spans="1:3" x14ac:dyDescent="0.25">
      <c r="A2418" s="1">
        <v>44085</v>
      </c>
      <c r="B2418" s="2">
        <v>11464.450194999999</v>
      </c>
      <c r="C2418" s="16">
        <f t="shared" si="1086"/>
        <v>1.3267344078249912E-3</v>
      </c>
    </row>
    <row r="2419" spans="1:3" x14ac:dyDescent="0.25">
      <c r="A2419" s="1">
        <v>44088</v>
      </c>
      <c r="B2419" s="2">
        <v>11440.049805000001</v>
      </c>
      <c r="C2419" s="16">
        <f t="shared" si="1086"/>
        <v>-2.1306205532146271E-3</v>
      </c>
    </row>
    <row r="2420" spans="1:3" x14ac:dyDescent="0.25">
      <c r="A2420" s="1">
        <v>44089</v>
      </c>
      <c r="B2420" s="2">
        <v>11521.799805000001</v>
      </c>
      <c r="C2420" s="16">
        <f t="shared" si="1086"/>
        <v>7.1205366114552417E-3</v>
      </c>
    </row>
    <row r="2421" spans="1:3" x14ac:dyDescent="0.25">
      <c r="A2421" s="1">
        <v>44090</v>
      </c>
      <c r="B2421" s="2">
        <v>11604.549805000001</v>
      </c>
      <c r="C2421" s="16">
        <f t="shared" si="1086"/>
        <v>7.1563696437893613E-3</v>
      </c>
    </row>
    <row r="2422" spans="1:3" x14ac:dyDescent="0.25">
      <c r="A2422" s="1">
        <v>44091</v>
      </c>
      <c r="B2422" s="2">
        <v>11516.099609000001</v>
      </c>
      <c r="C2422" s="16">
        <f t="shared" si="1086"/>
        <v>-7.6512234508909404E-3</v>
      </c>
    </row>
    <row r="2423" spans="1:3" x14ac:dyDescent="0.25">
      <c r="A2423" s="1">
        <v>44092</v>
      </c>
      <c r="B2423" s="2">
        <v>11504.950194999999</v>
      </c>
      <c r="C2423" s="16">
        <f t="shared" si="1086"/>
        <v>-9.6862783988236462E-4</v>
      </c>
    </row>
    <row r="2424" spans="1:3" x14ac:dyDescent="0.25">
      <c r="A2424" s="1">
        <v>44095</v>
      </c>
      <c r="B2424" s="2">
        <v>11250.549805000001</v>
      </c>
      <c r="C2424" s="16">
        <f t="shared" si="1086"/>
        <v>-2.2360395478753143E-2</v>
      </c>
    </row>
    <row r="2425" spans="1:3" x14ac:dyDescent="0.25">
      <c r="A2425" s="1">
        <v>44096</v>
      </c>
      <c r="B2425" s="2">
        <v>11153.650390999999</v>
      </c>
      <c r="C2425" s="16">
        <f t="shared" si="1086"/>
        <v>-8.6501653585190387E-3</v>
      </c>
    </row>
    <row r="2426" spans="1:3" x14ac:dyDescent="0.25">
      <c r="A2426" s="1">
        <v>44097</v>
      </c>
      <c r="B2426" s="2">
        <v>11131.849609000001</v>
      </c>
      <c r="C2426" s="16">
        <f t="shared" si="1086"/>
        <v>-1.9564998724956881E-3</v>
      </c>
    </row>
    <row r="2427" spans="1:3" x14ac:dyDescent="0.25">
      <c r="A2427" s="1">
        <v>44098</v>
      </c>
      <c r="B2427" s="2">
        <v>10805.549805000001</v>
      </c>
      <c r="C2427" s="16">
        <f t="shared" si="1086"/>
        <v>-2.9750460803689798E-2</v>
      </c>
    </row>
    <row r="2428" spans="1:3" x14ac:dyDescent="0.25">
      <c r="A2428" s="1">
        <v>44099</v>
      </c>
      <c r="B2428" s="2">
        <v>11050.25</v>
      </c>
      <c r="C2428" s="16">
        <f t="shared" si="1086"/>
        <v>2.2393179165117454E-2</v>
      </c>
    </row>
    <row r="2429" spans="1:3" x14ac:dyDescent="0.25">
      <c r="A2429" s="1">
        <v>44102</v>
      </c>
      <c r="B2429" s="2">
        <v>11227.549805000001</v>
      </c>
      <c r="C2429" s="16">
        <f t="shared" si="1086"/>
        <v>1.5917509810772165E-2</v>
      </c>
    </row>
    <row r="2430" spans="1:3" x14ac:dyDescent="0.25">
      <c r="A2430" s="1">
        <v>44103</v>
      </c>
      <c r="B2430" s="2">
        <v>11222.400390999999</v>
      </c>
      <c r="C2430" s="16">
        <f t="shared" si="1086"/>
        <v>-4.5874614824096248E-4</v>
      </c>
    </row>
    <row r="2431" spans="1:3" x14ac:dyDescent="0.25">
      <c r="A2431" s="1">
        <v>44104</v>
      </c>
      <c r="B2431" s="2">
        <v>11247.549805000001</v>
      </c>
      <c r="C2431" s="16">
        <f t="shared" si="1086"/>
        <v>2.2384940137650765E-3</v>
      </c>
    </row>
    <row r="2432" spans="1:3" x14ac:dyDescent="0.25">
      <c r="A2432" s="1">
        <v>44105</v>
      </c>
      <c r="B2432" s="2">
        <v>11416.950194999999</v>
      </c>
      <c r="C2432" s="16">
        <f t="shared" si="1086"/>
        <v>1.4948800511772543E-2</v>
      </c>
    </row>
    <row r="2433" spans="1:3" x14ac:dyDescent="0.25">
      <c r="A2433" s="1">
        <v>44109</v>
      </c>
      <c r="B2433" s="2">
        <v>11503.349609000001</v>
      </c>
      <c r="C2433" s="16">
        <f t="shared" si="1086"/>
        <v>7.539152975766821E-3</v>
      </c>
    </row>
    <row r="2434" spans="1:3" x14ac:dyDescent="0.25">
      <c r="A2434" s="1">
        <v>44110</v>
      </c>
      <c r="B2434" s="2">
        <v>11662.400390999999</v>
      </c>
      <c r="C2434" s="16">
        <f t="shared" si="1086"/>
        <v>1.3731761866299826E-2</v>
      </c>
    </row>
    <row r="2435" spans="1:3" x14ac:dyDescent="0.25">
      <c r="A2435" s="1">
        <v>44111</v>
      </c>
      <c r="B2435" s="2">
        <v>11738.849609000001</v>
      </c>
      <c r="C2435" s="16">
        <f t="shared" si="1086"/>
        <v>6.5337954144308961E-3</v>
      </c>
    </row>
    <row r="2436" spans="1:3" x14ac:dyDescent="0.25">
      <c r="A2436" s="1">
        <v>44112</v>
      </c>
      <c r="B2436" s="2">
        <v>11834.599609000001</v>
      </c>
      <c r="C2436" s="16">
        <f t="shared" ref="C2436:C2499" si="1087">LN(B2436/B2435)</f>
        <v>8.1235907126623267E-3</v>
      </c>
    </row>
    <row r="2437" spans="1:3" x14ac:dyDescent="0.25">
      <c r="A2437" s="1">
        <v>44113</v>
      </c>
      <c r="B2437" s="2">
        <v>11914.200194999999</v>
      </c>
      <c r="C2437" s="16">
        <f t="shared" si="1087"/>
        <v>6.7035711064778927E-3</v>
      </c>
    </row>
    <row r="2438" spans="1:3" x14ac:dyDescent="0.25">
      <c r="A2438" s="1">
        <v>44116</v>
      </c>
      <c r="B2438" s="2">
        <v>11930.950194999999</v>
      </c>
      <c r="C2438" s="16">
        <f t="shared" si="1087"/>
        <v>1.4048980594421579E-3</v>
      </c>
    </row>
    <row r="2439" spans="1:3" x14ac:dyDescent="0.25">
      <c r="A2439" s="1">
        <v>44117</v>
      </c>
      <c r="B2439" s="2">
        <v>11934.5</v>
      </c>
      <c r="C2439" s="16">
        <f t="shared" si="1087"/>
        <v>2.9748485758077591E-4</v>
      </c>
    </row>
    <row r="2440" spans="1:3" x14ac:dyDescent="0.25">
      <c r="A2440" s="1">
        <v>44118</v>
      </c>
      <c r="B2440" s="2">
        <v>11971.049805000001</v>
      </c>
      <c r="C2440" s="16">
        <f t="shared" si="1087"/>
        <v>3.0578534087648663E-3</v>
      </c>
    </row>
    <row r="2441" spans="1:3" x14ac:dyDescent="0.25">
      <c r="A2441" s="1">
        <v>44119</v>
      </c>
      <c r="B2441" s="2">
        <v>11680.349609000001</v>
      </c>
      <c r="C2441" s="16">
        <f t="shared" si="1087"/>
        <v>-2.4583309502200015E-2</v>
      </c>
    </row>
    <row r="2442" spans="1:3" x14ac:dyDescent="0.25">
      <c r="A2442" s="1">
        <v>44120</v>
      </c>
      <c r="B2442" s="2">
        <v>11762.450194999999</v>
      </c>
      <c r="C2442" s="16">
        <f t="shared" si="1087"/>
        <v>7.0043614541008903E-3</v>
      </c>
    </row>
    <row r="2443" spans="1:3" x14ac:dyDescent="0.25">
      <c r="A2443" s="1">
        <v>44123</v>
      </c>
      <c r="B2443" s="2">
        <v>11873.049805000001</v>
      </c>
      <c r="C2443" s="16">
        <f t="shared" si="1087"/>
        <v>9.3588388029971371E-3</v>
      </c>
    </row>
    <row r="2444" spans="1:3" x14ac:dyDescent="0.25">
      <c r="A2444" s="1">
        <v>44124</v>
      </c>
      <c r="B2444" s="2">
        <v>11896.799805000001</v>
      </c>
      <c r="C2444" s="16">
        <f t="shared" si="1087"/>
        <v>1.9983305147595162E-3</v>
      </c>
    </row>
    <row r="2445" spans="1:3" x14ac:dyDescent="0.25">
      <c r="A2445" s="1">
        <v>44125</v>
      </c>
      <c r="B2445" s="2">
        <v>11937.650390999999</v>
      </c>
      <c r="C2445" s="16">
        <f t="shared" si="1087"/>
        <v>3.4278639250702992E-3</v>
      </c>
    </row>
    <row r="2446" spans="1:3" x14ac:dyDescent="0.25">
      <c r="A2446" s="1">
        <v>44126</v>
      </c>
      <c r="B2446" s="2">
        <v>11896.450194999999</v>
      </c>
      <c r="C2446" s="16">
        <f t="shared" si="1087"/>
        <v>-3.4572512513100719E-3</v>
      </c>
    </row>
    <row r="2447" spans="1:3" x14ac:dyDescent="0.25">
      <c r="A2447" s="1">
        <v>44127</v>
      </c>
      <c r="B2447" s="2">
        <v>11930.349609000001</v>
      </c>
      <c r="C2447" s="16">
        <f t="shared" si="1087"/>
        <v>2.845488034643978E-3</v>
      </c>
    </row>
    <row r="2448" spans="1:3" x14ac:dyDescent="0.25">
      <c r="A2448" s="1">
        <v>44130</v>
      </c>
      <c r="B2448" s="2">
        <v>11767.75</v>
      </c>
      <c r="C2448" s="16">
        <f t="shared" si="1087"/>
        <v>-1.3722801687965868E-2</v>
      </c>
    </row>
    <row r="2449" spans="1:3" x14ac:dyDescent="0.25">
      <c r="A2449" s="1">
        <v>44131</v>
      </c>
      <c r="B2449" s="2">
        <v>11889.400390999999</v>
      </c>
      <c r="C2449" s="16">
        <f t="shared" si="1087"/>
        <v>1.0284540720444067E-2</v>
      </c>
    </row>
    <row r="2450" spans="1:3" x14ac:dyDescent="0.25">
      <c r="A2450" s="1">
        <v>44132</v>
      </c>
      <c r="B2450" s="2">
        <v>11729.599609000001</v>
      </c>
      <c r="C2450" s="16">
        <f t="shared" si="1087"/>
        <v>-1.3531751589542172E-2</v>
      </c>
    </row>
    <row r="2451" spans="1:3" x14ac:dyDescent="0.25">
      <c r="A2451" s="1">
        <v>44133</v>
      </c>
      <c r="B2451" s="2">
        <v>11670.799805000001</v>
      </c>
      <c r="C2451" s="16">
        <f t="shared" si="1087"/>
        <v>-5.0255490698555899E-3</v>
      </c>
    </row>
    <row r="2452" spans="1:3" x14ac:dyDescent="0.25">
      <c r="A2452" s="1">
        <v>44134</v>
      </c>
      <c r="B2452" s="2">
        <v>11642.400390999999</v>
      </c>
      <c r="C2452" s="16">
        <f t="shared" si="1087"/>
        <v>-2.4363388817394559E-3</v>
      </c>
    </row>
    <row r="2453" spans="1:3" x14ac:dyDescent="0.25">
      <c r="A2453" s="1">
        <v>44137</v>
      </c>
      <c r="B2453" s="2">
        <v>11669.150390999999</v>
      </c>
      <c r="C2453" s="16">
        <f t="shared" si="1087"/>
        <v>2.2950006193269571E-3</v>
      </c>
    </row>
    <row r="2454" spans="1:3" x14ac:dyDescent="0.25">
      <c r="A2454" s="1">
        <v>44138</v>
      </c>
      <c r="B2454" s="2">
        <v>11813.5</v>
      </c>
      <c r="C2454" s="16">
        <f t="shared" si="1087"/>
        <v>1.2294304500946606E-2</v>
      </c>
    </row>
    <row r="2455" spans="1:3" x14ac:dyDescent="0.25">
      <c r="A2455" s="1">
        <v>44139</v>
      </c>
      <c r="B2455" s="2">
        <v>11908.5</v>
      </c>
      <c r="C2455" s="16">
        <f t="shared" si="1087"/>
        <v>8.0094855297475447E-3</v>
      </c>
    </row>
    <row r="2456" spans="1:3" x14ac:dyDescent="0.25">
      <c r="A2456" s="1">
        <v>44140</v>
      </c>
      <c r="B2456" s="2">
        <v>12120.299805000001</v>
      </c>
      <c r="C2456" s="16">
        <f t="shared" si="1087"/>
        <v>1.7629285870226909E-2</v>
      </c>
    </row>
    <row r="2457" spans="1:3" x14ac:dyDescent="0.25">
      <c r="A2457" s="1">
        <v>44141</v>
      </c>
      <c r="B2457" s="2">
        <v>12263.549805000001</v>
      </c>
      <c r="C2457" s="16">
        <f t="shared" si="1087"/>
        <v>1.1749715514874848E-2</v>
      </c>
    </row>
    <row r="2458" spans="1:3" x14ac:dyDescent="0.25">
      <c r="A2458" s="1">
        <v>44144</v>
      </c>
      <c r="B2458" s="2">
        <v>12461.049805000001</v>
      </c>
      <c r="C2458" s="16">
        <f t="shared" si="1087"/>
        <v>1.5976331586735643E-2</v>
      </c>
    </row>
    <row r="2459" spans="1:3" x14ac:dyDescent="0.25">
      <c r="A2459" s="1">
        <v>44145</v>
      </c>
      <c r="B2459" s="2">
        <v>12631.099609000001</v>
      </c>
      <c r="C2459" s="16">
        <f t="shared" si="1087"/>
        <v>1.3554232011710257E-2</v>
      </c>
    </row>
    <row r="2460" spans="1:3" x14ac:dyDescent="0.25">
      <c r="A2460" s="1">
        <v>44146</v>
      </c>
      <c r="B2460" s="2">
        <v>12749.150390999999</v>
      </c>
      <c r="C2460" s="16">
        <f t="shared" si="1087"/>
        <v>9.3026375494699182E-3</v>
      </c>
    </row>
    <row r="2461" spans="1:3" x14ac:dyDescent="0.25">
      <c r="A2461" s="1">
        <v>44147</v>
      </c>
      <c r="B2461" s="2">
        <v>12690.799805000001</v>
      </c>
      <c r="C2461" s="16">
        <f t="shared" si="1087"/>
        <v>-4.5873272452027179E-3</v>
      </c>
    </row>
    <row r="2462" spans="1:3" x14ac:dyDescent="0.25">
      <c r="A2462" s="1">
        <v>44148</v>
      </c>
      <c r="B2462" s="2">
        <v>12719.950194999999</v>
      </c>
      <c r="C2462" s="16">
        <f t="shared" si="1087"/>
        <v>2.2943362779337291E-3</v>
      </c>
    </row>
    <row r="2463" spans="1:3" x14ac:dyDescent="0.25">
      <c r="A2463" s="1">
        <v>44152</v>
      </c>
      <c r="B2463" s="2">
        <v>12874.200194999999</v>
      </c>
      <c r="C2463" s="16">
        <f t="shared" si="1087"/>
        <v>1.2053681426636299E-2</v>
      </c>
    </row>
    <row r="2464" spans="1:3" x14ac:dyDescent="0.25">
      <c r="A2464" s="1">
        <v>44153</v>
      </c>
      <c r="B2464" s="2">
        <v>12938.25</v>
      </c>
      <c r="C2464" s="16">
        <f t="shared" si="1087"/>
        <v>4.9627165163008838E-3</v>
      </c>
    </row>
    <row r="2465" spans="1:3" x14ac:dyDescent="0.25">
      <c r="A2465" s="1">
        <v>44154</v>
      </c>
      <c r="B2465" s="2">
        <v>12771.700194999999</v>
      </c>
      <c r="C2465" s="16">
        <f t="shared" si="1087"/>
        <v>-1.2956239396956313E-2</v>
      </c>
    </row>
    <row r="2466" spans="1:3" x14ac:dyDescent="0.25">
      <c r="A2466" s="1">
        <v>44155</v>
      </c>
      <c r="B2466" s="2">
        <v>12859.049805000001</v>
      </c>
      <c r="C2466" s="16">
        <f t="shared" si="1087"/>
        <v>6.8160274806966887E-3</v>
      </c>
    </row>
    <row r="2467" spans="1:3" x14ac:dyDescent="0.25">
      <c r="A2467" s="1">
        <v>44158</v>
      </c>
      <c r="B2467" s="2">
        <v>12926.450194999999</v>
      </c>
      <c r="C2467" s="16">
        <f t="shared" si="1087"/>
        <v>5.2277864305844829E-3</v>
      </c>
    </row>
    <row r="2468" spans="1:3" x14ac:dyDescent="0.25">
      <c r="A2468" s="1">
        <v>44159</v>
      </c>
      <c r="B2468" s="2">
        <v>13055.150390999999</v>
      </c>
      <c r="C2468" s="16">
        <f t="shared" si="1087"/>
        <v>9.9071070114310489E-3</v>
      </c>
    </row>
    <row r="2469" spans="1:3" x14ac:dyDescent="0.25">
      <c r="A2469" s="1">
        <v>44160</v>
      </c>
      <c r="B2469" s="2">
        <v>12858.400390999999</v>
      </c>
      <c r="C2469" s="16">
        <f t="shared" si="1087"/>
        <v>-1.5185397204650794E-2</v>
      </c>
    </row>
    <row r="2470" spans="1:3" x14ac:dyDescent="0.25">
      <c r="A2470" s="1">
        <v>44161</v>
      </c>
      <c r="B2470" s="2">
        <v>12987</v>
      </c>
      <c r="C2470" s="16">
        <f t="shared" si="1087"/>
        <v>9.9515324470216115E-3</v>
      </c>
    </row>
    <row r="2471" spans="1:3" x14ac:dyDescent="0.25">
      <c r="A2471" s="1">
        <v>44162</v>
      </c>
      <c r="B2471" s="2">
        <v>12968.950194999999</v>
      </c>
      <c r="C2471" s="16">
        <f t="shared" si="1087"/>
        <v>-1.3908030932349642E-3</v>
      </c>
    </row>
    <row r="2472" spans="1:3" x14ac:dyDescent="0.25">
      <c r="A2472" s="1">
        <v>44166</v>
      </c>
      <c r="B2472" s="2">
        <v>13109.049805000001</v>
      </c>
      <c r="C2472" s="16">
        <f t="shared" si="1087"/>
        <v>1.0744762471928711E-2</v>
      </c>
    </row>
    <row r="2473" spans="1:3" x14ac:dyDescent="0.25">
      <c r="A2473" s="1">
        <v>44167</v>
      </c>
      <c r="B2473" s="2">
        <v>13113.75</v>
      </c>
      <c r="C2473" s="16">
        <f t="shared" si="1087"/>
        <v>3.5848155691129834E-4</v>
      </c>
    </row>
    <row r="2474" spans="1:3" x14ac:dyDescent="0.25">
      <c r="A2474" s="1">
        <v>44168</v>
      </c>
      <c r="B2474" s="2">
        <v>13133.900390999999</v>
      </c>
      <c r="C2474" s="16">
        <f t="shared" si="1087"/>
        <v>1.5354056198166031E-3</v>
      </c>
    </row>
    <row r="2475" spans="1:3" x14ac:dyDescent="0.25">
      <c r="A2475" s="1">
        <v>44169</v>
      </c>
      <c r="B2475" s="2">
        <v>13258.549805000001</v>
      </c>
      <c r="C2475" s="16">
        <f t="shared" si="1087"/>
        <v>9.4459089546661511E-3</v>
      </c>
    </row>
    <row r="2476" spans="1:3" x14ac:dyDescent="0.25">
      <c r="A2476" s="1">
        <v>44172</v>
      </c>
      <c r="B2476" s="2">
        <v>13355.75</v>
      </c>
      <c r="C2476" s="16">
        <f t="shared" si="1087"/>
        <v>7.3043910890841163E-3</v>
      </c>
    </row>
    <row r="2477" spans="1:3" x14ac:dyDescent="0.25">
      <c r="A2477" s="1">
        <v>44173</v>
      </c>
      <c r="B2477" s="2">
        <v>13392.950194999999</v>
      </c>
      <c r="C2477" s="16">
        <f t="shared" si="1087"/>
        <v>2.7814599372783418E-3</v>
      </c>
    </row>
    <row r="2478" spans="1:3" x14ac:dyDescent="0.25">
      <c r="A2478" s="1">
        <v>44174</v>
      </c>
      <c r="B2478" s="2">
        <v>13529.099609000001</v>
      </c>
      <c r="C2478" s="16">
        <f t="shared" si="1087"/>
        <v>1.0114428558143358E-2</v>
      </c>
    </row>
    <row r="2479" spans="1:3" x14ac:dyDescent="0.25">
      <c r="A2479" s="1">
        <v>44175</v>
      </c>
      <c r="B2479" s="2">
        <v>13478.299805000001</v>
      </c>
      <c r="C2479" s="16">
        <f t="shared" si="1087"/>
        <v>-3.7619219186126999E-3</v>
      </c>
    </row>
    <row r="2480" spans="1:3" x14ac:dyDescent="0.25">
      <c r="A2480" s="1">
        <v>44176</v>
      </c>
      <c r="B2480" s="2">
        <v>13513.849609000001</v>
      </c>
      <c r="C2480" s="16">
        <f t="shared" si="1087"/>
        <v>2.634086230753222E-3</v>
      </c>
    </row>
    <row r="2481" spans="1:3" x14ac:dyDescent="0.25">
      <c r="A2481" s="1">
        <v>44179</v>
      </c>
      <c r="B2481" s="2">
        <v>13558.150390999999</v>
      </c>
      <c r="C2481" s="16">
        <f t="shared" si="1087"/>
        <v>3.2728148303266757E-3</v>
      </c>
    </row>
    <row r="2482" spans="1:3" x14ac:dyDescent="0.25">
      <c r="A2482" s="1">
        <v>44180</v>
      </c>
      <c r="B2482" s="2">
        <v>13567.849609000001</v>
      </c>
      <c r="C2482" s="16">
        <f t="shared" si="1087"/>
        <v>7.1512338076761515E-4</v>
      </c>
    </row>
    <row r="2483" spans="1:3" x14ac:dyDescent="0.25">
      <c r="A2483" s="1">
        <v>44181</v>
      </c>
      <c r="B2483" s="2">
        <v>13682.700194999999</v>
      </c>
      <c r="C2483" s="16">
        <f t="shared" si="1087"/>
        <v>8.4292806466638569E-3</v>
      </c>
    </row>
    <row r="2484" spans="1:3" x14ac:dyDescent="0.25">
      <c r="A2484" s="1">
        <v>44182</v>
      </c>
      <c r="B2484" s="2">
        <v>13740.700194999999</v>
      </c>
      <c r="C2484" s="16">
        <f t="shared" si="1087"/>
        <v>4.2299704381128641E-3</v>
      </c>
    </row>
    <row r="2485" spans="1:3" x14ac:dyDescent="0.25">
      <c r="A2485" s="1">
        <v>44183</v>
      </c>
      <c r="B2485" s="2">
        <v>13760.549805000001</v>
      </c>
      <c r="C2485" s="16">
        <f t="shared" si="1087"/>
        <v>1.4435426351100599E-3</v>
      </c>
    </row>
    <row r="2486" spans="1:3" x14ac:dyDescent="0.25">
      <c r="A2486" s="1">
        <v>44186</v>
      </c>
      <c r="B2486" s="2">
        <v>13328.400390999999</v>
      </c>
      <c r="C2486" s="16">
        <f t="shared" si="1087"/>
        <v>-3.1908662150877148E-2</v>
      </c>
    </row>
    <row r="2487" spans="1:3" x14ac:dyDescent="0.25">
      <c r="A2487" s="1">
        <v>44187</v>
      </c>
      <c r="B2487" s="2">
        <v>13466.299805000001</v>
      </c>
      <c r="C2487" s="16">
        <f t="shared" si="1087"/>
        <v>1.0293127410157418E-2</v>
      </c>
    </row>
    <row r="2488" spans="1:3" x14ac:dyDescent="0.25">
      <c r="A2488" s="1">
        <v>44188</v>
      </c>
      <c r="B2488" s="2">
        <v>13601.099609000001</v>
      </c>
      <c r="C2488" s="16">
        <f t="shared" si="1087"/>
        <v>9.9603893515224032E-3</v>
      </c>
    </row>
    <row r="2489" spans="1:3" x14ac:dyDescent="0.25">
      <c r="A2489" s="1">
        <v>44189</v>
      </c>
      <c r="B2489" s="2">
        <v>13749.25</v>
      </c>
      <c r="C2489" s="16">
        <f t="shared" si="1087"/>
        <v>1.0833634093906185E-2</v>
      </c>
    </row>
    <row r="2490" spans="1:3" x14ac:dyDescent="0.25">
      <c r="A2490" s="1">
        <v>44193</v>
      </c>
      <c r="B2490" s="2">
        <v>13873.200194999999</v>
      </c>
      <c r="C2490" s="16">
        <f t="shared" si="1087"/>
        <v>8.9746583726392614E-3</v>
      </c>
    </row>
    <row r="2491" spans="1:3" x14ac:dyDescent="0.25">
      <c r="A2491" s="1">
        <v>44194</v>
      </c>
      <c r="B2491" s="2">
        <v>13932.599609000001</v>
      </c>
      <c r="C2491" s="16">
        <f t="shared" si="1087"/>
        <v>4.2724542918683751E-3</v>
      </c>
    </row>
    <row r="2492" spans="1:3" x14ac:dyDescent="0.25">
      <c r="A2492" s="1">
        <v>44195</v>
      </c>
      <c r="B2492" s="2">
        <v>13981.950194999999</v>
      </c>
      <c r="C2492" s="16">
        <f t="shared" si="1087"/>
        <v>3.5358361687471097E-3</v>
      </c>
    </row>
    <row r="2493" spans="1:3" x14ac:dyDescent="0.25">
      <c r="A2493" s="1">
        <v>44196</v>
      </c>
      <c r="B2493" s="2">
        <v>13981.75</v>
      </c>
      <c r="C2493" s="16">
        <f t="shared" si="1087"/>
        <v>-1.4318205288085101E-5</v>
      </c>
    </row>
    <row r="2494" spans="1:3" x14ac:dyDescent="0.25">
      <c r="A2494" s="1">
        <v>44200</v>
      </c>
      <c r="B2494" s="2">
        <v>14132.900390999999</v>
      </c>
      <c r="C2494" s="16">
        <f t="shared" si="1087"/>
        <v>1.0752532590002915E-2</v>
      </c>
    </row>
    <row r="2495" spans="1:3" x14ac:dyDescent="0.25">
      <c r="A2495" s="1">
        <v>44201</v>
      </c>
      <c r="B2495" s="2">
        <v>14199.5</v>
      </c>
      <c r="C2495" s="16">
        <f t="shared" si="1087"/>
        <v>4.7013123313310711E-3</v>
      </c>
    </row>
    <row r="2496" spans="1:3" x14ac:dyDescent="0.25">
      <c r="A2496" s="1">
        <v>44202</v>
      </c>
      <c r="B2496" s="2">
        <v>14146.25</v>
      </c>
      <c r="C2496" s="16">
        <f t="shared" si="1087"/>
        <v>-3.7571814216639365E-3</v>
      </c>
    </row>
    <row r="2497" spans="1:3" x14ac:dyDescent="0.25">
      <c r="A2497" s="1">
        <v>44203</v>
      </c>
      <c r="B2497" s="2">
        <v>14137.349609000001</v>
      </c>
      <c r="C2497" s="16">
        <f t="shared" si="1087"/>
        <v>-6.2936764887284069E-4</v>
      </c>
    </row>
    <row r="2498" spans="1:3" x14ac:dyDescent="0.25">
      <c r="A2498" s="1">
        <v>44204</v>
      </c>
      <c r="B2498" s="2">
        <v>14347.25</v>
      </c>
      <c r="C2498" s="16">
        <f t="shared" si="1087"/>
        <v>1.4738082560989716E-2</v>
      </c>
    </row>
    <row r="2499" spans="1:3" x14ac:dyDescent="0.25">
      <c r="A2499" s="1">
        <v>44207</v>
      </c>
      <c r="B2499" s="2">
        <v>14484.75</v>
      </c>
      <c r="C2499" s="16">
        <f t="shared" si="1087"/>
        <v>9.5380856285503194E-3</v>
      </c>
    </row>
    <row r="2500" spans="1:3" x14ac:dyDescent="0.25">
      <c r="A2500" s="1">
        <v>44208</v>
      </c>
      <c r="B2500" s="2">
        <v>14563.450194999999</v>
      </c>
      <c r="C2500" s="16">
        <f t="shared" ref="C2500:C2508" si="1088">LN(B2500/B2499)</f>
        <v>5.4186068006456829E-3</v>
      </c>
    </row>
    <row r="2501" spans="1:3" x14ac:dyDescent="0.25">
      <c r="A2501" s="1">
        <v>44209</v>
      </c>
      <c r="B2501" s="2">
        <v>14564.849609000001</v>
      </c>
      <c r="C2501" s="16">
        <f t="shared" si="1088"/>
        <v>9.6086212411691712E-5</v>
      </c>
    </row>
    <row r="2502" spans="1:3" x14ac:dyDescent="0.25">
      <c r="A2502" s="1">
        <v>44210</v>
      </c>
      <c r="B2502" s="2">
        <v>14595.599609000001</v>
      </c>
      <c r="C2502" s="16">
        <f t="shared" si="1088"/>
        <v>2.1090217896196101E-3</v>
      </c>
    </row>
    <row r="2503" spans="1:3" x14ac:dyDescent="0.25">
      <c r="A2503" s="1">
        <v>44211</v>
      </c>
      <c r="B2503" s="2">
        <v>14433.700194999999</v>
      </c>
      <c r="C2503" s="16">
        <f t="shared" si="1088"/>
        <v>-1.1154322956610922E-2</v>
      </c>
    </row>
    <row r="2504" spans="1:3" x14ac:dyDescent="0.25">
      <c r="A2504" s="1">
        <v>44214</v>
      </c>
      <c r="B2504" s="2">
        <v>14281.299805000001</v>
      </c>
      <c r="C2504" s="16">
        <f t="shared" si="1088"/>
        <v>-1.0614788156525399E-2</v>
      </c>
    </row>
    <row r="2505" spans="1:3" x14ac:dyDescent="0.25">
      <c r="A2505" s="1">
        <v>44215</v>
      </c>
      <c r="B2505" s="2">
        <v>14521.150390999999</v>
      </c>
      <c r="C2505" s="16">
        <f t="shared" si="1088"/>
        <v>1.6655258760356288E-2</v>
      </c>
    </row>
    <row r="2506" spans="1:3" x14ac:dyDescent="0.25">
      <c r="A2506" s="1">
        <v>44216</v>
      </c>
      <c r="B2506" s="2">
        <v>14644.700194999999</v>
      </c>
      <c r="C2506" s="16">
        <f t="shared" si="1088"/>
        <v>8.4722742895978406E-3</v>
      </c>
    </row>
    <row r="2507" spans="1:3" x14ac:dyDescent="0.25">
      <c r="A2507" s="1">
        <v>44217</v>
      </c>
      <c r="B2507" s="2">
        <v>14590.349609000001</v>
      </c>
      <c r="C2507" s="16">
        <f t="shared" si="1088"/>
        <v>-3.7181840961644026E-3</v>
      </c>
    </row>
    <row r="2508" spans="1:3" x14ac:dyDescent="0.25">
      <c r="A2508" s="11">
        <v>44218</v>
      </c>
      <c r="B2508" s="18">
        <v>14371.900390999999</v>
      </c>
      <c r="C2508" s="16">
        <f t="shared" si="1088"/>
        <v>-1.5085386022917693E-2</v>
      </c>
    </row>
    <row r="2509" spans="1:3" x14ac:dyDescent="0.25">
      <c r="B2509" t="s">
        <v>40</v>
      </c>
      <c r="C2509" s="20">
        <f>AVERAGE(C3:C2508)</f>
        <v>3.4159450570121134E-4</v>
      </c>
    </row>
    <row r="2510" spans="1:3" x14ac:dyDescent="0.25">
      <c r="B2510" t="s">
        <v>41</v>
      </c>
      <c r="C2510" s="20">
        <f>_xlfn.STDEV.S(C3:C2508)</f>
        <v>1.1166910795992848E-2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05"/>
  <sheetViews>
    <sheetView zoomScale="150" zoomScaleNormal="150" workbookViewId="0">
      <selection activeCell="C3" sqref="C3"/>
    </sheetView>
  </sheetViews>
  <sheetFormatPr defaultRowHeight="15" x14ac:dyDescent="0.25"/>
  <sheetData>
    <row r="1" spans="1:5" s="36" customFormat="1" x14ac:dyDescent="0.25">
      <c r="B1" s="37" t="s">
        <v>73</v>
      </c>
      <c r="C1" s="37" t="s">
        <v>74</v>
      </c>
      <c r="D1" s="37"/>
    </row>
    <row r="2" spans="1:5" x14ac:dyDescent="0.25">
      <c r="A2" s="37" t="s">
        <v>72</v>
      </c>
      <c r="B2" s="37" t="s">
        <v>38</v>
      </c>
      <c r="C2" s="37" t="s">
        <v>38</v>
      </c>
    </row>
    <row r="3" spans="1:5" x14ac:dyDescent="0.25">
      <c r="A3">
        <v>1</v>
      </c>
      <c r="B3" s="22">
        <v>-0.01</v>
      </c>
      <c r="C3" s="22">
        <v>-1</v>
      </c>
      <c r="E3" t="s">
        <v>76</v>
      </c>
    </row>
    <row r="4" spans="1:5" x14ac:dyDescent="0.25">
      <c r="A4">
        <f>A3+1</f>
        <v>2</v>
      </c>
      <c r="B4" s="22">
        <v>-0.01</v>
      </c>
      <c r="C4" s="22">
        <v>-0.1</v>
      </c>
    </row>
    <row r="5" spans="1:5" x14ac:dyDescent="0.25">
      <c r="A5" s="36">
        <f t="shared" ref="A5:A68" si="0">A4+1</f>
        <v>3</v>
      </c>
      <c r="B5" s="22">
        <v>-0.01</v>
      </c>
      <c r="C5" s="22">
        <v>-0.1</v>
      </c>
    </row>
    <row r="6" spans="1:5" x14ac:dyDescent="0.25">
      <c r="A6" s="36">
        <f t="shared" si="0"/>
        <v>4</v>
      </c>
      <c r="B6" s="22">
        <v>-0.01</v>
      </c>
      <c r="C6" s="22">
        <v>-0.01</v>
      </c>
    </row>
    <row r="7" spans="1:5" x14ac:dyDescent="0.25">
      <c r="A7" s="36">
        <f t="shared" si="0"/>
        <v>5</v>
      </c>
      <c r="B7" s="22">
        <v>-0.01</v>
      </c>
      <c r="C7" s="22">
        <v>-0.01</v>
      </c>
    </row>
    <row r="8" spans="1:5" x14ac:dyDescent="0.25">
      <c r="A8" s="36">
        <f t="shared" si="0"/>
        <v>6</v>
      </c>
      <c r="B8" s="22">
        <v>0.01</v>
      </c>
      <c r="C8" s="22">
        <v>0.01</v>
      </c>
    </row>
    <row r="9" spans="1:5" x14ac:dyDescent="0.25">
      <c r="A9" s="36">
        <f t="shared" si="0"/>
        <v>7</v>
      </c>
      <c r="B9" s="22">
        <v>0.01</v>
      </c>
      <c r="C9" s="22">
        <v>0.01</v>
      </c>
    </row>
    <row r="10" spans="1:5" x14ac:dyDescent="0.25">
      <c r="A10" s="36">
        <f t="shared" si="0"/>
        <v>8</v>
      </c>
      <c r="B10" s="22">
        <v>0.01</v>
      </c>
      <c r="C10" s="22">
        <v>0.01</v>
      </c>
    </row>
    <row r="11" spans="1:5" x14ac:dyDescent="0.25">
      <c r="A11" s="36">
        <f t="shared" si="0"/>
        <v>9</v>
      </c>
      <c r="B11" s="22">
        <v>0.01</v>
      </c>
      <c r="C11" s="22">
        <v>0.01</v>
      </c>
    </row>
    <row r="12" spans="1:5" x14ac:dyDescent="0.25">
      <c r="A12" s="36">
        <f t="shared" si="0"/>
        <v>10</v>
      </c>
      <c r="B12" s="22">
        <v>0.01</v>
      </c>
      <c r="C12" s="22">
        <v>0.01</v>
      </c>
    </row>
    <row r="13" spans="1:5" x14ac:dyDescent="0.25">
      <c r="A13" s="36">
        <f t="shared" si="0"/>
        <v>11</v>
      </c>
      <c r="B13" s="22">
        <v>0.01</v>
      </c>
      <c r="C13" s="22">
        <v>0.01</v>
      </c>
    </row>
    <row r="14" spans="1:5" x14ac:dyDescent="0.25">
      <c r="A14" s="36">
        <f t="shared" si="0"/>
        <v>12</v>
      </c>
      <c r="B14" s="22">
        <v>0.01</v>
      </c>
      <c r="C14" s="22">
        <v>0.01</v>
      </c>
    </row>
    <row r="15" spans="1:5" x14ac:dyDescent="0.25">
      <c r="A15" s="36">
        <f t="shared" si="0"/>
        <v>13</v>
      </c>
      <c r="B15" s="22">
        <v>0.01</v>
      </c>
      <c r="C15" s="22">
        <v>0.01</v>
      </c>
    </row>
    <row r="16" spans="1:5" x14ac:dyDescent="0.25">
      <c r="A16" s="36">
        <f t="shared" si="0"/>
        <v>14</v>
      </c>
      <c r="B16" s="22">
        <v>0.01</v>
      </c>
      <c r="C16" s="22">
        <v>0.01</v>
      </c>
    </row>
    <row r="17" spans="1:3" x14ac:dyDescent="0.25">
      <c r="A17" s="36">
        <f t="shared" si="0"/>
        <v>15</v>
      </c>
      <c r="B17" s="22">
        <v>0.01</v>
      </c>
      <c r="C17" s="22">
        <v>0.01</v>
      </c>
    </row>
    <row r="18" spans="1:3" x14ac:dyDescent="0.25">
      <c r="A18" s="36">
        <f t="shared" si="0"/>
        <v>16</v>
      </c>
      <c r="B18" s="22">
        <v>0.01</v>
      </c>
      <c r="C18" s="22">
        <v>0.01</v>
      </c>
    </row>
    <row r="19" spans="1:3" x14ac:dyDescent="0.25">
      <c r="A19" s="36">
        <f t="shared" si="0"/>
        <v>17</v>
      </c>
      <c r="B19" s="22">
        <v>0.01</v>
      </c>
      <c r="C19" s="22">
        <v>0.01</v>
      </c>
    </row>
    <row r="20" spans="1:3" x14ac:dyDescent="0.25">
      <c r="A20" s="36">
        <f t="shared" si="0"/>
        <v>18</v>
      </c>
      <c r="B20" s="22">
        <v>0.01</v>
      </c>
      <c r="C20" s="22">
        <v>0.01</v>
      </c>
    </row>
    <row r="21" spans="1:3" x14ac:dyDescent="0.25">
      <c r="A21" s="36">
        <f t="shared" si="0"/>
        <v>19</v>
      </c>
      <c r="B21" s="22">
        <v>0.01</v>
      </c>
      <c r="C21" s="22">
        <v>0.01</v>
      </c>
    </row>
    <row r="22" spans="1:3" x14ac:dyDescent="0.25">
      <c r="A22" s="36">
        <f t="shared" si="0"/>
        <v>20</v>
      </c>
      <c r="B22" s="22">
        <v>0.01</v>
      </c>
      <c r="C22" s="22">
        <v>0.01</v>
      </c>
    </row>
    <row r="23" spans="1:3" x14ac:dyDescent="0.25">
      <c r="A23" s="36">
        <f t="shared" si="0"/>
        <v>21</v>
      </c>
      <c r="B23" s="22">
        <v>0.01</v>
      </c>
      <c r="C23" s="22">
        <v>0.01</v>
      </c>
    </row>
    <row r="24" spans="1:3" x14ac:dyDescent="0.25">
      <c r="A24" s="36">
        <f t="shared" si="0"/>
        <v>22</v>
      </c>
      <c r="B24" s="22">
        <v>0.01</v>
      </c>
      <c r="C24" s="22">
        <v>0.01</v>
      </c>
    </row>
    <row r="25" spans="1:3" x14ac:dyDescent="0.25">
      <c r="A25" s="36">
        <f t="shared" si="0"/>
        <v>23</v>
      </c>
      <c r="B25" s="22">
        <v>0.01</v>
      </c>
      <c r="C25" s="22">
        <v>0.01</v>
      </c>
    </row>
    <row r="26" spans="1:3" x14ac:dyDescent="0.25">
      <c r="A26" s="36">
        <f t="shared" si="0"/>
        <v>24</v>
      </c>
      <c r="B26" s="22">
        <v>0.01</v>
      </c>
      <c r="C26" s="22">
        <v>0.01</v>
      </c>
    </row>
    <row r="27" spans="1:3" x14ac:dyDescent="0.25">
      <c r="A27" s="36">
        <f t="shared" si="0"/>
        <v>25</v>
      </c>
      <c r="B27" s="22">
        <v>0.01</v>
      </c>
      <c r="C27" s="22">
        <v>0.01</v>
      </c>
    </row>
    <row r="28" spans="1:3" x14ac:dyDescent="0.25">
      <c r="A28" s="36">
        <f t="shared" si="0"/>
        <v>26</v>
      </c>
      <c r="B28" s="22">
        <v>0.01</v>
      </c>
      <c r="C28" s="22">
        <v>0.01</v>
      </c>
    </row>
    <row r="29" spans="1:3" x14ac:dyDescent="0.25">
      <c r="A29" s="36">
        <f t="shared" si="0"/>
        <v>27</v>
      </c>
      <c r="B29" s="22">
        <v>0.01</v>
      </c>
      <c r="C29" s="22">
        <v>0.01</v>
      </c>
    </row>
    <row r="30" spans="1:3" x14ac:dyDescent="0.25">
      <c r="A30" s="36">
        <f t="shared" si="0"/>
        <v>28</v>
      </c>
      <c r="B30" s="22">
        <v>0.01</v>
      </c>
      <c r="C30" s="22">
        <v>0.01</v>
      </c>
    </row>
    <row r="31" spans="1:3" x14ac:dyDescent="0.25">
      <c r="A31" s="36">
        <f t="shared" si="0"/>
        <v>29</v>
      </c>
      <c r="B31" s="22">
        <v>0.01</v>
      </c>
      <c r="C31" s="22">
        <v>0.01</v>
      </c>
    </row>
    <row r="32" spans="1:3" x14ac:dyDescent="0.25">
      <c r="A32" s="36">
        <f t="shared" si="0"/>
        <v>30</v>
      </c>
      <c r="B32" s="22">
        <v>0.01</v>
      </c>
      <c r="C32" s="22">
        <v>0.01</v>
      </c>
    </row>
    <row r="33" spans="1:3" x14ac:dyDescent="0.25">
      <c r="A33" s="36">
        <f t="shared" si="0"/>
        <v>31</v>
      </c>
      <c r="B33" s="22">
        <v>0.01</v>
      </c>
      <c r="C33" s="22">
        <v>0.01</v>
      </c>
    </row>
    <row r="34" spans="1:3" x14ac:dyDescent="0.25">
      <c r="A34" s="36">
        <f t="shared" si="0"/>
        <v>32</v>
      </c>
      <c r="B34" s="22">
        <v>0.01</v>
      </c>
      <c r="C34" s="22">
        <v>0.01</v>
      </c>
    </row>
    <row r="35" spans="1:3" x14ac:dyDescent="0.25">
      <c r="A35" s="36">
        <f t="shared" si="0"/>
        <v>33</v>
      </c>
      <c r="B35" s="22">
        <v>0.01</v>
      </c>
      <c r="C35" s="22">
        <v>0.01</v>
      </c>
    </row>
    <row r="36" spans="1:3" x14ac:dyDescent="0.25">
      <c r="A36" s="36">
        <f t="shared" si="0"/>
        <v>34</v>
      </c>
      <c r="B36" s="22">
        <v>0.01</v>
      </c>
      <c r="C36" s="22">
        <v>0.01</v>
      </c>
    </row>
    <row r="37" spans="1:3" x14ac:dyDescent="0.25">
      <c r="A37" s="36">
        <f t="shared" si="0"/>
        <v>35</v>
      </c>
      <c r="B37" s="22">
        <v>0.01</v>
      </c>
      <c r="C37" s="22">
        <v>0.01</v>
      </c>
    </row>
    <row r="38" spans="1:3" x14ac:dyDescent="0.25">
      <c r="A38" s="36">
        <f t="shared" si="0"/>
        <v>36</v>
      </c>
      <c r="B38" s="22">
        <v>0.01</v>
      </c>
      <c r="C38" s="22">
        <v>0.01</v>
      </c>
    </row>
    <row r="39" spans="1:3" x14ac:dyDescent="0.25">
      <c r="A39" s="36">
        <f t="shared" si="0"/>
        <v>37</v>
      </c>
      <c r="B39" s="22">
        <v>0.01</v>
      </c>
      <c r="C39" s="22">
        <v>0.01</v>
      </c>
    </row>
    <row r="40" spans="1:3" x14ac:dyDescent="0.25">
      <c r="A40" s="36">
        <f t="shared" si="0"/>
        <v>38</v>
      </c>
      <c r="B40" s="22">
        <v>0.01</v>
      </c>
      <c r="C40" s="22">
        <v>0.01</v>
      </c>
    </row>
    <row r="41" spans="1:3" x14ac:dyDescent="0.25">
      <c r="A41" s="36">
        <f t="shared" si="0"/>
        <v>39</v>
      </c>
      <c r="B41" s="22">
        <v>0.01</v>
      </c>
      <c r="C41" s="22">
        <v>0.01</v>
      </c>
    </row>
    <row r="42" spans="1:3" x14ac:dyDescent="0.25">
      <c r="A42" s="36">
        <f t="shared" si="0"/>
        <v>40</v>
      </c>
      <c r="B42" s="22">
        <v>0.01</v>
      </c>
      <c r="C42" s="22">
        <v>0.01</v>
      </c>
    </row>
    <row r="43" spans="1:3" x14ac:dyDescent="0.25">
      <c r="A43" s="36">
        <f t="shared" si="0"/>
        <v>41</v>
      </c>
      <c r="B43" s="22">
        <v>0.01</v>
      </c>
      <c r="C43" s="22">
        <v>0.01</v>
      </c>
    </row>
    <row r="44" spans="1:3" x14ac:dyDescent="0.25">
      <c r="A44" s="36">
        <f t="shared" si="0"/>
        <v>42</v>
      </c>
      <c r="B44" s="22">
        <v>0.01</v>
      </c>
      <c r="C44" s="22">
        <v>0.01</v>
      </c>
    </row>
    <row r="45" spans="1:3" x14ac:dyDescent="0.25">
      <c r="A45" s="36">
        <f t="shared" si="0"/>
        <v>43</v>
      </c>
      <c r="B45" s="22">
        <v>0.01</v>
      </c>
      <c r="C45" s="22">
        <v>0.01</v>
      </c>
    </row>
    <row r="46" spans="1:3" x14ac:dyDescent="0.25">
      <c r="A46" s="36">
        <f t="shared" si="0"/>
        <v>44</v>
      </c>
      <c r="B46" s="22">
        <v>0.01</v>
      </c>
      <c r="C46" s="22">
        <v>0.01</v>
      </c>
    </row>
    <row r="47" spans="1:3" x14ac:dyDescent="0.25">
      <c r="A47" s="36">
        <f t="shared" si="0"/>
        <v>45</v>
      </c>
      <c r="B47" s="22">
        <v>0.01</v>
      </c>
      <c r="C47" s="22">
        <v>0.01</v>
      </c>
    </row>
    <row r="48" spans="1:3" x14ac:dyDescent="0.25">
      <c r="A48" s="36">
        <f t="shared" si="0"/>
        <v>46</v>
      </c>
      <c r="B48" s="22">
        <v>0.01</v>
      </c>
      <c r="C48" s="22">
        <v>0.01</v>
      </c>
    </row>
    <row r="49" spans="1:3" x14ac:dyDescent="0.25">
      <c r="A49" s="36">
        <f t="shared" si="0"/>
        <v>47</v>
      </c>
      <c r="B49" s="22">
        <v>0.01</v>
      </c>
      <c r="C49" s="22">
        <v>0.01</v>
      </c>
    </row>
    <row r="50" spans="1:3" x14ac:dyDescent="0.25">
      <c r="A50" s="36">
        <f t="shared" si="0"/>
        <v>48</v>
      </c>
      <c r="B50" s="22">
        <v>0.01</v>
      </c>
      <c r="C50" s="22">
        <v>0.01</v>
      </c>
    </row>
    <row r="51" spans="1:3" x14ac:dyDescent="0.25">
      <c r="A51" s="36">
        <f t="shared" si="0"/>
        <v>49</v>
      </c>
      <c r="B51" s="22">
        <v>0.01</v>
      </c>
      <c r="C51" s="22">
        <v>0.01</v>
      </c>
    </row>
    <row r="52" spans="1:3" x14ac:dyDescent="0.25">
      <c r="A52" s="36">
        <f t="shared" si="0"/>
        <v>50</v>
      </c>
      <c r="B52" s="22">
        <v>0.01</v>
      </c>
      <c r="C52" s="22">
        <v>0.01</v>
      </c>
    </row>
    <row r="53" spans="1:3" x14ac:dyDescent="0.25">
      <c r="A53" s="36">
        <f t="shared" si="0"/>
        <v>51</v>
      </c>
      <c r="B53" s="22">
        <v>0.01</v>
      </c>
      <c r="C53" s="22">
        <v>0.01</v>
      </c>
    </row>
    <row r="54" spans="1:3" x14ac:dyDescent="0.25">
      <c r="A54" s="36">
        <f t="shared" si="0"/>
        <v>52</v>
      </c>
      <c r="B54" s="22">
        <v>0.01</v>
      </c>
      <c r="C54" s="22">
        <v>0.01</v>
      </c>
    </row>
    <row r="55" spans="1:3" x14ac:dyDescent="0.25">
      <c r="A55" s="36">
        <f t="shared" si="0"/>
        <v>53</v>
      </c>
      <c r="B55" s="22">
        <v>0.01</v>
      </c>
      <c r="C55" s="22">
        <v>0.01</v>
      </c>
    </row>
    <row r="56" spans="1:3" x14ac:dyDescent="0.25">
      <c r="A56" s="36">
        <f t="shared" si="0"/>
        <v>54</v>
      </c>
      <c r="B56" s="22">
        <v>0.01</v>
      </c>
      <c r="C56" s="22">
        <v>0.01</v>
      </c>
    </row>
    <row r="57" spans="1:3" x14ac:dyDescent="0.25">
      <c r="A57" s="36">
        <f t="shared" si="0"/>
        <v>55</v>
      </c>
      <c r="B57" s="22">
        <v>0.01</v>
      </c>
      <c r="C57" s="22">
        <v>0.01</v>
      </c>
    </row>
    <row r="58" spans="1:3" x14ac:dyDescent="0.25">
      <c r="A58" s="36">
        <f t="shared" si="0"/>
        <v>56</v>
      </c>
      <c r="B58" s="22">
        <v>0.01</v>
      </c>
      <c r="C58" s="22">
        <v>0.01</v>
      </c>
    </row>
    <row r="59" spans="1:3" x14ac:dyDescent="0.25">
      <c r="A59" s="36">
        <f t="shared" si="0"/>
        <v>57</v>
      </c>
      <c r="B59" s="22">
        <v>0.01</v>
      </c>
      <c r="C59" s="22">
        <v>0.01</v>
      </c>
    </row>
    <row r="60" spans="1:3" x14ac:dyDescent="0.25">
      <c r="A60" s="36">
        <f t="shared" si="0"/>
        <v>58</v>
      </c>
      <c r="B60" s="22">
        <v>0.01</v>
      </c>
      <c r="C60" s="22">
        <v>0.01</v>
      </c>
    </row>
    <row r="61" spans="1:3" x14ac:dyDescent="0.25">
      <c r="A61" s="36">
        <f t="shared" si="0"/>
        <v>59</v>
      </c>
      <c r="B61" s="22">
        <v>0.01</v>
      </c>
      <c r="C61" s="22">
        <v>0.01</v>
      </c>
    </row>
    <row r="62" spans="1:3" x14ac:dyDescent="0.25">
      <c r="A62" s="36">
        <f t="shared" si="0"/>
        <v>60</v>
      </c>
      <c r="B62" s="22">
        <v>0.01</v>
      </c>
      <c r="C62" s="22">
        <v>0.01</v>
      </c>
    </row>
    <row r="63" spans="1:3" x14ac:dyDescent="0.25">
      <c r="A63" s="36">
        <f t="shared" si="0"/>
        <v>61</v>
      </c>
      <c r="B63" s="22">
        <v>0.01</v>
      </c>
      <c r="C63" s="22">
        <v>0.01</v>
      </c>
    </row>
    <row r="64" spans="1:3" x14ac:dyDescent="0.25">
      <c r="A64" s="36">
        <f t="shared" si="0"/>
        <v>62</v>
      </c>
      <c r="B64" s="22">
        <v>0.01</v>
      </c>
      <c r="C64" s="22">
        <v>0.01</v>
      </c>
    </row>
    <row r="65" spans="1:3" x14ac:dyDescent="0.25">
      <c r="A65" s="36">
        <f t="shared" si="0"/>
        <v>63</v>
      </c>
      <c r="B65" s="22">
        <v>0.01</v>
      </c>
      <c r="C65" s="22">
        <v>0.01</v>
      </c>
    </row>
    <row r="66" spans="1:3" x14ac:dyDescent="0.25">
      <c r="A66" s="36">
        <f t="shared" si="0"/>
        <v>64</v>
      </c>
      <c r="B66" s="22">
        <v>0.01</v>
      </c>
      <c r="C66" s="22">
        <v>0.01</v>
      </c>
    </row>
    <row r="67" spans="1:3" x14ac:dyDescent="0.25">
      <c r="A67" s="36">
        <f t="shared" si="0"/>
        <v>65</v>
      </c>
      <c r="B67" s="22">
        <v>0.01</v>
      </c>
      <c r="C67" s="22">
        <v>0.01</v>
      </c>
    </row>
    <row r="68" spans="1:3" x14ac:dyDescent="0.25">
      <c r="A68" s="36">
        <f t="shared" si="0"/>
        <v>66</v>
      </c>
      <c r="B68" s="22">
        <v>0.01</v>
      </c>
      <c r="C68" s="22">
        <v>0.01</v>
      </c>
    </row>
    <row r="69" spans="1:3" x14ac:dyDescent="0.25">
      <c r="A69" s="36">
        <f t="shared" ref="A69:A102" si="1">A68+1</f>
        <v>67</v>
      </c>
      <c r="B69" s="22">
        <v>0.01</v>
      </c>
      <c r="C69" s="22">
        <v>0.01</v>
      </c>
    </row>
    <row r="70" spans="1:3" x14ac:dyDescent="0.25">
      <c r="A70" s="36">
        <f t="shared" si="1"/>
        <v>68</v>
      </c>
      <c r="B70" s="22">
        <v>0.01</v>
      </c>
      <c r="C70" s="22">
        <v>0.01</v>
      </c>
    </row>
    <row r="71" spans="1:3" x14ac:dyDescent="0.25">
      <c r="A71" s="36">
        <f t="shared" si="1"/>
        <v>69</v>
      </c>
      <c r="B71" s="22">
        <v>0.01</v>
      </c>
      <c r="C71" s="22">
        <v>0.01</v>
      </c>
    </row>
    <row r="72" spans="1:3" x14ac:dyDescent="0.25">
      <c r="A72" s="36">
        <f t="shared" si="1"/>
        <v>70</v>
      </c>
      <c r="B72" s="22">
        <v>0.01</v>
      </c>
      <c r="C72" s="22">
        <v>0.01</v>
      </c>
    </row>
    <row r="73" spans="1:3" x14ac:dyDescent="0.25">
      <c r="A73" s="36">
        <f t="shared" si="1"/>
        <v>71</v>
      </c>
      <c r="B73" s="22">
        <v>0.01</v>
      </c>
      <c r="C73" s="22">
        <v>0.01</v>
      </c>
    </row>
    <row r="74" spans="1:3" x14ac:dyDescent="0.25">
      <c r="A74" s="36">
        <f t="shared" si="1"/>
        <v>72</v>
      </c>
      <c r="B74" s="22">
        <v>0.01</v>
      </c>
      <c r="C74" s="22">
        <v>0.01</v>
      </c>
    </row>
    <row r="75" spans="1:3" x14ac:dyDescent="0.25">
      <c r="A75" s="36">
        <f t="shared" si="1"/>
        <v>73</v>
      </c>
      <c r="B75" s="22">
        <v>0.01</v>
      </c>
      <c r="C75" s="22">
        <v>0.01</v>
      </c>
    </row>
    <row r="76" spans="1:3" x14ac:dyDescent="0.25">
      <c r="A76" s="36">
        <f t="shared" si="1"/>
        <v>74</v>
      </c>
      <c r="B76" s="22">
        <v>0.01</v>
      </c>
      <c r="C76" s="22">
        <v>0.01</v>
      </c>
    </row>
    <row r="77" spans="1:3" x14ac:dyDescent="0.25">
      <c r="A77" s="36">
        <f t="shared" si="1"/>
        <v>75</v>
      </c>
      <c r="B77" s="22">
        <v>0.01</v>
      </c>
      <c r="C77" s="22">
        <v>0.01</v>
      </c>
    </row>
    <row r="78" spans="1:3" x14ac:dyDescent="0.25">
      <c r="A78" s="36">
        <f t="shared" si="1"/>
        <v>76</v>
      </c>
      <c r="B78" s="22">
        <v>0.01</v>
      </c>
      <c r="C78" s="22">
        <v>0.01</v>
      </c>
    </row>
    <row r="79" spans="1:3" x14ac:dyDescent="0.25">
      <c r="A79" s="36">
        <f t="shared" si="1"/>
        <v>77</v>
      </c>
      <c r="B79" s="22">
        <v>0.01</v>
      </c>
      <c r="C79" s="22">
        <v>0.01</v>
      </c>
    </row>
    <row r="80" spans="1:3" x14ac:dyDescent="0.25">
      <c r="A80" s="36">
        <f t="shared" si="1"/>
        <v>78</v>
      </c>
      <c r="B80" s="22">
        <v>0.01</v>
      </c>
      <c r="C80" s="22">
        <v>0.01</v>
      </c>
    </row>
    <row r="81" spans="1:3" x14ac:dyDescent="0.25">
      <c r="A81" s="36">
        <f t="shared" si="1"/>
        <v>79</v>
      </c>
      <c r="B81" s="22">
        <v>0.01</v>
      </c>
      <c r="C81" s="22">
        <v>0.01</v>
      </c>
    </row>
    <row r="82" spans="1:3" x14ac:dyDescent="0.25">
      <c r="A82" s="36">
        <f t="shared" si="1"/>
        <v>80</v>
      </c>
      <c r="B82" s="22">
        <v>0.01</v>
      </c>
      <c r="C82" s="22">
        <v>0.01</v>
      </c>
    </row>
    <row r="83" spans="1:3" x14ac:dyDescent="0.25">
      <c r="A83" s="36">
        <f t="shared" si="1"/>
        <v>81</v>
      </c>
      <c r="B83" s="22">
        <v>0.01</v>
      </c>
      <c r="C83" s="22">
        <v>0.01</v>
      </c>
    </row>
    <row r="84" spans="1:3" x14ac:dyDescent="0.25">
      <c r="A84" s="36">
        <f t="shared" si="1"/>
        <v>82</v>
      </c>
      <c r="B84" s="22">
        <v>0.01</v>
      </c>
      <c r="C84" s="22">
        <v>0.01</v>
      </c>
    </row>
    <row r="85" spans="1:3" x14ac:dyDescent="0.25">
      <c r="A85" s="36">
        <f t="shared" si="1"/>
        <v>83</v>
      </c>
      <c r="B85" s="22">
        <v>0.01</v>
      </c>
      <c r="C85" s="22">
        <v>0.01</v>
      </c>
    </row>
    <row r="86" spans="1:3" x14ac:dyDescent="0.25">
      <c r="A86" s="36">
        <f t="shared" si="1"/>
        <v>84</v>
      </c>
      <c r="B86" s="22">
        <v>0.01</v>
      </c>
      <c r="C86" s="22">
        <v>0.01</v>
      </c>
    </row>
    <row r="87" spans="1:3" x14ac:dyDescent="0.25">
      <c r="A87" s="36">
        <f t="shared" si="1"/>
        <v>85</v>
      </c>
      <c r="B87" s="22">
        <v>0.01</v>
      </c>
      <c r="C87" s="22">
        <v>0.01</v>
      </c>
    </row>
    <row r="88" spans="1:3" x14ac:dyDescent="0.25">
      <c r="A88" s="36">
        <f t="shared" si="1"/>
        <v>86</v>
      </c>
      <c r="B88" s="22">
        <v>0.01</v>
      </c>
      <c r="C88" s="22">
        <v>0.01</v>
      </c>
    </row>
    <row r="89" spans="1:3" x14ac:dyDescent="0.25">
      <c r="A89" s="36">
        <f t="shared" si="1"/>
        <v>87</v>
      </c>
      <c r="B89" s="22">
        <v>0.01</v>
      </c>
      <c r="C89" s="22">
        <v>0.01</v>
      </c>
    </row>
    <row r="90" spans="1:3" x14ac:dyDescent="0.25">
      <c r="A90" s="36">
        <f t="shared" si="1"/>
        <v>88</v>
      </c>
      <c r="B90" s="22">
        <v>0.01</v>
      </c>
      <c r="C90" s="22">
        <v>0.01</v>
      </c>
    </row>
    <row r="91" spans="1:3" x14ac:dyDescent="0.25">
      <c r="A91" s="36">
        <f t="shared" si="1"/>
        <v>89</v>
      </c>
      <c r="B91" s="22">
        <v>0.01</v>
      </c>
      <c r="C91" s="22">
        <v>0.01</v>
      </c>
    </row>
    <row r="92" spans="1:3" x14ac:dyDescent="0.25">
      <c r="A92" s="36">
        <f t="shared" si="1"/>
        <v>90</v>
      </c>
      <c r="B92" s="22">
        <v>0.01</v>
      </c>
      <c r="C92" s="22">
        <v>0.01</v>
      </c>
    </row>
    <row r="93" spans="1:3" x14ac:dyDescent="0.25">
      <c r="A93" s="36">
        <f t="shared" si="1"/>
        <v>91</v>
      </c>
      <c r="B93" s="22">
        <v>0.01</v>
      </c>
      <c r="C93" s="22">
        <v>0.01</v>
      </c>
    </row>
    <row r="94" spans="1:3" x14ac:dyDescent="0.25">
      <c r="A94" s="36">
        <f t="shared" si="1"/>
        <v>92</v>
      </c>
      <c r="B94" s="22">
        <v>0.01</v>
      </c>
      <c r="C94" s="22">
        <v>0.01</v>
      </c>
    </row>
    <row r="95" spans="1:3" x14ac:dyDescent="0.25">
      <c r="A95" s="36">
        <f t="shared" si="1"/>
        <v>93</v>
      </c>
      <c r="B95" s="22">
        <v>0.01</v>
      </c>
      <c r="C95" s="22">
        <v>0.01</v>
      </c>
    </row>
    <row r="96" spans="1:3" x14ac:dyDescent="0.25">
      <c r="A96" s="36">
        <f t="shared" si="1"/>
        <v>94</v>
      </c>
      <c r="B96" s="22">
        <v>0.01</v>
      </c>
      <c r="C96" s="22">
        <v>0.01</v>
      </c>
    </row>
    <row r="97" spans="1:3" x14ac:dyDescent="0.25">
      <c r="A97" s="36">
        <f t="shared" si="1"/>
        <v>95</v>
      </c>
      <c r="B97" s="22">
        <v>0.01</v>
      </c>
      <c r="C97" s="22">
        <v>0.01</v>
      </c>
    </row>
    <row r="98" spans="1:3" x14ac:dyDescent="0.25">
      <c r="A98" s="36">
        <f t="shared" si="1"/>
        <v>96</v>
      </c>
      <c r="B98" s="22">
        <v>0.01</v>
      </c>
      <c r="C98" s="22">
        <v>0.01</v>
      </c>
    </row>
    <row r="99" spans="1:3" x14ac:dyDescent="0.25">
      <c r="A99" s="36">
        <f t="shared" si="1"/>
        <v>97</v>
      </c>
      <c r="B99" s="22">
        <v>0.01</v>
      </c>
      <c r="C99" s="22">
        <v>0.01</v>
      </c>
    </row>
    <row r="100" spans="1:3" x14ac:dyDescent="0.25">
      <c r="A100" s="36">
        <f t="shared" si="1"/>
        <v>98</v>
      </c>
      <c r="B100" s="22">
        <v>0.01</v>
      </c>
      <c r="C100" s="22">
        <v>0.01</v>
      </c>
    </row>
    <row r="101" spans="1:3" x14ac:dyDescent="0.25">
      <c r="A101" s="36">
        <f t="shared" si="1"/>
        <v>99</v>
      </c>
      <c r="B101" s="22">
        <v>0.01</v>
      </c>
      <c r="C101" s="22">
        <v>0.01</v>
      </c>
    </row>
    <row r="102" spans="1:3" x14ac:dyDescent="0.25">
      <c r="A102" s="36">
        <f t="shared" si="1"/>
        <v>100</v>
      </c>
      <c r="B102" s="22">
        <v>0.01</v>
      </c>
      <c r="C102" s="22">
        <v>0.01</v>
      </c>
    </row>
    <row r="103" spans="1:3" x14ac:dyDescent="0.25">
      <c r="A103" s="36"/>
    </row>
    <row r="104" spans="1:3" x14ac:dyDescent="0.25">
      <c r="A104" s="36"/>
    </row>
    <row r="105" spans="1:3" x14ac:dyDescent="0.25">
      <c r="A105" s="3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508"/>
  <sheetViews>
    <sheetView tabSelected="1" zoomScale="150" zoomScaleNormal="150" workbookViewId="0">
      <pane ySplit="1" topLeftCell="A19" activePane="bottomLeft" state="frozen"/>
      <selection pane="bottomLeft" activeCell="J26" sqref="J26"/>
    </sheetView>
  </sheetViews>
  <sheetFormatPr defaultRowHeight="15" x14ac:dyDescent="0.25"/>
  <cols>
    <col min="1" max="1" width="10.42578125" bestFit="1" customWidth="1"/>
    <col min="3" max="3" width="12.140625" customWidth="1"/>
    <col min="4" max="4" width="18" customWidth="1"/>
    <col min="5" max="5" width="9.140625" style="40"/>
    <col min="10" max="10" width="11.42578125" customWidth="1"/>
    <col min="11" max="11" width="11.5703125" customWidth="1"/>
  </cols>
  <sheetData>
    <row r="1" spans="1:7" x14ac:dyDescent="0.25">
      <c r="A1" s="37" t="s">
        <v>0</v>
      </c>
      <c r="B1" s="37" t="s">
        <v>2</v>
      </c>
      <c r="C1" s="37" t="s">
        <v>80</v>
      </c>
      <c r="D1" s="37" t="s">
        <v>81</v>
      </c>
      <c r="E1" s="32" t="s">
        <v>2</v>
      </c>
      <c r="F1" s="37" t="s">
        <v>82</v>
      </c>
      <c r="G1" s="37" t="s">
        <v>83</v>
      </c>
    </row>
    <row r="2" spans="1:7" x14ac:dyDescent="0.25">
      <c r="A2" s="39">
        <v>40476</v>
      </c>
      <c r="B2" s="36">
        <v>6105.7998049999997</v>
      </c>
      <c r="E2" s="40">
        <v>6105.7998049999997</v>
      </c>
    </row>
    <row r="3" spans="1:7" x14ac:dyDescent="0.25">
      <c r="A3" s="39">
        <v>40477</v>
      </c>
      <c r="B3" s="36">
        <v>6082</v>
      </c>
      <c r="E3" s="40">
        <v>6082</v>
      </c>
    </row>
    <row r="4" spans="1:7" x14ac:dyDescent="0.25">
      <c r="A4" s="39">
        <v>40478</v>
      </c>
      <c r="B4" s="36">
        <v>6012.6499020000001</v>
      </c>
      <c r="E4" s="40">
        <v>6012.6499020000001</v>
      </c>
    </row>
    <row r="5" spans="1:7" x14ac:dyDescent="0.25">
      <c r="A5" s="39">
        <v>40479</v>
      </c>
      <c r="B5" s="36">
        <v>5987.7001950000003</v>
      </c>
      <c r="E5" s="40">
        <v>5987.7001950000003</v>
      </c>
    </row>
    <row r="6" spans="1:7" x14ac:dyDescent="0.25">
      <c r="A6" s="39">
        <v>40480</v>
      </c>
      <c r="B6" s="36">
        <v>6017.7001950000003</v>
      </c>
      <c r="E6" s="40">
        <v>6017.7001950000003</v>
      </c>
    </row>
    <row r="7" spans="1:7" x14ac:dyDescent="0.25">
      <c r="A7" s="39">
        <v>40483</v>
      </c>
      <c r="B7" s="36">
        <v>6117.5498049999997</v>
      </c>
      <c r="E7" s="40">
        <v>6117.5498049999997</v>
      </c>
    </row>
    <row r="8" spans="1:7" x14ac:dyDescent="0.25">
      <c r="A8" s="39">
        <v>40484</v>
      </c>
      <c r="B8" s="36">
        <v>6119</v>
      </c>
      <c r="E8" s="40">
        <v>6119</v>
      </c>
    </row>
    <row r="9" spans="1:7" x14ac:dyDescent="0.25">
      <c r="A9" s="39">
        <v>40485</v>
      </c>
      <c r="B9" s="36">
        <v>6160.5</v>
      </c>
      <c r="E9" s="40">
        <v>6160.5</v>
      </c>
    </row>
    <row r="10" spans="1:7" x14ac:dyDescent="0.25">
      <c r="A10" s="39">
        <v>40486</v>
      </c>
      <c r="B10" s="36">
        <v>6281.7998049999997</v>
      </c>
      <c r="E10" s="40">
        <v>6281.7998049999997</v>
      </c>
    </row>
    <row r="11" spans="1:7" x14ac:dyDescent="0.25">
      <c r="A11" s="39">
        <v>40490</v>
      </c>
      <c r="B11" s="36">
        <v>6273.2001950000003</v>
      </c>
      <c r="E11" s="40">
        <v>6273.2001950000003</v>
      </c>
    </row>
    <row r="12" spans="1:7" x14ac:dyDescent="0.25">
      <c r="A12" s="39">
        <v>40491</v>
      </c>
      <c r="B12" s="36">
        <v>6301.5498049999997</v>
      </c>
      <c r="E12" s="40">
        <v>6301.5498049999997</v>
      </c>
    </row>
    <row r="13" spans="1:7" x14ac:dyDescent="0.25">
      <c r="A13" s="39">
        <v>40492</v>
      </c>
      <c r="B13" s="36">
        <v>6275.7001950000003</v>
      </c>
      <c r="E13" s="40">
        <v>6275.7001950000003</v>
      </c>
    </row>
    <row r="14" spans="1:7" x14ac:dyDescent="0.25">
      <c r="A14" s="39">
        <v>40493</v>
      </c>
      <c r="B14" s="36">
        <v>6194.25</v>
      </c>
      <c r="E14" s="40">
        <v>6194.25</v>
      </c>
    </row>
    <row r="15" spans="1:7" x14ac:dyDescent="0.25">
      <c r="A15" s="39">
        <v>40494</v>
      </c>
      <c r="B15" s="36">
        <v>6071.6499020000001</v>
      </c>
      <c r="E15" s="40">
        <v>6071.6499020000001</v>
      </c>
    </row>
    <row r="16" spans="1:7" x14ac:dyDescent="0.25">
      <c r="A16" s="39">
        <v>40497</v>
      </c>
      <c r="B16" s="36">
        <v>6121.6000979999999</v>
      </c>
      <c r="E16" s="40">
        <v>6121.6000979999999</v>
      </c>
    </row>
    <row r="17" spans="1:11" x14ac:dyDescent="0.25">
      <c r="A17" s="39">
        <v>40498</v>
      </c>
      <c r="B17" s="36">
        <v>5988.7001950000003</v>
      </c>
      <c r="E17" s="40">
        <v>5988.7001950000003</v>
      </c>
    </row>
    <row r="18" spans="1:11" x14ac:dyDescent="0.25">
      <c r="A18" s="39">
        <v>40500</v>
      </c>
      <c r="B18" s="36">
        <v>5998.7998049999997</v>
      </c>
      <c r="E18" s="40">
        <v>5998.7998049999997</v>
      </c>
    </row>
    <row r="19" spans="1:11" x14ac:dyDescent="0.25">
      <c r="A19" s="39">
        <v>40501</v>
      </c>
      <c r="B19" s="36">
        <v>5890.2998049999997</v>
      </c>
      <c r="E19" s="40">
        <v>5890.2998049999997</v>
      </c>
    </row>
    <row r="20" spans="1:11" x14ac:dyDescent="0.25">
      <c r="A20" s="39">
        <v>40504</v>
      </c>
      <c r="B20" s="36">
        <v>6010</v>
      </c>
      <c r="E20" s="40">
        <v>6010</v>
      </c>
      <c r="I20" s="37" t="s">
        <v>84</v>
      </c>
      <c r="J20" s="37" t="s">
        <v>85</v>
      </c>
      <c r="K20" s="37" t="s">
        <v>86</v>
      </c>
    </row>
    <row r="21" spans="1:11" x14ac:dyDescent="0.25">
      <c r="A21" s="39">
        <v>40505</v>
      </c>
      <c r="B21" s="36">
        <v>5934.75</v>
      </c>
      <c r="C21">
        <f>AVERAGE(B2:B21)</f>
        <v>6097.2599853500005</v>
      </c>
      <c r="D21">
        <f>_xlfn.STDEV.S(B2:B21)</f>
        <v>121.01714704810762</v>
      </c>
      <c r="E21" s="40">
        <v>5934.75</v>
      </c>
      <c r="F21">
        <f>C21+2*D21</f>
        <v>6339.294279446216</v>
      </c>
      <c r="G21">
        <f>C21-2*D21</f>
        <v>5855.225691253785</v>
      </c>
      <c r="I21" s="40">
        <v>5934.75</v>
      </c>
      <c r="J21" s="36">
        <v>6339.294279446216</v>
      </c>
      <c r="K21" s="36">
        <v>5855.225691253785</v>
      </c>
    </row>
    <row r="22" spans="1:11" x14ac:dyDescent="0.25">
      <c r="A22" s="39">
        <v>40506</v>
      </c>
      <c r="B22" s="36">
        <v>5865.75</v>
      </c>
      <c r="C22" s="36">
        <f t="shared" ref="C22:C85" si="0">AVERAGE(B3:B22)</f>
        <v>6085.2574951000006</v>
      </c>
      <c r="D22" s="36">
        <f t="shared" ref="D22:D85" si="1">_xlfn.STDEV.S(B3:B22)</f>
        <v>131.56959276501354</v>
      </c>
      <c r="E22" s="40">
        <v>5865.75</v>
      </c>
      <c r="F22" s="36">
        <f t="shared" ref="F22:F85" si="2">C22+2*D22</f>
        <v>6348.3966806300277</v>
      </c>
      <c r="G22" s="36">
        <f t="shared" ref="G22:G85" si="3">C22-2*D22</f>
        <v>5822.1183095699735</v>
      </c>
      <c r="I22" s="40">
        <v>5865.75</v>
      </c>
      <c r="J22" s="36">
        <v>6348.3966806300277</v>
      </c>
      <c r="K22" s="36">
        <v>5822.1183095699735</v>
      </c>
    </row>
    <row r="23" spans="1:11" x14ac:dyDescent="0.25">
      <c r="A23" s="39">
        <v>40507</v>
      </c>
      <c r="B23" s="36">
        <v>5799.75</v>
      </c>
      <c r="C23" s="36">
        <f t="shared" si="0"/>
        <v>6071.1449951000004</v>
      </c>
      <c r="D23" s="36">
        <f t="shared" si="1"/>
        <v>146.25523156196365</v>
      </c>
      <c r="E23" s="40">
        <v>5799.75</v>
      </c>
      <c r="F23" s="36">
        <f t="shared" si="2"/>
        <v>6363.6554582239278</v>
      </c>
      <c r="G23" s="36">
        <f t="shared" si="3"/>
        <v>5778.634531976073</v>
      </c>
      <c r="I23" s="40">
        <v>5799.75</v>
      </c>
      <c r="J23" s="36">
        <v>6363.6554582239278</v>
      </c>
      <c r="K23" s="36">
        <v>5778.634531976073</v>
      </c>
    </row>
    <row r="24" spans="1:11" x14ac:dyDescent="0.25">
      <c r="A24" s="39">
        <v>40508</v>
      </c>
      <c r="B24" s="36">
        <v>5751.9501950000003</v>
      </c>
      <c r="C24" s="36">
        <f t="shared" si="0"/>
        <v>6058.1100097500002</v>
      </c>
      <c r="D24" s="36">
        <f t="shared" si="1"/>
        <v>162.46241509609075</v>
      </c>
      <c r="E24" s="40">
        <v>5751.9501950000003</v>
      </c>
      <c r="F24" s="36">
        <f t="shared" si="2"/>
        <v>6383.0348399421819</v>
      </c>
      <c r="G24" s="36">
        <f t="shared" si="3"/>
        <v>5733.1851795578186</v>
      </c>
      <c r="I24" s="40">
        <v>5751.9501950000003</v>
      </c>
      <c r="J24" s="36">
        <v>6383.0348399421819</v>
      </c>
      <c r="K24" s="36">
        <v>5733.1851795578186</v>
      </c>
    </row>
    <row r="25" spans="1:11" x14ac:dyDescent="0.25">
      <c r="A25" s="39">
        <v>40511</v>
      </c>
      <c r="B25" s="36">
        <v>5830</v>
      </c>
      <c r="C25" s="36">
        <f t="shared" si="0"/>
        <v>6050.2250000000004</v>
      </c>
      <c r="D25" s="36">
        <f t="shared" si="1"/>
        <v>169.72421236850826</v>
      </c>
      <c r="E25" s="40">
        <v>5830</v>
      </c>
      <c r="F25" s="36">
        <f t="shared" si="2"/>
        <v>6389.6734247370168</v>
      </c>
      <c r="G25" s="36">
        <f t="shared" si="3"/>
        <v>5710.7765752629839</v>
      </c>
      <c r="I25" s="40">
        <v>5830</v>
      </c>
      <c r="J25" s="36">
        <v>6389.6734247370168</v>
      </c>
      <c r="K25" s="36">
        <v>5710.7765752629839</v>
      </c>
    </row>
    <row r="26" spans="1:11" x14ac:dyDescent="0.25">
      <c r="A26" s="39">
        <v>40512</v>
      </c>
      <c r="B26" s="36">
        <v>5862.7001950000003</v>
      </c>
      <c r="C26" s="36">
        <f t="shared" si="0"/>
        <v>6042.4750000000004</v>
      </c>
      <c r="D26" s="36">
        <f t="shared" si="1"/>
        <v>174.75189880274007</v>
      </c>
      <c r="E26" s="40">
        <v>5862.7001950000003</v>
      </c>
      <c r="F26" s="36">
        <f t="shared" si="2"/>
        <v>6391.9787976054804</v>
      </c>
      <c r="G26" s="36">
        <f t="shared" si="3"/>
        <v>5692.9712023945203</v>
      </c>
      <c r="I26" s="40">
        <v>5862.7001950000003</v>
      </c>
      <c r="J26" s="36">
        <v>6391.9787976054804</v>
      </c>
      <c r="K26" s="36">
        <v>5692.9712023945203</v>
      </c>
    </row>
    <row r="27" spans="1:11" x14ac:dyDescent="0.25">
      <c r="A27" s="39">
        <v>40513</v>
      </c>
      <c r="B27" s="36">
        <v>5960.8999020000001</v>
      </c>
      <c r="C27" s="36">
        <f t="shared" si="0"/>
        <v>6034.6425048500005</v>
      </c>
      <c r="D27" s="36">
        <f t="shared" si="1"/>
        <v>174.72046956729801</v>
      </c>
      <c r="E27" s="40">
        <v>5960.8999020000001</v>
      </c>
      <c r="F27" s="36">
        <f t="shared" si="2"/>
        <v>6384.0834439845967</v>
      </c>
      <c r="G27" s="36">
        <f t="shared" si="3"/>
        <v>5685.2015657154043</v>
      </c>
      <c r="I27" s="40">
        <v>5960.8999020000001</v>
      </c>
      <c r="J27" s="36">
        <v>6384.0834439845967</v>
      </c>
      <c r="K27" s="36">
        <v>5685.2015657154043</v>
      </c>
    </row>
    <row r="28" spans="1:11" x14ac:dyDescent="0.25">
      <c r="A28" s="39">
        <v>40514</v>
      </c>
      <c r="B28" s="36">
        <v>6011.7001950000003</v>
      </c>
      <c r="C28" s="36">
        <f t="shared" si="0"/>
        <v>6029.2775146000004</v>
      </c>
      <c r="D28" s="36">
        <f t="shared" si="1"/>
        <v>173.63787293283451</v>
      </c>
      <c r="E28" s="40">
        <v>6011.7001950000003</v>
      </c>
      <c r="F28" s="36">
        <f t="shared" si="2"/>
        <v>6376.5532604656692</v>
      </c>
      <c r="G28" s="36">
        <f t="shared" si="3"/>
        <v>5682.0017687343316</v>
      </c>
      <c r="I28" s="40">
        <v>6011.7001950000003</v>
      </c>
      <c r="J28" s="36">
        <v>6376.5532604656692</v>
      </c>
      <c r="K28" s="36">
        <v>5682.0017687343316</v>
      </c>
    </row>
    <row r="29" spans="1:11" x14ac:dyDescent="0.25">
      <c r="A29" s="39">
        <v>40515</v>
      </c>
      <c r="B29" s="36">
        <v>5992.7998049999997</v>
      </c>
      <c r="C29" s="36">
        <f t="shared" si="0"/>
        <v>6020.8925048500005</v>
      </c>
      <c r="D29" s="36">
        <f t="shared" si="1"/>
        <v>170.99664851580252</v>
      </c>
      <c r="E29" s="40">
        <v>5992.7998049999997</v>
      </c>
      <c r="F29" s="36">
        <f t="shared" si="2"/>
        <v>6362.8858018816054</v>
      </c>
      <c r="G29" s="36">
        <f t="shared" si="3"/>
        <v>5678.8992078183956</v>
      </c>
      <c r="I29" s="40">
        <v>5992.7998049999997</v>
      </c>
      <c r="J29" s="36">
        <v>6362.8858018816054</v>
      </c>
      <c r="K29" s="36">
        <v>5678.8992078183956</v>
      </c>
    </row>
    <row r="30" spans="1:11" x14ac:dyDescent="0.25">
      <c r="A30" s="39">
        <v>40518</v>
      </c>
      <c r="B30" s="36">
        <v>5992.25</v>
      </c>
      <c r="C30" s="36">
        <f t="shared" si="0"/>
        <v>6006.4150146000002</v>
      </c>
      <c r="D30" s="36">
        <f t="shared" si="1"/>
        <v>159.62341234471455</v>
      </c>
      <c r="E30" s="40">
        <v>5992.25</v>
      </c>
      <c r="F30" s="36">
        <f t="shared" si="2"/>
        <v>6325.6618392894288</v>
      </c>
      <c r="G30" s="36">
        <f t="shared" si="3"/>
        <v>5687.1681899105715</v>
      </c>
      <c r="I30" s="40">
        <v>5992.25</v>
      </c>
      <c r="J30" s="36">
        <v>6325.6618392894288</v>
      </c>
      <c r="K30" s="36">
        <v>5687.1681899105715</v>
      </c>
    </row>
    <row r="31" spans="1:11" x14ac:dyDescent="0.25">
      <c r="A31" s="39">
        <v>40519</v>
      </c>
      <c r="B31" s="36">
        <v>5976.5498049999997</v>
      </c>
      <c r="C31" s="36">
        <f t="shared" si="0"/>
        <v>5991.5824951000004</v>
      </c>
      <c r="D31" s="36">
        <f t="shared" si="1"/>
        <v>146.79569891373706</v>
      </c>
      <c r="E31" s="40">
        <v>5976.5498049999997</v>
      </c>
      <c r="F31" s="36">
        <f t="shared" si="2"/>
        <v>6285.1738929274743</v>
      </c>
      <c r="G31" s="36">
        <f t="shared" si="3"/>
        <v>5697.9910972725265</v>
      </c>
      <c r="I31" s="40">
        <v>5976.5498049999997</v>
      </c>
      <c r="J31" s="36">
        <v>6285.1738929274743</v>
      </c>
      <c r="K31" s="36">
        <v>5697.9910972725265</v>
      </c>
    </row>
    <row r="32" spans="1:11" x14ac:dyDescent="0.25">
      <c r="A32" s="39">
        <v>40520</v>
      </c>
      <c r="B32" s="36">
        <v>5903.7001950000003</v>
      </c>
      <c r="C32" s="36">
        <f t="shared" si="0"/>
        <v>5971.6900145999998</v>
      </c>
      <c r="D32" s="36">
        <f t="shared" si="1"/>
        <v>128.3826347142431</v>
      </c>
      <c r="E32" s="40">
        <v>5903.7001950000003</v>
      </c>
      <c r="F32" s="36">
        <f t="shared" si="2"/>
        <v>6228.4552840284859</v>
      </c>
      <c r="G32" s="36">
        <f t="shared" si="3"/>
        <v>5714.9247451715137</v>
      </c>
      <c r="I32" s="40">
        <v>5903.7001950000003</v>
      </c>
      <c r="J32" s="36">
        <v>6228.4552840284859</v>
      </c>
      <c r="K32" s="36">
        <v>5714.9247451715137</v>
      </c>
    </row>
    <row r="33" spans="1:11" x14ac:dyDescent="0.25">
      <c r="A33" s="39">
        <v>40521</v>
      </c>
      <c r="B33" s="36">
        <v>5766.5</v>
      </c>
      <c r="C33" s="36">
        <f t="shared" si="0"/>
        <v>5946.2300048500001</v>
      </c>
      <c r="D33" s="36">
        <f t="shared" si="1"/>
        <v>114.67951393306348</v>
      </c>
      <c r="E33" s="40">
        <v>5766.5</v>
      </c>
      <c r="F33" s="36">
        <f t="shared" si="2"/>
        <v>6175.5890327161269</v>
      </c>
      <c r="G33" s="36">
        <f t="shared" si="3"/>
        <v>5716.8709769838733</v>
      </c>
      <c r="I33" s="40">
        <v>5766.5</v>
      </c>
      <c r="J33" s="36">
        <v>6175.5890327161269</v>
      </c>
      <c r="K33" s="36">
        <v>5716.8709769838733</v>
      </c>
    </row>
    <row r="34" spans="1:11" x14ac:dyDescent="0.25">
      <c r="A34" s="39">
        <v>40522</v>
      </c>
      <c r="B34" s="36">
        <v>5857.3500979999999</v>
      </c>
      <c r="C34" s="36">
        <f t="shared" si="0"/>
        <v>5929.3850097499999</v>
      </c>
      <c r="D34" s="36">
        <f t="shared" si="1"/>
        <v>100.15437296378987</v>
      </c>
      <c r="E34" s="40">
        <v>5857.3500979999999</v>
      </c>
      <c r="F34" s="36">
        <f t="shared" si="2"/>
        <v>6129.6937556775792</v>
      </c>
      <c r="G34" s="36">
        <f t="shared" si="3"/>
        <v>5729.0762638224205</v>
      </c>
      <c r="I34" s="40">
        <v>5857.3500979999999</v>
      </c>
      <c r="J34" s="36">
        <v>6129.6937556775792</v>
      </c>
      <c r="K34" s="36">
        <v>5729.0762638224205</v>
      </c>
    </row>
    <row r="35" spans="1:11" x14ac:dyDescent="0.25">
      <c r="A35" s="39">
        <v>40525</v>
      </c>
      <c r="B35" s="36">
        <v>5907.6499020000001</v>
      </c>
      <c r="C35" s="36">
        <f t="shared" si="0"/>
        <v>5921.1850097500001</v>
      </c>
      <c r="D35" s="36">
        <f t="shared" si="1"/>
        <v>94.444465830351589</v>
      </c>
      <c r="E35" s="40">
        <v>5907.6499020000001</v>
      </c>
      <c r="F35" s="36">
        <f t="shared" si="2"/>
        <v>6110.0739414107029</v>
      </c>
      <c r="G35" s="36">
        <f t="shared" si="3"/>
        <v>5732.2960780892972</v>
      </c>
      <c r="I35" s="40">
        <v>5907.6499020000001</v>
      </c>
      <c r="J35" s="36">
        <v>6110.0739414107029</v>
      </c>
      <c r="K35" s="36">
        <v>5732.2960780892972</v>
      </c>
    </row>
    <row r="36" spans="1:11" x14ac:dyDescent="0.25">
      <c r="A36" s="39">
        <v>40526</v>
      </c>
      <c r="B36" s="36">
        <v>5944.1000979999999</v>
      </c>
      <c r="C36" s="36">
        <f t="shared" si="0"/>
        <v>5912.3100097500001</v>
      </c>
      <c r="D36" s="36">
        <f t="shared" si="1"/>
        <v>82.161255616423574</v>
      </c>
      <c r="E36" s="40">
        <v>5944.1000979999999</v>
      </c>
      <c r="F36" s="36">
        <f t="shared" si="2"/>
        <v>6076.6325209828474</v>
      </c>
      <c r="G36" s="36">
        <f t="shared" si="3"/>
        <v>5747.9874985171527</v>
      </c>
      <c r="I36" s="40">
        <v>5944.1000979999999</v>
      </c>
      <c r="J36" s="36">
        <v>6076.6325209828474</v>
      </c>
      <c r="K36" s="36">
        <v>5747.9874985171527</v>
      </c>
    </row>
    <row r="37" spans="1:11" x14ac:dyDescent="0.25">
      <c r="A37" s="39">
        <v>40527</v>
      </c>
      <c r="B37" s="36">
        <v>5892.2998049999997</v>
      </c>
      <c r="C37" s="36">
        <f t="shared" si="0"/>
        <v>5907.4899902499992</v>
      </c>
      <c r="D37" s="36">
        <f t="shared" si="1"/>
        <v>80.249368811053927</v>
      </c>
      <c r="E37" s="40">
        <v>5892.2998049999997</v>
      </c>
      <c r="F37" s="36">
        <f t="shared" si="2"/>
        <v>6067.9887278721071</v>
      </c>
      <c r="G37" s="36">
        <f t="shared" si="3"/>
        <v>5746.9912526278913</v>
      </c>
      <c r="I37" s="40">
        <v>5892.2998049999997</v>
      </c>
      <c r="J37" s="36">
        <v>6067.9887278721071</v>
      </c>
      <c r="K37" s="36">
        <v>5746.9912526278913</v>
      </c>
    </row>
    <row r="38" spans="1:11" x14ac:dyDescent="0.25">
      <c r="A38" s="39">
        <v>40528</v>
      </c>
      <c r="B38" s="36">
        <v>5948.75</v>
      </c>
      <c r="C38" s="36">
        <f t="shared" si="0"/>
        <v>5904.9874999999993</v>
      </c>
      <c r="D38" s="36">
        <f t="shared" si="1"/>
        <v>78.000985041938819</v>
      </c>
      <c r="E38" s="40">
        <v>5948.75</v>
      </c>
      <c r="F38" s="36">
        <f t="shared" si="2"/>
        <v>6060.9894700838768</v>
      </c>
      <c r="G38" s="36">
        <f t="shared" si="3"/>
        <v>5748.9855299161218</v>
      </c>
      <c r="I38" s="40">
        <v>5948.75</v>
      </c>
      <c r="J38" s="36">
        <v>6060.9894700838768</v>
      </c>
      <c r="K38" s="36">
        <v>5748.9855299161218</v>
      </c>
    </row>
    <row r="39" spans="1:11" x14ac:dyDescent="0.25">
      <c r="A39" s="39">
        <v>40532</v>
      </c>
      <c r="B39" s="36">
        <v>5947.0498049999997</v>
      </c>
      <c r="C39" s="36">
        <f t="shared" si="0"/>
        <v>5907.8249999999989</v>
      </c>
      <c r="D39" s="36">
        <f t="shared" si="1"/>
        <v>78.469370717511381</v>
      </c>
      <c r="E39" s="40">
        <v>5947.0498049999997</v>
      </c>
      <c r="F39" s="36">
        <f t="shared" si="2"/>
        <v>6064.763741435022</v>
      </c>
      <c r="G39" s="36">
        <f t="shared" si="3"/>
        <v>5750.8862585649758</v>
      </c>
      <c r="I39" s="40">
        <v>5947.0498049999997</v>
      </c>
      <c r="J39" s="36">
        <v>6064.763741435022</v>
      </c>
      <c r="K39" s="36">
        <v>5750.8862585649758</v>
      </c>
    </row>
    <row r="40" spans="1:11" x14ac:dyDescent="0.25">
      <c r="A40" s="39">
        <v>40533</v>
      </c>
      <c r="B40" s="36">
        <v>6000.6499020000001</v>
      </c>
      <c r="C40" s="36">
        <f t="shared" si="0"/>
        <v>5907.3574951000001</v>
      </c>
      <c r="D40" s="36">
        <f t="shared" si="1"/>
        <v>77.854033889648974</v>
      </c>
      <c r="E40" s="40">
        <v>6000.6499020000001</v>
      </c>
      <c r="F40" s="36">
        <f t="shared" si="2"/>
        <v>6063.0655628792983</v>
      </c>
      <c r="G40" s="36">
        <f t="shared" si="3"/>
        <v>5751.6494273207018</v>
      </c>
      <c r="I40" s="40">
        <v>6000.6499020000001</v>
      </c>
      <c r="J40" s="36">
        <v>6063.0655628792983</v>
      </c>
      <c r="K40" s="36">
        <v>5751.6494273207018</v>
      </c>
    </row>
    <row r="41" spans="1:11" x14ac:dyDescent="0.25">
      <c r="A41" s="39">
        <v>40534</v>
      </c>
      <c r="B41" s="36">
        <v>5984.3999020000001</v>
      </c>
      <c r="C41" s="36">
        <f t="shared" si="0"/>
        <v>5909.8399902000001</v>
      </c>
      <c r="D41" s="36">
        <f t="shared" si="1"/>
        <v>79.546639335787674</v>
      </c>
      <c r="E41" s="40">
        <v>5984.3999020000001</v>
      </c>
      <c r="F41" s="36">
        <f t="shared" si="2"/>
        <v>6068.9332688715758</v>
      </c>
      <c r="G41" s="36">
        <f t="shared" si="3"/>
        <v>5750.7467115284244</v>
      </c>
      <c r="I41" s="40">
        <v>5984.3999020000001</v>
      </c>
      <c r="J41" s="36">
        <v>6068.9332688715758</v>
      </c>
      <c r="K41" s="36">
        <v>5750.7467115284244</v>
      </c>
    </row>
    <row r="42" spans="1:11" x14ac:dyDescent="0.25">
      <c r="A42" s="39">
        <v>40535</v>
      </c>
      <c r="B42" s="36">
        <v>5980</v>
      </c>
      <c r="C42" s="36">
        <f t="shared" si="0"/>
        <v>5915.5524902000016</v>
      </c>
      <c r="D42" s="36">
        <f t="shared" si="1"/>
        <v>80.312395116307428</v>
      </c>
      <c r="E42" s="40">
        <v>5980</v>
      </c>
      <c r="F42" s="36">
        <f t="shared" si="2"/>
        <v>6076.1772804326165</v>
      </c>
      <c r="G42" s="36">
        <f t="shared" si="3"/>
        <v>5754.9276999673866</v>
      </c>
      <c r="I42" s="40">
        <v>5980</v>
      </c>
      <c r="J42" s="36">
        <v>6076.1772804326165</v>
      </c>
      <c r="K42" s="36">
        <v>5754.9276999673866</v>
      </c>
    </row>
    <row r="43" spans="1:11" x14ac:dyDescent="0.25">
      <c r="A43" s="39">
        <v>40536</v>
      </c>
      <c r="B43" s="36">
        <v>6011.6000979999999</v>
      </c>
      <c r="C43" s="36">
        <f t="shared" si="0"/>
        <v>5926.1449951000013</v>
      </c>
      <c r="D43" s="36">
        <f t="shared" si="1"/>
        <v>78.177409041194565</v>
      </c>
      <c r="E43" s="40">
        <v>6011.6000979999999</v>
      </c>
      <c r="F43" s="36">
        <f t="shared" si="2"/>
        <v>6082.4998131823904</v>
      </c>
      <c r="G43" s="36">
        <f t="shared" si="3"/>
        <v>5769.7901770176122</v>
      </c>
      <c r="I43" s="40">
        <v>6011.6000979999999</v>
      </c>
      <c r="J43" s="36">
        <v>6082.4998131823904</v>
      </c>
      <c r="K43" s="36">
        <v>5769.7901770176122</v>
      </c>
    </row>
    <row r="44" spans="1:11" x14ac:dyDescent="0.25">
      <c r="A44" s="39">
        <v>40539</v>
      </c>
      <c r="B44" s="36">
        <v>5998.1000979999999</v>
      </c>
      <c r="C44" s="36">
        <f t="shared" si="0"/>
        <v>5938.4524902499998</v>
      </c>
      <c r="D44" s="36">
        <f t="shared" si="1"/>
        <v>68.027338977028791</v>
      </c>
      <c r="E44" s="40">
        <v>5998.1000979999999</v>
      </c>
      <c r="F44" s="36">
        <f t="shared" si="2"/>
        <v>6074.5071682040571</v>
      </c>
      <c r="G44" s="36">
        <f t="shared" si="3"/>
        <v>5802.3978122959425</v>
      </c>
      <c r="I44" s="40">
        <v>5998.1000979999999</v>
      </c>
      <c r="J44" s="36">
        <v>6074.5071682040571</v>
      </c>
      <c r="K44" s="36">
        <v>5802.3978122959425</v>
      </c>
    </row>
    <row r="45" spans="1:11" x14ac:dyDescent="0.25">
      <c r="A45" s="39">
        <v>40540</v>
      </c>
      <c r="B45" s="36">
        <v>5996</v>
      </c>
      <c r="C45" s="36">
        <f t="shared" si="0"/>
        <v>5946.7524902499999</v>
      </c>
      <c r="D45" s="36">
        <f t="shared" si="1"/>
        <v>64.11282462832142</v>
      </c>
      <c r="E45" s="40">
        <v>5996</v>
      </c>
      <c r="F45" s="36">
        <f t="shared" si="2"/>
        <v>6074.9781395066429</v>
      </c>
      <c r="G45" s="36">
        <f t="shared" si="3"/>
        <v>5818.5268409933569</v>
      </c>
      <c r="I45" s="40">
        <v>5996</v>
      </c>
      <c r="J45" s="36">
        <v>6074.9781395066429</v>
      </c>
      <c r="K45" s="36">
        <v>5818.5268409933569</v>
      </c>
    </row>
    <row r="46" spans="1:11" x14ac:dyDescent="0.25">
      <c r="A46" s="39">
        <v>40541</v>
      </c>
      <c r="B46" s="36">
        <v>6060.3500979999999</v>
      </c>
      <c r="C46" s="36">
        <f t="shared" si="0"/>
        <v>5956.6349854</v>
      </c>
      <c r="D46" s="36">
        <f t="shared" si="1"/>
        <v>65.688653709253529</v>
      </c>
      <c r="E46" s="40">
        <v>6060.3500979999999</v>
      </c>
      <c r="F46" s="36">
        <f t="shared" si="2"/>
        <v>6088.0122928185074</v>
      </c>
      <c r="G46" s="36">
        <f t="shared" si="3"/>
        <v>5825.2576779814926</v>
      </c>
      <c r="I46" s="40">
        <v>6060.3500979999999</v>
      </c>
      <c r="J46" s="36">
        <v>6088.0122928185074</v>
      </c>
      <c r="K46" s="36">
        <v>5825.2576779814926</v>
      </c>
    </row>
    <row r="47" spans="1:11" x14ac:dyDescent="0.25">
      <c r="A47" s="39">
        <v>40542</v>
      </c>
      <c r="B47" s="36">
        <v>6101.8500979999999</v>
      </c>
      <c r="C47" s="36">
        <f t="shared" si="0"/>
        <v>5963.6824951999997</v>
      </c>
      <c r="D47" s="36">
        <f t="shared" si="1"/>
        <v>73.291371224274599</v>
      </c>
      <c r="E47" s="40">
        <v>6101.8500979999999</v>
      </c>
      <c r="F47" s="36">
        <f t="shared" si="2"/>
        <v>6110.2652376485494</v>
      </c>
      <c r="G47" s="36">
        <f t="shared" si="3"/>
        <v>5817.0997527514501</v>
      </c>
      <c r="I47" s="40">
        <v>6101.8500979999999</v>
      </c>
      <c r="J47" s="36">
        <v>6110.2652376485494</v>
      </c>
      <c r="K47" s="36">
        <v>5817.0997527514501</v>
      </c>
    </row>
    <row r="48" spans="1:11" x14ac:dyDescent="0.25">
      <c r="A48" s="39">
        <v>40543</v>
      </c>
      <c r="B48" s="36">
        <v>6134.5</v>
      </c>
      <c r="C48" s="36">
        <f t="shared" si="0"/>
        <v>5969.8224854499995</v>
      </c>
      <c r="D48" s="36">
        <f t="shared" si="1"/>
        <v>82.135897552828894</v>
      </c>
      <c r="E48" s="40">
        <v>6134.5</v>
      </c>
      <c r="F48" s="36">
        <f t="shared" si="2"/>
        <v>6134.094280555657</v>
      </c>
      <c r="G48" s="36">
        <f t="shared" si="3"/>
        <v>5805.550690344342</v>
      </c>
      <c r="I48" s="40">
        <v>6134.5</v>
      </c>
      <c r="J48" s="36">
        <v>6134.094280555657</v>
      </c>
      <c r="K48" s="36">
        <v>5805.550690344342</v>
      </c>
    </row>
    <row r="49" spans="1:11" x14ac:dyDescent="0.25">
      <c r="A49" s="39">
        <v>40546</v>
      </c>
      <c r="B49" s="36">
        <v>6157.6000979999999</v>
      </c>
      <c r="C49" s="36">
        <f t="shared" si="0"/>
        <v>5978.0625000999989</v>
      </c>
      <c r="D49" s="36">
        <f t="shared" si="1"/>
        <v>92.210949630096039</v>
      </c>
      <c r="E49" s="40">
        <v>6157.6000979999999</v>
      </c>
      <c r="F49" s="36">
        <f t="shared" si="2"/>
        <v>6162.4843993601908</v>
      </c>
      <c r="G49" s="36">
        <f t="shared" si="3"/>
        <v>5793.6406008398071</v>
      </c>
      <c r="I49" s="40">
        <v>6157.6000979999999</v>
      </c>
      <c r="J49" s="36">
        <v>6162.4843993601908</v>
      </c>
      <c r="K49" s="36">
        <v>5793.6406008398071</v>
      </c>
    </row>
    <row r="50" spans="1:11" x14ac:dyDescent="0.25">
      <c r="A50" s="39">
        <v>40547</v>
      </c>
      <c r="B50" s="36">
        <v>6146.3500979999999</v>
      </c>
      <c r="C50" s="36">
        <f t="shared" si="0"/>
        <v>5985.7675049999989</v>
      </c>
      <c r="D50" s="36">
        <f t="shared" si="1"/>
        <v>99.600891415731184</v>
      </c>
      <c r="E50" s="40">
        <v>6146.3500979999999</v>
      </c>
      <c r="F50" s="36">
        <f t="shared" si="2"/>
        <v>6184.9692878314609</v>
      </c>
      <c r="G50" s="36">
        <f t="shared" si="3"/>
        <v>5786.5657221685369</v>
      </c>
      <c r="I50" s="40">
        <v>6146.3500979999999</v>
      </c>
      <c r="J50" s="36">
        <v>6184.9692878314609</v>
      </c>
      <c r="K50" s="36">
        <v>5786.5657221685369</v>
      </c>
    </row>
    <row r="51" spans="1:11" x14ac:dyDescent="0.25">
      <c r="A51" s="39">
        <v>40548</v>
      </c>
      <c r="B51" s="36">
        <v>6079.7998049999997</v>
      </c>
      <c r="C51" s="36">
        <f t="shared" si="0"/>
        <v>5990.9300049999993</v>
      </c>
      <c r="D51" s="36">
        <f t="shared" si="1"/>
        <v>101.75059631801392</v>
      </c>
      <c r="E51" s="40">
        <v>6079.7998049999997</v>
      </c>
      <c r="F51" s="36">
        <f t="shared" si="2"/>
        <v>6194.4311976360268</v>
      </c>
      <c r="G51" s="36">
        <f t="shared" si="3"/>
        <v>5787.4288123639717</v>
      </c>
      <c r="I51" s="40">
        <v>6079.7998049999997</v>
      </c>
      <c r="J51" s="36">
        <v>6194.4311976360268</v>
      </c>
      <c r="K51" s="36">
        <v>5787.4288123639717</v>
      </c>
    </row>
    <row r="52" spans="1:11" x14ac:dyDescent="0.25">
      <c r="A52" s="39">
        <v>40549</v>
      </c>
      <c r="B52" s="36">
        <v>6048.25</v>
      </c>
      <c r="C52" s="36">
        <f t="shared" si="0"/>
        <v>5998.1574952499996</v>
      </c>
      <c r="D52" s="36">
        <f t="shared" si="1"/>
        <v>100.3526159253733</v>
      </c>
      <c r="E52" s="40">
        <v>6048.25</v>
      </c>
      <c r="F52" s="36">
        <f t="shared" si="2"/>
        <v>6198.8627271007463</v>
      </c>
      <c r="G52" s="36">
        <f t="shared" si="3"/>
        <v>5797.4522633992528</v>
      </c>
      <c r="I52" s="40">
        <v>6048.25</v>
      </c>
      <c r="J52" s="36">
        <v>6198.8627271007463</v>
      </c>
      <c r="K52" s="36">
        <v>5797.4522633992528</v>
      </c>
    </row>
    <row r="53" spans="1:11" x14ac:dyDescent="0.25">
      <c r="A53" s="39">
        <v>40550</v>
      </c>
      <c r="B53" s="36">
        <v>5904.6000979999999</v>
      </c>
      <c r="C53" s="36">
        <f t="shared" si="0"/>
        <v>6005.0625001499993</v>
      </c>
      <c r="D53" s="36">
        <f t="shared" si="1"/>
        <v>87.502334573233071</v>
      </c>
      <c r="E53" s="40">
        <v>5904.6000979999999</v>
      </c>
      <c r="F53" s="36">
        <f t="shared" si="2"/>
        <v>6180.0671692964652</v>
      </c>
      <c r="G53" s="36">
        <f t="shared" si="3"/>
        <v>5830.0578310035335</v>
      </c>
      <c r="I53" s="40">
        <v>5904.6000979999999</v>
      </c>
      <c r="J53" s="36">
        <v>6180.0671692964652</v>
      </c>
      <c r="K53" s="36">
        <v>5830.0578310035335</v>
      </c>
    </row>
    <row r="54" spans="1:11" x14ac:dyDescent="0.25">
      <c r="A54" s="39">
        <v>40553</v>
      </c>
      <c r="B54" s="36">
        <v>5762.8500979999999</v>
      </c>
      <c r="C54" s="36">
        <f t="shared" si="0"/>
        <v>6000.337500149999</v>
      </c>
      <c r="D54" s="36">
        <f t="shared" si="1"/>
        <v>97.839259708517588</v>
      </c>
      <c r="E54" s="40">
        <v>5762.8500979999999</v>
      </c>
      <c r="F54" s="36">
        <f t="shared" si="2"/>
        <v>6196.0160195670342</v>
      </c>
      <c r="G54" s="36">
        <f t="shared" si="3"/>
        <v>5804.6589807329638</v>
      </c>
      <c r="I54" s="40">
        <v>5762.8500979999999</v>
      </c>
      <c r="J54" s="36">
        <v>6196.0160195670342</v>
      </c>
      <c r="K54" s="36">
        <v>5804.6589807329638</v>
      </c>
    </row>
    <row r="55" spans="1:11" x14ac:dyDescent="0.25">
      <c r="A55" s="39">
        <v>40554</v>
      </c>
      <c r="B55" s="36">
        <v>5754.1000979999999</v>
      </c>
      <c r="C55" s="36">
        <f t="shared" si="0"/>
        <v>5992.6600099499983</v>
      </c>
      <c r="D55" s="36">
        <f t="shared" si="1"/>
        <v>110.67755069219569</v>
      </c>
      <c r="E55" s="40">
        <v>5754.1000979999999</v>
      </c>
      <c r="F55" s="36">
        <f t="shared" si="2"/>
        <v>6214.01511133439</v>
      </c>
      <c r="G55" s="36">
        <f t="shared" si="3"/>
        <v>5771.3049085656066</v>
      </c>
      <c r="I55" s="40">
        <v>5754.1000979999999</v>
      </c>
      <c r="J55" s="36">
        <v>6214.01511133439</v>
      </c>
      <c r="K55" s="36">
        <v>5771.3049085656066</v>
      </c>
    </row>
    <row r="56" spans="1:11" x14ac:dyDescent="0.25">
      <c r="A56" s="39">
        <v>40555</v>
      </c>
      <c r="B56" s="36">
        <v>5863.25</v>
      </c>
      <c r="C56" s="36">
        <f t="shared" si="0"/>
        <v>5988.6175050499996</v>
      </c>
      <c r="D56" s="36">
        <f t="shared" si="1"/>
        <v>113.97204944209237</v>
      </c>
      <c r="E56" s="40">
        <v>5863.25</v>
      </c>
      <c r="F56" s="36">
        <f t="shared" si="2"/>
        <v>6216.5616039341839</v>
      </c>
      <c r="G56" s="36">
        <f t="shared" si="3"/>
        <v>5760.6734061658153</v>
      </c>
      <c r="I56" s="40">
        <v>5863.25</v>
      </c>
      <c r="J56" s="36">
        <v>6216.5616039341839</v>
      </c>
      <c r="K56" s="36">
        <v>5760.6734061658153</v>
      </c>
    </row>
    <row r="57" spans="1:11" x14ac:dyDescent="0.25">
      <c r="A57" s="39">
        <v>40556</v>
      </c>
      <c r="B57" s="36">
        <v>5751.8999020000001</v>
      </c>
      <c r="C57" s="36">
        <f t="shared" si="0"/>
        <v>5981.5975098999997</v>
      </c>
      <c r="D57" s="36">
        <f t="shared" si="1"/>
        <v>124.09153044580891</v>
      </c>
      <c r="E57" s="40">
        <v>5751.8999020000001</v>
      </c>
      <c r="F57" s="36">
        <f t="shared" si="2"/>
        <v>6229.7805707916177</v>
      </c>
      <c r="G57" s="36">
        <f t="shared" si="3"/>
        <v>5733.4144490083818</v>
      </c>
      <c r="I57" s="40">
        <v>5751.8999020000001</v>
      </c>
      <c r="J57" s="36">
        <v>6229.7805707916177</v>
      </c>
      <c r="K57" s="36">
        <v>5733.4144490083818</v>
      </c>
    </row>
    <row r="58" spans="1:11" x14ac:dyDescent="0.25">
      <c r="A58" s="39">
        <v>40557</v>
      </c>
      <c r="B58" s="36">
        <v>5654.5498049999997</v>
      </c>
      <c r="C58" s="36">
        <f t="shared" si="0"/>
        <v>5966.8875001500001</v>
      </c>
      <c r="D58" s="36">
        <f t="shared" si="1"/>
        <v>144.02649706438422</v>
      </c>
      <c r="E58" s="40">
        <v>5654.5498049999997</v>
      </c>
      <c r="F58" s="36">
        <f t="shared" si="2"/>
        <v>6254.9404942787687</v>
      </c>
      <c r="G58" s="36">
        <f t="shared" si="3"/>
        <v>5678.8345060212314</v>
      </c>
      <c r="I58" s="40">
        <v>5654.5498049999997</v>
      </c>
      <c r="J58" s="36">
        <v>6254.9404942787687</v>
      </c>
      <c r="K58" s="36">
        <v>5678.8345060212314</v>
      </c>
    </row>
    <row r="59" spans="1:11" x14ac:dyDescent="0.25">
      <c r="A59" s="39">
        <v>40560</v>
      </c>
      <c r="B59" s="36">
        <v>5654.75</v>
      </c>
      <c r="C59" s="36">
        <f t="shared" si="0"/>
        <v>5952.2725098999999</v>
      </c>
      <c r="D59" s="36">
        <f t="shared" si="1"/>
        <v>160.08111945723994</v>
      </c>
      <c r="E59" s="40">
        <v>5654.75</v>
      </c>
      <c r="F59" s="36">
        <f t="shared" si="2"/>
        <v>6272.4347488144795</v>
      </c>
      <c r="G59" s="36">
        <f t="shared" si="3"/>
        <v>5632.1102709855204</v>
      </c>
      <c r="I59" s="40">
        <v>5654.75</v>
      </c>
      <c r="J59" s="36">
        <v>6272.4347488144795</v>
      </c>
      <c r="K59" s="36">
        <v>5632.1102709855204</v>
      </c>
    </row>
    <row r="60" spans="1:11" x14ac:dyDescent="0.25">
      <c r="A60" s="39">
        <v>40561</v>
      </c>
      <c r="B60" s="36">
        <v>5724.0498049999997</v>
      </c>
      <c r="C60" s="36">
        <f t="shared" si="0"/>
        <v>5938.4425050500004</v>
      </c>
      <c r="D60" s="36">
        <f t="shared" si="1"/>
        <v>167.45984304326663</v>
      </c>
      <c r="E60" s="40">
        <v>5724.0498049999997</v>
      </c>
      <c r="F60" s="36">
        <f t="shared" si="2"/>
        <v>6273.3621911365335</v>
      </c>
      <c r="G60" s="36">
        <f t="shared" si="3"/>
        <v>5603.5228189634672</v>
      </c>
      <c r="I60" s="40">
        <v>5724.0498049999997</v>
      </c>
      <c r="J60" s="36">
        <v>6273.3621911365335</v>
      </c>
      <c r="K60" s="36">
        <v>5603.5228189634672</v>
      </c>
    </row>
    <row r="61" spans="1:11" x14ac:dyDescent="0.25">
      <c r="A61" s="39">
        <v>40562</v>
      </c>
      <c r="B61" s="36">
        <v>5691.0498049999997</v>
      </c>
      <c r="C61" s="36">
        <f t="shared" si="0"/>
        <v>5923.7750002000002</v>
      </c>
      <c r="D61" s="36">
        <f t="shared" si="1"/>
        <v>175.85902448186465</v>
      </c>
      <c r="E61" s="40">
        <v>5691.0498049999997</v>
      </c>
      <c r="F61" s="36">
        <f t="shared" si="2"/>
        <v>6275.4930491637297</v>
      </c>
      <c r="G61" s="36">
        <f t="shared" si="3"/>
        <v>5572.0569512362708</v>
      </c>
      <c r="I61" s="40">
        <v>5691.0498049999997</v>
      </c>
      <c r="J61" s="36">
        <v>6275.4930491637297</v>
      </c>
      <c r="K61" s="36">
        <v>5572.0569512362708</v>
      </c>
    </row>
    <row r="62" spans="1:11" x14ac:dyDescent="0.25">
      <c r="A62" s="39">
        <v>40563</v>
      </c>
      <c r="B62" s="36">
        <v>5711.6000979999999</v>
      </c>
      <c r="C62" s="36">
        <f t="shared" si="0"/>
        <v>5910.3550051000002</v>
      </c>
      <c r="D62" s="36">
        <f t="shared" si="1"/>
        <v>181.49330080342642</v>
      </c>
      <c r="E62" s="40">
        <v>5711.6000979999999</v>
      </c>
      <c r="F62" s="36">
        <f t="shared" si="2"/>
        <v>6273.3416067068529</v>
      </c>
      <c r="G62" s="36">
        <f t="shared" si="3"/>
        <v>5547.3684034931475</v>
      </c>
      <c r="I62" s="40">
        <v>5711.6000979999999</v>
      </c>
      <c r="J62" s="36">
        <v>6273.3416067068529</v>
      </c>
      <c r="K62" s="36">
        <v>5547.3684034931475</v>
      </c>
    </row>
    <row r="63" spans="1:11" x14ac:dyDescent="0.25">
      <c r="A63" s="39">
        <v>40564</v>
      </c>
      <c r="B63" s="36">
        <v>5696.5</v>
      </c>
      <c r="C63" s="36">
        <f t="shared" si="0"/>
        <v>5894.6000002000001</v>
      </c>
      <c r="D63" s="36">
        <f t="shared" si="1"/>
        <v>185.86576045431403</v>
      </c>
      <c r="E63" s="40">
        <v>5696.5</v>
      </c>
      <c r="F63" s="36">
        <f t="shared" si="2"/>
        <v>6266.3315211086283</v>
      </c>
      <c r="G63" s="36">
        <f t="shared" si="3"/>
        <v>5522.8684792913718</v>
      </c>
      <c r="I63" s="40">
        <v>5696.5</v>
      </c>
      <c r="J63" s="36">
        <v>6266.3315211086283</v>
      </c>
      <c r="K63" s="36">
        <v>5522.8684792913718</v>
      </c>
    </row>
    <row r="64" spans="1:11" x14ac:dyDescent="0.25">
      <c r="A64" s="39">
        <v>40567</v>
      </c>
      <c r="B64" s="36">
        <v>5743.25</v>
      </c>
      <c r="C64" s="36">
        <f t="shared" si="0"/>
        <v>5881.8574953000007</v>
      </c>
      <c r="D64" s="36">
        <f t="shared" si="1"/>
        <v>187.12825055635369</v>
      </c>
      <c r="E64" s="40">
        <v>5743.25</v>
      </c>
      <c r="F64" s="36">
        <f t="shared" si="2"/>
        <v>6256.1139964127078</v>
      </c>
      <c r="G64" s="36">
        <f t="shared" si="3"/>
        <v>5507.6009941872935</v>
      </c>
      <c r="I64" s="40">
        <v>5743.25</v>
      </c>
      <c r="J64" s="36">
        <v>6256.1139964127078</v>
      </c>
      <c r="K64" s="36">
        <v>5507.6009941872935</v>
      </c>
    </row>
    <row r="65" spans="1:11" x14ac:dyDescent="0.25">
      <c r="A65" s="39">
        <v>40568</v>
      </c>
      <c r="B65" s="36">
        <v>5687.3999020000001</v>
      </c>
      <c r="C65" s="36">
        <f t="shared" si="0"/>
        <v>5866.4274904000013</v>
      </c>
      <c r="D65" s="36">
        <f t="shared" si="1"/>
        <v>189.92328148601507</v>
      </c>
      <c r="E65" s="40">
        <v>5687.3999020000001</v>
      </c>
      <c r="F65" s="36">
        <f t="shared" si="2"/>
        <v>6246.2740533720316</v>
      </c>
      <c r="G65" s="36">
        <f t="shared" si="3"/>
        <v>5486.5809274279709</v>
      </c>
      <c r="I65" s="40">
        <v>5687.3999020000001</v>
      </c>
      <c r="J65" s="36">
        <v>6246.2740533720316</v>
      </c>
      <c r="K65" s="36">
        <v>5486.5809274279709</v>
      </c>
    </row>
    <row r="66" spans="1:11" x14ac:dyDescent="0.25">
      <c r="A66" s="39">
        <v>40570</v>
      </c>
      <c r="B66" s="36">
        <v>5604.2998049999997</v>
      </c>
      <c r="C66" s="36">
        <f t="shared" si="0"/>
        <v>5843.6249757500009</v>
      </c>
      <c r="D66" s="36">
        <f t="shared" si="1"/>
        <v>192.77093802386494</v>
      </c>
      <c r="E66" s="40">
        <v>5604.2998049999997</v>
      </c>
      <c r="F66" s="36">
        <f t="shared" si="2"/>
        <v>6229.1668517977305</v>
      </c>
      <c r="G66" s="36">
        <f t="shared" si="3"/>
        <v>5458.0830997022713</v>
      </c>
      <c r="I66" s="40">
        <v>5604.2998049999997</v>
      </c>
      <c r="J66" s="36">
        <v>6229.1668517977305</v>
      </c>
      <c r="K66" s="36">
        <v>5458.0830997022713</v>
      </c>
    </row>
    <row r="67" spans="1:11" x14ac:dyDescent="0.25">
      <c r="A67" s="39">
        <v>40571</v>
      </c>
      <c r="B67" s="36">
        <v>5512.1499020000001</v>
      </c>
      <c r="C67" s="36">
        <f t="shared" si="0"/>
        <v>5814.1399659500003</v>
      </c>
      <c r="D67" s="36">
        <f t="shared" si="1"/>
        <v>196.2624787965332</v>
      </c>
      <c r="E67" s="40">
        <v>5512.1499020000001</v>
      </c>
      <c r="F67" s="36">
        <f t="shared" si="2"/>
        <v>6206.6649235430668</v>
      </c>
      <c r="G67" s="36">
        <f t="shared" si="3"/>
        <v>5421.6150083569337</v>
      </c>
      <c r="I67" s="40">
        <v>5512.1499020000001</v>
      </c>
      <c r="J67" s="36">
        <v>6206.6649235430668</v>
      </c>
      <c r="K67" s="36">
        <v>5421.6150083569337</v>
      </c>
    </row>
    <row r="68" spans="1:11" x14ac:dyDescent="0.25">
      <c r="A68" s="39">
        <v>40574</v>
      </c>
      <c r="B68" s="36">
        <v>5505.8999020000001</v>
      </c>
      <c r="C68" s="36">
        <f t="shared" si="0"/>
        <v>5782.7099610500009</v>
      </c>
      <c r="D68" s="36">
        <f t="shared" si="1"/>
        <v>192.55685866106577</v>
      </c>
      <c r="E68" s="40">
        <v>5505.8999020000001</v>
      </c>
      <c r="F68" s="36">
        <f t="shared" si="2"/>
        <v>6167.8236783721322</v>
      </c>
      <c r="G68" s="36">
        <f t="shared" si="3"/>
        <v>5397.5962437278695</v>
      </c>
      <c r="I68" s="40">
        <v>5505.8999020000001</v>
      </c>
      <c r="J68" s="36">
        <v>6167.8236783721322</v>
      </c>
      <c r="K68" s="36">
        <v>5397.5962437278695</v>
      </c>
    </row>
    <row r="69" spans="1:11" x14ac:dyDescent="0.25">
      <c r="A69" s="39">
        <v>40575</v>
      </c>
      <c r="B69" s="36">
        <v>5417.2001950000003</v>
      </c>
      <c r="C69" s="36">
        <f t="shared" si="0"/>
        <v>5745.6899659000001</v>
      </c>
      <c r="D69" s="36">
        <f t="shared" si="1"/>
        <v>187.80307519599114</v>
      </c>
      <c r="E69" s="40">
        <v>5417.2001950000003</v>
      </c>
      <c r="F69" s="36">
        <f t="shared" si="2"/>
        <v>6121.2961162919819</v>
      </c>
      <c r="G69" s="36">
        <f t="shared" si="3"/>
        <v>5370.0838155080182</v>
      </c>
      <c r="I69" s="40">
        <v>5417.2001950000003</v>
      </c>
      <c r="J69" s="36">
        <v>6121.2961162919819</v>
      </c>
      <c r="K69" s="36">
        <v>5370.0838155080182</v>
      </c>
    </row>
    <row r="70" spans="1:11" x14ac:dyDescent="0.25">
      <c r="A70" s="39">
        <v>40576</v>
      </c>
      <c r="B70" s="36">
        <v>5432</v>
      </c>
      <c r="C70" s="36">
        <f t="shared" si="0"/>
        <v>5709.9724610000003</v>
      </c>
      <c r="D70" s="36">
        <f t="shared" si="1"/>
        <v>175.09214959327377</v>
      </c>
      <c r="E70" s="40">
        <v>5432</v>
      </c>
      <c r="F70" s="36">
        <f t="shared" si="2"/>
        <v>6060.1567601865481</v>
      </c>
      <c r="G70" s="36">
        <f t="shared" si="3"/>
        <v>5359.7881618134525</v>
      </c>
      <c r="I70" s="40">
        <v>5432</v>
      </c>
      <c r="J70" s="36">
        <v>6060.1567601865481</v>
      </c>
      <c r="K70" s="36">
        <v>5359.7881618134525</v>
      </c>
    </row>
    <row r="71" spans="1:11" x14ac:dyDescent="0.25">
      <c r="A71" s="39">
        <v>40577</v>
      </c>
      <c r="B71" s="36">
        <v>5526.75</v>
      </c>
      <c r="C71" s="36">
        <f t="shared" si="0"/>
        <v>5682.3199707500007</v>
      </c>
      <c r="D71" s="36">
        <f t="shared" si="1"/>
        <v>156.27118090357334</v>
      </c>
      <c r="E71" s="40">
        <v>5526.75</v>
      </c>
      <c r="F71" s="36">
        <f t="shared" si="2"/>
        <v>5994.8623325571471</v>
      </c>
      <c r="G71" s="36">
        <f t="shared" si="3"/>
        <v>5369.7776089428544</v>
      </c>
      <c r="I71" s="40">
        <v>5526.75</v>
      </c>
      <c r="J71" s="36">
        <v>5994.8623325571471</v>
      </c>
      <c r="K71" s="36">
        <v>5369.7776089428544</v>
      </c>
    </row>
    <row r="72" spans="1:11" x14ac:dyDescent="0.25">
      <c r="A72" s="39">
        <v>40578</v>
      </c>
      <c r="B72" s="36">
        <v>5395.75</v>
      </c>
      <c r="C72" s="36">
        <f t="shared" si="0"/>
        <v>5649.6949707500007</v>
      </c>
      <c r="D72" s="36">
        <f t="shared" si="1"/>
        <v>143.43946219255511</v>
      </c>
      <c r="E72" s="40">
        <v>5395.75</v>
      </c>
      <c r="F72" s="36">
        <f t="shared" si="2"/>
        <v>5936.5738951351113</v>
      </c>
      <c r="G72" s="36">
        <f t="shared" si="3"/>
        <v>5362.8160463648901</v>
      </c>
      <c r="I72" s="40">
        <v>5395.75</v>
      </c>
      <c r="J72" s="36">
        <v>5936.5738951351113</v>
      </c>
      <c r="K72" s="36">
        <v>5362.8160463648901</v>
      </c>
    </row>
    <row r="73" spans="1:11" x14ac:dyDescent="0.25">
      <c r="A73" s="39">
        <v>40581</v>
      </c>
      <c r="B73" s="36">
        <v>5396</v>
      </c>
      <c r="C73" s="36">
        <f t="shared" si="0"/>
        <v>5624.2649658500004</v>
      </c>
      <c r="D73" s="36">
        <f t="shared" si="1"/>
        <v>140.9317711497909</v>
      </c>
      <c r="E73" s="40">
        <v>5396</v>
      </c>
      <c r="F73" s="36">
        <f t="shared" si="2"/>
        <v>5906.1285081495826</v>
      </c>
      <c r="G73" s="36">
        <f t="shared" si="3"/>
        <v>5342.4014235504183</v>
      </c>
      <c r="I73" s="40">
        <v>5396</v>
      </c>
      <c r="J73" s="36">
        <v>5906.1285081495826</v>
      </c>
      <c r="K73" s="36">
        <v>5342.4014235504183</v>
      </c>
    </row>
    <row r="74" spans="1:11" x14ac:dyDescent="0.25">
      <c r="A74" s="39">
        <v>40582</v>
      </c>
      <c r="B74" s="36">
        <v>5312.5498049999997</v>
      </c>
      <c r="C74" s="36">
        <f t="shared" si="0"/>
        <v>5601.7499512000004</v>
      </c>
      <c r="D74" s="36">
        <f t="shared" si="1"/>
        <v>153.07299655734224</v>
      </c>
      <c r="E74" s="40">
        <v>5312.5498049999997</v>
      </c>
      <c r="F74" s="36">
        <f t="shared" si="2"/>
        <v>5907.895944314685</v>
      </c>
      <c r="G74" s="36">
        <f t="shared" si="3"/>
        <v>5295.6039580853158</v>
      </c>
      <c r="I74" s="40">
        <v>5312.5498049999997</v>
      </c>
      <c r="J74" s="36">
        <v>5907.895944314685</v>
      </c>
      <c r="K74" s="36">
        <v>5295.6039580853158</v>
      </c>
    </row>
    <row r="75" spans="1:11" x14ac:dyDescent="0.25">
      <c r="A75" s="39">
        <v>40583</v>
      </c>
      <c r="B75" s="36">
        <v>5253.5498049999997</v>
      </c>
      <c r="C75" s="36">
        <f t="shared" si="0"/>
        <v>5576.7224365500006</v>
      </c>
      <c r="D75" s="36">
        <f t="shared" si="1"/>
        <v>167.12755104039528</v>
      </c>
      <c r="E75" s="40">
        <v>5253.5498049999997</v>
      </c>
      <c r="F75" s="36">
        <f t="shared" si="2"/>
        <v>5910.9775386307911</v>
      </c>
      <c r="G75" s="36">
        <f t="shared" si="3"/>
        <v>5242.4673344692101</v>
      </c>
      <c r="I75" s="40">
        <v>5253.5498049999997</v>
      </c>
      <c r="J75" s="36">
        <v>5910.9775386307911</v>
      </c>
      <c r="K75" s="36">
        <v>5242.4673344692101</v>
      </c>
    </row>
    <row r="76" spans="1:11" x14ac:dyDescent="0.25">
      <c r="A76" s="39">
        <v>40584</v>
      </c>
      <c r="B76" s="36">
        <v>5225.7998049999997</v>
      </c>
      <c r="C76" s="36">
        <f t="shared" si="0"/>
        <v>5544.8499267999996</v>
      </c>
      <c r="D76" s="36">
        <f t="shared" si="1"/>
        <v>170.36064828236181</v>
      </c>
      <c r="E76" s="40">
        <v>5225.7998049999997</v>
      </c>
      <c r="F76" s="36">
        <f t="shared" si="2"/>
        <v>5885.5712233647228</v>
      </c>
      <c r="G76" s="36">
        <f t="shared" si="3"/>
        <v>5204.1286302352764</v>
      </c>
      <c r="I76" s="40">
        <v>5225.7998049999997</v>
      </c>
      <c r="J76" s="36">
        <v>5885.5712233647228</v>
      </c>
      <c r="K76" s="36">
        <v>5204.1286302352764</v>
      </c>
    </row>
    <row r="77" spans="1:11" x14ac:dyDescent="0.25">
      <c r="A77" s="39">
        <v>40585</v>
      </c>
      <c r="B77" s="36">
        <v>5310</v>
      </c>
      <c r="C77" s="36">
        <f t="shared" si="0"/>
        <v>5522.7549316999994</v>
      </c>
      <c r="D77" s="36">
        <f t="shared" si="1"/>
        <v>170.74962878880962</v>
      </c>
      <c r="E77" s="40">
        <v>5310</v>
      </c>
      <c r="F77" s="36">
        <f t="shared" si="2"/>
        <v>5864.2541892776189</v>
      </c>
      <c r="G77" s="36">
        <f t="shared" si="3"/>
        <v>5181.2556741223798</v>
      </c>
      <c r="I77" s="40">
        <v>5310</v>
      </c>
      <c r="J77" s="36">
        <v>5864.2541892776189</v>
      </c>
      <c r="K77" s="36">
        <v>5181.2556741223798</v>
      </c>
    </row>
    <row r="78" spans="1:11" x14ac:dyDescent="0.25">
      <c r="A78" s="39">
        <v>40588</v>
      </c>
      <c r="B78" s="36">
        <v>5456</v>
      </c>
      <c r="C78" s="36">
        <f t="shared" si="0"/>
        <v>5512.8274414499992</v>
      </c>
      <c r="D78" s="36">
        <f t="shared" si="1"/>
        <v>168.43997992782585</v>
      </c>
      <c r="E78" s="40">
        <v>5456</v>
      </c>
      <c r="F78" s="36">
        <f t="shared" si="2"/>
        <v>5849.7074013056508</v>
      </c>
      <c r="G78" s="36">
        <f t="shared" si="3"/>
        <v>5175.9474815943477</v>
      </c>
      <c r="I78" s="40">
        <v>5456</v>
      </c>
      <c r="J78" s="36">
        <v>5849.7074013056508</v>
      </c>
      <c r="K78" s="36">
        <v>5175.9474815943477</v>
      </c>
    </row>
    <row r="79" spans="1:11" x14ac:dyDescent="0.25">
      <c r="A79" s="39">
        <v>40589</v>
      </c>
      <c r="B79" s="36">
        <v>5481</v>
      </c>
      <c r="C79" s="36">
        <f t="shared" si="0"/>
        <v>5504.1399414499992</v>
      </c>
      <c r="D79" s="36">
        <f t="shared" si="1"/>
        <v>165.18411262373365</v>
      </c>
      <c r="E79" s="40">
        <v>5481</v>
      </c>
      <c r="F79" s="36">
        <f t="shared" si="2"/>
        <v>5834.5081666974665</v>
      </c>
      <c r="G79" s="36">
        <f t="shared" si="3"/>
        <v>5173.7717162025319</v>
      </c>
      <c r="I79" s="40">
        <v>5481</v>
      </c>
      <c r="J79" s="36">
        <v>5834.5081666974665</v>
      </c>
      <c r="K79" s="36">
        <v>5173.7717162025319</v>
      </c>
    </row>
    <row r="80" spans="1:11" x14ac:dyDescent="0.25">
      <c r="A80" s="39">
        <v>40590</v>
      </c>
      <c r="B80" s="36">
        <v>5481.7001950000003</v>
      </c>
      <c r="C80" s="36">
        <f t="shared" si="0"/>
        <v>5492.0224609500001</v>
      </c>
      <c r="D80" s="36">
        <f t="shared" si="1"/>
        <v>156.88355682904631</v>
      </c>
      <c r="E80" s="40">
        <v>5481.7001950000003</v>
      </c>
      <c r="F80" s="36">
        <f t="shared" si="2"/>
        <v>5805.7895746080931</v>
      </c>
      <c r="G80" s="36">
        <f t="shared" si="3"/>
        <v>5178.2553472919071</v>
      </c>
      <c r="I80" s="40">
        <v>5481.7001950000003</v>
      </c>
      <c r="J80" s="36">
        <v>5805.7895746080931</v>
      </c>
      <c r="K80" s="36">
        <v>5178.2553472919071</v>
      </c>
    </row>
    <row r="81" spans="1:11" x14ac:dyDescent="0.25">
      <c r="A81" s="39">
        <v>40591</v>
      </c>
      <c r="B81" s="36">
        <v>5546.4501950000003</v>
      </c>
      <c r="C81" s="36">
        <f t="shared" si="0"/>
        <v>5484.7924804499999</v>
      </c>
      <c r="D81" s="36">
        <f t="shared" si="1"/>
        <v>150.42774097761364</v>
      </c>
      <c r="E81" s="40">
        <v>5546.4501950000003</v>
      </c>
      <c r="F81" s="36">
        <f t="shared" si="2"/>
        <v>5785.6479624052272</v>
      </c>
      <c r="G81" s="36">
        <f t="shared" si="3"/>
        <v>5183.9369984947725</v>
      </c>
      <c r="I81" s="40">
        <v>5546.4501950000003</v>
      </c>
      <c r="J81" s="36">
        <v>5785.6479624052272</v>
      </c>
      <c r="K81" s="36">
        <v>5183.9369984947725</v>
      </c>
    </row>
    <row r="82" spans="1:11" x14ac:dyDescent="0.25">
      <c r="A82" s="39">
        <v>40592</v>
      </c>
      <c r="B82" s="36">
        <v>5458.9501950000003</v>
      </c>
      <c r="C82" s="36">
        <f t="shared" si="0"/>
        <v>5472.1599852999998</v>
      </c>
      <c r="D82" s="36">
        <f t="shared" si="1"/>
        <v>140.67059871636832</v>
      </c>
      <c r="E82" s="40">
        <v>5458.9501950000003</v>
      </c>
      <c r="F82" s="36">
        <f t="shared" si="2"/>
        <v>5753.5011827327362</v>
      </c>
      <c r="G82" s="36">
        <f t="shared" si="3"/>
        <v>5190.8187878672634</v>
      </c>
      <c r="I82" s="40">
        <v>5458.9501950000003</v>
      </c>
      <c r="J82" s="36">
        <v>5753.5011827327362</v>
      </c>
      <c r="K82" s="36">
        <v>5190.8187878672634</v>
      </c>
    </row>
    <row r="83" spans="1:11" x14ac:dyDescent="0.25">
      <c r="A83" s="39">
        <v>40595</v>
      </c>
      <c r="B83" s="36">
        <v>5518.6000979999999</v>
      </c>
      <c r="C83" s="36">
        <f t="shared" si="0"/>
        <v>5463.2649901999994</v>
      </c>
      <c r="D83" s="36">
        <f t="shared" si="1"/>
        <v>131.03273047051641</v>
      </c>
      <c r="E83" s="40">
        <v>5518.6000979999999</v>
      </c>
      <c r="F83" s="36">
        <f t="shared" si="2"/>
        <v>5725.3304511410324</v>
      </c>
      <c r="G83" s="36">
        <f t="shared" si="3"/>
        <v>5201.1995292589663</v>
      </c>
      <c r="I83" s="40">
        <v>5518.6000979999999</v>
      </c>
      <c r="J83" s="36">
        <v>5725.3304511410324</v>
      </c>
      <c r="K83" s="36">
        <v>5201.1995292589663</v>
      </c>
    </row>
    <row r="84" spans="1:11" x14ac:dyDescent="0.25">
      <c r="A84" s="39">
        <v>40596</v>
      </c>
      <c r="B84" s="36">
        <v>5469.2001950000003</v>
      </c>
      <c r="C84" s="36">
        <f t="shared" si="0"/>
        <v>5449.5624999499996</v>
      </c>
      <c r="D84" s="36">
        <f t="shared" si="1"/>
        <v>113.34864909902544</v>
      </c>
      <c r="E84" s="40">
        <v>5469.2001950000003</v>
      </c>
      <c r="F84" s="36">
        <f t="shared" si="2"/>
        <v>5676.2597981480503</v>
      </c>
      <c r="G84" s="36">
        <f t="shared" si="3"/>
        <v>5222.8652017519489</v>
      </c>
      <c r="I84" s="40">
        <v>5469.2001950000003</v>
      </c>
      <c r="J84" s="36">
        <v>5676.2597981480503</v>
      </c>
      <c r="K84" s="36">
        <v>5222.8652017519489</v>
      </c>
    </row>
    <row r="85" spans="1:11" x14ac:dyDescent="0.25">
      <c r="A85" s="39">
        <v>40597</v>
      </c>
      <c r="B85" s="36">
        <v>5437.3500979999999</v>
      </c>
      <c r="C85" s="36">
        <f t="shared" si="0"/>
        <v>5437.0600097499992</v>
      </c>
      <c r="D85" s="36">
        <f t="shared" si="1"/>
        <v>98.559807256513068</v>
      </c>
      <c r="E85" s="40">
        <v>5437.3500979999999</v>
      </c>
      <c r="F85" s="36">
        <f t="shared" si="2"/>
        <v>5634.1796242630253</v>
      </c>
      <c r="G85" s="36">
        <f t="shared" si="3"/>
        <v>5239.940395236973</v>
      </c>
      <c r="I85" s="40">
        <v>5437.3500979999999</v>
      </c>
      <c r="J85" s="36">
        <v>5634.1796242630253</v>
      </c>
      <c r="K85" s="36">
        <v>5239.940395236973</v>
      </c>
    </row>
    <row r="86" spans="1:11" x14ac:dyDescent="0.25">
      <c r="A86" s="39">
        <v>40598</v>
      </c>
      <c r="B86" s="36">
        <v>5262.7001950000003</v>
      </c>
      <c r="C86" s="36">
        <f t="shared" ref="C86:C149" si="4">AVERAGE(B67:B86)</f>
        <v>5419.9800292499995</v>
      </c>
      <c r="D86" s="36">
        <f t="shared" ref="D86:D149" si="5">_xlfn.STDEV.S(B67:B86)</f>
        <v>97.647151501064215</v>
      </c>
      <c r="E86" s="40">
        <v>5262.7001950000003</v>
      </c>
      <c r="F86" s="36">
        <f t="shared" ref="F86:F149" si="6">C86+2*D86</f>
        <v>5615.2743322521283</v>
      </c>
      <c r="G86" s="36">
        <f t="shared" ref="G86:G149" si="7">C86-2*D86</f>
        <v>5224.6857262478707</v>
      </c>
      <c r="I86" s="40">
        <v>5262.7001950000003</v>
      </c>
      <c r="J86" s="36">
        <v>5615.2743322521283</v>
      </c>
      <c r="K86" s="36">
        <v>5224.6857262478707</v>
      </c>
    </row>
    <row r="87" spans="1:11" x14ac:dyDescent="0.25">
      <c r="A87" s="39">
        <v>40599</v>
      </c>
      <c r="B87" s="36">
        <v>5303.5498049999997</v>
      </c>
      <c r="C87" s="36">
        <f t="shared" si="4"/>
        <v>5409.5500243999995</v>
      </c>
      <c r="D87" s="36">
        <f t="shared" si="5"/>
        <v>98.42158764639349</v>
      </c>
      <c r="E87" s="40">
        <v>5303.5498049999997</v>
      </c>
      <c r="F87" s="36">
        <f t="shared" si="6"/>
        <v>5606.3931996927868</v>
      </c>
      <c r="G87" s="36">
        <f t="shared" si="7"/>
        <v>5212.7068491072123</v>
      </c>
      <c r="I87" s="40">
        <v>5303.5498049999997</v>
      </c>
      <c r="J87" s="36">
        <v>5606.3931996927868</v>
      </c>
      <c r="K87" s="36">
        <v>5212.7068491072123</v>
      </c>
    </row>
    <row r="88" spans="1:11" x14ac:dyDescent="0.25">
      <c r="A88" s="39">
        <v>40602</v>
      </c>
      <c r="B88" s="36">
        <v>5333.25</v>
      </c>
      <c r="C88" s="36">
        <f t="shared" si="4"/>
        <v>5400.9175292999989</v>
      </c>
      <c r="D88" s="36">
        <f t="shared" si="5"/>
        <v>97.088501340617</v>
      </c>
      <c r="E88" s="40">
        <v>5333.25</v>
      </c>
      <c r="F88" s="36">
        <f t="shared" si="6"/>
        <v>5595.0945319812326</v>
      </c>
      <c r="G88" s="36">
        <f t="shared" si="7"/>
        <v>5206.7405266187652</v>
      </c>
      <c r="I88" s="40">
        <v>5333.25</v>
      </c>
      <c r="J88" s="36">
        <v>5595.0945319812326</v>
      </c>
      <c r="K88" s="36">
        <v>5206.7405266187652</v>
      </c>
    </row>
    <row r="89" spans="1:11" x14ac:dyDescent="0.25">
      <c r="A89" s="39">
        <v>40603</v>
      </c>
      <c r="B89" s="36">
        <v>5522.2998049999997</v>
      </c>
      <c r="C89" s="36">
        <f t="shared" si="4"/>
        <v>5406.1725097999997</v>
      </c>
      <c r="D89" s="36">
        <f t="shared" si="5"/>
        <v>100.78993266598917</v>
      </c>
      <c r="E89" s="40">
        <v>5522.2998049999997</v>
      </c>
      <c r="F89" s="36">
        <f t="shared" si="6"/>
        <v>5607.7523751319777</v>
      </c>
      <c r="G89" s="36">
        <f t="shared" si="7"/>
        <v>5204.5926444680217</v>
      </c>
      <c r="I89" s="40">
        <v>5522.2998049999997</v>
      </c>
      <c r="J89" s="36">
        <v>5607.7523751319777</v>
      </c>
      <c r="K89" s="36">
        <v>5204.5926444680217</v>
      </c>
    </row>
    <row r="90" spans="1:11" x14ac:dyDescent="0.25">
      <c r="A90" s="39">
        <v>40605</v>
      </c>
      <c r="B90" s="36">
        <v>5536.2001950000003</v>
      </c>
      <c r="C90" s="36">
        <f t="shared" si="4"/>
        <v>5411.3825195499985</v>
      </c>
      <c r="D90" s="36">
        <f t="shared" si="5"/>
        <v>104.80831014812743</v>
      </c>
      <c r="E90" s="40">
        <v>5536.2001950000003</v>
      </c>
      <c r="F90" s="36">
        <f t="shared" si="6"/>
        <v>5620.9991398462535</v>
      </c>
      <c r="G90" s="36">
        <f t="shared" si="7"/>
        <v>5201.7658992537436</v>
      </c>
      <c r="I90" s="40">
        <v>5536.2001950000003</v>
      </c>
      <c r="J90" s="36">
        <v>5620.9991398462535</v>
      </c>
      <c r="K90" s="36">
        <v>5201.7658992537436</v>
      </c>
    </row>
    <row r="91" spans="1:11" x14ac:dyDescent="0.25">
      <c r="A91" s="39">
        <v>40606</v>
      </c>
      <c r="B91" s="36">
        <v>5538.75</v>
      </c>
      <c r="C91" s="36">
        <f t="shared" si="4"/>
        <v>5411.9825195499998</v>
      </c>
      <c r="D91" s="36">
        <f t="shared" si="5"/>
        <v>105.53534583177517</v>
      </c>
      <c r="E91" s="40">
        <v>5538.75</v>
      </c>
      <c r="F91" s="36">
        <f t="shared" si="6"/>
        <v>5623.0532112135497</v>
      </c>
      <c r="G91" s="36">
        <f t="shared" si="7"/>
        <v>5200.9118278864498</v>
      </c>
      <c r="I91" s="40">
        <v>5538.75</v>
      </c>
      <c r="J91" s="36">
        <v>5623.0532112135497</v>
      </c>
      <c r="K91" s="36">
        <v>5200.9118278864498</v>
      </c>
    </row>
    <row r="92" spans="1:11" x14ac:dyDescent="0.25">
      <c r="A92" s="39">
        <v>40609</v>
      </c>
      <c r="B92" s="36">
        <v>5463.1499020000001</v>
      </c>
      <c r="C92" s="36">
        <f t="shared" si="4"/>
        <v>5415.3525146499996</v>
      </c>
      <c r="D92" s="36">
        <f t="shared" si="5"/>
        <v>106.06451467042378</v>
      </c>
      <c r="E92" s="40">
        <v>5463.1499020000001</v>
      </c>
      <c r="F92" s="36">
        <f t="shared" si="6"/>
        <v>5627.4815439908471</v>
      </c>
      <c r="G92" s="36">
        <f t="shared" si="7"/>
        <v>5203.2234853091522</v>
      </c>
      <c r="I92" s="40">
        <v>5463.1499020000001</v>
      </c>
      <c r="J92" s="36">
        <v>5627.4815439908471</v>
      </c>
      <c r="K92" s="36">
        <v>5203.2234853091522</v>
      </c>
    </row>
    <row r="93" spans="1:11" x14ac:dyDescent="0.25">
      <c r="A93" s="39">
        <v>40610</v>
      </c>
      <c r="B93" s="36">
        <v>5520.7998049999997</v>
      </c>
      <c r="C93" s="36">
        <f t="shared" si="4"/>
        <v>5421.5925049000007</v>
      </c>
      <c r="D93" s="36">
        <f t="shared" si="5"/>
        <v>108.50898721586809</v>
      </c>
      <c r="E93" s="40">
        <v>5520.7998049999997</v>
      </c>
      <c r="F93" s="36">
        <f t="shared" si="6"/>
        <v>5638.6104793317372</v>
      </c>
      <c r="G93" s="36">
        <f t="shared" si="7"/>
        <v>5204.5745304682641</v>
      </c>
      <c r="I93" s="40">
        <v>5520.7998049999997</v>
      </c>
      <c r="J93" s="36">
        <v>5638.6104793317372</v>
      </c>
      <c r="K93" s="36">
        <v>5204.5745304682641</v>
      </c>
    </row>
    <row r="94" spans="1:11" x14ac:dyDescent="0.25">
      <c r="A94" s="39">
        <v>40611</v>
      </c>
      <c r="B94" s="36">
        <v>5531</v>
      </c>
      <c r="C94" s="36">
        <f t="shared" si="4"/>
        <v>5432.51501465</v>
      </c>
      <c r="D94" s="36">
        <f t="shared" si="5"/>
        <v>107.94820176544059</v>
      </c>
      <c r="E94" s="40">
        <v>5531</v>
      </c>
      <c r="F94" s="36">
        <f t="shared" si="6"/>
        <v>5648.4114181808809</v>
      </c>
      <c r="G94" s="36">
        <f t="shared" si="7"/>
        <v>5216.6186111191191</v>
      </c>
      <c r="I94" s="40">
        <v>5531</v>
      </c>
      <c r="J94" s="36">
        <v>5648.4114181808809</v>
      </c>
      <c r="K94" s="36">
        <v>5216.6186111191191</v>
      </c>
    </row>
    <row r="95" spans="1:11" x14ac:dyDescent="0.25">
      <c r="A95" s="39">
        <v>40612</v>
      </c>
      <c r="B95" s="36">
        <v>5494.3999020000001</v>
      </c>
      <c r="C95" s="36">
        <f t="shared" si="4"/>
        <v>5444.5575195000001</v>
      </c>
      <c r="D95" s="36">
        <f t="shared" si="5"/>
        <v>100.08002734113947</v>
      </c>
      <c r="E95" s="40">
        <v>5494.3999020000001</v>
      </c>
      <c r="F95" s="36">
        <f t="shared" si="6"/>
        <v>5644.7175741822793</v>
      </c>
      <c r="G95" s="36">
        <f t="shared" si="7"/>
        <v>5244.3974648177209</v>
      </c>
      <c r="I95" s="40">
        <v>5494.3999020000001</v>
      </c>
      <c r="J95" s="36">
        <v>5644.7175741822793</v>
      </c>
      <c r="K95" s="36">
        <v>5244.3974648177209</v>
      </c>
    </row>
    <row r="96" spans="1:11" x14ac:dyDescent="0.25">
      <c r="A96" s="39">
        <v>40613</v>
      </c>
      <c r="B96" s="36">
        <v>5445.4501950000003</v>
      </c>
      <c r="C96" s="36">
        <f t="shared" si="4"/>
        <v>5455.5400390000004</v>
      </c>
      <c r="D96" s="36">
        <f t="shared" si="5"/>
        <v>85.851085915453282</v>
      </c>
      <c r="E96" s="40">
        <v>5445.4501950000003</v>
      </c>
      <c r="F96" s="36">
        <f t="shared" si="6"/>
        <v>5627.2422108309074</v>
      </c>
      <c r="G96" s="36">
        <f t="shared" si="7"/>
        <v>5283.8378671690934</v>
      </c>
      <c r="I96" s="40">
        <v>5445.4501950000003</v>
      </c>
      <c r="J96" s="36">
        <v>5627.2422108309074</v>
      </c>
      <c r="K96" s="36">
        <v>5283.8378671690934</v>
      </c>
    </row>
    <row r="97" spans="1:11" x14ac:dyDescent="0.25">
      <c r="A97" s="39">
        <v>40616</v>
      </c>
      <c r="B97" s="36">
        <v>5531.5</v>
      </c>
      <c r="C97" s="36">
        <f t="shared" si="4"/>
        <v>5466.6150390000012</v>
      </c>
      <c r="D97" s="36">
        <f t="shared" si="5"/>
        <v>80.188157127762636</v>
      </c>
      <c r="E97" s="40">
        <v>5531.5</v>
      </c>
      <c r="F97" s="36">
        <f t="shared" si="6"/>
        <v>5626.9913532555265</v>
      </c>
      <c r="G97" s="36">
        <f t="shared" si="7"/>
        <v>5306.2387247444758</v>
      </c>
      <c r="I97" s="40">
        <v>5531.5</v>
      </c>
      <c r="J97" s="36">
        <v>5626.9913532555265</v>
      </c>
      <c r="K97" s="36">
        <v>5306.2387247444758</v>
      </c>
    </row>
    <row r="98" spans="1:11" x14ac:dyDescent="0.25">
      <c r="A98" s="39">
        <v>40617</v>
      </c>
      <c r="B98" s="36">
        <v>5449.6499020000001</v>
      </c>
      <c r="C98" s="36">
        <f t="shared" si="4"/>
        <v>5466.297534100001</v>
      </c>
      <c r="D98" s="36">
        <f t="shared" si="5"/>
        <v>80.244950967782657</v>
      </c>
      <c r="E98" s="40">
        <v>5449.6499020000001</v>
      </c>
      <c r="F98" s="36">
        <f t="shared" si="6"/>
        <v>5626.7874360355663</v>
      </c>
      <c r="G98" s="36">
        <f t="shared" si="7"/>
        <v>5305.8076321644357</v>
      </c>
      <c r="I98" s="40">
        <v>5449.6499020000001</v>
      </c>
      <c r="J98" s="36">
        <v>5626.7874360355663</v>
      </c>
      <c r="K98" s="36">
        <v>5305.8076321644357</v>
      </c>
    </row>
    <row r="99" spans="1:11" x14ac:dyDescent="0.25">
      <c r="A99" s="39">
        <v>40618</v>
      </c>
      <c r="B99" s="36">
        <v>5511.1499020000001</v>
      </c>
      <c r="C99" s="36">
        <f t="shared" si="4"/>
        <v>5467.8050292000007</v>
      </c>
      <c r="D99" s="36">
        <f t="shared" si="5"/>
        <v>80.816853549042676</v>
      </c>
      <c r="E99" s="40">
        <v>5511.1499020000001</v>
      </c>
      <c r="F99" s="36">
        <f t="shared" si="6"/>
        <v>5629.438736298086</v>
      </c>
      <c r="G99" s="36">
        <f t="shared" si="7"/>
        <v>5306.1713221019154</v>
      </c>
      <c r="I99" s="40">
        <v>5511.1499020000001</v>
      </c>
      <c r="J99" s="36">
        <v>5629.438736298086</v>
      </c>
      <c r="K99" s="36">
        <v>5306.1713221019154</v>
      </c>
    </row>
    <row r="100" spans="1:11" x14ac:dyDescent="0.25">
      <c r="A100" s="39">
        <v>40619</v>
      </c>
      <c r="B100" s="36">
        <v>5446.6499020000001</v>
      </c>
      <c r="C100" s="36">
        <f t="shared" si="4"/>
        <v>5466.0525145500014</v>
      </c>
      <c r="D100" s="36">
        <f t="shared" si="5"/>
        <v>80.879686525256105</v>
      </c>
      <c r="E100" s="40">
        <v>5446.6499020000001</v>
      </c>
      <c r="F100" s="36">
        <f t="shared" si="6"/>
        <v>5627.8118876005137</v>
      </c>
      <c r="G100" s="36">
        <f t="shared" si="7"/>
        <v>5304.2931414994891</v>
      </c>
      <c r="I100" s="40">
        <v>5446.6499020000001</v>
      </c>
      <c r="J100" s="36">
        <v>5627.8118876005137</v>
      </c>
      <c r="K100" s="36">
        <v>5304.2931414994891</v>
      </c>
    </row>
    <row r="101" spans="1:11" x14ac:dyDescent="0.25">
      <c r="A101" s="39">
        <v>40620</v>
      </c>
      <c r="B101" s="36">
        <v>5373.7001950000003</v>
      </c>
      <c r="C101" s="36">
        <f t="shared" si="4"/>
        <v>5457.4150145500007</v>
      </c>
      <c r="D101" s="36">
        <f t="shared" si="5"/>
        <v>81.065920523321182</v>
      </c>
      <c r="E101" s="40">
        <v>5373.7001950000003</v>
      </c>
      <c r="F101" s="36">
        <f t="shared" si="6"/>
        <v>5619.5468555966427</v>
      </c>
      <c r="G101" s="36">
        <f t="shared" si="7"/>
        <v>5295.2831735033587</v>
      </c>
      <c r="I101" s="40">
        <v>5373.7001950000003</v>
      </c>
      <c r="J101" s="36">
        <v>5619.5468555966427</v>
      </c>
      <c r="K101" s="36">
        <v>5295.2831735033587</v>
      </c>
    </row>
    <row r="102" spans="1:11" x14ac:dyDescent="0.25">
      <c r="A102" s="39">
        <v>40623</v>
      </c>
      <c r="B102" s="36">
        <v>5364.75</v>
      </c>
      <c r="C102" s="36">
        <f t="shared" si="4"/>
        <v>5452.7050048000001</v>
      </c>
      <c r="D102" s="36">
        <f t="shared" si="5"/>
        <v>83.666867692877162</v>
      </c>
      <c r="E102" s="40">
        <v>5364.75</v>
      </c>
      <c r="F102" s="36">
        <f t="shared" si="6"/>
        <v>5620.0387401857542</v>
      </c>
      <c r="G102" s="36">
        <f t="shared" si="7"/>
        <v>5285.3712694142459</v>
      </c>
      <c r="I102" s="40">
        <v>5364.75</v>
      </c>
      <c r="J102" s="36">
        <v>5620.0387401857542</v>
      </c>
      <c r="K102" s="36">
        <v>5285.3712694142459</v>
      </c>
    </row>
    <row r="103" spans="1:11" x14ac:dyDescent="0.25">
      <c r="A103" s="39">
        <v>40624</v>
      </c>
      <c r="B103" s="36">
        <v>5413.8500979999999</v>
      </c>
      <c r="C103" s="36">
        <f t="shared" si="4"/>
        <v>5447.4675048000008</v>
      </c>
      <c r="D103" s="36">
        <f t="shared" si="5"/>
        <v>82.59656632050401</v>
      </c>
      <c r="E103" s="40">
        <v>5413.8500979999999</v>
      </c>
      <c r="F103" s="36">
        <f t="shared" si="6"/>
        <v>5612.6606374410085</v>
      </c>
      <c r="G103" s="36">
        <f t="shared" si="7"/>
        <v>5282.2743721589932</v>
      </c>
      <c r="I103" s="40">
        <v>5413.8500979999999</v>
      </c>
      <c r="J103" s="36">
        <v>5612.6606374410085</v>
      </c>
      <c r="K103" s="36">
        <v>5282.2743721589932</v>
      </c>
    </row>
    <row r="104" spans="1:11" x14ac:dyDescent="0.25">
      <c r="A104" s="39">
        <v>40625</v>
      </c>
      <c r="B104" s="36">
        <v>5480.25</v>
      </c>
      <c r="C104" s="36">
        <f t="shared" si="4"/>
        <v>5448.01999505</v>
      </c>
      <c r="D104" s="36">
        <f t="shared" si="5"/>
        <v>82.786326054199648</v>
      </c>
      <c r="E104" s="40">
        <v>5480.25</v>
      </c>
      <c r="F104" s="36">
        <f t="shared" si="6"/>
        <v>5613.5926471583989</v>
      </c>
      <c r="G104" s="36">
        <f t="shared" si="7"/>
        <v>5282.4473429416012</v>
      </c>
      <c r="I104" s="40">
        <v>5480.25</v>
      </c>
      <c r="J104" s="36">
        <v>5613.5926471583989</v>
      </c>
      <c r="K104" s="36">
        <v>5282.4473429416012</v>
      </c>
    </row>
    <row r="105" spans="1:11" x14ac:dyDescent="0.25">
      <c r="A105" s="39">
        <v>40626</v>
      </c>
      <c r="B105" s="36">
        <v>5522.3999020000001</v>
      </c>
      <c r="C105" s="36">
        <f t="shared" si="4"/>
        <v>5452.2724852500005</v>
      </c>
      <c r="D105" s="36">
        <f t="shared" si="5"/>
        <v>84.378467646888751</v>
      </c>
      <c r="E105" s="40">
        <v>5522.3999020000001</v>
      </c>
      <c r="F105" s="36">
        <f t="shared" si="6"/>
        <v>5621.0294205437776</v>
      </c>
      <c r="G105" s="36">
        <f t="shared" si="7"/>
        <v>5283.5155499562234</v>
      </c>
      <c r="I105" s="40">
        <v>5522.3999020000001</v>
      </c>
      <c r="J105" s="36">
        <v>5621.0294205437776</v>
      </c>
      <c r="K105" s="36">
        <v>5283.5155499562234</v>
      </c>
    </row>
    <row r="106" spans="1:11" x14ac:dyDescent="0.25">
      <c r="A106" s="39">
        <v>40627</v>
      </c>
      <c r="B106" s="36">
        <v>5654.25</v>
      </c>
      <c r="C106" s="36">
        <f t="shared" si="4"/>
        <v>5471.8499755000003</v>
      </c>
      <c r="D106" s="36">
        <f t="shared" si="5"/>
        <v>83.498027392546788</v>
      </c>
      <c r="E106" s="40">
        <v>5654.25</v>
      </c>
      <c r="F106" s="36">
        <f t="shared" si="6"/>
        <v>5638.8460302850935</v>
      </c>
      <c r="G106" s="36">
        <f t="shared" si="7"/>
        <v>5304.853920714907</v>
      </c>
      <c r="I106" s="40">
        <v>5654.25</v>
      </c>
      <c r="J106" s="36">
        <v>5638.8460302850935</v>
      </c>
      <c r="K106" s="36">
        <v>5304.853920714907</v>
      </c>
    </row>
    <row r="107" spans="1:11" x14ac:dyDescent="0.25">
      <c r="A107" s="39">
        <v>40630</v>
      </c>
      <c r="B107" s="36">
        <v>5687.25</v>
      </c>
      <c r="C107" s="36">
        <f t="shared" si="4"/>
        <v>5491.0349852499994</v>
      </c>
      <c r="D107" s="36">
        <f t="shared" si="5"/>
        <v>86.808143618891236</v>
      </c>
      <c r="E107" s="40">
        <v>5687.25</v>
      </c>
      <c r="F107" s="36">
        <f t="shared" si="6"/>
        <v>5664.6512724877821</v>
      </c>
      <c r="G107" s="36">
        <f t="shared" si="7"/>
        <v>5317.4186980122167</v>
      </c>
      <c r="I107" s="40">
        <v>5687.25</v>
      </c>
      <c r="J107" s="36">
        <v>5664.6512724877821</v>
      </c>
      <c r="K107" s="36">
        <v>5317.4186980122167</v>
      </c>
    </row>
    <row r="108" spans="1:11" x14ac:dyDescent="0.25">
      <c r="A108" s="39">
        <v>40631</v>
      </c>
      <c r="B108" s="36">
        <v>5736.3500979999999</v>
      </c>
      <c r="C108" s="36">
        <f t="shared" si="4"/>
        <v>5511.1899901499992</v>
      </c>
      <c r="D108" s="36">
        <f t="shared" si="5"/>
        <v>94.684056540249131</v>
      </c>
      <c r="E108" s="40">
        <v>5736.3500979999999</v>
      </c>
      <c r="F108" s="36">
        <f t="shared" si="6"/>
        <v>5700.5581032304972</v>
      </c>
      <c r="G108" s="36">
        <f t="shared" si="7"/>
        <v>5321.8218770695012</v>
      </c>
      <c r="I108" s="40">
        <v>5736.3500979999999</v>
      </c>
      <c r="J108" s="36">
        <v>5700.5581032304972</v>
      </c>
      <c r="K108" s="36">
        <v>5321.8218770695012</v>
      </c>
    </row>
    <row r="109" spans="1:11" x14ac:dyDescent="0.25">
      <c r="A109" s="39">
        <v>40632</v>
      </c>
      <c r="B109" s="36">
        <v>5787.6499020000001</v>
      </c>
      <c r="C109" s="36">
        <f t="shared" si="4"/>
        <v>5524.4574949999997</v>
      </c>
      <c r="D109" s="36">
        <f t="shared" si="5"/>
        <v>113.11904811225671</v>
      </c>
      <c r="E109" s="40">
        <v>5787.6499020000001</v>
      </c>
      <c r="F109" s="36">
        <f t="shared" si="6"/>
        <v>5750.695591224513</v>
      </c>
      <c r="G109" s="36">
        <f t="shared" si="7"/>
        <v>5298.2193987754863</v>
      </c>
      <c r="I109" s="40">
        <v>5787.6499020000001</v>
      </c>
      <c r="J109" s="36">
        <v>5750.695591224513</v>
      </c>
      <c r="K109" s="36">
        <v>5298.2193987754863</v>
      </c>
    </row>
    <row r="110" spans="1:11" x14ac:dyDescent="0.25">
      <c r="A110" s="39">
        <v>40633</v>
      </c>
      <c r="B110" s="36">
        <v>5833.75</v>
      </c>
      <c r="C110" s="36">
        <f t="shared" si="4"/>
        <v>5539.3349852499996</v>
      </c>
      <c r="D110" s="36">
        <f t="shared" si="5"/>
        <v>132.62920814173032</v>
      </c>
      <c r="E110" s="40">
        <v>5833.75</v>
      </c>
      <c r="F110" s="36">
        <f t="shared" si="6"/>
        <v>5804.5934015334606</v>
      </c>
      <c r="G110" s="36">
        <f t="shared" si="7"/>
        <v>5274.0765689665386</v>
      </c>
      <c r="I110" s="40">
        <v>5833.75</v>
      </c>
      <c r="J110" s="36">
        <v>5804.5934015334606</v>
      </c>
      <c r="K110" s="36">
        <v>5274.0765689665386</v>
      </c>
    </row>
    <row r="111" spans="1:11" x14ac:dyDescent="0.25">
      <c r="A111" s="39">
        <v>40634</v>
      </c>
      <c r="B111" s="36">
        <v>5826.0498049999997</v>
      </c>
      <c r="C111" s="36">
        <f t="shared" si="4"/>
        <v>5553.6999754999997</v>
      </c>
      <c r="D111" s="36">
        <f t="shared" si="5"/>
        <v>147.30877291069262</v>
      </c>
      <c r="E111" s="40">
        <v>5826.0498049999997</v>
      </c>
      <c r="F111" s="36">
        <f t="shared" si="6"/>
        <v>5848.3175213213854</v>
      </c>
      <c r="G111" s="36">
        <f t="shared" si="7"/>
        <v>5259.0824296786141</v>
      </c>
      <c r="I111" s="40">
        <v>5826.0498049999997</v>
      </c>
      <c r="J111" s="36">
        <v>5848.3175213213854</v>
      </c>
      <c r="K111" s="36">
        <v>5259.0824296786141</v>
      </c>
    </row>
    <row r="112" spans="1:11" x14ac:dyDescent="0.25">
      <c r="A112" s="39">
        <v>40637</v>
      </c>
      <c r="B112" s="36">
        <v>5908.4501950000003</v>
      </c>
      <c r="C112" s="36">
        <f t="shared" si="4"/>
        <v>5575.9649901499997</v>
      </c>
      <c r="D112" s="36">
        <f t="shared" si="5"/>
        <v>165.43903342474673</v>
      </c>
      <c r="E112" s="40">
        <v>5908.4501950000003</v>
      </c>
      <c r="F112" s="36">
        <f t="shared" si="6"/>
        <v>5906.8430569994935</v>
      </c>
      <c r="G112" s="36">
        <f t="shared" si="7"/>
        <v>5245.086923300506</v>
      </c>
      <c r="I112" s="40">
        <v>5908.4501950000003</v>
      </c>
      <c r="J112" s="36">
        <v>5906.8430569994935</v>
      </c>
      <c r="K112" s="36">
        <v>5245.086923300506</v>
      </c>
    </row>
    <row r="113" spans="1:11" x14ac:dyDescent="0.25">
      <c r="A113" s="39">
        <v>40638</v>
      </c>
      <c r="B113" s="36">
        <v>5910.0498049999997</v>
      </c>
      <c r="C113" s="36">
        <f t="shared" si="4"/>
        <v>5595.4274901500003</v>
      </c>
      <c r="D113" s="36">
        <f t="shared" si="5"/>
        <v>180.79140197963821</v>
      </c>
      <c r="E113" s="40">
        <v>5910.0498049999997</v>
      </c>
      <c r="F113" s="36">
        <f t="shared" si="6"/>
        <v>5957.0102941092764</v>
      </c>
      <c r="G113" s="36">
        <f t="shared" si="7"/>
        <v>5233.8446861907241</v>
      </c>
      <c r="I113" s="40">
        <v>5910.0498049999997</v>
      </c>
      <c r="J113" s="36">
        <v>5957.0102941092764</v>
      </c>
      <c r="K113" s="36">
        <v>5233.8446861907241</v>
      </c>
    </row>
    <row r="114" spans="1:11" x14ac:dyDescent="0.25">
      <c r="A114" s="39">
        <v>40639</v>
      </c>
      <c r="B114" s="36">
        <v>5891.75</v>
      </c>
      <c r="C114" s="36">
        <f t="shared" si="4"/>
        <v>5613.4649901499997</v>
      </c>
      <c r="D114" s="36">
        <f t="shared" si="5"/>
        <v>191.69248808790144</v>
      </c>
      <c r="E114" s="40">
        <v>5891.75</v>
      </c>
      <c r="F114" s="36">
        <f t="shared" si="6"/>
        <v>5996.8499663258026</v>
      </c>
      <c r="G114" s="36">
        <f t="shared" si="7"/>
        <v>5230.0800139741968</v>
      </c>
      <c r="I114" s="40">
        <v>5891.75</v>
      </c>
      <c r="J114" s="36">
        <v>5996.8499663258026</v>
      </c>
      <c r="K114" s="36">
        <v>5230.0800139741968</v>
      </c>
    </row>
    <row r="115" spans="1:11" x14ac:dyDescent="0.25">
      <c r="A115" s="39">
        <v>40640</v>
      </c>
      <c r="B115" s="36">
        <v>5885.7001950000003</v>
      </c>
      <c r="C115" s="36">
        <f t="shared" si="4"/>
        <v>5633.0300048000008</v>
      </c>
      <c r="D115" s="36">
        <f t="shared" si="5"/>
        <v>198.73996570177806</v>
      </c>
      <c r="E115" s="40">
        <v>5885.7001950000003</v>
      </c>
      <c r="F115" s="36">
        <f t="shared" si="6"/>
        <v>6030.5099362035571</v>
      </c>
      <c r="G115" s="36">
        <f t="shared" si="7"/>
        <v>5235.5500733964445</v>
      </c>
      <c r="I115" s="40">
        <v>5885.7001950000003</v>
      </c>
      <c r="J115" s="36">
        <v>6030.5099362035571</v>
      </c>
      <c r="K115" s="36">
        <v>5235.5500733964445</v>
      </c>
    </row>
    <row r="116" spans="1:11" x14ac:dyDescent="0.25">
      <c r="A116" s="39">
        <v>40641</v>
      </c>
      <c r="B116" s="36">
        <v>5842</v>
      </c>
      <c r="C116" s="36">
        <f t="shared" si="4"/>
        <v>5652.8574950500006</v>
      </c>
      <c r="D116" s="36">
        <f t="shared" si="5"/>
        <v>198.82200341971335</v>
      </c>
      <c r="E116" s="40">
        <v>5842</v>
      </c>
      <c r="F116" s="36">
        <f t="shared" si="6"/>
        <v>6050.5015018894273</v>
      </c>
      <c r="G116" s="36">
        <f t="shared" si="7"/>
        <v>5255.2134882105738</v>
      </c>
      <c r="I116" s="40">
        <v>5842</v>
      </c>
      <c r="J116" s="36">
        <v>6050.5015018894273</v>
      </c>
      <c r="K116" s="36">
        <v>5255.2134882105738</v>
      </c>
    </row>
    <row r="117" spans="1:11" x14ac:dyDescent="0.25">
      <c r="A117" s="39">
        <v>40644</v>
      </c>
      <c r="B117" s="36">
        <v>5785.7001950000003</v>
      </c>
      <c r="C117" s="36">
        <f t="shared" si="4"/>
        <v>5665.5675047999994</v>
      </c>
      <c r="D117" s="36">
        <f t="shared" si="5"/>
        <v>198.7807898958886</v>
      </c>
      <c r="E117" s="40">
        <v>5785.7001950000003</v>
      </c>
      <c r="F117" s="36">
        <f t="shared" si="6"/>
        <v>6063.1290845917765</v>
      </c>
      <c r="G117" s="36">
        <f t="shared" si="7"/>
        <v>5268.0059250082222</v>
      </c>
      <c r="I117" s="40">
        <v>5785.7001950000003</v>
      </c>
      <c r="J117" s="36">
        <v>6063.1290845917765</v>
      </c>
      <c r="K117" s="36">
        <v>5268.0059250082222</v>
      </c>
    </row>
    <row r="118" spans="1:11" x14ac:dyDescent="0.25">
      <c r="A118" s="39">
        <v>40646</v>
      </c>
      <c r="B118" s="36">
        <v>5911.5</v>
      </c>
      <c r="C118" s="36">
        <f t="shared" si="4"/>
        <v>5688.6600096999991</v>
      </c>
      <c r="D118" s="36">
        <f t="shared" si="5"/>
        <v>199.2035921714666</v>
      </c>
      <c r="E118" s="40">
        <v>5911.5</v>
      </c>
      <c r="F118" s="36">
        <f t="shared" si="6"/>
        <v>6087.067194042932</v>
      </c>
      <c r="G118" s="36">
        <f t="shared" si="7"/>
        <v>5290.2528253570663</v>
      </c>
      <c r="I118" s="40">
        <v>5911.5</v>
      </c>
      <c r="J118" s="36">
        <v>6087.067194042932</v>
      </c>
      <c r="K118" s="36">
        <v>5290.2528253570663</v>
      </c>
    </row>
    <row r="119" spans="1:11" x14ac:dyDescent="0.25">
      <c r="A119" s="39">
        <v>40648</v>
      </c>
      <c r="B119" s="36">
        <v>5824.5498049999997</v>
      </c>
      <c r="C119" s="36">
        <f t="shared" si="4"/>
        <v>5704.3300048500005</v>
      </c>
      <c r="D119" s="36">
        <f t="shared" si="5"/>
        <v>196.81738459764566</v>
      </c>
      <c r="E119" s="40">
        <v>5824.5498049999997</v>
      </c>
      <c r="F119" s="36">
        <f t="shared" si="6"/>
        <v>6097.964774045292</v>
      </c>
      <c r="G119" s="36">
        <f t="shared" si="7"/>
        <v>5310.695235654709</v>
      </c>
      <c r="I119" s="40">
        <v>5824.5498049999997</v>
      </c>
      <c r="J119" s="36">
        <v>6097.964774045292</v>
      </c>
      <c r="K119" s="36">
        <v>5310.695235654709</v>
      </c>
    </row>
    <row r="120" spans="1:11" x14ac:dyDescent="0.25">
      <c r="A120" s="39">
        <v>40651</v>
      </c>
      <c r="B120" s="36">
        <v>5729.1000979999999</v>
      </c>
      <c r="C120" s="36">
        <f t="shared" si="4"/>
        <v>5718.45251465</v>
      </c>
      <c r="D120" s="36">
        <f t="shared" si="5"/>
        <v>187.25583276224347</v>
      </c>
      <c r="E120" s="40">
        <v>5729.1000979999999</v>
      </c>
      <c r="F120" s="36">
        <f t="shared" si="6"/>
        <v>6092.9641801744874</v>
      </c>
      <c r="G120" s="36">
        <f t="shared" si="7"/>
        <v>5343.9408491255126</v>
      </c>
      <c r="I120" s="40">
        <v>5729.1000979999999</v>
      </c>
      <c r="J120" s="36">
        <v>6092.9641801744874</v>
      </c>
      <c r="K120" s="36">
        <v>5343.9408491255126</v>
      </c>
    </row>
    <row r="121" spans="1:11" x14ac:dyDescent="0.25">
      <c r="A121" s="39">
        <v>40652</v>
      </c>
      <c r="B121" s="36">
        <v>5740.75</v>
      </c>
      <c r="C121" s="36">
        <f t="shared" si="4"/>
        <v>5736.8050048999994</v>
      </c>
      <c r="D121" s="36">
        <f t="shared" si="5"/>
        <v>168.76282472085771</v>
      </c>
      <c r="E121" s="40">
        <v>5740.75</v>
      </c>
      <c r="F121" s="36">
        <f t="shared" si="6"/>
        <v>6074.3306543417148</v>
      </c>
      <c r="G121" s="36">
        <f t="shared" si="7"/>
        <v>5399.279355458284</v>
      </c>
      <c r="I121" s="40">
        <v>5740.75</v>
      </c>
      <c r="J121" s="36">
        <v>6074.3306543417148</v>
      </c>
      <c r="K121" s="36">
        <v>5399.279355458284</v>
      </c>
    </row>
    <row r="122" spans="1:11" x14ac:dyDescent="0.25">
      <c r="A122" s="39">
        <v>40653</v>
      </c>
      <c r="B122" s="36">
        <v>5851.6499020000001</v>
      </c>
      <c r="C122" s="36">
        <f t="shared" si="4"/>
        <v>5761.15</v>
      </c>
      <c r="D122" s="36">
        <f t="shared" si="5"/>
        <v>145.82754362925189</v>
      </c>
      <c r="E122" s="40">
        <v>5851.6499020000001</v>
      </c>
      <c r="F122" s="36">
        <f t="shared" si="6"/>
        <v>6052.8050872585036</v>
      </c>
      <c r="G122" s="36">
        <f t="shared" si="7"/>
        <v>5469.4949127414957</v>
      </c>
      <c r="I122" s="40">
        <v>5851.6499020000001</v>
      </c>
      <c r="J122" s="36">
        <v>6052.8050872585036</v>
      </c>
      <c r="K122" s="36">
        <v>5469.4949127414957</v>
      </c>
    </row>
    <row r="123" spans="1:11" x14ac:dyDescent="0.25">
      <c r="A123" s="39">
        <v>40654</v>
      </c>
      <c r="B123" s="36">
        <v>5884.7001950000003</v>
      </c>
      <c r="C123" s="36">
        <f t="shared" si="4"/>
        <v>5784.6925048499998</v>
      </c>
      <c r="D123" s="36">
        <f t="shared" si="5"/>
        <v>123.03405929830735</v>
      </c>
      <c r="E123" s="40">
        <v>5884.7001950000003</v>
      </c>
      <c r="F123" s="36">
        <f t="shared" si="6"/>
        <v>6030.7606234466148</v>
      </c>
      <c r="G123" s="36">
        <f t="shared" si="7"/>
        <v>5538.6243862533847</v>
      </c>
      <c r="I123" s="40">
        <v>5884.7001950000003</v>
      </c>
      <c r="J123" s="36">
        <v>6030.7606234466148</v>
      </c>
      <c r="K123" s="36">
        <v>5538.6243862533847</v>
      </c>
    </row>
    <row r="124" spans="1:11" x14ac:dyDescent="0.25">
      <c r="A124" s="39">
        <v>40658</v>
      </c>
      <c r="B124" s="36">
        <v>5874.5</v>
      </c>
      <c r="C124" s="36">
        <f t="shared" si="4"/>
        <v>5804.4050048500003</v>
      </c>
      <c r="D124" s="36">
        <f t="shared" si="5"/>
        <v>101.36404155885067</v>
      </c>
      <c r="E124" s="40">
        <v>5874.5</v>
      </c>
      <c r="F124" s="36">
        <f t="shared" si="6"/>
        <v>6007.1330879677016</v>
      </c>
      <c r="G124" s="36">
        <f t="shared" si="7"/>
        <v>5601.676921732299</v>
      </c>
      <c r="I124" s="40">
        <v>5874.5</v>
      </c>
      <c r="J124" s="36">
        <v>6007.1330879677016</v>
      </c>
      <c r="K124" s="36">
        <v>5601.676921732299</v>
      </c>
    </row>
    <row r="125" spans="1:11" x14ac:dyDescent="0.25">
      <c r="A125" s="39">
        <v>40659</v>
      </c>
      <c r="B125" s="36">
        <v>5868.3999020000001</v>
      </c>
      <c r="C125" s="36">
        <f t="shared" si="4"/>
        <v>5821.7050048500005</v>
      </c>
      <c r="D125" s="36">
        <f t="shared" si="5"/>
        <v>77.39215869757561</v>
      </c>
      <c r="E125" s="40">
        <v>5868.3999020000001</v>
      </c>
      <c r="F125" s="36">
        <f t="shared" si="6"/>
        <v>5976.4893222451519</v>
      </c>
      <c r="G125" s="36">
        <f t="shared" si="7"/>
        <v>5666.920687454849</v>
      </c>
      <c r="I125" s="40">
        <v>5868.3999020000001</v>
      </c>
      <c r="J125" s="36">
        <v>5976.4893222451519</v>
      </c>
      <c r="K125" s="36">
        <v>5666.920687454849</v>
      </c>
    </row>
    <row r="126" spans="1:11" x14ac:dyDescent="0.25">
      <c r="A126" s="39">
        <v>40660</v>
      </c>
      <c r="B126" s="36">
        <v>5833.8999020000001</v>
      </c>
      <c r="C126" s="36">
        <f t="shared" si="4"/>
        <v>5830.6874999500005</v>
      </c>
      <c r="D126" s="36">
        <f t="shared" si="5"/>
        <v>66.607732612701994</v>
      </c>
      <c r="E126" s="40">
        <v>5833.8999020000001</v>
      </c>
      <c r="F126" s="36">
        <f t="shared" si="6"/>
        <v>5963.9029651754045</v>
      </c>
      <c r="G126" s="36">
        <f t="shared" si="7"/>
        <v>5697.4720347245966</v>
      </c>
      <c r="I126" s="40">
        <v>5833.8999020000001</v>
      </c>
      <c r="J126" s="36">
        <v>5963.9029651754045</v>
      </c>
      <c r="K126" s="36">
        <v>5697.4720347245966</v>
      </c>
    </row>
    <row r="127" spans="1:11" x14ac:dyDescent="0.25">
      <c r="A127" s="39">
        <v>40661</v>
      </c>
      <c r="B127" s="36">
        <v>5785.4501950000003</v>
      </c>
      <c r="C127" s="36">
        <f t="shared" si="4"/>
        <v>5835.5975097</v>
      </c>
      <c r="D127" s="36">
        <f t="shared" si="5"/>
        <v>58.617917273704307</v>
      </c>
      <c r="E127" s="40">
        <v>5785.4501950000003</v>
      </c>
      <c r="F127" s="36">
        <f t="shared" si="6"/>
        <v>5952.8333442474086</v>
      </c>
      <c r="G127" s="36">
        <f t="shared" si="7"/>
        <v>5718.3616751525915</v>
      </c>
      <c r="I127" s="40">
        <v>5785.4501950000003</v>
      </c>
      <c r="J127" s="36">
        <v>5952.8333442474086</v>
      </c>
      <c r="K127" s="36">
        <v>5718.3616751525915</v>
      </c>
    </row>
    <row r="128" spans="1:11" x14ac:dyDescent="0.25">
      <c r="A128" s="39">
        <v>40662</v>
      </c>
      <c r="B128" s="36">
        <v>5749.5</v>
      </c>
      <c r="C128" s="36">
        <f t="shared" si="4"/>
        <v>5836.2550048000003</v>
      </c>
      <c r="D128" s="36">
        <f t="shared" si="5"/>
        <v>57.509372570633985</v>
      </c>
      <c r="E128" s="40">
        <v>5749.5</v>
      </c>
      <c r="F128" s="36">
        <f t="shared" si="6"/>
        <v>5951.2737499412679</v>
      </c>
      <c r="G128" s="36">
        <f t="shared" si="7"/>
        <v>5721.2362596587327</v>
      </c>
      <c r="I128" s="40">
        <v>5749.5</v>
      </c>
      <c r="J128" s="36">
        <v>5951.2737499412679</v>
      </c>
      <c r="K128" s="36">
        <v>5721.2362596587327</v>
      </c>
    </row>
    <row r="129" spans="1:11" x14ac:dyDescent="0.25">
      <c r="A129" s="39">
        <v>40665</v>
      </c>
      <c r="B129" s="36">
        <v>5701.2998049999997</v>
      </c>
      <c r="C129" s="36">
        <f t="shared" si="4"/>
        <v>5831.9374999500005</v>
      </c>
      <c r="D129" s="36">
        <f t="shared" si="5"/>
        <v>64.202337926013982</v>
      </c>
      <c r="E129" s="40">
        <v>5701.2998049999997</v>
      </c>
      <c r="F129" s="36">
        <f t="shared" si="6"/>
        <v>5960.3421758020286</v>
      </c>
      <c r="G129" s="36">
        <f t="shared" si="7"/>
        <v>5703.5328240979725</v>
      </c>
      <c r="I129" s="40">
        <v>5701.2998049999997</v>
      </c>
      <c r="J129" s="36">
        <v>5960.3421758020286</v>
      </c>
      <c r="K129" s="36">
        <v>5703.5328240979725</v>
      </c>
    </row>
    <row r="130" spans="1:11" x14ac:dyDescent="0.25">
      <c r="A130" s="39">
        <v>40666</v>
      </c>
      <c r="B130" s="36">
        <v>5565.25</v>
      </c>
      <c r="C130" s="36">
        <f t="shared" si="4"/>
        <v>5818.5124999500003</v>
      </c>
      <c r="D130" s="36">
        <f t="shared" si="5"/>
        <v>87.608936302575472</v>
      </c>
      <c r="E130" s="40">
        <v>5565.25</v>
      </c>
      <c r="F130" s="36">
        <f t="shared" si="6"/>
        <v>5993.730372555151</v>
      </c>
      <c r="G130" s="36">
        <f t="shared" si="7"/>
        <v>5643.2946273448497</v>
      </c>
      <c r="I130" s="40">
        <v>5565.25</v>
      </c>
      <c r="J130" s="36">
        <v>5993.730372555151</v>
      </c>
      <c r="K130" s="36">
        <v>5643.2946273448497</v>
      </c>
    </row>
    <row r="131" spans="1:11" x14ac:dyDescent="0.25">
      <c r="A131" s="39">
        <v>40667</v>
      </c>
      <c r="B131" s="36">
        <v>5537.1499020000001</v>
      </c>
      <c r="C131" s="36">
        <f t="shared" si="4"/>
        <v>5804.0675048000012</v>
      </c>
      <c r="D131" s="36">
        <f t="shared" si="5"/>
        <v>107.79271812662435</v>
      </c>
      <c r="E131" s="40">
        <v>5537.1499020000001</v>
      </c>
      <c r="F131" s="36">
        <f t="shared" si="6"/>
        <v>6019.6529410532503</v>
      </c>
      <c r="G131" s="36">
        <f t="shared" si="7"/>
        <v>5588.4820685467521</v>
      </c>
      <c r="I131" s="40">
        <v>5537.1499020000001</v>
      </c>
      <c r="J131" s="36">
        <v>6019.6529410532503</v>
      </c>
      <c r="K131" s="36">
        <v>5588.4820685467521</v>
      </c>
    </row>
    <row r="132" spans="1:11" x14ac:dyDescent="0.25">
      <c r="A132" s="39">
        <v>40668</v>
      </c>
      <c r="B132" s="36">
        <v>5459.8500979999999</v>
      </c>
      <c r="C132" s="36">
        <f t="shared" si="4"/>
        <v>5781.6374999500003</v>
      </c>
      <c r="D132" s="36">
        <f t="shared" si="5"/>
        <v>129.43071837467392</v>
      </c>
      <c r="E132" s="40">
        <v>5459.8500979999999</v>
      </c>
      <c r="F132" s="36">
        <f t="shared" si="6"/>
        <v>6040.4989366993486</v>
      </c>
      <c r="G132" s="36">
        <f t="shared" si="7"/>
        <v>5522.7760632006521</v>
      </c>
      <c r="I132" s="40">
        <v>5459.8500979999999</v>
      </c>
      <c r="J132" s="36">
        <v>6040.4989366993486</v>
      </c>
      <c r="K132" s="36">
        <v>5522.7760632006521</v>
      </c>
    </row>
    <row r="133" spans="1:11" x14ac:dyDescent="0.25">
      <c r="A133" s="39">
        <v>40669</v>
      </c>
      <c r="B133" s="36">
        <v>5551.4501950000003</v>
      </c>
      <c r="C133" s="36">
        <f t="shared" si="4"/>
        <v>5763.7075194500003</v>
      </c>
      <c r="D133" s="36">
        <f t="shared" si="5"/>
        <v>135.40595835019914</v>
      </c>
      <c r="E133" s="40">
        <v>5551.4501950000003</v>
      </c>
      <c r="F133" s="36">
        <f t="shared" si="6"/>
        <v>6034.5194361503982</v>
      </c>
      <c r="G133" s="36">
        <f t="shared" si="7"/>
        <v>5492.8956027496024</v>
      </c>
      <c r="I133" s="40">
        <v>5551.4501950000003</v>
      </c>
      <c r="J133" s="36">
        <v>6034.5194361503982</v>
      </c>
      <c r="K133" s="36">
        <v>5492.8956027496024</v>
      </c>
    </row>
    <row r="134" spans="1:11" x14ac:dyDescent="0.25">
      <c r="A134" s="39">
        <v>40672</v>
      </c>
      <c r="B134" s="36">
        <v>5551.1000979999999</v>
      </c>
      <c r="C134" s="36">
        <f t="shared" si="4"/>
        <v>5746.6750243499991</v>
      </c>
      <c r="D134" s="36">
        <f t="shared" si="5"/>
        <v>139.80543220783508</v>
      </c>
      <c r="E134" s="40">
        <v>5551.1000979999999</v>
      </c>
      <c r="F134" s="36">
        <f t="shared" si="6"/>
        <v>6026.2858887656694</v>
      </c>
      <c r="G134" s="36">
        <f t="shared" si="7"/>
        <v>5467.0641599343289</v>
      </c>
      <c r="I134" s="40">
        <v>5551.1000979999999</v>
      </c>
      <c r="J134" s="36">
        <v>6026.2858887656694</v>
      </c>
      <c r="K134" s="36">
        <v>5467.0641599343289</v>
      </c>
    </row>
    <row r="135" spans="1:11" x14ac:dyDescent="0.25">
      <c r="A135" s="39">
        <v>40673</v>
      </c>
      <c r="B135" s="36">
        <v>5541.25</v>
      </c>
      <c r="C135" s="36">
        <f t="shared" si="4"/>
        <v>5729.4525145999996</v>
      </c>
      <c r="D135" s="36">
        <f t="shared" si="5"/>
        <v>142.95836058000489</v>
      </c>
      <c r="E135" s="40">
        <v>5541.25</v>
      </c>
      <c r="F135" s="36">
        <f t="shared" si="6"/>
        <v>6015.3692357600094</v>
      </c>
      <c r="G135" s="36">
        <f t="shared" si="7"/>
        <v>5443.5357934399899</v>
      </c>
      <c r="I135" s="40">
        <v>5541.25</v>
      </c>
      <c r="J135" s="36">
        <v>6015.3692357600094</v>
      </c>
      <c r="K135" s="36">
        <v>5443.5357934399899</v>
      </c>
    </row>
    <row r="136" spans="1:11" x14ac:dyDescent="0.25">
      <c r="A136" s="39">
        <v>40674</v>
      </c>
      <c r="B136" s="36">
        <v>5565.0498049999997</v>
      </c>
      <c r="C136" s="36">
        <f t="shared" si="4"/>
        <v>5715.6050048499992</v>
      </c>
      <c r="D136" s="36">
        <f t="shared" si="5"/>
        <v>144.88307595458215</v>
      </c>
      <c r="E136" s="40">
        <v>5565.0498049999997</v>
      </c>
      <c r="F136" s="36">
        <f t="shared" si="6"/>
        <v>6005.3711567591636</v>
      </c>
      <c r="G136" s="36">
        <f t="shared" si="7"/>
        <v>5425.8388529408348</v>
      </c>
      <c r="I136" s="40">
        <v>5565.0498049999997</v>
      </c>
      <c r="J136" s="36">
        <v>6005.3711567591636</v>
      </c>
      <c r="K136" s="36">
        <v>5425.8388529408348</v>
      </c>
    </row>
    <row r="137" spans="1:11" x14ac:dyDescent="0.25">
      <c r="A137" s="39">
        <v>40675</v>
      </c>
      <c r="B137" s="36">
        <v>5486.1499020000001</v>
      </c>
      <c r="C137" s="36">
        <f t="shared" si="4"/>
        <v>5700.6274901999996</v>
      </c>
      <c r="D137" s="36">
        <f t="shared" si="5"/>
        <v>152.53658713879679</v>
      </c>
      <c r="E137" s="40">
        <v>5486.1499020000001</v>
      </c>
      <c r="F137" s="36">
        <f t="shared" si="6"/>
        <v>6005.7006644775929</v>
      </c>
      <c r="G137" s="36">
        <f t="shared" si="7"/>
        <v>5395.5543159224062</v>
      </c>
      <c r="I137" s="40">
        <v>5486.1499020000001</v>
      </c>
      <c r="J137" s="36">
        <v>6005.7006644775929</v>
      </c>
      <c r="K137" s="36">
        <v>5395.5543159224062</v>
      </c>
    </row>
    <row r="138" spans="1:11" x14ac:dyDescent="0.25">
      <c r="A138" s="39">
        <v>40676</v>
      </c>
      <c r="B138" s="36">
        <v>5544.75</v>
      </c>
      <c r="C138" s="36">
        <f t="shared" si="4"/>
        <v>5682.2899901999999</v>
      </c>
      <c r="D138" s="36">
        <f t="shared" si="5"/>
        <v>147.82388104550975</v>
      </c>
      <c r="E138" s="40">
        <v>5544.75</v>
      </c>
      <c r="F138" s="36">
        <f t="shared" si="6"/>
        <v>5977.937752291019</v>
      </c>
      <c r="G138" s="36">
        <f t="shared" si="7"/>
        <v>5386.6422281089808</v>
      </c>
      <c r="I138" s="40">
        <v>5544.75</v>
      </c>
      <c r="J138" s="36">
        <v>5977.937752291019</v>
      </c>
      <c r="K138" s="36">
        <v>5386.6422281089808</v>
      </c>
    </row>
    <row r="139" spans="1:11" x14ac:dyDescent="0.25">
      <c r="A139" s="39">
        <v>40679</v>
      </c>
      <c r="B139" s="36">
        <v>5499</v>
      </c>
      <c r="C139" s="36">
        <f t="shared" si="4"/>
        <v>5666.0124999499994</v>
      </c>
      <c r="D139" s="36">
        <f t="shared" si="5"/>
        <v>149.25152351573504</v>
      </c>
      <c r="E139" s="40">
        <v>5499</v>
      </c>
      <c r="F139" s="36">
        <f t="shared" si="6"/>
        <v>5964.5155469814699</v>
      </c>
      <c r="G139" s="36">
        <f t="shared" si="7"/>
        <v>5367.509452918529</v>
      </c>
      <c r="I139" s="40">
        <v>5499</v>
      </c>
      <c r="J139" s="36">
        <v>5964.5155469814699</v>
      </c>
      <c r="K139" s="36">
        <v>5367.509452918529</v>
      </c>
    </row>
    <row r="140" spans="1:11" x14ac:dyDescent="0.25">
      <c r="A140" s="39">
        <v>40680</v>
      </c>
      <c r="B140" s="36">
        <v>5438.9501950000003</v>
      </c>
      <c r="C140" s="36">
        <f t="shared" si="4"/>
        <v>5651.5050047999994</v>
      </c>
      <c r="D140" s="36">
        <f t="shared" si="5"/>
        <v>156.71164017400929</v>
      </c>
      <c r="E140" s="40">
        <v>5438.9501950000003</v>
      </c>
      <c r="F140" s="36">
        <f t="shared" si="6"/>
        <v>5964.9282851480184</v>
      </c>
      <c r="G140" s="36">
        <f t="shared" si="7"/>
        <v>5338.0817244519803</v>
      </c>
      <c r="I140" s="40">
        <v>5438.9501950000003</v>
      </c>
      <c r="J140" s="36">
        <v>5964.9282851480184</v>
      </c>
      <c r="K140" s="36">
        <v>5338.0817244519803</v>
      </c>
    </row>
    <row r="141" spans="1:11" x14ac:dyDescent="0.25">
      <c r="A141" s="39">
        <v>40681</v>
      </c>
      <c r="B141" s="36">
        <v>5420.6000979999999</v>
      </c>
      <c r="C141" s="36">
        <f t="shared" si="4"/>
        <v>5635.4975097000006</v>
      </c>
      <c r="D141" s="36">
        <f t="shared" si="5"/>
        <v>163.32721982557356</v>
      </c>
      <c r="E141" s="40">
        <v>5420.6000979999999</v>
      </c>
      <c r="F141" s="36">
        <f t="shared" si="6"/>
        <v>5962.1519493511478</v>
      </c>
      <c r="G141" s="36">
        <f t="shared" si="7"/>
        <v>5308.8430700488534</v>
      </c>
      <c r="I141" s="40">
        <v>5420.6000979999999</v>
      </c>
      <c r="J141" s="36">
        <v>5962.1519493511478</v>
      </c>
      <c r="K141" s="36">
        <v>5308.8430700488534</v>
      </c>
    </row>
    <row r="142" spans="1:11" x14ac:dyDescent="0.25">
      <c r="A142" s="39">
        <v>40682</v>
      </c>
      <c r="B142" s="36">
        <v>5428.1000979999999</v>
      </c>
      <c r="C142" s="36">
        <f t="shared" si="4"/>
        <v>5614.3200194999999</v>
      </c>
      <c r="D142" s="36">
        <f t="shared" si="5"/>
        <v>161.27158229169916</v>
      </c>
      <c r="E142" s="40">
        <v>5428.1000979999999</v>
      </c>
      <c r="F142" s="36">
        <f t="shared" si="6"/>
        <v>5936.8631840833987</v>
      </c>
      <c r="G142" s="36">
        <f t="shared" si="7"/>
        <v>5291.7768549166012</v>
      </c>
      <c r="I142" s="40">
        <v>5428.1000979999999</v>
      </c>
      <c r="J142" s="36">
        <v>5936.8631840833987</v>
      </c>
      <c r="K142" s="36">
        <v>5291.7768549166012</v>
      </c>
    </row>
    <row r="143" spans="1:11" x14ac:dyDescent="0.25">
      <c r="A143" s="39">
        <v>40683</v>
      </c>
      <c r="B143" s="36">
        <v>5486.3500979999999</v>
      </c>
      <c r="C143" s="36">
        <f t="shared" si="4"/>
        <v>5594.4025146499998</v>
      </c>
      <c r="D143" s="36">
        <f t="shared" si="5"/>
        <v>150.35023381544269</v>
      </c>
      <c r="E143" s="40">
        <v>5486.3500979999999</v>
      </c>
      <c r="F143" s="36">
        <f t="shared" si="6"/>
        <v>5895.102982280885</v>
      </c>
      <c r="G143" s="36">
        <f t="shared" si="7"/>
        <v>5293.7020470191146</v>
      </c>
      <c r="I143" s="40">
        <v>5486.3500979999999</v>
      </c>
      <c r="J143" s="36">
        <v>5895.102982280885</v>
      </c>
      <c r="K143" s="36">
        <v>5293.7020470191146</v>
      </c>
    </row>
    <row r="144" spans="1:11" x14ac:dyDescent="0.25">
      <c r="A144" s="39">
        <v>40686</v>
      </c>
      <c r="B144" s="36">
        <v>5386.5498049999997</v>
      </c>
      <c r="C144" s="36">
        <f t="shared" si="4"/>
        <v>5570.0050048999992</v>
      </c>
      <c r="D144" s="36">
        <f t="shared" si="5"/>
        <v>141.85649556176475</v>
      </c>
      <c r="E144" s="40">
        <v>5386.5498049999997</v>
      </c>
      <c r="F144" s="36">
        <f t="shared" si="6"/>
        <v>5853.7179960235289</v>
      </c>
      <c r="G144" s="36">
        <f t="shared" si="7"/>
        <v>5286.2920137764695</v>
      </c>
      <c r="I144" s="40">
        <v>5386.5498049999997</v>
      </c>
      <c r="J144" s="36">
        <v>5853.7179960235289</v>
      </c>
      <c r="K144" s="36">
        <v>5286.2920137764695</v>
      </c>
    </row>
    <row r="145" spans="1:11" x14ac:dyDescent="0.25">
      <c r="A145" s="39">
        <v>40687</v>
      </c>
      <c r="B145" s="36">
        <v>5394.8500979999999</v>
      </c>
      <c r="C145" s="36">
        <f t="shared" si="4"/>
        <v>5546.3275146999995</v>
      </c>
      <c r="D145" s="36">
        <f t="shared" si="5"/>
        <v>128.30254074701318</v>
      </c>
      <c r="E145" s="40">
        <v>5394.8500979999999</v>
      </c>
      <c r="F145" s="36">
        <f t="shared" si="6"/>
        <v>5802.9325961940258</v>
      </c>
      <c r="G145" s="36">
        <f t="shared" si="7"/>
        <v>5289.7224332059732</v>
      </c>
      <c r="I145" s="40">
        <v>5394.8500979999999</v>
      </c>
      <c r="J145" s="36">
        <v>5802.9325961940258</v>
      </c>
      <c r="K145" s="36">
        <v>5289.7224332059732</v>
      </c>
    </row>
    <row r="146" spans="1:11" x14ac:dyDescent="0.25">
      <c r="A146" s="39">
        <v>40688</v>
      </c>
      <c r="B146" s="36">
        <v>5348.9501950000003</v>
      </c>
      <c r="C146" s="36">
        <f t="shared" si="4"/>
        <v>5522.0800293499988</v>
      </c>
      <c r="D146" s="36">
        <f t="shared" si="5"/>
        <v>116.36386099309939</v>
      </c>
      <c r="E146" s="40">
        <v>5348.9501950000003</v>
      </c>
      <c r="F146" s="36">
        <f t="shared" si="6"/>
        <v>5754.8077513361977</v>
      </c>
      <c r="G146" s="36">
        <f t="shared" si="7"/>
        <v>5289.3523073637998</v>
      </c>
      <c r="I146" s="40">
        <v>5348.9501950000003</v>
      </c>
      <c r="J146" s="36">
        <v>5754.8077513361977</v>
      </c>
      <c r="K146" s="36">
        <v>5289.3523073637998</v>
      </c>
    </row>
    <row r="147" spans="1:11" x14ac:dyDescent="0.25">
      <c r="A147" s="39">
        <v>40689</v>
      </c>
      <c r="B147" s="36">
        <v>5412.3500979999999</v>
      </c>
      <c r="C147" s="36">
        <f t="shared" si="4"/>
        <v>5503.4250244999985</v>
      </c>
      <c r="D147" s="36">
        <f t="shared" si="5"/>
        <v>100.78299885859572</v>
      </c>
      <c r="E147" s="40">
        <v>5412.3500979999999</v>
      </c>
      <c r="F147" s="36">
        <f t="shared" si="6"/>
        <v>5704.9910222171902</v>
      </c>
      <c r="G147" s="36">
        <f t="shared" si="7"/>
        <v>5301.8590267828067</v>
      </c>
      <c r="I147" s="40">
        <v>5412.3500979999999</v>
      </c>
      <c r="J147" s="36">
        <v>5704.9910222171902</v>
      </c>
      <c r="K147" s="36">
        <v>5301.8590267828067</v>
      </c>
    </row>
    <row r="148" spans="1:11" x14ac:dyDescent="0.25">
      <c r="A148" s="39">
        <v>40690</v>
      </c>
      <c r="B148" s="36">
        <v>5476.1000979999999</v>
      </c>
      <c r="C148" s="36">
        <f t="shared" si="4"/>
        <v>5489.7550293999984</v>
      </c>
      <c r="D148" s="36">
        <f t="shared" si="5"/>
        <v>82.539759809862716</v>
      </c>
      <c r="E148" s="40">
        <v>5476.1000979999999</v>
      </c>
      <c r="F148" s="36">
        <f t="shared" si="6"/>
        <v>5654.8345490197235</v>
      </c>
      <c r="G148" s="36">
        <f t="shared" si="7"/>
        <v>5324.6755097802734</v>
      </c>
      <c r="I148" s="40">
        <v>5476.1000979999999</v>
      </c>
      <c r="J148" s="36">
        <v>5654.8345490197235</v>
      </c>
      <c r="K148" s="36">
        <v>5324.6755097802734</v>
      </c>
    </row>
    <row r="149" spans="1:11" x14ac:dyDescent="0.25">
      <c r="A149" s="39">
        <v>40693</v>
      </c>
      <c r="B149" s="36">
        <v>5473.1000979999999</v>
      </c>
      <c r="C149" s="36">
        <f t="shared" si="4"/>
        <v>5478.3450440499983</v>
      </c>
      <c r="D149" s="36">
        <f t="shared" si="5"/>
        <v>65.841063167883362</v>
      </c>
      <c r="E149" s="40">
        <v>5473.1000979999999</v>
      </c>
      <c r="F149" s="36">
        <f t="shared" si="6"/>
        <v>5610.0271703857652</v>
      </c>
      <c r="G149" s="36">
        <f t="shared" si="7"/>
        <v>5346.6629177142313</v>
      </c>
      <c r="I149" s="40">
        <v>5473.1000979999999</v>
      </c>
      <c r="J149" s="36">
        <v>5610.0271703857652</v>
      </c>
      <c r="K149" s="36">
        <v>5346.6629177142313</v>
      </c>
    </row>
    <row r="150" spans="1:11" x14ac:dyDescent="0.25">
      <c r="A150" s="39">
        <v>40695</v>
      </c>
      <c r="B150" s="36">
        <v>5592</v>
      </c>
      <c r="C150" s="36">
        <f t="shared" ref="C150:C213" si="8">AVERAGE(B131:B150)</f>
        <v>5479.6825440499988</v>
      </c>
      <c r="D150" s="36">
        <f t="shared" ref="D150:D213" si="9">_xlfn.STDEV.S(B131:B150)</f>
        <v>67.937690454211108</v>
      </c>
      <c r="E150" s="40">
        <v>5592</v>
      </c>
      <c r="F150" s="36">
        <f t="shared" ref="F150:F213" si="10">C150+2*D150</f>
        <v>5615.5579249584207</v>
      </c>
      <c r="G150" s="36">
        <f t="shared" ref="G150:G213" si="11">C150-2*D150</f>
        <v>5343.8071631415769</v>
      </c>
      <c r="I150" s="40">
        <v>5592</v>
      </c>
      <c r="J150" s="36">
        <v>5615.5579249584207</v>
      </c>
      <c r="K150" s="36">
        <v>5343.8071631415769</v>
      </c>
    </row>
    <row r="151" spans="1:11" x14ac:dyDescent="0.25">
      <c r="A151" s="39">
        <v>40696</v>
      </c>
      <c r="B151" s="36">
        <v>5550.3500979999999</v>
      </c>
      <c r="C151" s="36">
        <f t="shared" si="8"/>
        <v>5480.3425538499987</v>
      </c>
      <c r="D151" s="36">
        <f t="shared" si="9"/>
        <v>68.586387936594903</v>
      </c>
      <c r="E151" s="40">
        <v>5550.3500979999999</v>
      </c>
      <c r="F151" s="36">
        <f t="shared" si="10"/>
        <v>5617.5153297231882</v>
      </c>
      <c r="G151" s="36">
        <f t="shared" si="11"/>
        <v>5343.1697779768092</v>
      </c>
      <c r="I151" s="40">
        <v>5550.3500979999999</v>
      </c>
      <c r="J151" s="36">
        <v>5617.5153297231882</v>
      </c>
      <c r="K151" s="36">
        <v>5343.1697779768092</v>
      </c>
    </row>
    <row r="152" spans="1:11" x14ac:dyDescent="0.25">
      <c r="A152" s="39">
        <v>40697</v>
      </c>
      <c r="B152" s="36">
        <v>5516.75</v>
      </c>
      <c r="C152" s="36">
        <f t="shared" si="8"/>
        <v>5483.1875489499989</v>
      </c>
      <c r="D152" s="36">
        <f t="shared" si="9"/>
        <v>68.871138649851062</v>
      </c>
      <c r="E152" s="40">
        <v>5516.75</v>
      </c>
      <c r="F152" s="36">
        <f t="shared" si="10"/>
        <v>5620.9298262497014</v>
      </c>
      <c r="G152" s="36">
        <f t="shared" si="11"/>
        <v>5345.4452716502965</v>
      </c>
      <c r="I152" s="40">
        <v>5516.75</v>
      </c>
      <c r="J152" s="36">
        <v>5620.9298262497014</v>
      </c>
      <c r="K152" s="36">
        <v>5345.4452716502965</v>
      </c>
    </row>
    <row r="153" spans="1:11" x14ac:dyDescent="0.25">
      <c r="A153" s="39">
        <v>40700</v>
      </c>
      <c r="B153" s="36">
        <v>5532.0498049999997</v>
      </c>
      <c r="C153" s="36">
        <f t="shared" si="8"/>
        <v>5482.2175294499993</v>
      </c>
      <c r="D153" s="36">
        <f t="shared" si="9"/>
        <v>67.990074160847655</v>
      </c>
      <c r="E153" s="40">
        <v>5532.0498049999997</v>
      </c>
      <c r="F153" s="36">
        <f t="shared" si="10"/>
        <v>5618.1976777716945</v>
      </c>
      <c r="G153" s="36">
        <f t="shared" si="11"/>
        <v>5346.2373811283042</v>
      </c>
      <c r="I153" s="40">
        <v>5532.0498049999997</v>
      </c>
      <c r="J153" s="36">
        <v>5618.1976777716945</v>
      </c>
      <c r="K153" s="36">
        <v>5346.2373811283042</v>
      </c>
    </row>
    <row r="154" spans="1:11" x14ac:dyDescent="0.25">
      <c r="A154" s="39">
        <v>40701</v>
      </c>
      <c r="B154" s="36">
        <v>5556.1499020000001</v>
      </c>
      <c r="C154" s="36">
        <f t="shared" si="8"/>
        <v>5482.4700196499998</v>
      </c>
      <c r="D154" s="36">
        <f t="shared" si="9"/>
        <v>68.268150059490964</v>
      </c>
      <c r="E154" s="40">
        <v>5556.1499020000001</v>
      </c>
      <c r="F154" s="36">
        <f t="shared" si="10"/>
        <v>5619.0063197689815</v>
      </c>
      <c r="G154" s="36">
        <f t="shared" si="11"/>
        <v>5345.9337195310181</v>
      </c>
      <c r="I154" s="40">
        <v>5556.1499020000001</v>
      </c>
      <c r="J154" s="36">
        <v>5619.0063197689815</v>
      </c>
      <c r="K154" s="36">
        <v>5345.9337195310181</v>
      </c>
    </row>
    <row r="155" spans="1:11" x14ac:dyDescent="0.25">
      <c r="A155" s="39">
        <v>40702</v>
      </c>
      <c r="B155" s="36">
        <v>5526.8500979999999</v>
      </c>
      <c r="C155" s="36">
        <f t="shared" si="8"/>
        <v>5481.7500245499996</v>
      </c>
      <c r="D155" s="36">
        <f t="shared" si="9"/>
        <v>67.689073729145278</v>
      </c>
      <c r="E155" s="40">
        <v>5526.8500979999999</v>
      </c>
      <c r="F155" s="36">
        <f t="shared" si="10"/>
        <v>5617.1281720082898</v>
      </c>
      <c r="G155" s="36">
        <f t="shared" si="11"/>
        <v>5346.3718770917094</v>
      </c>
      <c r="I155" s="40">
        <v>5526.8500979999999</v>
      </c>
      <c r="J155" s="36">
        <v>5617.1281720082898</v>
      </c>
      <c r="K155" s="36">
        <v>5346.3718770917094</v>
      </c>
    </row>
    <row r="156" spans="1:11" x14ac:dyDescent="0.25">
      <c r="A156" s="39">
        <v>40703</v>
      </c>
      <c r="B156" s="36">
        <v>5521.0498049999997</v>
      </c>
      <c r="C156" s="36">
        <f t="shared" si="8"/>
        <v>5479.5500245500007</v>
      </c>
      <c r="D156" s="36">
        <f t="shared" si="9"/>
        <v>65.51947186033351</v>
      </c>
      <c r="E156" s="40">
        <v>5521.0498049999997</v>
      </c>
      <c r="F156" s="36">
        <f t="shared" si="10"/>
        <v>5610.5889682706675</v>
      </c>
      <c r="G156" s="36">
        <f t="shared" si="11"/>
        <v>5348.5110808293339</v>
      </c>
      <c r="I156" s="40">
        <v>5521.0498049999997</v>
      </c>
      <c r="J156" s="36">
        <v>5610.5889682706675</v>
      </c>
      <c r="K156" s="36">
        <v>5348.5110808293339</v>
      </c>
    </row>
    <row r="157" spans="1:11" x14ac:dyDescent="0.25">
      <c r="A157" s="39">
        <v>40704</v>
      </c>
      <c r="B157" s="36">
        <v>5485.7998049999997</v>
      </c>
      <c r="C157" s="36">
        <f t="shared" si="8"/>
        <v>5479.5325197000002</v>
      </c>
      <c r="D157" s="36">
        <f t="shared" si="9"/>
        <v>65.517662507789041</v>
      </c>
      <c r="E157" s="40">
        <v>5485.7998049999997</v>
      </c>
      <c r="F157" s="36">
        <f t="shared" si="10"/>
        <v>5610.5678447155778</v>
      </c>
      <c r="G157" s="36">
        <f t="shared" si="11"/>
        <v>5348.4971946844225</v>
      </c>
      <c r="I157" s="40">
        <v>5485.7998049999997</v>
      </c>
      <c r="J157" s="36">
        <v>5610.5678447155778</v>
      </c>
      <c r="K157" s="36">
        <v>5348.4971946844225</v>
      </c>
    </row>
    <row r="158" spans="1:11" x14ac:dyDescent="0.25">
      <c r="A158" s="39">
        <v>40707</v>
      </c>
      <c r="B158" s="36">
        <v>5482.7998049999997</v>
      </c>
      <c r="C158" s="36">
        <f t="shared" si="8"/>
        <v>5476.4350099500007</v>
      </c>
      <c r="D158" s="36">
        <f t="shared" si="9"/>
        <v>63.711596066191795</v>
      </c>
      <c r="E158" s="40">
        <v>5482.7998049999997</v>
      </c>
      <c r="F158" s="36">
        <f t="shared" si="10"/>
        <v>5603.8582020823842</v>
      </c>
      <c r="G158" s="36">
        <f t="shared" si="11"/>
        <v>5349.0118178176172</v>
      </c>
      <c r="I158" s="40">
        <v>5482.7998049999997</v>
      </c>
      <c r="J158" s="36">
        <v>5603.8582020823842</v>
      </c>
      <c r="K158" s="36">
        <v>5349.0118178176172</v>
      </c>
    </row>
    <row r="159" spans="1:11" x14ac:dyDescent="0.25">
      <c r="A159" s="39">
        <v>40708</v>
      </c>
      <c r="B159" s="36">
        <v>5500.5</v>
      </c>
      <c r="C159" s="36">
        <f t="shared" si="8"/>
        <v>5476.5100099500005</v>
      </c>
      <c r="D159" s="36">
        <f t="shared" si="9"/>
        <v>63.740433529019676</v>
      </c>
      <c r="E159" s="40">
        <v>5500.5</v>
      </c>
      <c r="F159" s="36">
        <f t="shared" si="10"/>
        <v>5603.9908770080401</v>
      </c>
      <c r="G159" s="36">
        <f t="shared" si="11"/>
        <v>5349.0291428919609</v>
      </c>
      <c r="I159" s="40">
        <v>5500.5</v>
      </c>
      <c r="J159" s="36">
        <v>5603.9908770080401</v>
      </c>
      <c r="K159" s="36">
        <v>5349.0291428919609</v>
      </c>
    </row>
    <row r="160" spans="1:11" x14ac:dyDescent="0.25">
      <c r="A160" s="39">
        <v>40709</v>
      </c>
      <c r="B160" s="36">
        <v>5447.5</v>
      </c>
      <c r="C160" s="36">
        <f t="shared" si="8"/>
        <v>5476.9375002000006</v>
      </c>
      <c r="D160" s="36">
        <f t="shared" si="9"/>
        <v>63.503501968426129</v>
      </c>
      <c r="E160" s="40">
        <v>5447.5</v>
      </c>
      <c r="F160" s="36">
        <f t="shared" si="10"/>
        <v>5603.9445041368526</v>
      </c>
      <c r="G160" s="36">
        <f t="shared" si="11"/>
        <v>5349.9304962631486</v>
      </c>
      <c r="I160" s="40">
        <v>5447.5</v>
      </c>
      <c r="J160" s="36">
        <v>5603.9445041368526</v>
      </c>
      <c r="K160" s="36">
        <v>5349.9304962631486</v>
      </c>
    </row>
    <row r="161" spans="1:11" x14ac:dyDescent="0.25">
      <c r="A161" s="39">
        <v>40710</v>
      </c>
      <c r="B161" s="36">
        <v>5396.75</v>
      </c>
      <c r="C161" s="36">
        <f t="shared" si="8"/>
        <v>5475.7449953000005</v>
      </c>
      <c r="D161" s="36">
        <f t="shared" si="9"/>
        <v>64.827256867273633</v>
      </c>
      <c r="E161" s="40">
        <v>5396.75</v>
      </c>
      <c r="F161" s="36">
        <f t="shared" si="10"/>
        <v>5605.3995090345479</v>
      </c>
      <c r="G161" s="36">
        <f t="shared" si="11"/>
        <v>5346.090481565453</v>
      </c>
      <c r="I161" s="40">
        <v>5396.75</v>
      </c>
      <c r="J161" s="36">
        <v>5605.3995090345479</v>
      </c>
      <c r="K161" s="36">
        <v>5346.090481565453</v>
      </c>
    </row>
    <row r="162" spans="1:11" x14ac:dyDescent="0.25">
      <c r="A162" s="39">
        <v>40711</v>
      </c>
      <c r="B162" s="36">
        <v>5366.3999020000001</v>
      </c>
      <c r="C162" s="36">
        <f t="shared" si="8"/>
        <v>5472.6599855000004</v>
      </c>
      <c r="D162" s="36">
        <f t="shared" si="9"/>
        <v>68.573763168426794</v>
      </c>
      <c r="E162" s="40">
        <v>5366.3999020000001</v>
      </c>
      <c r="F162" s="36">
        <f t="shared" si="10"/>
        <v>5609.8075118368542</v>
      </c>
      <c r="G162" s="36">
        <f t="shared" si="11"/>
        <v>5335.5124591631466</v>
      </c>
      <c r="I162" s="40">
        <v>5366.3999020000001</v>
      </c>
      <c r="J162" s="36">
        <v>5609.8075118368542</v>
      </c>
      <c r="K162" s="36">
        <v>5335.5124591631466</v>
      </c>
    </row>
    <row r="163" spans="1:11" x14ac:dyDescent="0.25">
      <c r="A163" s="39">
        <v>40714</v>
      </c>
      <c r="B163" s="36">
        <v>5257.8999020000001</v>
      </c>
      <c r="C163" s="36">
        <f t="shared" si="8"/>
        <v>5461.2374757000007</v>
      </c>
      <c r="D163" s="36">
        <f t="shared" si="9"/>
        <v>83.562097485879377</v>
      </c>
      <c r="E163" s="40">
        <v>5257.8999020000001</v>
      </c>
      <c r="F163" s="36">
        <f t="shared" si="10"/>
        <v>5628.3616706717594</v>
      </c>
      <c r="G163" s="36">
        <f t="shared" si="11"/>
        <v>5294.113280728242</v>
      </c>
      <c r="I163" s="40">
        <v>5257.8999020000001</v>
      </c>
      <c r="J163" s="36">
        <v>5628.3616706717594</v>
      </c>
      <c r="K163" s="36">
        <v>5294.113280728242</v>
      </c>
    </row>
    <row r="164" spans="1:11" x14ac:dyDescent="0.25">
      <c r="A164" s="39">
        <v>40715</v>
      </c>
      <c r="B164" s="36">
        <v>5275.8500979999999</v>
      </c>
      <c r="C164" s="36">
        <f t="shared" si="8"/>
        <v>5455.7024903500005</v>
      </c>
      <c r="D164" s="36">
        <f t="shared" si="9"/>
        <v>92.008972385119804</v>
      </c>
      <c r="E164" s="40">
        <v>5275.8500979999999</v>
      </c>
      <c r="F164" s="36">
        <f t="shared" si="10"/>
        <v>5639.7204351202399</v>
      </c>
      <c r="G164" s="36">
        <f t="shared" si="11"/>
        <v>5271.6845455797611</v>
      </c>
      <c r="I164" s="40">
        <v>5275.8500979999999</v>
      </c>
      <c r="J164" s="36">
        <v>5639.7204351202399</v>
      </c>
      <c r="K164" s="36">
        <v>5271.6845455797611</v>
      </c>
    </row>
    <row r="165" spans="1:11" x14ac:dyDescent="0.25">
      <c r="A165" s="39">
        <v>40716</v>
      </c>
      <c r="B165" s="36">
        <v>5278.2998049999997</v>
      </c>
      <c r="C165" s="36">
        <f t="shared" si="8"/>
        <v>5449.8749757000005</v>
      </c>
      <c r="D165" s="36">
        <f t="shared" si="9"/>
        <v>99.455589020982956</v>
      </c>
      <c r="E165" s="40">
        <v>5278.2998049999997</v>
      </c>
      <c r="F165" s="36">
        <f t="shared" si="10"/>
        <v>5648.7861537419667</v>
      </c>
      <c r="G165" s="36">
        <f t="shared" si="11"/>
        <v>5250.9637976580343</v>
      </c>
      <c r="I165" s="40">
        <v>5278.2998049999997</v>
      </c>
      <c r="J165" s="36">
        <v>5648.7861537419667</v>
      </c>
      <c r="K165" s="36">
        <v>5250.9637976580343</v>
      </c>
    </row>
    <row r="166" spans="1:11" x14ac:dyDescent="0.25">
      <c r="A166" s="39">
        <v>40717</v>
      </c>
      <c r="B166" s="36">
        <v>5320</v>
      </c>
      <c r="C166" s="36">
        <f t="shared" si="8"/>
        <v>5448.4274659500006</v>
      </c>
      <c r="D166" s="36">
        <f t="shared" si="9"/>
        <v>101.19721803616112</v>
      </c>
      <c r="E166" s="40">
        <v>5320</v>
      </c>
      <c r="F166" s="36">
        <f t="shared" si="10"/>
        <v>5650.8219020223232</v>
      </c>
      <c r="G166" s="36">
        <f t="shared" si="11"/>
        <v>5246.033029877678</v>
      </c>
      <c r="I166" s="40">
        <v>5320</v>
      </c>
      <c r="J166" s="36">
        <v>5650.8219020223232</v>
      </c>
      <c r="K166" s="36">
        <v>5246.033029877678</v>
      </c>
    </row>
    <row r="167" spans="1:11" x14ac:dyDescent="0.25">
      <c r="A167" s="39">
        <v>40718</v>
      </c>
      <c r="B167" s="36">
        <v>5471.25</v>
      </c>
      <c r="C167" s="36">
        <f t="shared" si="8"/>
        <v>5451.3724610500003</v>
      </c>
      <c r="D167" s="36">
        <f t="shared" si="9"/>
        <v>100.94878677782782</v>
      </c>
      <c r="E167" s="40">
        <v>5471.25</v>
      </c>
      <c r="F167" s="36">
        <f t="shared" si="10"/>
        <v>5653.2700346056563</v>
      </c>
      <c r="G167" s="36">
        <f t="shared" si="11"/>
        <v>5249.4748874943443</v>
      </c>
      <c r="I167" s="40">
        <v>5471.25</v>
      </c>
      <c r="J167" s="36">
        <v>5653.2700346056563</v>
      </c>
      <c r="K167" s="36">
        <v>5249.4748874943443</v>
      </c>
    </row>
    <row r="168" spans="1:11" x14ac:dyDescent="0.25">
      <c r="A168" s="39">
        <v>40721</v>
      </c>
      <c r="B168" s="36">
        <v>5526.6000979999999</v>
      </c>
      <c r="C168" s="36">
        <f t="shared" si="8"/>
        <v>5453.8974610499999</v>
      </c>
      <c r="D168" s="36">
        <f t="shared" si="9"/>
        <v>102.22336799442309</v>
      </c>
      <c r="E168" s="40">
        <v>5526.6000979999999</v>
      </c>
      <c r="F168" s="36">
        <f t="shared" si="10"/>
        <v>5658.3441970388458</v>
      </c>
      <c r="G168" s="36">
        <f t="shared" si="11"/>
        <v>5249.4507250611541</v>
      </c>
      <c r="I168" s="40">
        <v>5526.6000979999999</v>
      </c>
      <c r="J168" s="36">
        <v>5658.3441970388458</v>
      </c>
      <c r="K168" s="36">
        <v>5249.4507250611541</v>
      </c>
    </row>
    <row r="169" spans="1:11" x14ac:dyDescent="0.25">
      <c r="A169" s="39">
        <v>40722</v>
      </c>
      <c r="B169" s="36">
        <v>5545.2998049999997</v>
      </c>
      <c r="C169" s="36">
        <f t="shared" si="8"/>
        <v>5457.5074464000008</v>
      </c>
      <c r="D169" s="36">
        <f t="shared" si="9"/>
        <v>104.19307221326079</v>
      </c>
      <c r="E169" s="40">
        <v>5545.2998049999997</v>
      </c>
      <c r="F169" s="36">
        <f t="shared" si="10"/>
        <v>5665.8935908265221</v>
      </c>
      <c r="G169" s="36">
        <f t="shared" si="11"/>
        <v>5249.1213019734796</v>
      </c>
      <c r="I169" s="40">
        <v>5545.2998049999997</v>
      </c>
      <c r="J169" s="36">
        <v>5665.8935908265221</v>
      </c>
      <c r="K169" s="36">
        <v>5249.1213019734796</v>
      </c>
    </row>
    <row r="170" spans="1:11" x14ac:dyDescent="0.25">
      <c r="A170" s="39">
        <v>40723</v>
      </c>
      <c r="B170" s="36">
        <v>5600.4501950000003</v>
      </c>
      <c r="C170" s="36">
        <f t="shared" si="8"/>
        <v>5457.9299561500002</v>
      </c>
      <c r="D170" s="36">
        <f t="shared" si="9"/>
        <v>104.78261752218631</v>
      </c>
      <c r="E170" s="40">
        <v>5600.4501950000003</v>
      </c>
      <c r="F170" s="36">
        <f t="shared" si="10"/>
        <v>5667.4951911943726</v>
      </c>
      <c r="G170" s="36">
        <f t="shared" si="11"/>
        <v>5248.3647211056277</v>
      </c>
      <c r="I170" s="40">
        <v>5600.4501950000003</v>
      </c>
      <c r="J170" s="36">
        <v>5667.4951911943726</v>
      </c>
      <c r="K170" s="36">
        <v>5248.3647211056277</v>
      </c>
    </row>
    <row r="171" spans="1:11" x14ac:dyDescent="0.25">
      <c r="A171" s="39">
        <v>40724</v>
      </c>
      <c r="B171" s="36">
        <v>5647.3999020000001</v>
      </c>
      <c r="C171" s="36">
        <f t="shared" si="8"/>
        <v>5462.7824463500001</v>
      </c>
      <c r="D171" s="36">
        <f t="shared" si="9"/>
        <v>111.33046736233926</v>
      </c>
      <c r="E171" s="40">
        <v>5647.3999020000001</v>
      </c>
      <c r="F171" s="36">
        <f t="shared" si="10"/>
        <v>5685.4433810746787</v>
      </c>
      <c r="G171" s="36">
        <f t="shared" si="11"/>
        <v>5240.1215116253215</v>
      </c>
      <c r="I171" s="40">
        <v>5647.3999020000001</v>
      </c>
      <c r="J171" s="36">
        <v>5685.4433810746787</v>
      </c>
      <c r="K171" s="36">
        <v>5240.1215116253215</v>
      </c>
    </row>
    <row r="172" spans="1:11" x14ac:dyDescent="0.25">
      <c r="A172" s="39">
        <v>40725</v>
      </c>
      <c r="B172" s="36">
        <v>5627.2001950000003</v>
      </c>
      <c r="C172" s="36">
        <f t="shared" si="8"/>
        <v>5468.3049560999989</v>
      </c>
      <c r="D172" s="36">
        <f t="shared" si="9"/>
        <v>116.75564299325796</v>
      </c>
      <c r="E172" s="40">
        <v>5627.2001950000003</v>
      </c>
      <c r="F172" s="36">
        <f t="shared" si="10"/>
        <v>5701.8162420865146</v>
      </c>
      <c r="G172" s="36">
        <f t="shared" si="11"/>
        <v>5234.7936701134831</v>
      </c>
      <c r="I172" s="40">
        <v>5627.2001950000003</v>
      </c>
      <c r="J172" s="36">
        <v>5701.8162420865146</v>
      </c>
      <c r="K172" s="36">
        <v>5234.7936701134831</v>
      </c>
    </row>
    <row r="173" spans="1:11" x14ac:dyDescent="0.25">
      <c r="A173" s="39">
        <v>40728</v>
      </c>
      <c r="B173" s="36">
        <v>5650.5</v>
      </c>
      <c r="C173" s="36">
        <f t="shared" si="8"/>
        <v>5474.2274658499991</v>
      </c>
      <c r="D173" s="36">
        <f t="shared" si="9"/>
        <v>122.99675414422322</v>
      </c>
      <c r="E173" s="40">
        <v>5650.5</v>
      </c>
      <c r="F173" s="36">
        <f t="shared" si="10"/>
        <v>5720.2209741384459</v>
      </c>
      <c r="G173" s="36">
        <f t="shared" si="11"/>
        <v>5228.2339575615524</v>
      </c>
      <c r="I173" s="40">
        <v>5650.5</v>
      </c>
      <c r="J173" s="36">
        <v>5720.2209741384459</v>
      </c>
      <c r="K173" s="36">
        <v>5228.2339575615524</v>
      </c>
    </row>
    <row r="174" spans="1:11" x14ac:dyDescent="0.25">
      <c r="A174" s="39">
        <v>40729</v>
      </c>
      <c r="B174" s="36">
        <v>5632.1000979999999</v>
      </c>
      <c r="C174" s="36">
        <f t="shared" si="8"/>
        <v>5478.0249756499998</v>
      </c>
      <c r="D174" s="36">
        <f t="shared" si="9"/>
        <v>126.77370844267764</v>
      </c>
      <c r="E174" s="40">
        <v>5632.1000979999999</v>
      </c>
      <c r="F174" s="36">
        <f t="shared" si="10"/>
        <v>5731.572392535355</v>
      </c>
      <c r="G174" s="36">
        <f t="shared" si="11"/>
        <v>5224.4775587646445</v>
      </c>
      <c r="I174" s="40">
        <v>5632.1000979999999</v>
      </c>
      <c r="J174" s="36">
        <v>5731.572392535355</v>
      </c>
      <c r="K174" s="36">
        <v>5224.4775587646445</v>
      </c>
    </row>
    <row r="175" spans="1:11" x14ac:dyDescent="0.25">
      <c r="A175" s="39">
        <v>40730</v>
      </c>
      <c r="B175" s="36">
        <v>5625.4501950000003</v>
      </c>
      <c r="C175" s="36">
        <f t="shared" si="8"/>
        <v>5482.9549804999997</v>
      </c>
      <c r="D175" s="36">
        <f t="shared" si="9"/>
        <v>130.63087683387525</v>
      </c>
      <c r="E175" s="40">
        <v>5625.4501950000003</v>
      </c>
      <c r="F175" s="36">
        <f t="shared" si="10"/>
        <v>5744.2167341677505</v>
      </c>
      <c r="G175" s="36">
        <f t="shared" si="11"/>
        <v>5221.6932268322489</v>
      </c>
      <c r="I175" s="40">
        <v>5625.4501950000003</v>
      </c>
      <c r="J175" s="36">
        <v>5744.2167341677505</v>
      </c>
      <c r="K175" s="36">
        <v>5221.6932268322489</v>
      </c>
    </row>
    <row r="176" spans="1:11" x14ac:dyDescent="0.25">
      <c r="A176" s="39">
        <v>40731</v>
      </c>
      <c r="B176" s="36">
        <v>5728.9501950000003</v>
      </c>
      <c r="C176" s="36">
        <f t="shared" si="8"/>
        <v>5493.35</v>
      </c>
      <c r="D176" s="36">
        <f t="shared" si="9"/>
        <v>141.63061573582365</v>
      </c>
      <c r="E176" s="40">
        <v>5728.9501950000003</v>
      </c>
      <c r="F176" s="36">
        <f t="shared" si="10"/>
        <v>5776.6112314716474</v>
      </c>
      <c r="G176" s="36">
        <f t="shared" si="11"/>
        <v>5210.0887685283533</v>
      </c>
      <c r="I176" s="40">
        <v>5728.9501950000003</v>
      </c>
      <c r="J176" s="36">
        <v>5776.6112314716474</v>
      </c>
      <c r="K176" s="36">
        <v>5210.0887685283533</v>
      </c>
    </row>
    <row r="177" spans="1:11" x14ac:dyDescent="0.25">
      <c r="A177" s="39">
        <v>40732</v>
      </c>
      <c r="B177" s="36">
        <v>5660.6499020000001</v>
      </c>
      <c r="C177" s="36">
        <f t="shared" si="8"/>
        <v>5502.0925048500003</v>
      </c>
      <c r="D177" s="36">
        <f t="shared" si="9"/>
        <v>146.45441520075155</v>
      </c>
      <c r="E177" s="40">
        <v>5660.6499020000001</v>
      </c>
      <c r="F177" s="36">
        <f t="shared" si="10"/>
        <v>5795.0013352515034</v>
      </c>
      <c r="G177" s="36">
        <f t="shared" si="11"/>
        <v>5209.1836744484972</v>
      </c>
      <c r="I177" s="40">
        <v>5660.6499020000001</v>
      </c>
      <c r="J177" s="36">
        <v>5795.0013352515034</v>
      </c>
      <c r="K177" s="36">
        <v>5209.1836744484972</v>
      </c>
    </row>
    <row r="178" spans="1:11" x14ac:dyDescent="0.25">
      <c r="A178" s="39">
        <v>40735</v>
      </c>
      <c r="B178" s="36">
        <v>5616.1000979999999</v>
      </c>
      <c r="C178" s="36">
        <f t="shared" si="8"/>
        <v>5508.7575194999999</v>
      </c>
      <c r="D178" s="36">
        <f t="shared" si="9"/>
        <v>148.54843150100166</v>
      </c>
      <c r="E178" s="40">
        <v>5616.1000979999999</v>
      </c>
      <c r="F178" s="36">
        <f t="shared" si="10"/>
        <v>5805.8543825020033</v>
      </c>
      <c r="G178" s="36">
        <f t="shared" si="11"/>
        <v>5211.6606564979966</v>
      </c>
      <c r="I178" s="40">
        <v>5616.1000979999999</v>
      </c>
      <c r="J178" s="36">
        <v>5805.8543825020033</v>
      </c>
      <c r="K178" s="36">
        <v>5211.6606564979966</v>
      </c>
    </row>
    <row r="179" spans="1:11" x14ac:dyDescent="0.25">
      <c r="A179" s="39">
        <v>40736</v>
      </c>
      <c r="B179" s="36">
        <v>5526.1499020000001</v>
      </c>
      <c r="C179" s="36">
        <f t="shared" si="8"/>
        <v>5510.0400146000002</v>
      </c>
      <c r="D179" s="36">
        <f t="shared" si="9"/>
        <v>148.58410802495365</v>
      </c>
      <c r="E179" s="40">
        <v>5526.1499020000001</v>
      </c>
      <c r="F179" s="36">
        <f t="shared" si="10"/>
        <v>5807.2082306499078</v>
      </c>
      <c r="G179" s="36">
        <f t="shared" si="11"/>
        <v>5212.8717985500925</v>
      </c>
      <c r="I179" s="40">
        <v>5526.1499020000001</v>
      </c>
      <c r="J179" s="36">
        <v>5807.2082306499078</v>
      </c>
      <c r="K179" s="36">
        <v>5212.8717985500925</v>
      </c>
    </row>
    <row r="180" spans="1:11" x14ac:dyDescent="0.25">
      <c r="A180" s="39">
        <v>40737</v>
      </c>
      <c r="B180" s="36">
        <v>5585.4501950000003</v>
      </c>
      <c r="C180" s="36">
        <f t="shared" si="8"/>
        <v>5516.9375243499999</v>
      </c>
      <c r="D180" s="36">
        <f t="shared" si="9"/>
        <v>148.7299628363283</v>
      </c>
      <c r="E180" s="40">
        <v>5585.4501950000003</v>
      </c>
      <c r="F180" s="36">
        <f t="shared" si="10"/>
        <v>5814.3974500226568</v>
      </c>
      <c r="G180" s="36">
        <f t="shared" si="11"/>
        <v>5219.4775986773429</v>
      </c>
      <c r="I180" s="40">
        <v>5585.4501950000003</v>
      </c>
      <c r="J180" s="36">
        <v>5814.3974500226568</v>
      </c>
      <c r="K180" s="36">
        <v>5219.4775986773429</v>
      </c>
    </row>
    <row r="181" spans="1:11" x14ac:dyDescent="0.25">
      <c r="A181" s="39">
        <v>40738</v>
      </c>
      <c r="B181" s="36">
        <v>5512.2998049999997</v>
      </c>
      <c r="C181" s="36">
        <f t="shared" si="8"/>
        <v>5522.7150146000004</v>
      </c>
      <c r="D181" s="36">
        <f t="shared" si="9"/>
        <v>146.03538046799821</v>
      </c>
      <c r="E181" s="40">
        <v>5512.2998049999997</v>
      </c>
      <c r="F181" s="36">
        <f t="shared" si="10"/>
        <v>5814.7857755359964</v>
      </c>
      <c r="G181" s="36">
        <f t="shared" si="11"/>
        <v>5230.6442536640043</v>
      </c>
      <c r="I181" s="40">
        <v>5512.2998049999997</v>
      </c>
      <c r="J181" s="36">
        <v>5814.7857755359964</v>
      </c>
      <c r="K181" s="36">
        <v>5230.6442536640043</v>
      </c>
    </row>
    <row r="182" spans="1:11" x14ac:dyDescent="0.25">
      <c r="A182" s="39">
        <v>40739</v>
      </c>
      <c r="B182" s="36">
        <v>5581.1000979999999</v>
      </c>
      <c r="C182" s="36">
        <f t="shared" si="8"/>
        <v>5533.4500243999992</v>
      </c>
      <c r="D182" s="36">
        <f t="shared" si="9"/>
        <v>141.76888335162738</v>
      </c>
      <c r="E182" s="40">
        <v>5581.1000979999999</v>
      </c>
      <c r="F182" s="36">
        <f t="shared" si="10"/>
        <v>5816.9877911032536</v>
      </c>
      <c r="G182" s="36">
        <f t="shared" si="11"/>
        <v>5249.9122576967447</v>
      </c>
      <c r="I182" s="40">
        <v>5581.1000979999999</v>
      </c>
      <c r="J182" s="36">
        <v>5816.9877911032536</v>
      </c>
      <c r="K182" s="36">
        <v>5249.9122576967447</v>
      </c>
    </row>
    <row r="183" spans="1:11" x14ac:dyDescent="0.25">
      <c r="A183" s="39">
        <v>40742</v>
      </c>
      <c r="B183" s="36">
        <v>5567.0498049999997</v>
      </c>
      <c r="C183" s="36">
        <f t="shared" si="8"/>
        <v>5548.9075195499991</v>
      </c>
      <c r="D183" s="36">
        <f t="shared" si="9"/>
        <v>126.13532866769616</v>
      </c>
      <c r="E183" s="40">
        <v>5567.0498049999997</v>
      </c>
      <c r="F183" s="36">
        <f t="shared" si="10"/>
        <v>5801.1781768853916</v>
      </c>
      <c r="G183" s="36">
        <f t="shared" si="11"/>
        <v>5296.6368622146065</v>
      </c>
      <c r="I183" s="40">
        <v>5567.0498049999997</v>
      </c>
      <c r="J183" s="36">
        <v>5801.1781768853916</v>
      </c>
      <c r="K183" s="36">
        <v>5296.6368622146065</v>
      </c>
    </row>
    <row r="184" spans="1:11" x14ac:dyDescent="0.25">
      <c r="A184" s="39">
        <v>40743</v>
      </c>
      <c r="B184" s="36">
        <v>5613.5498049999997</v>
      </c>
      <c r="C184" s="36">
        <f t="shared" si="8"/>
        <v>5565.7925048999996</v>
      </c>
      <c r="D184" s="36">
        <f t="shared" si="9"/>
        <v>109.1132961706649</v>
      </c>
      <c r="E184" s="40">
        <v>5613.5498049999997</v>
      </c>
      <c r="F184" s="36">
        <f t="shared" si="10"/>
        <v>5784.0190972413293</v>
      </c>
      <c r="G184" s="36">
        <f t="shared" si="11"/>
        <v>5347.5659125586699</v>
      </c>
      <c r="I184" s="40">
        <v>5613.5498049999997</v>
      </c>
      <c r="J184" s="36">
        <v>5784.0190972413293</v>
      </c>
      <c r="K184" s="36">
        <v>5347.5659125586699</v>
      </c>
    </row>
    <row r="185" spans="1:11" x14ac:dyDescent="0.25">
      <c r="A185" s="39">
        <v>40744</v>
      </c>
      <c r="B185" s="36">
        <v>5567.0498049999997</v>
      </c>
      <c r="C185" s="36">
        <f t="shared" si="8"/>
        <v>5580.2300048999996</v>
      </c>
      <c r="D185" s="36">
        <f t="shared" si="9"/>
        <v>85.652055251116906</v>
      </c>
      <c r="E185" s="40">
        <v>5567.0498049999997</v>
      </c>
      <c r="F185" s="36">
        <f t="shared" si="10"/>
        <v>5751.5341154022335</v>
      </c>
      <c r="G185" s="36">
        <f t="shared" si="11"/>
        <v>5408.9258943977657</v>
      </c>
      <c r="I185" s="40">
        <v>5567.0498049999997</v>
      </c>
      <c r="J185" s="36">
        <v>5751.5341154022335</v>
      </c>
      <c r="K185" s="36">
        <v>5408.9258943977657</v>
      </c>
    </row>
    <row r="186" spans="1:11" x14ac:dyDescent="0.25">
      <c r="A186" s="39">
        <v>40745</v>
      </c>
      <c r="B186" s="36">
        <v>5541.6000979999999</v>
      </c>
      <c r="C186" s="36">
        <f t="shared" si="8"/>
        <v>5591.3100097999995</v>
      </c>
      <c r="D186" s="36">
        <f t="shared" si="9"/>
        <v>61.003235846545337</v>
      </c>
      <c r="E186" s="40">
        <v>5541.6000979999999</v>
      </c>
      <c r="F186" s="36">
        <f t="shared" si="10"/>
        <v>5713.3164814930906</v>
      </c>
      <c r="G186" s="36">
        <f t="shared" si="11"/>
        <v>5469.3035381069085</v>
      </c>
      <c r="I186" s="40">
        <v>5541.6000979999999</v>
      </c>
      <c r="J186" s="36">
        <v>5713.3164814930906</v>
      </c>
      <c r="K186" s="36">
        <v>5469.3035381069085</v>
      </c>
    </row>
    <row r="187" spans="1:11" x14ac:dyDescent="0.25">
      <c r="A187" s="39">
        <v>40746</v>
      </c>
      <c r="B187" s="36">
        <v>5633.9501950000003</v>
      </c>
      <c r="C187" s="36">
        <f t="shared" si="8"/>
        <v>5599.4450195499994</v>
      </c>
      <c r="D187" s="36">
        <f t="shared" si="9"/>
        <v>54.669684016732312</v>
      </c>
      <c r="E187" s="40">
        <v>5633.9501950000003</v>
      </c>
      <c r="F187" s="36">
        <f t="shared" si="10"/>
        <v>5708.7843875834642</v>
      </c>
      <c r="G187" s="36">
        <f t="shared" si="11"/>
        <v>5490.1056515165346</v>
      </c>
      <c r="I187" s="40">
        <v>5633.9501950000003</v>
      </c>
      <c r="J187" s="36">
        <v>5708.7843875834642</v>
      </c>
      <c r="K187" s="36">
        <v>5490.1056515165346</v>
      </c>
    </row>
    <row r="188" spans="1:11" x14ac:dyDescent="0.25">
      <c r="A188" s="39">
        <v>40749</v>
      </c>
      <c r="B188" s="36">
        <v>5680.2998049999997</v>
      </c>
      <c r="C188" s="36">
        <f t="shared" si="8"/>
        <v>5607.1300049000001</v>
      </c>
      <c r="D188" s="36">
        <f t="shared" si="9"/>
        <v>54.693714830501072</v>
      </c>
      <c r="E188" s="40">
        <v>5680.2998049999997</v>
      </c>
      <c r="F188" s="36">
        <f t="shared" si="10"/>
        <v>5716.5174345610021</v>
      </c>
      <c r="G188" s="36">
        <f t="shared" si="11"/>
        <v>5497.7425752389981</v>
      </c>
      <c r="I188" s="40">
        <v>5680.2998049999997</v>
      </c>
      <c r="J188" s="36">
        <v>5716.5174345610021</v>
      </c>
      <c r="K188" s="36">
        <v>5497.7425752389981</v>
      </c>
    </row>
    <row r="189" spans="1:11" x14ac:dyDescent="0.25">
      <c r="A189" s="39">
        <v>40750</v>
      </c>
      <c r="B189" s="36">
        <v>5574.8500979999999</v>
      </c>
      <c r="C189" s="36">
        <f t="shared" si="8"/>
        <v>5608.6075195499998</v>
      </c>
      <c r="D189" s="36">
        <f t="shared" si="9"/>
        <v>53.317324219304702</v>
      </c>
      <c r="E189" s="40">
        <v>5574.8500979999999</v>
      </c>
      <c r="F189" s="36">
        <f t="shared" si="10"/>
        <v>5715.2421679886093</v>
      </c>
      <c r="G189" s="36">
        <f t="shared" si="11"/>
        <v>5501.9728711113903</v>
      </c>
      <c r="I189" s="40">
        <v>5574.8500979999999</v>
      </c>
      <c r="J189" s="36">
        <v>5715.2421679886093</v>
      </c>
      <c r="K189" s="36">
        <v>5501.9728711113903</v>
      </c>
    </row>
    <row r="190" spans="1:11" x14ac:dyDescent="0.25">
      <c r="A190" s="39">
        <v>40751</v>
      </c>
      <c r="B190" s="36">
        <v>5546.7998049999997</v>
      </c>
      <c r="C190" s="36">
        <f t="shared" si="8"/>
        <v>5605.9250000499997</v>
      </c>
      <c r="D190" s="36">
        <f t="shared" si="9"/>
        <v>55.07016461939849</v>
      </c>
      <c r="E190" s="40">
        <v>5546.7998049999997</v>
      </c>
      <c r="F190" s="36">
        <f t="shared" si="10"/>
        <v>5716.0653292887964</v>
      </c>
      <c r="G190" s="36">
        <f t="shared" si="11"/>
        <v>5495.7846708112029</v>
      </c>
      <c r="I190" s="40">
        <v>5546.7998049999997</v>
      </c>
      <c r="J190" s="36">
        <v>5716.0653292887964</v>
      </c>
      <c r="K190" s="36">
        <v>5495.7846708112029</v>
      </c>
    </row>
    <row r="191" spans="1:11" x14ac:dyDescent="0.25">
      <c r="A191" s="39">
        <v>40752</v>
      </c>
      <c r="B191" s="36">
        <v>5487.75</v>
      </c>
      <c r="C191" s="36">
        <f t="shared" si="8"/>
        <v>5597.9425049500005</v>
      </c>
      <c r="D191" s="36">
        <f t="shared" si="9"/>
        <v>60.084368830560706</v>
      </c>
      <c r="E191" s="40">
        <v>5487.75</v>
      </c>
      <c r="F191" s="36">
        <f t="shared" si="10"/>
        <v>5718.1112426111222</v>
      </c>
      <c r="G191" s="36">
        <f t="shared" si="11"/>
        <v>5477.7737672888788</v>
      </c>
      <c r="I191" s="40">
        <v>5487.75</v>
      </c>
      <c r="J191" s="36">
        <v>5718.1112426111222</v>
      </c>
      <c r="K191" s="36">
        <v>5477.7737672888788</v>
      </c>
    </row>
    <row r="192" spans="1:11" x14ac:dyDescent="0.25">
      <c r="A192" s="39">
        <v>40753</v>
      </c>
      <c r="B192" s="36">
        <v>5482</v>
      </c>
      <c r="C192" s="36">
        <f t="shared" si="8"/>
        <v>5590.6824952000006</v>
      </c>
      <c r="D192" s="36">
        <f t="shared" si="9"/>
        <v>64.939240174013989</v>
      </c>
      <c r="E192" s="40">
        <v>5482</v>
      </c>
      <c r="F192" s="36">
        <f t="shared" si="10"/>
        <v>5720.5609755480282</v>
      </c>
      <c r="G192" s="36">
        <f t="shared" si="11"/>
        <v>5460.8040148519731</v>
      </c>
      <c r="I192" s="40">
        <v>5482</v>
      </c>
      <c r="J192" s="36">
        <v>5720.5609755480282</v>
      </c>
      <c r="K192" s="36">
        <v>5460.8040148519731</v>
      </c>
    </row>
    <row r="193" spans="1:11" x14ac:dyDescent="0.25">
      <c r="A193" s="39">
        <v>40756</v>
      </c>
      <c r="B193" s="36">
        <v>5516.7998049999997</v>
      </c>
      <c r="C193" s="36">
        <f t="shared" si="8"/>
        <v>5583.9974854500006</v>
      </c>
      <c r="D193" s="36">
        <f t="shared" si="9"/>
        <v>65.337876617474663</v>
      </c>
      <c r="E193" s="40">
        <v>5516.7998049999997</v>
      </c>
      <c r="F193" s="36">
        <f t="shared" si="10"/>
        <v>5714.6732386849499</v>
      </c>
      <c r="G193" s="36">
        <f t="shared" si="11"/>
        <v>5453.3217322150513</v>
      </c>
      <c r="I193" s="40">
        <v>5516.7998049999997</v>
      </c>
      <c r="J193" s="36">
        <v>5714.6732386849499</v>
      </c>
      <c r="K193" s="36">
        <v>5453.3217322150513</v>
      </c>
    </row>
    <row r="194" spans="1:11" x14ac:dyDescent="0.25">
      <c r="A194" s="39">
        <v>40757</v>
      </c>
      <c r="B194" s="36">
        <v>5456.5498049999997</v>
      </c>
      <c r="C194" s="36">
        <f t="shared" si="8"/>
        <v>5575.2199708000007</v>
      </c>
      <c r="D194" s="36">
        <f t="shared" si="9"/>
        <v>70.150169353457727</v>
      </c>
      <c r="E194" s="40">
        <v>5456.5498049999997</v>
      </c>
      <c r="F194" s="36">
        <f t="shared" si="10"/>
        <v>5715.5203095069164</v>
      </c>
      <c r="G194" s="36">
        <f t="shared" si="11"/>
        <v>5434.9196320930851</v>
      </c>
      <c r="I194" s="40">
        <v>5456.5498049999997</v>
      </c>
      <c r="J194" s="36">
        <v>5715.5203095069164</v>
      </c>
      <c r="K194" s="36">
        <v>5434.9196320930851</v>
      </c>
    </row>
    <row r="195" spans="1:11" x14ac:dyDescent="0.25">
      <c r="A195" s="39">
        <v>40758</v>
      </c>
      <c r="B195" s="36">
        <v>5404.7998049999997</v>
      </c>
      <c r="C195" s="36">
        <f t="shared" si="8"/>
        <v>5564.1874513000012</v>
      </c>
      <c r="D195" s="36">
        <f t="shared" si="9"/>
        <v>78.668360089353925</v>
      </c>
      <c r="E195" s="40">
        <v>5404.7998049999997</v>
      </c>
      <c r="F195" s="36">
        <f t="shared" si="10"/>
        <v>5721.5241714787089</v>
      </c>
      <c r="G195" s="36">
        <f t="shared" si="11"/>
        <v>5406.8507311212934</v>
      </c>
      <c r="I195" s="40">
        <v>5404.7998049999997</v>
      </c>
      <c r="J195" s="36">
        <v>5721.5241714787089</v>
      </c>
      <c r="K195" s="36">
        <v>5406.8507311212934</v>
      </c>
    </row>
    <row r="196" spans="1:11" x14ac:dyDescent="0.25">
      <c r="A196" s="39">
        <v>40759</v>
      </c>
      <c r="B196" s="36">
        <v>5331.7998049999997</v>
      </c>
      <c r="C196" s="36">
        <f t="shared" si="8"/>
        <v>5544.3299318000008</v>
      </c>
      <c r="D196" s="36">
        <f t="shared" si="9"/>
        <v>84.777213153455193</v>
      </c>
      <c r="E196" s="40">
        <v>5331.7998049999997</v>
      </c>
      <c r="F196" s="36">
        <f t="shared" si="10"/>
        <v>5713.8843581069113</v>
      </c>
      <c r="G196" s="36">
        <f t="shared" si="11"/>
        <v>5374.7755054930903</v>
      </c>
      <c r="I196" s="40">
        <v>5331.7998049999997</v>
      </c>
      <c r="J196" s="36">
        <v>5713.8843581069113</v>
      </c>
      <c r="K196" s="36">
        <v>5374.7755054930903</v>
      </c>
    </row>
    <row r="197" spans="1:11" x14ac:dyDescent="0.25">
      <c r="A197" s="39">
        <v>40760</v>
      </c>
      <c r="B197" s="36">
        <v>5211.25</v>
      </c>
      <c r="C197" s="36">
        <f t="shared" si="8"/>
        <v>5521.8599367000006</v>
      </c>
      <c r="D197" s="36">
        <f t="shared" si="9"/>
        <v>108.5478874278523</v>
      </c>
      <c r="E197" s="40">
        <v>5211.25</v>
      </c>
      <c r="F197" s="36">
        <f t="shared" si="10"/>
        <v>5738.9557115557054</v>
      </c>
      <c r="G197" s="36">
        <f t="shared" si="11"/>
        <v>5304.7641618442958</v>
      </c>
      <c r="I197" s="40">
        <v>5211.25</v>
      </c>
      <c r="J197" s="36">
        <v>5738.9557115557054</v>
      </c>
      <c r="K197" s="36">
        <v>5304.7641618442958</v>
      </c>
    </row>
    <row r="198" spans="1:11" x14ac:dyDescent="0.25">
      <c r="A198" s="39">
        <v>40763</v>
      </c>
      <c r="B198" s="36">
        <v>5118.5</v>
      </c>
      <c r="C198" s="36">
        <f t="shared" si="8"/>
        <v>5496.9799318000005</v>
      </c>
      <c r="D198" s="36">
        <f t="shared" si="9"/>
        <v>138.66050382370713</v>
      </c>
      <c r="E198" s="40">
        <v>5118.5</v>
      </c>
      <c r="F198" s="36">
        <f t="shared" si="10"/>
        <v>5774.3009394474147</v>
      </c>
      <c r="G198" s="36">
        <f t="shared" si="11"/>
        <v>5219.6589241525862</v>
      </c>
      <c r="I198" s="40">
        <v>5118.5</v>
      </c>
      <c r="J198" s="36">
        <v>5774.3009394474147</v>
      </c>
      <c r="K198" s="36">
        <v>5219.6589241525862</v>
      </c>
    </row>
    <row r="199" spans="1:11" x14ac:dyDescent="0.25">
      <c r="A199" s="39">
        <v>40764</v>
      </c>
      <c r="B199" s="36">
        <v>5072.8500979999999</v>
      </c>
      <c r="C199" s="36">
        <f t="shared" si="8"/>
        <v>5474.3149415999997</v>
      </c>
      <c r="D199" s="36">
        <f t="shared" si="9"/>
        <v>167.65710059753482</v>
      </c>
      <c r="E199" s="40">
        <v>5072.8500979999999</v>
      </c>
      <c r="F199" s="36">
        <f t="shared" si="10"/>
        <v>5809.6291427950691</v>
      </c>
      <c r="G199" s="36">
        <f t="shared" si="11"/>
        <v>5139.0007404049302</v>
      </c>
      <c r="I199" s="40">
        <v>5072.8500979999999</v>
      </c>
      <c r="J199" s="36">
        <v>5809.6291427950691</v>
      </c>
      <c r="K199" s="36">
        <v>5139.0007404049302</v>
      </c>
    </row>
    <row r="200" spans="1:11" x14ac:dyDescent="0.25">
      <c r="A200" s="39">
        <v>40765</v>
      </c>
      <c r="B200" s="36">
        <v>5161</v>
      </c>
      <c r="C200" s="36">
        <f t="shared" si="8"/>
        <v>5453.092431850001</v>
      </c>
      <c r="D200" s="36">
        <f t="shared" si="9"/>
        <v>179.3080962029232</v>
      </c>
      <c r="E200" s="40">
        <v>5161</v>
      </c>
      <c r="F200" s="36">
        <f t="shared" si="10"/>
        <v>5811.7086242558471</v>
      </c>
      <c r="G200" s="36">
        <f t="shared" si="11"/>
        <v>5094.476239444155</v>
      </c>
      <c r="I200" s="40">
        <v>5161</v>
      </c>
      <c r="J200" s="36">
        <v>5811.7086242558471</v>
      </c>
      <c r="K200" s="36">
        <v>5094.476239444155</v>
      </c>
    </row>
    <row r="201" spans="1:11" x14ac:dyDescent="0.25">
      <c r="A201" s="39">
        <v>40766</v>
      </c>
      <c r="B201" s="36">
        <v>5138.2998049999997</v>
      </c>
      <c r="C201" s="36">
        <f t="shared" si="8"/>
        <v>5434.3924318500003</v>
      </c>
      <c r="D201" s="36">
        <f t="shared" si="9"/>
        <v>191.87050989750171</v>
      </c>
      <c r="E201" s="40">
        <v>5138.2998049999997</v>
      </c>
      <c r="F201" s="36">
        <f t="shared" si="10"/>
        <v>5818.1334516450033</v>
      </c>
      <c r="G201" s="36">
        <f t="shared" si="11"/>
        <v>5050.6514120549973</v>
      </c>
      <c r="I201" s="40">
        <v>5138.2998049999997</v>
      </c>
      <c r="J201" s="36">
        <v>5818.1334516450033</v>
      </c>
      <c r="K201" s="36">
        <v>5050.6514120549973</v>
      </c>
    </row>
    <row r="202" spans="1:11" x14ac:dyDescent="0.25">
      <c r="A202" s="39">
        <v>40767</v>
      </c>
      <c r="B202" s="36">
        <v>5072.9501950000003</v>
      </c>
      <c r="C202" s="36">
        <f t="shared" si="8"/>
        <v>5408.9849367000006</v>
      </c>
      <c r="D202" s="36">
        <f t="shared" si="9"/>
        <v>204.64064702407697</v>
      </c>
      <c r="E202" s="40">
        <v>5072.9501950000003</v>
      </c>
      <c r="F202" s="36">
        <f t="shared" si="10"/>
        <v>5818.2662307481542</v>
      </c>
      <c r="G202" s="36">
        <f t="shared" si="11"/>
        <v>4999.7036426518471</v>
      </c>
      <c r="I202" s="40">
        <v>5072.9501950000003</v>
      </c>
      <c r="J202" s="36">
        <v>5818.2662307481542</v>
      </c>
      <c r="K202" s="36">
        <v>4999.7036426518471</v>
      </c>
    </row>
    <row r="203" spans="1:11" x14ac:dyDescent="0.25">
      <c r="A203" s="39">
        <v>40771</v>
      </c>
      <c r="B203" s="36">
        <v>5035.7998049999997</v>
      </c>
      <c r="C203" s="36">
        <f t="shared" si="8"/>
        <v>5382.4224367000006</v>
      </c>
      <c r="D203" s="36">
        <f t="shared" si="9"/>
        <v>217.14043547903503</v>
      </c>
      <c r="E203" s="40">
        <v>5035.7998049999997</v>
      </c>
      <c r="F203" s="36">
        <f t="shared" si="10"/>
        <v>5816.703307658071</v>
      </c>
      <c r="G203" s="36">
        <f t="shared" si="11"/>
        <v>4948.1415657419302</v>
      </c>
      <c r="I203" s="40">
        <v>5035.7998049999997</v>
      </c>
      <c r="J203" s="36">
        <v>5816.703307658071</v>
      </c>
      <c r="K203" s="36">
        <v>4948.1415657419302</v>
      </c>
    </row>
    <row r="204" spans="1:11" x14ac:dyDescent="0.25">
      <c r="A204" s="39">
        <v>40772</v>
      </c>
      <c r="B204" s="36">
        <v>5056.6000979999999</v>
      </c>
      <c r="C204" s="36">
        <f t="shared" si="8"/>
        <v>5354.5749513499995</v>
      </c>
      <c r="D204" s="36">
        <f t="shared" si="9"/>
        <v>221.60658513072914</v>
      </c>
      <c r="E204" s="40">
        <v>5056.6000979999999</v>
      </c>
      <c r="F204" s="36">
        <f t="shared" si="10"/>
        <v>5797.7881216114574</v>
      </c>
      <c r="G204" s="36">
        <f t="shared" si="11"/>
        <v>4911.3617810885416</v>
      </c>
      <c r="I204" s="40">
        <v>5056.6000979999999</v>
      </c>
      <c r="J204" s="36">
        <v>5797.7881216114574</v>
      </c>
      <c r="K204" s="36">
        <v>4911.3617810885416</v>
      </c>
    </row>
    <row r="205" spans="1:11" x14ac:dyDescent="0.25">
      <c r="A205" s="39">
        <v>40773</v>
      </c>
      <c r="B205" s="36">
        <v>4944.1499020000001</v>
      </c>
      <c r="C205" s="36">
        <f t="shared" si="8"/>
        <v>5323.4299561999997</v>
      </c>
      <c r="D205" s="36">
        <f t="shared" si="9"/>
        <v>233.61946522803743</v>
      </c>
      <c r="E205" s="40">
        <v>4944.1499020000001</v>
      </c>
      <c r="F205" s="36">
        <f t="shared" si="10"/>
        <v>5790.6688866560744</v>
      </c>
      <c r="G205" s="36">
        <f t="shared" si="11"/>
        <v>4856.1910257439249</v>
      </c>
      <c r="I205" s="40">
        <v>4944.1499020000001</v>
      </c>
      <c r="J205" s="36">
        <v>5790.6688866560744</v>
      </c>
      <c r="K205" s="36">
        <v>4856.1910257439249</v>
      </c>
    </row>
    <row r="206" spans="1:11" x14ac:dyDescent="0.25">
      <c r="A206" s="39">
        <v>40774</v>
      </c>
      <c r="B206" s="36">
        <v>4845.6499020000001</v>
      </c>
      <c r="C206" s="36">
        <f t="shared" si="8"/>
        <v>5288.6324464000008</v>
      </c>
      <c r="D206" s="36">
        <f t="shared" si="9"/>
        <v>250.62461673817134</v>
      </c>
      <c r="E206" s="40">
        <v>4845.6499020000001</v>
      </c>
      <c r="F206" s="36">
        <f t="shared" si="10"/>
        <v>5789.8816798763437</v>
      </c>
      <c r="G206" s="36">
        <f t="shared" si="11"/>
        <v>4787.383212923658</v>
      </c>
      <c r="I206" s="40">
        <v>4845.6499020000001</v>
      </c>
      <c r="J206" s="36">
        <v>5789.8816798763437</v>
      </c>
      <c r="K206" s="36">
        <v>4787.383212923658</v>
      </c>
    </row>
    <row r="207" spans="1:11" x14ac:dyDescent="0.25">
      <c r="A207" s="39">
        <v>40777</v>
      </c>
      <c r="B207" s="36">
        <v>4898.7998049999997</v>
      </c>
      <c r="C207" s="36">
        <f t="shared" si="8"/>
        <v>5251.8749269000009</v>
      </c>
      <c r="D207" s="36">
        <f t="shared" si="9"/>
        <v>251.22270553967604</v>
      </c>
      <c r="E207" s="40">
        <v>4898.7998049999997</v>
      </c>
      <c r="F207" s="36">
        <f t="shared" si="10"/>
        <v>5754.3203379793531</v>
      </c>
      <c r="G207" s="36">
        <f t="shared" si="11"/>
        <v>4749.4295158206487</v>
      </c>
      <c r="I207" s="40">
        <v>4898.7998049999997</v>
      </c>
      <c r="J207" s="36">
        <v>5754.3203379793531</v>
      </c>
      <c r="K207" s="36">
        <v>4749.4295158206487</v>
      </c>
    </row>
    <row r="208" spans="1:11" x14ac:dyDescent="0.25">
      <c r="A208" s="39">
        <v>40778</v>
      </c>
      <c r="B208" s="36">
        <v>4948.8999020000001</v>
      </c>
      <c r="C208" s="36">
        <f t="shared" si="8"/>
        <v>5215.3049317500008</v>
      </c>
      <c r="D208" s="36">
        <f t="shared" si="9"/>
        <v>238.48676521014258</v>
      </c>
      <c r="E208" s="40">
        <v>4948.8999020000001</v>
      </c>
      <c r="F208" s="36">
        <f t="shared" si="10"/>
        <v>5692.2784621702858</v>
      </c>
      <c r="G208" s="36">
        <f t="shared" si="11"/>
        <v>4738.3314013297158</v>
      </c>
      <c r="I208" s="40">
        <v>4948.8999020000001</v>
      </c>
      <c r="J208" s="36">
        <v>5692.2784621702858</v>
      </c>
      <c r="K208" s="36">
        <v>4738.3314013297158</v>
      </c>
    </row>
    <row r="209" spans="1:11" x14ac:dyDescent="0.25">
      <c r="A209" s="39">
        <v>40779</v>
      </c>
      <c r="B209" s="36">
        <v>4888.8999020000001</v>
      </c>
      <c r="C209" s="36">
        <f t="shared" si="8"/>
        <v>5181.0074219500011</v>
      </c>
      <c r="D209" s="36">
        <f t="shared" si="9"/>
        <v>233.32650939360673</v>
      </c>
      <c r="E209" s="40">
        <v>4888.8999020000001</v>
      </c>
      <c r="F209" s="36">
        <f t="shared" si="10"/>
        <v>5647.6604407372142</v>
      </c>
      <c r="G209" s="36">
        <f t="shared" si="11"/>
        <v>4714.354403162788</v>
      </c>
      <c r="I209" s="40">
        <v>4888.8999020000001</v>
      </c>
      <c r="J209" s="36">
        <v>5647.6604407372142</v>
      </c>
      <c r="K209" s="36">
        <v>4714.354403162788</v>
      </c>
    </row>
    <row r="210" spans="1:11" x14ac:dyDescent="0.25">
      <c r="A210" s="39">
        <v>40780</v>
      </c>
      <c r="B210" s="36">
        <v>4839.6000979999999</v>
      </c>
      <c r="C210" s="36">
        <f t="shared" si="8"/>
        <v>5145.6474366000002</v>
      </c>
      <c r="D210" s="36">
        <f t="shared" si="9"/>
        <v>228.51146024474758</v>
      </c>
      <c r="E210" s="40">
        <v>4839.6000979999999</v>
      </c>
      <c r="F210" s="36">
        <f t="shared" si="10"/>
        <v>5602.6703570894952</v>
      </c>
      <c r="G210" s="36">
        <f t="shared" si="11"/>
        <v>4688.6245161105053</v>
      </c>
      <c r="I210" s="40">
        <v>4839.6000979999999</v>
      </c>
      <c r="J210" s="36">
        <v>5602.6703570894952</v>
      </c>
      <c r="K210" s="36">
        <v>4688.6245161105053</v>
      </c>
    </row>
    <row r="211" spans="1:11" x14ac:dyDescent="0.25">
      <c r="A211" s="39">
        <v>40781</v>
      </c>
      <c r="B211" s="36">
        <v>4747.7998049999997</v>
      </c>
      <c r="C211" s="36">
        <f t="shared" si="8"/>
        <v>5108.6499268500011</v>
      </c>
      <c r="D211" s="36">
        <f t="shared" si="9"/>
        <v>230.1034688696875</v>
      </c>
      <c r="E211" s="40">
        <v>4747.7998049999997</v>
      </c>
      <c r="F211" s="36">
        <f t="shared" si="10"/>
        <v>5568.8568645893756</v>
      </c>
      <c r="G211" s="36">
        <f t="shared" si="11"/>
        <v>4648.4429891106265</v>
      </c>
      <c r="I211" s="40">
        <v>4747.7998049999997</v>
      </c>
      <c r="J211" s="36">
        <v>5568.8568645893756</v>
      </c>
      <c r="K211" s="36">
        <v>4648.4429891106265</v>
      </c>
    </row>
    <row r="212" spans="1:11" x14ac:dyDescent="0.25">
      <c r="A212" s="39">
        <v>40784</v>
      </c>
      <c r="B212" s="36">
        <v>4919.6000979999999</v>
      </c>
      <c r="C212" s="36">
        <f t="shared" si="8"/>
        <v>5080.5299317500012</v>
      </c>
      <c r="D212" s="36">
        <f t="shared" si="9"/>
        <v>216.00918590482325</v>
      </c>
      <c r="E212" s="40">
        <v>4919.6000979999999</v>
      </c>
      <c r="F212" s="36">
        <f t="shared" si="10"/>
        <v>5512.548303559648</v>
      </c>
      <c r="G212" s="36">
        <f t="shared" si="11"/>
        <v>4648.5115599403543</v>
      </c>
      <c r="I212" s="40">
        <v>4919.6000979999999</v>
      </c>
      <c r="J212" s="36">
        <v>5512.548303559648</v>
      </c>
      <c r="K212" s="36">
        <v>4648.5115599403543</v>
      </c>
    </row>
    <row r="213" spans="1:11" x14ac:dyDescent="0.25">
      <c r="A213" s="39">
        <v>40785</v>
      </c>
      <c r="B213" s="36">
        <v>5001</v>
      </c>
      <c r="C213" s="36">
        <f t="shared" si="8"/>
        <v>5054.7399415000009</v>
      </c>
      <c r="D213" s="36">
        <f t="shared" si="9"/>
        <v>190.46073435732683</v>
      </c>
      <c r="E213" s="40">
        <v>5001</v>
      </c>
      <c r="F213" s="36">
        <f t="shared" si="10"/>
        <v>5435.6614102146541</v>
      </c>
      <c r="G213" s="36">
        <f t="shared" si="11"/>
        <v>4673.8184727853477</v>
      </c>
      <c r="I213" s="40">
        <v>5001</v>
      </c>
      <c r="J213" s="36">
        <v>5435.6614102146541</v>
      </c>
      <c r="K213" s="36">
        <v>4673.8184727853477</v>
      </c>
    </row>
    <row r="214" spans="1:11" x14ac:dyDescent="0.25">
      <c r="A214" s="39">
        <v>40788</v>
      </c>
      <c r="B214" s="36">
        <v>5040</v>
      </c>
      <c r="C214" s="36">
        <f t="shared" ref="C214:C277" si="12">AVERAGE(B195:B214)</f>
        <v>5033.9124512500002</v>
      </c>
      <c r="D214" s="36">
        <f t="shared" ref="D214:D277" si="13">_xlfn.STDEV.S(B195:B214)</f>
        <v>165.32598544024444</v>
      </c>
      <c r="E214" s="40">
        <v>5040</v>
      </c>
      <c r="F214" s="36">
        <f t="shared" ref="F214:F277" si="14">C214+2*D214</f>
        <v>5364.5644221304892</v>
      </c>
      <c r="G214" s="36">
        <f t="shared" ref="G214:G277" si="15">C214-2*D214</f>
        <v>4703.2604803695112</v>
      </c>
      <c r="I214" s="40">
        <v>5040</v>
      </c>
      <c r="J214" s="36">
        <v>5364.5644221304892</v>
      </c>
      <c r="K214" s="36">
        <v>4703.2604803695112</v>
      </c>
    </row>
    <row r="215" spans="1:11" x14ac:dyDescent="0.25">
      <c r="A215" s="39">
        <v>40791</v>
      </c>
      <c r="B215" s="36">
        <v>5017.2001950000003</v>
      </c>
      <c r="C215" s="36">
        <f t="shared" si="12"/>
        <v>5014.5324707499994</v>
      </c>
      <c r="D215" s="36">
        <f t="shared" si="13"/>
        <v>140.40001972327997</v>
      </c>
      <c r="E215" s="40">
        <v>5017.2001950000003</v>
      </c>
      <c r="F215" s="36">
        <f t="shared" si="14"/>
        <v>5295.3325101965593</v>
      </c>
      <c r="G215" s="36">
        <f t="shared" si="15"/>
        <v>4733.7324313034396</v>
      </c>
      <c r="I215" s="40">
        <v>5017.2001950000003</v>
      </c>
      <c r="J215" s="36">
        <v>5295.3325101965593</v>
      </c>
      <c r="K215" s="36">
        <v>4733.7324313034396</v>
      </c>
    </row>
    <row r="216" spans="1:11" x14ac:dyDescent="0.25">
      <c r="A216" s="39">
        <v>40792</v>
      </c>
      <c r="B216" s="36">
        <v>5064.2998049999997</v>
      </c>
      <c r="C216" s="36">
        <f t="shared" si="12"/>
        <v>5001.1574707499994</v>
      </c>
      <c r="D216" s="36">
        <f t="shared" si="13"/>
        <v>119.81818658720979</v>
      </c>
      <c r="E216" s="40">
        <v>5064.2998049999997</v>
      </c>
      <c r="F216" s="36">
        <f t="shared" si="14"/>
        <v>5240.793843924419</v>
      </c>
      <c r="G216" s="36">
        <f t="shared" si="15"/>
        <v>4761.5210975755799</v>
      </c>
      <c r="I216" s="40">
        <v>5064.2998049999997</v>
      </c>
      <c r="J216" s="36">
        <v>5240.793843924419</v>
      </c>
      <c r="K216" s="36">
        <v>4761.5210975755799</v>
      </c>
    </row>
    <row r="217" spans="1:11" x14ac:dyDescent="0.25">
      <c r="A217" s="39">
        <v>40793</v>
      </c>
      <c r="B217" s="36">
        <v>5124.6499020000001</v>
      </c>
      <c r="C217" s="36">
        <f t="shared" si="12"/>
        <v>4996.8274658499995</v>
      </c>
      <c r="D217" s="36">
        <f t="shared" si="13"/>
        <v>113.20872427432771</v>
      </c>
      <c r="E217" s="40">
        <v>5124.6499020000001</v>
      </c>
      <c r="F217" s="36">
        <f t="shared" si="14"/>
        <v>5223.2449143986551</v>
      </c>
      <c r="G217" s="36">
        <f t="shared" si="15"/>
        <v>4770.4100173013439</v>
      </c>
      <c r="I217" s="40">
        <v>5124.6499020000001</v>
      </c>
      <c r="J217" s="36">
        <v>5223.2449143986551</v>
      </c>
      <c r="K217" s="36">
        <v>4770.4100173013439</v>
      </c>
    </row>
    <row r="218" spans="1:11" x14ac:dyDescent="0.25">
      <c r="A218" s="39">
        <v>40794</v>
      </c>
      <c r="B218" s="36">
        <v>5153.25</v>
      </c>
      <c r="C218" s="36">
        <f t="shared" si="12"/>
        <v>4998.5649658499997</v>
      </c>
      <c r="D218" s="36">
        <f t="shared" si="13"/>
        <v>115.41949011803112</v>
      </c>
      <c r="E218" s="40">
        <v>5153.25</v>
      </c>
      <c r="F218" s="36">
        <f t="shared" si="14"/>
        <v>5229.4039460860622</v>
      </c>
      <c r="G218" s="36">
        <f t="shared" si="15"/>
        <v>4767.7259856139372</v>
      </c>
      <c r="I218" s="40">
        <v>5153.25</v>
      </c>
      <c r="J218" s="36">
        <v>5229.4039460860622</v>
      </c>
      <c r="K218" s="36">
        <v>4767.7259856139372</v>
      </c>
    </row>
    <row r="219" spans="1:11" x14ac:dyDescent="0.25">
      <c r="A219" s="39">
        <v>40795</v>
      </c>
      <c r="B219" s="36">
        <v>5059.4501950000003</v>
      </c>
      <c r="C219" s="36">
        <f t="shared" si="12"/>
        <v>4997.8949707000002</v>
      </c>
      <c r="D219" s="36">
        <f t="shared" si="13"/>
        <v>115.00372252169745</v>
      </c>
      <c r="E219" s="40">
        <v>5059.4501950000003</v>
      </c>
      <c r="F219" s="36">
        <f t="shared" si="14"/>
        <v>5227.9024157433951</v>
      </c>
      <c r="G219" s="36">
        <f t="shared" si="15"/>
        <v>4767.8875256566052</v>
      </c>
      <c r="I219" s="40">
        <v>5059.4501950000003</v>
      </c>
      <c r="J219" s="36">
        <v>5227.9024157433951</v>
      </c>
      <c r="K219" s="36">
        <v>4767.8875256566052</v>
      </c>
    </row>
    <row r="220" spans="1:11" x14ac:dyDescent="0.25">
      <c r="A220" s="39">
        <v>40798</v>
      </c>
      <c r="B220" s="36">
        <v>4946.7998049999997</v>
      </c>
      <c r="C220" s="36">
        <f t="shared" si="12"/>
        <v>4987.1849609500005</v>
      </c>
      <c r="D220" s="36">
        <f t="shared" si="13"/>
        <v>108.82256124467233</v>
      </c>
      <c r="E220" s="40">
        <v>4946.7998049999997</v>
      </c>
      <c r="F220" s="36">
        <f t="shared" si="14"/>
        <v>5204.8300834393449</v>
      </c>
      <c r="G220" s="36">
        <f t="shared" si="15"/>
        <v>4769.539838460656</v>
      </c>
      <c r="I220" s="40">
        <v>4946.7998049999997</v>
      </c>
      <c r="J220" s="36">
        <v>5204.8300834393449</v>
      </c>
      <c r="K220" s="36">
        <v>4769.539838460656</v>
      </c>
    </row>
    <row r="221" spans="1:11" x14ac:dyDescent="0.25">
      <c r="A221" s="39">
        <v>40799</v>
      </c>
      <c r="B221" s="36">
        <v>4940.9501950000003</v>
      </c>
      <c r="C221" s="36">
        <f t="shared" si="12"/>
        <v>4977.3174804500004</v>
      </c>
      <c r="D221" s="36">
        <f t="shared" si="13"/>
        <v>103.20119872391238</v>
      </c>
      <c r="E221" s="40">
        <v>4940.9501950000003</v>
      </c>
      <c r="F221" s="36">
        <f t="shared" si="14"/>
        <v>5183.7198778978254</v>
      </c>
      <c r="G221" s="36">
        <f t="shared" si="15"/>
        <v>4770.9150830021754</v>
      </c>
      <c r="I221" s="40">
        <v>4940.9501950000003</v>
      </c>
      <c r="J221" s="36">
        <v>5183.7198778978254</v>
      </c>
      <c r="K221" s="36">
        <v>4770.9150830021754</v>
      </c>
    </row>
    <row r="222" spans="1:11" x14ac:dyDescent="0.25">
      <c r="A222" s="39">
        <v>40800</v>
      </c>
      <c r="B222" s="36">
        <v>5012.5498049999997</v>
      </c>
      <c r="C222" s="36">
        <f t="shared" si="12"/>
        <v>4974.2974609499997</v>
      </c>
      <c r="D222" s="36">
        <f t="shared" si="13"/>
        <v>101.11810478434654</v>
      </c>
      <c r="E222" s="40">
        <v>5012.5498049999997</v>
      </c>
      <c r="F222" s="36">
        <f t="shared" si="14"/>
        <v>5176.5336705186928</v>
      </c>
      <c r="G222" s="36">
        <f t="shared" si="15"/>
        <v>4772.0612513813066</v>
      </c>
      <c r="I222" s="40">
        <v>5012.5498049999997</v>
      </c>
      <c r="J222" s="36">
        <v>5176.5336705186928</v>
      </c>
      <c r="K222" s="36">
        <v>4772.0612513813066</v>
      </c>
    </row>
    <row r="223" spans="1:11" x14ac:dyDescent="0.25">
      <c r="A223" s="39">
        <v>40801</v>
      </c>
      <c r="B223" s="36">
        <v>5075.7001950000003</v>
      </c>
      <c r="C223" s="36">
        <f t="shared" si="12"/>
        <v>4976.2924804500008</v>
      </c>
      <c r="D223" s="36">
        <f t="shared" si="13"/>
        <v>102.77541311582637</v>
      </c>
      <c r="E223" s="40">
        <v>5075.7001950000003</v>
      </c>
      <c r="F223" s="36">
        <f t="shared" si="14"/>
        <v>5181.8433066816533</v>
      </c>
      <c r="G223" s="36">
        <f t="shared" si="15"/>
        <v>4770.7416542183482</v>
      </c>
      <c r="I223" s="40">
        <v>5075.7001950000003</v>
      </c>
      <c r="J223" s="36">
        <v>5181.8433066816533</v>
      </c>
      <c r="K223" s="36">
        <v>4770.7416542183482</v>
      </c>
    </row>
    <row r="224" spans="1:11" x14ac:dyDescent="0.25">
      <c r="A224" s="39">
        <v>40802</v>
      </c>
      <c r="B224" s="36">
        <v>5084.25</v>
      </c>
      <c r="C224" s="36">
        <f t="shared" si="12"/>
        <v>4977.6749755500005</v>
      </c>
      <c r="D224" s="36">
        <f t="shared" si="13"/>
        <v>104.09009559492397</v>
      </c>
      <c r="E224" s="40">
        <v>5084.25</v>
      </c>
      <c r="F224" s="36">
        <f t="shared" si="14"/>
        <v>5185.8551667398488</v>
      </c>
      <c r="G224" s="36">
        <f t="shared" si="15"/>
        <v>4769.4947843601522</v>
      </c>
      <c r="I224" s="40">
        <v>5084.25</v>
      </c>
      <c r="J224" s="36">
        <v>5185.8551667398488</v>
      </c>
      <c r="K224" s="36">
        <v>4769.4947843601522</v>
      </c>
    </row>
    <row r="225" spans="1:11" x14ac:dyDescent="0.25">
      <c r="A225" s="39">
        <v>40805</v>
      </c>
      <c r="B225" s="36">
        <v>5031.9501950000003</v>
      </c>
      <c r="C225" s="36">
        <f t="shared" si="12"/>
        <v>4982.0649901999996</v>
      </c>
      <c r="D225" s="36">
        <f t="shared" si="13"/>
        <v>104.4526173957199</v>
      </c>
      <c r="E225" s="40">
        <v>5031.9501950000003</v>
      </c>
      <c r="F225" s="36">
        <f t="shared" si="14"/>
        <v>5190.970224991439</v>
      </c>
      <c r="G225" s="36">
        <f t="shared" si="15"/>
        <v>4773.1597554085602</v>
      </c>
      <c r="I225" s="40">
        <v>5031.9501950000003</v>
      </c>
      <c r="J225" s="36">
        <v>5190.970224991439</v>
      </c>
      <c r="K225" s="36">
        <v>4773.1597554085602</v>
      </c>
    </row>
    <row r="226" spans="1:11" x14ac:dyDescent="0.25">
      <c r="A226" s="39">
        <v>40806</v>
      </c>
      <c r="B226" s="36">
        <v>5140.2001950000003</v>
      </c>
      <c r="C226" s="36">
        <f t="shared" si="12"/>
        <v>4996.7925048499992</v>
      </c>
      <c r="D226" s="36">
        <f t="shared" si="13"/>
        <v>104.97024873962629</v>
      </c>
      <c r="E226" s="40">
        <v>5140.2001950000003</v>
      </c>
      <c r="F226" s="36">
        <f t="shared" si="14"/>
        <v>5206.7330023292516</v>
      </c>
      <c r="G226" s="36">
        <f t="shared" si="15"/>
        <v>4786.8520073707468</v>
      </c>
      <c r="I226" s="40">
        <v>5140.2001950000003</v>
      </c>
      <c r="J226" s="36">
        <v>5206.7330023292516</v>
      </c>
      <c r="K226" s="36">
        <v>4786.8520073707468</v>
      </c>
    </row>
    <row r="227" spans="1:11" x14ac:dyDescent="0.25">
      <c r="A227" s="39">
        <v>40807</v>
      </c>
      <c r="B227" s="36">
        <v>5133.25</v>
      </c>
      <c r="C227" s="36">
        <f t="shared" si="12"/>
        <v>5008.5150145999996</v>
      </c>
      <c r="D227" s="36">
        <f t="shared" si="13"/>
        <v>106.53046101336076</v>
      </c>
      <c r="E227" s="40">
        <v>5133.25</v>
      </c>
      <c r="F227" s="36">
        <f t="shared" si="14"/>
        <v>5221.5759366267212</v>
      </c>
      <c r="G227" s="36">
        <f t="shared" si="15"/>
        <v>4795.4540925732781</v>
      </c>
      <c r="I227" s="40">
        <v>5133.25</v>
      </c>
      <c r="J227" s="36">
        <v>5221.5759366267212</v>
      </c>
      <c r="K227" s="36">
        <v>4795.4540925732781</v>
      </c>
    </row>
    <row r="228" spans="1:11" x14ac:dyDescent="0.25">
      <c r="A228" s="39">
        <v>40808</v>
      </c>
      <c r="B228" s="36">
        <v>4923.6499020000001</v>
      </c>
      <c r="C228" s="36">
        <f t="shared" si="12"/>
        <v>5007.2525145999989</v>
      </c>
      <c r="D228" s="36">
        <f t="shared" si="13"/>
        <v>107.42005372710892</v>
      </c>
      <c r="E228" s="40">
        <v>4923.6499020000001</v>
      </c>
      <c r="F228" s="36">
        <f t="shared" si="14"/>
        <v>5222.0926220542169</v>
      </c>
      <c r="G228" s="36">
        <f t="shared" si="15"/>
        <v>4792.4124071457809</v>
      </c>
      <c r="I228" s="40">
        <v>4923.6499020000001</v>
      </c>
      <c r="J228" s="36">
        <v>5222.0926220542169</v>
      </c>
      <c r="K228" s="36">
        <v>4792.4124071457809</v>
      </c>
    </row>
    <row r="229" spans="1:11" x14ac:dyDescent="0.25">
      <c r="A229" s="39">
        <v>40809</v>
      </c>
      <c r="B229" s="36">
        <v>4867.75</v>
      </c>
      <c r="C229" s="36">
        <f t="shared" si="12"/>
        <v>5006.1950194999999</v>
      </c>
      <c r="D229" s="36">
        <f t="shared" si="13"/>
        <v>108.74246148456294</v>
      </c>
      <c r="E229" s="40">
        <v>4867.75</v>
      </c>
      <c r="F229" s="36">
        <f t="shared" si="14"/>
        <v>5223.6799424691262</v>
      </c>
      <c r="G229" s="36">
        <f t="shared" si="15"/>
        <v>4788.7100965308737</v>
      </c>
      <c r="I229" s="40">
        <v>4867.75</v>
      </c>
      <c r="J229" s="36">
        <v>5223.6799424691262</v>
      </c>
      <c r="K229" s="36">
        <v>4788.7100965308737</v>
      </c>
    </row>
    <row r="230" spans="1:11" x14ac:dyDescent="0.25">
      <c r="A230" s="39">
        <v>40812</v>
      </c>
      <c r="B230" s="36">
        <v>4835.3999020000001</v>
      </c>
      <c r="C230" s="36">
        <f t="shared" si="12"/>
        <v>5005.9850096999999</v>
      </c>
      <c r="D230" s="36">
        <f t="shared" si="13"/>
        <v>109.08465034444751</v>
      </c>
      <c r="E230" s="40">
        <v>4835.3999020000001</v>
      </c>
      <c r="F230" s="36">
        <f t="shared" si="14"/>
        <v>5224.1543103888953</v>
      </c>
      <c r="G230" s="36">
        <f t="shared" si="15"/>
        <v>4787.8157090111044</v>
      </c>
      <c r="I230" s="40">
        <v>4835.3999020000001</v>
      </c>
      <c r="J230" s="36">
        <v>5224.1543103888953</v>
      </c>
      <c r="K230" s="36">
        <v>4787.8157090111044</v>
      </c>
    </row>
    <row r="231" spans="1:11" x14ac:dyDescent="0.25">
      <c r="A231" s="39">
        <v>40813</v>
      </c>
      <c r="B231" s="36">
        <v>4971.25</v>
      </c>
      <c r="C231" s="36">
        <f t="shared" si="12"/>
        <v>5017.1575194500001</v>
      </c>
      <c r="D231" s="36">
        <f t="shared" si="13"/>
        <v>91.231394459432309</v>
      </c>
      <c r="E231" s="40">
        <v>4971.25</v>
      </c>
      <c r="F231" s="36">
        <f t="shared" si="14"/>
        <v>5199.6203083688652</v>
      </c>
      <c r="G231" s="36">
        <f t="shared" si="15"/>
        <v>4834.6947305311351</v>
      </c>
      <c r="I231" s="40">
        <v>4971.25</v>
      </c>
      <c r="J231" s="36">
        <v>5199.6203083688652</v>
      </c>
      <c r="K231" s="36">
        <v>4834.6947305311351</v>
      </c>
    </row>
    <row r="232" spans="1:11" x14ac:dyDescent="0.25">
      <c r="A232" s="39">
        <v>40814</v>
      </c>
      <c r="B232" s="36">
        <v>4945.8999020000001</v>
      </c>
      <c r="C232" s="36">
        <f t="shared" si="12"/>
        <v>5018.4725096500006</v>
      </c>
      <c r="D232" s="36">
        <f t="shared" si="13"/>
        <v>89.931492331193226</v>
      </c>
      <c r="E232" s="40">
        <v>4945.8999020000001</v>
      </c>
      <c r="F232" s="36">
        <f t="shared" si="14"/>
        <v>5198.3354943123868</v>
      </c>
      <c r="G232" s="36">
        <f t="shared" si="15"/>
        <v>4838.6095249876143</v>
      </c>
      <c r="I232" s="40">
        <v>4945.8999020000001</v>
      </c>
      <c r="J232" s="36">
        <v>5198.3354943123868</v>
      </c>
      <c r="K232" s="36">
        <v>4838.6095249876143</v>
      </c>
    </row>
    <row r="233" spans="1:11" x14ac:dyDescent="0.25">
      <c r="A233" s="39">
        <v>40815</v>
      </c>
      <c r="B233" s="36">
        <v>5015.4501950000003</v>
      </c>
      <c r="C233" s="36">
        <f t="shared" si="12"/>
        <v>5019.1950194000001</v>
      </c>
      <c r="D233" s="36">
        <f t="shared" si="13"/>
        <v>89.841731696704812</v>
      </c>
      <c r="E233" s="40">
        <v>5015.4501950000003</v>
      </c>
      <c r="F233" s="36">
        <f t="shared" si="14"/>
        <v>5198.8784827934096</v>
      </c>
      <c r="G233" s="36">
        <f t="shared" si="15"/>
        <v>4839.5115560065906</v>
      </c>
      <c r="I233" s="40">
        <v>5015.4501950000003</v>
      </c>
      <c r="J233" s="36">
        <v>5198.8784827934096</v>
      </c>
      <c r="K233" s="36">
        <v>4839.5115560065906</v>
      </c>
    </row>
    <row r="234" spans="1:11" x14ac:dyDescent="0.25">
      <c r="A234" s="39">
        <v>40816</v>
      </c>
      <c r="B234" s="36">
        <v>4943.25</v>
      </c>
      <c r="C234" s="36">
        <f t="shared" si="12"/>
        <v>5014.3575194000005</v>
      </c>
      <c r="D234" s="36">
        <f t="shared" si="13"/>
        <v>91.2561372009378</v>
      </c>
      <c r="E234" s="40">
        <v>4943.25</v>
      </c>
      <c r="F234" s="36">
        <f t="shared" si="14"/>
        <v>5196.8697938018759</v>
      </c>
      <c r="G234" s="36">
        <f t="shared" si="15"/>
        <v>4831.8452449981251</v>
      </c>
      <c r="I234" s="40">
        <v>4943.25</v>
      </c>
      <c r="J234" s="36">
        <v>5196.8697938018759</v>
      </c>
      <c r="K234" s="36">
        <v>4831.8452449981251</v>
      </c>
    </row>
    <row r="235" spans="1:11" x14ac:dyDescent="0.25">
      <c r="A235" s="39">
        <v>40819</v>
      </c>
      <c r="B235" s="36">
        <v>4849.5</v>
      </c>
      <c r="C235" s="36">
        <f t="shared" si="12"/>
        <v>5005.9725096499997</v>
      </c>
      <c r="D235" s="36">
        <f t="shared" si="13"/>
        <v>98.40563796639583</v>
      </c>
      <c r="E235" s="40">
        <v>4849.5</v>
      </c>
      <c r="F235" s="36">
        <f t="shared" si="14"/>
        <v>5202.7837855827911</v>
      </c>
      <c r="G235" s="36">
        <f t="shared" si="15"/>
        <v>4809.1612337172082</v>
      </c>
      <c r="I235" s="40">
        <v>4849.5</v>
      </c>
      <c r="J235" s="36">
        <v>5202.7837855827911</v>
      </c>
      <c r="K235" s="36">
        <v>4809.1612337172082</v>
      </c>
    </row>
    <row r="236" spans="1:11" x14ac:dyDescent="0.25">
      <c r="A236" s="39">
        <v>40820</v>
      </c>
      <c r="B236" s="36">
        <v>4772.1499020000001</v>
      </c>
      <c r="C236" s="36">
        <f t="shared" si="12"/>
        <v>4991.3650145000001</v>
      </c>
      <c r="D236" s="36">
        <f t="shared" si="13"/>
        <v>110.26119283490553</v>
      </c>
      <c r="E236" s="40">
        <v>4772.1499020000001</v>
      </c>
      <c r="F236" s="36">
        <f t="shared" si="14"/>
        <v>5211.8874001698114</v>
      </c>
      <c r="G236" s="36">
        <f t="shared" si="15"/>
        <v>4770.8426288301889</v>
      </c>
      <c r="I236" s="40">
        <v>4772.1499020000001</v>
      </c>
      <c r="J236" s="36">
        <v>5211.8874001698114</v>
      </c>
      <c r="K236" s="36">
        <v>4770.8426288301889</v>
      </c>
    </row>
    <row r="237" spans="1:11" x14ac:dyDescent="0.25">
      <c r="A237" s="39">
        <v>40821</v>
      </c>
      <c r="B237" s="36">
        <v>4751.2998049999997</v>
      </c>
      <c r="C237" s="36">
        <f t="shared" si="12"/>
        <v>4972.69750965</v>
      </c>
      <c r="D237" s="36">
        <f t="shared" si="13"/>
        <v>117.85138078195286</v>
      </c>
      <c r="E237" s="40">
        <v>4751.2998049999997</v>
      </c>
      <c r="F237" s="36">
        <f t="shared" si="14"/>
        <v>5208.4002712139054</v>
      </c>
      <c r="G237" s="36">
        <f t="shared" si="15"/>
        <v>4736.9947480860947</v>
      </c>
      <c r="I237" s="40">
        <v>4751.2998049999997</v>
      </c>
      <c r="J237" s="36">
        <v>5208.4002712139054</v>
      </c>
      <c r="K237" s="36">
        <v>4736.9947480860947</v>
      </c>
    </row>
    <row r="238" spans="1:11" x14ac:dyDescent="0.25">
      <c r="A238" s="39">
        <v>40823</v>
      </c>
      <c r="B238" s="36">
        <v>4888.0498049999997</v>
      </c>
      <c r="C238" s="36">
        <f t="shared" si="12"/>
        <v>4959.4374999000001</v>
      </c>
      <c r="D238" s="36">
        <f t="shared" si="13"/>
        <v>111.1990832155433</v>
      </c>
      <c r="E238" s="40">
        <v>4888.0498049999997</v>
      </c>
      <c r="F238" s="36">
        <f t="shared" si="14"/>
        <v>5181.8356663310869</v>
      </c>
      <c r="G238" s="36">
        <f t="shared" si="15"/>
        <v>4737.0393334689134</v>
      </c>
      <c r="I238" s="40">
        <v>4888.0498049999997</v>
      </c>
      <c r="J238" s="36">
        <v>5181.8356663310869</v>
      </c>
      <c r="K238" s="36">
        <v>4737.0393334689134</v>
      </c>
    </row>
    <row r="239" spans="1:11" x14ac:dyDescent="0.25">
      <c r="A239" s="39">
        <v>40826</v>
      </c>
      <c r="B239" s="36">
        <v>4979.6000979999999</v>
      </c>
      <c r="C239" s="36">
        <f t="shared" si="12"/>
        <v>4955.4449950500002</v>
      </c>
      <c r="D239" s="36">
        <f t="shared" si="13"/>
        <v>108.82740447559496</v>
      </c>
      <c r="E239" s="40">
        <v>4979.6000979999999</v>
      </c>
      <c r="F239" s="36">
        <f t="shared" si="14"/>
        <v>5173.09980400119</v>
      </c>
      <c r="G239" s="36">
        <f t="shared" si="15"/>
        <v>4737.7901860988104</v>
      </c>
      <c r="I239" s="40">
        <v>4979.6000979999999</v>
      </c>
      <c r="J239" s="36">
        <v>5173.09980400119</v>
      </c>
      <c r="K239" s="36">
        <v>4737.7901860988104</v>
      </c>
    </row>
    <row r="240" spans="1:11" x14ac:dyDescent="0.25">
      <c r="A240" s="39">
        <v>40827</v>
      </c>
      <c r="B240" s="36">
        <v>4974.3500979999999</v>
      </c>
      <c r="C240" s="36">
        <f t="shared" si="12"/>
        <v>4956.8225097000004</v>
      </c>
      <c r="D240" s="36">
        <f t="shared" si="13"/>
        <v>108.88656289613137</v>
      </c>
      <c r="E240" s="40">
        <v>4974.3500979999999</v>
      </c>
      <c r="F240" s="36">
        <f t="shared" si="14"/>
        <v>5174.5956354922628</v>
      </c>
      <c r="G240" s="36">
        <f t="shared" si="15"/>
        <v>4739.049383907738</v>
      </c>
      <c r="I240" s="40">
        <v>4974.3500979999999</v>
      </c>
      <c r="J240" s="36">
        <v>5174.5956354922628</v>
      </c>
      <c r="K240" s="36">
        <v>4739.049383907738</v>
      </c>
    </row>
    <row r="241" spans="1:11" x14ac:dyDescent="0.25">
      <c r="A241" s="39">
        <v>40828</v>
      </c>
      <c r="B241" s="36">
        <v>5099.3999020000001</v>
      </c>
      <c r="C241" s="36">
        <f t="shared" si="12"/>
        <v>4964.7449950499995</v>
      </c>
      <c r="D241" s="36">
        <f t="shared" si="13"/>
        <v>113.34401638283229</v>
      </c>
      <c r="E241" s="40">
        <v>5099.3999020000001</v>
      </c>
      <c r="F241" s="36">
        <f t="shared" si="14"/>
        <v>5191.433027815664</v>
      </c>
      <c r="G241" s="36">
        <f t="shared" si="15"/>
        <v>4738.056962284335</v>
      </c>
      <c r="I241" s="40">
        <v>5099.3999020000001</v>
      </c>
      <c r="J241" s="36">
        <v>5191.433027815664</v>
      </c>
      <c r="K241" s="36">
        <v>4738.056962284335</v>
      </c>
    </row>
    <row r="242" spans="1:11" x14ac:dyDescent="0.25">
      <c r="A242" s="39">
        <v>40829</v>
      </c>
      <c r="B242" s="36">
        <v>5077.8500979999999</v>
      </c>
      <c r="C242" s="36">
        <f t="shared" si="12"/>
        <v>4968.0100096999995</v>
      </c>
      <c r="D242" s="36">
        <f t="shared" si="13"/>
        <v>115.7094166644511</v>
      </c>
      <c r="E242" s="40">
        <v>5077.8500979999999</v>
      </c>
      <c r="F242" s="36">
        <f t="shared" si="14"/>
        <v>5199.4288430289016</v>
      </c>
      <c r="G242" s="36">
        <f t="shared" si="15"/>
        <v>4736.5911763710974</v>
      </c>
      <c r="I242" s="40">
        <v>5077.8500979999999</v>
      </c>
      <c r="J242" s="36">
        <v>5199.4288430289016</v>
      </c>
      <c r="K242" s="36">
        <v>4736.5911763710974</v>
      </c>
    </row>
    <row r="243" spans="1:11" x14ac:dyDescent="0.25">
      <c r="A243" s="39">
        <v>40830</v>
      </c>
      <c r="B243" s="36">
        <v>5132.2998049999997</v>
      </c>
      <c r="C243" s="36">
        <f t="shared" si="12"/>
        <v>4970.8399902000001</v>
      </c>
      <c r="D243" s="36">
        <f t="shared" si="13"/>
        <v>119.12366374771246</v>
      </c>
      <c r="E243" s="40">
        <v>5132.2998049999997</v>
      </c>
      <c r="F243" s="36">
        <f t="shared" si="14"/>
        <v>5209.0873176954246</v>
      </c>
      <c r="G243" s="36">
        <f t="shared" si="15"/>
        <v>4732.5926627045756</v>
      </c>
      <c r="I243" s="40">
        <v>5132.2998049999997</v>
      </c>
      <c r="J243" s="36">
        <v>5209.0873176954246</v>
      </c>
      <c r="K243" s="36">
        <v>4732.5926627045756</v>
      </c>
    </row>
    <row r="244" spans="1:11" x14ac:dyDescent="0.25">
      <c r="A244" s="39">
        <v>40833</v>
      </c>
      <c r="B244" s="36">
        <v>5118.25</v>
      </c>
      <c r="C244" s="36">
        <f t="shared" si="12"/>
        <v>4972.5399901999999</v>
      </c>
      <c r="D244" s="36">
        <f t="shared" si="13"/>
        <v>121.05426766869637</v>
      </c>
      <c r="E244" s="40">
        <v>5118.25</v>
      </c>
      <c r="F244" s="36">
        <f t="shared" si="14"/>
        <v>5214.6485255373927</v>
      </c>
      <c r="G244" s="36">
        <f t="shared" si="15"/>
        <v>4730.4314548626071</v>
      </c>
      <c r="I244" s="40">
        <v>5118.25</v>
      </c>
      <c r="J244" s="36">
        <v>5214.6485255373927</v>
      </c>
      <c r="K244" s="36">
        <v>4730.4314548626071</v>
      </c>
    </row>
    <row r="245" spans="1:11" x14ac:dyDescent="0.25">
      <c r="A245" s="39">
        <v>40834</v>
      </c>
      <c r="B245" s="36">
        <v>5037.5</v>
      </c>
      <c r="C245" s="36">
        <f t="shared" si="12"/>
        <v>4972.8174804499995</v>
      </c>
      <c r="D245" s="36">
        <f t="shared" si="13"/>
        <v>121.20388849011155</v>
      </c>
      <c r="E245" s="40">
        <v>5037.5</v>
      </c>
      <c r="F245" s="36">
        <f t="shared" si="14"/>
        <v>5215.2252574302229</v>
      </c>
      <c r="G245" s="36">
        <f t="shared" si="15"/>
        <v>4730.4097034697761</v>
      </c>
      <c r="I245" s="40">
        <v>5037.5</v>
      </c>
      <c r="J245" s="36">
        <v>5215.2252574302229</v>
      </c>
      <c r="K245" s="36">
        <v>4730.4097034697761</v>
      </c>
    </row>
    <row r="246" spans="1:11" x14ac:dyDescent="0.25">
      <c r="A246" s="39">
        <v>40835</v>
      </c>
      <c r="B246" s="36">
        <v>5139.1499020000001</v>
      </c>
      <c r="C246" s="36">
        <f t="shared" si="12"/>
        <v>4972.7649658000009</v>
      </c>
      <c r="D246" s="36">
        <f t="shared" si="13"/>
        <v>121.12775232658835</v>
      </c>
      <c r="E246" s="40">
        <v>5139.1499020000001</v>
      </c>
      <c r="F246" s="36">
        <f t="shared" si="14"/>
        <v>5215.0204704531779</v>
      </c>
      <c r="G246" s="36">
        <f t="shared" si="15"/>
        <v>4730.5094611468239</v>
      </c>
      <c r="I246" s="40">
        <v>5139.1499020000001</v>
      </c>
      <c r="J246" s="36">
        <v>5215.0204704531779</v>
      </c>
      <c r="K246" s="36">
        <v>4730.5094611468239</v>
      </c>
    </row>
    <row r="247" spans="1:11" x14ac:dyDescent="0.25">
      <c r="A247" s="39">
        <v>40836</v>
      </c>
      <c r="B247" s="36">
        <v>5091.8999020000001</v>
      </c>
      <c r="C247" s="36">
        <f t="shared" si="12"/>
        <v>4970.6974609000008</v>
      </c>
      <c r="D247" s="36">
        <f t="shared" si="13"/>
        <v>118.57019031183434</v>
      </c>
      <c r="E247" s="40">
        <v>5091.8999020000001</v>
      </c>
      <c r="F247" s="36">
        <f t="shared" si="14"/>
        <v>5207.8378415236693</v>
      </c>
      <c r="G247" s="36">
        <f t="shared" si="15"/>
        <v>4733.5570802763323</v>
      </c>
      <c r="I247" s="40">
        <v>5091.8999020000001</v>
      </c>
      <c r="J247" s="36">
        <v>5207.8378415236693</v>
      </c>
      <c r="K247" s="36">
        <v>4733.5570802763323</v>
      </c>
    </row>
    <row r="248" spans="1:11" x14ac:dyDescent="0.25">
      <c r="A248" s="39">
        <v>40837</v>
      </c>
      <c r="B248" s="36">
        <v>5049.9501950000003</v>
      </c>
      <c r="C248" s="36">
        <f t="shared" si="12"/>
        <v>4977.012475550001</v>
      </c>
      <c r="D248" s="36">
        <f t="shared" si="13"/>
        <v>119.29372098100637</v>
      </c>
      <c r="E248" s="40">
        <v>5049.9501950000003</v>
      </c>
      <c r="F248" s="36">
        <f t="shared" si="14"/>
        <v>5215.5999175120141</v>
      </c>
      <c r="G248" s="36">
        <f t="shared" si="15"/>
        <v>4738.4250335879879</v>
      </c>
      <c r="I248" s="40">
        <v>5049.9501950000003</v>
      </c>
      <c r="J248" s="36">
        <v>5215.5999175120141</v>
      </c>
      <c r="K248" s="36">
        <v>4738.4250335879879</v>
      </c>
    </row>
    <row r="249" spans="1:11" x14ac:dyDescent="0.25">
      <c r="A249" s="39">
        <v>40840</v>
      </c>
      <c r="B249" s="36">
        <v>5098.3500979999999</v>
      </c>
      <c r="C249" s="36">
        <f t="shared" si="12"/>
        <v>4988.5424804500008</v>
      </c>
      <c r="D249" s="36">
        <f t="shared" si="13"/>
        <v>119.32144891294664</v>
      </c>
      <c r="E249" s="40">
        <v>5098.3500979999999</v>
      </c>
      <c r="F249" s="36">
        <f t="shared" si="14"/>
        <v>5227.1853782758944</v>
      </c>
      <c r="G249" s="36">
        <f t="shared" si="15"/>
        <v>4749.8995826241071</v>
      </c>
      <c r="I249" s="40">
        <v>5098.3500979999999</v>
      </c>
      <c r="J249" s="36">
        <v>5227.1853782758944</v>
      </c>
      <c r="K249" s="36">
        <v>4749.8995826241071</v>
      </c>
    </row>
    <row r="250" spans="1:11" x14ac:dyDescent="0.25">
      <c r="A250" s="39">
        <v>40841</v>
      </c>
      <c r="B250" s="36">
        <v>5191.6000979999999</v>
      </c>
      <c r="C250" s="36">
        <f t="shared" si="12"/>
        <v>5006.3524902500003</v>
      </c>
      <c r="D250" s="36">
        <f t="shared" si="13"/>
        <v>121.81745898814933</v>
      </c>
      <c r="E250" s="40">
        <v>5191.6000979999999</v>
      </c>
      <c r="F250" s="36">
        <f t="shared" si="14"/>
        <v>5249.9874082262986</v>
      </c>
      <c r="G250" s="36">
        <f t="shared" si="15"/>
        <v>4762.717572273702</v>
      </c>
      <c r="I250" s="40">
        <v>5191.6000979999999</v>
      </c>
      <c r="J250" s="36">
        <v>5249.9874082262986</v>
      </c>
      <c r="K250" s="36">
        <v>4762.717572273702</v>
      </c>
    </row>
    <row r="251" spans="1:11" x14ac:dyDescent="0.25">
      <c r="A251" s="39">
        <v>40844</v>
      </c>
      <c r="B251" s="36">
        <v>5360.7001950000003</v>
      </c>
      <c r="C251" s="36">
        <f t="shared" si="12"/>
        <v>5025.8249999999998</v>
      </c>
      <c r="D251" s="36">
        <f t="shared" si="13"/>
        <v>144.85871724815269</v>
      </c>
      <c r="E251" s="40">
        <v>5360.7001950000003</v>
      </c>
      <c r="F251" s="36">
        <f t="shared" si="14"/>
        <v>5315.5424344963048</v>
      </c>
      <c r="G251" s="36">
        <f t="shared" si="15"/>
        <v>4736.1075655036948</v>
      </c>
      <c r="I251" s="40">
        <v>5360.7001950000003</v>
      </c>
      <c r="J251" s="36">
        <v>5315.5424344963048</v>
      </c>
      <c r="K251" s="36">
        <v>4736.1075655036948</v>
      </c>
    </row>
    <row r="252" spans="1:11" x14ac:dyDescent="0.25">
      <c r="A252" s="39">
        <v>40847</v>
      </c>
      <c r="B252" s="36">
        <v>5326.6000979999999</v>
      </c>
      <c r="C252" s="36">
        <f t="shared" si="12"/>
        <v>5044.8600097999997</v>
      </c>
      <c r="D252" s="36">
        <f t="shared" si="13"/>
        <v>158.20172292922041</v>
      </c>
      <c r="E252" s="40">
        <v>5326.6000979999999</v>
      </c>
      <c r="F252" s="36">
        <f t="shared" si="14"/>
        <v>5361.2634556584408</v>
      </c>
      <c r="G252" s="36">
        <f t="shared" si="15"/>
        <v>4728.4565639415587</v>
      </c>
      <c r="I252" s="40">
        <v>5326.6000979999999</v>
      </c>
      <c r="J252" s="36">
        <v>5361.2634556584408</v>
      </c>
      <c r="K252" s="36">
        <v>4728.4565639415587</v>
      </c>
    </row>
    <row r="253" spans="1:11" x14ac:dyDescent="0.25">
      <c r="A253" s="39">
        <v>40848</v>
      </c>
      <c r="B253" s="36">
        <v>5257.9501950000003</v>
      </c>
      <c r="C253" s="36">
        <f t="shared" si="12"/>
        <v>5056.9850097999988</v>
      </c>
      <c r="D253" s="36">
        <f t="shared" si="13"/>
        <v>164.97688752634139</v>
      </c>
      <c r="E253" s="40">
        <v>5257.9501950000003</v>
      </c>
      <c r="F253" s="36">
        <f t="shared" si="14"/>
        <v>5386.9387848526812</v>
      </c>
      <c r="G253" s="36">
        <f t="shared" si="15"/>
        <v>4727.0312347473164</v>
      </c>
      <c r="I253" s="40">
        <v>5257.9501950000003</v>
      </c>
      <c r="J253" s="36">
        <v>5386.9387848526812</v>
      </c>
      <c r="K253" s="36">
        <v>4727.0312347473164</v>
      </c>
    </row>
    <row r="254" spans="1:11" x14ac:dyDescent="0.25">
      <c r="A254" s="39">
        <v>40849</v>
      </c>
      <c r="B254" s="36">
        <v>5258.4501950000003</v>
      </c>
      <c r="C254" s="36">
        <f t="shared" si="12"/>
        <v>5072.7450195499987</v>
      </c>
      <c r="D254" s="36">
        <f t="shared" si="13"/>
        <v>168.5565819706226</v>
      </c>
      <c r="E254" s="40">
        <v>5258.4501950000003</v>
      </c>
      <c r="F254" s="36">
        <f t="shared" si="14"/>
        <v>5409.8581834912438</v>
      </c>
      <c r="G254" s="36">
        <f t="shared" si="15"/>
        <v>4735.6318556087535</v>
      </c>
      <c r="I254" s="40">
        <v>5258.4501950000003</v>
      </c>
      <c r="J254" s="36">
        <v>5409.8581834912438</v>
      </c>
      <c r="K254" s="36">
        <v>4735.6318556087535</v>
      </c>
    </row>
    <row r="255" spans="1:11" x14ac:dyDescent="0.25">
      <c r="A255" s="39">
        <v>40850</v>
      </c>
      <c r="B255" s="36">
        <v>5265.75</v>
      </c>
      <c r="C255" s="36">
        <f t="shared" si="12"/>
        <v>5093.5575195499987</v>
      </c>
      <c r="D255" s="36">
        <f t="shared" si="13"/>
        <v>165.2055316052338</v>
      </c>
      <c r="E255" s="40">
        <v>5265.75</v>
      </c>
      <c r="F255" s="36">
        <f t="shared" si="14"/>
        <v>5423.9685827604662</v>
      </c>
      <c r="G255" s="36">
        <f t="shared" si="15"/>
        <v>4763.1464563395311</v>
      </c>
      <c r="I255" s="40">
        <v>5265.75</v>
      </c>
      <c r="J255" s="36">
        <v>5423.9685827604662</v>
      </c>
      <c r="K255" s="36">
        <v>4763.1464563395311</v>
      </c>
    </row>
    <row r="256" spans="1:11" x14ac:dyDescent="0.25">
      <c r="A256" s="39">
        <v>40851</v>
      </c>
      <c r="B256" s="36">
        <v>5284.2001950000003</v>
      </c>
      <c r="C256" s="36">
        <f t="shared" si="12"/>
        <v>5119.1600341999992</v>
      </c>
      <c r="D256" s="36">
        <f t="shared" si="13"/>
        <v>151.91695857344112</v>
      </c>
      <c r="E256" s="40">
        <v>5284.2001950000003</v>
      </c>
      <c r="F256" s="36">
        <f t="shared" si="14"/>
        <v>5422.9939513468817</v>
      </c>
      <c r="G256" s="36">
        <f t="shared" si="15"/>
        <v>4815.3261170531168</v>
      </c>
      <c r="I256" s="40">
        <v>5284.2001950000003</v>
      </c>
      <c r="J256" s="36">
        <v>5422.9939513468817</v>
      </c>
      <c r="K256" s="36">
        <v>4815.3261170531168</v>
      </c>
    </row>
    <row r="257" spans="1:11" x14ac:dyDescent="0.25">
      <c r="A257" s="39">
        <v>40855</v>
      </c>
      <c r="B257" s="36">
        <v>5289.3500979999999</v>
      </c>
      <c r="C257" s="36">
        <f t="shared" si="12"/>
        <v>5146.0625488499991</v>
      </c>
      <c r="D257" s="36">
        <f t="shared" si="13"/>
        <v>129.302804024057</v>
      </c>
      <c r="E257" s="40">
        <v>5289.3500979999999</v>
      </c>
      <c r="F257" s="36">
        <f t="shared" si="14"/>
        <v>5404.668156898113</v>
      </c>
      <c r="G257" s="36">
        <f t="shared" si="15"/>
        <v>4887.4569408018851</v>
      </c>
      <c r="I257" s="40">
        <v>5289.3500979999999</v>
      </c>
      <c r="J257" s="36">
        <v>5404.668156898113</v>
      </c>
      <c r="K257" s="36">
        <v>4887.4569408018851</v>
      </c>
    </row>
    <row r="258" spans="1:11" x14ac:dyDescent="0.25">
      <c r="A258" s="39">
        <v>40856</v>
      </c>
      <c r="B258" s="36">
        <v>5221.0498049999997</v>
      </c>
      <c r="C258" s="36">
        <f t="shared" si="12"/>
        <v>5162.7125488499987</v>
      </c>
      <c r="D258" s="36">
        <f t="shared" si="13"/>
        <v>114.97669101011867</v>
      </c>
      <c r="E258" s="40">
        <v>5221.0498049999997</v>
      </c>
      <c r="F258" s="36">
        <f t="shared" si="14"/>
        <v>5392.6659308702365</v>
      </c>
      <c r="G258" s="36">
        <f t="shared" si="15"/>
        <v>4932.7591668297609</v>
      </c>
      <c r="I258" s="40">
        <v>5221.0498049999997</v>
      </c>
      <c r="J258" s="36">
        <v>5392.6659308702365</v>
      </c>
      <c r="K258" s="36">
        <v>4932.7591668297609</v>
      </c>
    </row>
    <row r="259" spans="1:11" x14ac:dyDescent="0.25">
      <c r="A259" s="39">
        <v>40858</v>
      </c>
      <c r="B259" s="36">
        <v>5168.8500979999999</v>
      </c>
      <c r="C259" s="36">
        <f t="shared" si="12"/>
        <v>5172.1750488499983</v>
      </c>
      <c r="D259" s="36">
        <f t="shared" si="13"/>
        <v>106.59561355776341</v>
      </c>
      <c r="E259" s="40">
        <v>5168.8500979999999</v>
      </c>
      <c r="F259" s="36">
        <f t="shared" si="14"/>
        <v>5385.3662759655253</v>
      </c>
      <c r="G259" s="36">
        <f t="shared" si="15"/>
        <v>4958.9838217344713</v>
      </c>
      <c r="I259" s="40">
        <v>5168.8500979999999</v>
      </c>
      <c r="J259" s="36">
        <v>5385.3662759655253</v>
      </c>
      <c r="K259" s="36">
        <v>4958.9838217344713</v>
      </c>
    </row>
    <row r="260" spans="1:11" x14ac:dyDescent="0.25">
      <c r="A260" s="39">
        <v>40861</v>
      </c>
      <c r="B260" s="36">
        <v>5148.3500979999999</v>
      </c>
      <c r="C260" s="36">
        <f t="shared" si="12"/>
        <v>5180.8750488499991</v>
      </c>
      <c r="D260" s="36">
        <f t="shared" si="13"/>
        <v>96.193059403189309</v>
      </c>
      <c r="E260" s="40">
        <v>5148.3500979999999</v>
      </c>
      <c r="F260" s="36">
        <f t="shared" si="14"/>
        <v>5373.2611676563774</v>
      </c>
      <c r="G260" s="36">
        <f t="shared" si="15"/>
        <v>4988.4889300436207</v>
      </c>
      <c r="I260" s="40">
        <v>5148.3500979999999</v>
      </c>
      <c r="J260" s="36">
        <v>5373.2611676563774</v>
      </c>
      <c r="K260" s="36">
        <v>4988.4889300436207</v>
      </c>
    </row>
    <row r="261" spans="1:11" x14ac:dyDescent="0.25">
      <c r="A261" s="39">
        <v>40862</v>
      </c>
      <c r="B261" s="36">
        <v>5068.5</v>
      </c>
      <c r="C261" s="36">
        <f t="shared" si="12"/>
        <v>5179.330053749999</v>
      </c>
      <c r="D261" s="36">
        <f t="shared" si="13"/>
        <v>97.80517711036164</v>
      </c>
      <c r="E261" s="40">
        <v>5068.5</v>
      </c>
      <c r="F261" s="36">
        <f t="shared" si="14"/>
        <v>5374.9404079707219</v>
      </c>
      <c r="G261" s="36">
        <f t="shared" si="15"/>
        <v>4983.7196995292761</v>
      </c>
      <c r="I261" s="40">
        <v>5068.5</v>
      </c>
      <c r="J261" s="36">
        <v>5374.9404079707219</v>
      </c>
      <c r="K261" s="36">
        <v>4983.7196995292761</v>
      </c>
    </row>
    <row r="262" spans="1:11" x14ac:dyDescent="0.25">
      <c r="A262" s="39">
        <v>40863</v>
      </c>
      <c r="B262" s="36">
        <v>5030.4501950000003</v>
      </c>
      <c r="C262" s="36">
        <f t="shared" si="12"/>
        <v>5176.9600585999997</v>
      </c>
      <c r="D262" s="36">
        <f t="shared" si="13"/>
        <v>100.91838654247</v>
      </c>
      <c r="E262" s="40">
        <v>5030.4501950000003</v>
      </c>
      <c r="F262" s="36">
        <f t="shared" si="14"/>
        <v>5378.7968316849401</v>
      </c>
      <c r="G262" s="36">
        <f t="shared" si="15"/>
        <v>4975.1232855150593</v>
      </c>
      <c r="I262" s="40">
        <v>5030.4501950000003</v>
      </c>
      <c r="J262" s="36">
        <v>5378.7968316849401</v>
      </c>
      <c r="K262" s="36">
        <v>4975.1232855150593</v>
      </c>
    </row>
    <row r="263" spans="1:11" x14ac:dyDescent="0.25">
      <c r="A263" s="39">
        <v>40864</v>
      </c>
      <c r="B263" s="36">
        <v>4934.75</v>
      </c>
      <c r="C263" s="36">
        <f t="shared" si="12"/>
        <v>5167.0825683499988</v>
      </c>
      <c r="D263" s="36">
        <f t="shared" si="13"/>
        <v>114.30010638365786</v>
      </c>
      <c r="E263" s="40">
        <v>4934.75</v>
      </c>
      <c r="F263" s="36">
        <f t="shared" si="14"/>
        <v>5395.6827811173143</v>
      </c>
      <c r="G263" s="36">
        <f t="shared" si="15"/>
        <v>4938.4823555826833</v>
      </c>
      <c r="I263" s="40">
        <v>4934.75</v>
      </c>
      <c r="J263" s="36">
        <v>5395.6827811173143</v>
      </c>
      <c r="K263" s="36">
        <v>4938.4823555826833</v>
      </c>
    </row>
    <row r="264" spans="1:11" x14ac:dyDescent="0.25">
      <c r="A264" s="39">
        <v>40865</v>
      </c>
      <c r="B264" s="36">
        <v>4905.7998049999997</v>
      </c>
      <c r="C264" s="36">
        <f t="shared" si="12"/>
        <v>5156.4600585999997</v>
      </c>
      <c r="D264" s="36">
        <f t="shared" si="13"/>
        <v>128.11448015685704</v>
      </c>
      <c r="E264" s="40">
        <v>4905.7998049999997</v>
      </c>
      <c r="F264" s="36">
        <f t="shared" si="14"/>
        <v>5412.6890189137139</v>
      </c>
      <c r="G264" s="36">
        <f t="shared" si="15"/>
        <v>4900.2310982862855</v>
      </c>
      <c r="I264" s="40">
        <v>4905.7998049999997</v>
      </c>
      <c r="J264" s="36">
        <v>5412.6890189137139</v>
      </c>
      <c r="K264" s="36">
        <v>4900.2310982862855</v>
      </c>
    </row>
    <row r="265" spans="1:11" x14ac:dyDescent="0.25">
      <c r="A265" s="39">
        <v>40868</v>
      </c>
      <c r="B265" s="36">
        <v>4778.3500979999999</v>
      </c>
      <c r="C265" s="36">
        <f t="shared" si="12"/>
        <v>5143.5025634999993</v>
      </c>
      <c r="D265" s="36">
        <f t="shared" si="13"/>
        <v>151.71142857912506</v>
      </c>
      <c r="E265" s="40">
        <v>4778.3500979999999</v>
      </c>
      <c r="F265" s="36">
        <f t="shared" si="14"/>
        <v>5446.9254206582491</v>
      </c>
      <c r="G265" s="36">
        <f t="shared" si="15"/>
        <v>4840.0797063417494</v>
      </c>
      <c r="I265" s="40">
        <v>4778.3500979999999</v>
      </c>
      <c r="J265" s="36">
        <v>5446.9254206582491</v>
      </c>
      <c r="K265" s="36">
        <v>4840.0797063417494</v>
      </c>
    </row>
    <row r="266" spans="1:11" x14ac:dyDescent="0.25">
      <c r="A266" s="39">
        <v>40869</v>
      </c>
      <c r="B266" s="36">
        <v>4812.3500979999999</v>
      </c>
      <c r="C266" s="36">
        <f t="shared" si="12"/>
        <v>5127.1625732999992</v>
      </c>
      <c r="D266" s="36">
        <f t="shared" si="13"/>
        <v>168.83718376601348</v>
      </c>
      <c r="E266" s="40">
        <v>4812.3500979999999</v>
      </c>
      <c r="F266" s="36">
        <f t="shared" si="14"/>
        <v>5464.8369408320259</v>
      </c>
      <c r="G266" s="36">
        <f t="shared" si="15"/>
        <v>4789.4882057679724</v>
      </c>
      <c r="I266" s="40">
        <v>4812.3500979999999</v>
      </c>
      <c r="J266" s="36">
        <v>5464.8369408320259</v>
      </c>
      <c r="K266" s="36">
        <v>4789.4882057679724</v>
      </c>
    </row>
    <row r="267" spans="1:11" x14ac:dyDescent="0.25">
      <c r="A267" s="39">
        <v>40870</v>
      </c>
      <c r="B267" s="36">
        <v>4706.4501950000003</v>
      </c>
      <c r="C267" s="36">
        <f t="shared" si="12"/>
        <v>5107.8900879499997</v>
      </c>
      <c r="D267" s="36">
        <f t="shared" si="13"/>
        <v>193.30107049762725</v>
      </c>
      <c r="E267" s="40">
        <v>4706.4501950000003</v>
      </c>
      <c r="F267" s="36">
        <f t="shared" si="14"/>
        <v>5494.4922289452543</v>
      </c>
      <c r="G267" s="36">
        <f t="shared" si="15"/>
        <v>4721.2879469547452</v>
      </c>
      <c r="I267" s="40">
        <v>4706.4501950000003</v>
      </c>
      <c r="J267" s="36">
        <v>5494.4922289452543</v>
      </c>
      <c r="K267" s="36">
        <v>4721.2879469547452</v>
      </c>
    </row>
    <row r="268" spans="1:11" x14ac:dyDescent="0.25">
      <c r="A268" s="39">
        <v>40872</v>
      </c>
      <c r="B268" s="36">
        <v>4710.0498049999997</v>
      </c>
      <c r="C268" s="36">
        <f t="shared" si="12"/>
        <v>5090.8950684499996</v>
      </c>
      <c r="D268" s="36">
        <f t="shared" si="13"/>
        <v>212.63806895899745</v>
      </c>
      <c r="E268" s="40">
        <v>4710.0498049999997</v>
      </c>
      <c r="F268" s="36">
        <f t="shared" si="14"/>
        <v>5516.1712063679943</v>
      </c>
      <c r="G268" s="36">
        <f t="shared" si="15"/>
        <v>4665.6189305320049</v>
      </c>
      <c r="I268" s="40">
        <v>4710.0498049999997</v>
      </c>
      <c r="J268" s="36">
        <v>5516.1712063679943</v>
      </c>
      <c r="K268" s="36">
        <v>4665.6189305320049</v>
      </c>
    </row>
    <row r="269" spans="1:11" x14ac:dyDescent="0.25">
      <c r="A269" s="39">
        <v>40875</v>
      </c>
      <c r="B269" s="36">
        <v>4851.2998049999997</v>
      </c>
      <c r="C269" s="36">
        <f t="shared" si="12"/>
        <v>5078.5425538</v>
      </c>
      <c r="D269" s="36">
        <f t="shared" si="13"/>
        <v>219.25503528757153</v>
      </c>
      <c r="E269" s="40">
        <v>4851.2998049999997</v>
      </c>
      <c r="F269" s="36">
        <f t="shared" si="14"/>
        <v>5517.0526243751428</v>
      </c>
      <c r="G269" s="36">
        <f t="shared" si="15"/>
        <v>4640.0324832248571</v>
      </c>
      <c r="I269" s="40">
        <v>4851.2998049999997</v>
      </c>
      <c r="J269" s="36">
        <v>5517.0526243751428</v>
      </c>
      <c r="K269" s="36">
        <v>4640.0324832248571</v>
      </c>
    </row>
    <row r="270" spans="1:11" x14ac:dyDescent="0.25">
      <c r="A270" s="39">
        <v>40876</v>
      </c>
      <c r="B270" s="36">
        <v>4805.1000979999999</v>
      </c>
      <c r="C270" s="36">
        <f t="shared" si="12"/>
        <v>5059.2175537999992</v>
      </c>
      <c r="D270" s="36">
        <f t="shared" si="13"/>
        <v>225.70384593341154</v>
      </c>
      <c r="E270" s="40">
        <v>4805.1000979999999</v>
      </c>
      <c r="F270" s="36">
        <f t="shared" si="14"/>
        <v>5510.6252456668226</v>
      </c>
      <c r="G270" s="36">
        <f t="shared" si="15"/>
        <v>4607.8098619331759</v>
      </c>
      <c r="I270" s="40">
        <v>4805.1000979999999</v>
      </c>
      <c r="J270" s="36">
        <v>5510.6252456668226</v>
      </c>
      <c r="K270" s="36">
        <v>4607.8098619331759</v>
      </c>
    </row>
    <row r="271" spans="1:11" x14ac:dyDescent="0.25">
      <c r="A271" s="39">
        <v>40877</v>
      </c>
      <c r="B271" s="36">
        <v>4832.0498049999997</v>
      </c>
      <c r="C271" s="36">
        <f t="shared" si="12"/>
        <v>5032.7850343</v>
      </c>
      <c r="D271" s="36">
        <f t="shared" si="13"/>
        <v>219.40615266538575</v>
      </c>
      <c r="E271" s="40">
        <v>4832.0498049999997</v>
      </c>
      <c r="F271" s="36">
        <f t="shared" si="14"/>
        <v>5471.5973396307718</v>
      </c>
      <c r="G271" s="36">
        <f t="shared" si="15"/>
        <v>4593.9727289692282</v>
      </c>
      <c r="I271" s="40">
        <v>4832.0498049999997</v>
      </c>
      <c r="J271" s="36">
        <v>5471.5973396307718</v>
      </c>
      <c r="K271" s="36">
        <v>4593.9727289692282</v>
      </c>
    </row>
    <row r="272" spans="1:11" x14ac:dyDescent="0.25">
      <c r="A272" s="39">
        <v>40878</v>
      </c>
      <c r="B272" s="36">
        <v>4936.8500979999999</v>
      </c>
      <c r="C272" s="36">
        <f t="shared" si="12"/>
        <v>5013.2975342999998</v>
      </c>
      <c r="D272" s="36">
        <f t="shared" si="13"/>
        <v>208.99799847215291</v>
      </c>
      <c r="E272" s="40">
        <v>4936.8500979999999</v>
      </c>
      <c r="F272" s="36">
        <f t="shared" si="14"/>
        <v>5431.293531244306</v>
      </c>
      <c r="G272" s="36">
        <f t="shared" si="15"/>
        <v>4595.3015373556937</v>
      </c>
      <c r="I272" s="40">
        <v>4936.8500979999999</v>
      </c>
      <c r="J272" s="36">
        <v>5431.293531244306</v>
      </c>
      <c r="K272" s="36">
        <v>4595.3015373556937</v>
      </c>
    </row>
    <row r="273" spans="1:11" x14ac:dyDescent="0.25">
      <c r="A273" s="39">
        <v>40879</v>
      </c>
      <c r="B273" s="36">
        <v>5050.1499020000001</v>
      </c>
      <c r="C273" s="36">
        <f t="shared" si="12"/>
        <v>5002.9075196499998</v>
      </c>
      <c r="D273" s="36">
        <f t="shared" si="13"/>
        <v>201.21567748783977</v>
      </c>
      <c r="E273" s="40">
        <v>5050.1499020000001</v>
      </c>
      <c r="F273" s="36">
        <f t="shared" si="14"/>
        <v>5405.3388746256796</v>
      </c>
      <c r="G273" s="36">
        <f t="shared" si="15"/>
        <v>4600.47616467432</v>
      </c>
      <c r="I273" s="40">
        <v>5050.1499020000001</v>
      </c>
      <c r="J273" s="36">
        <v>5405.3388746256796</v>
      </c>
      <c r="K273" s="36">
        <v>4600.47616467432</v>
      </c>
    </row>
    <row r="274" spans="1:11" x14ac:dyDescent="0.25">
      <c r="A274" s="39">
        <v>40882</v>
      </c>
      <c r="B274" s="36">
        <v>5039.1499020000001</v>
      </c>
      <c r="C274" s="36">
        <f t="shared" si="12"/>
        <v>4991.9425050000009</v>
      </c>
      <c r="D274" s="36">
        <f t="shared" si="13"/>
        <v>192.33660856600645</v>
      </c>
      <c r="E274" s="40">
        <v>5039.1499020000001</v>
      </c>
      <c r="F274" s="36">
        <f t="shared" si="14"/>
        <v>5376.6157221320136</v>
      </c>
      <c r="G274" s="36">
        <f t="shared" si="15"/>
        <v>4607.2692878679882</v>
      </c>
      <c r="I274" s="40">
        <v>5039.1499020000001</v>
      </c>
      <c r="J274" s="36">
        <v>5376.6157221320136</v>
      </c>
      <c r="K274" s="36">
        <v>4607.2692878679882</v>
      </c>
    </row>
    <row r="275" spans="1:11" x14ac:dyDescent="0.25">
      <c r="A275" s="39">
        <v>40884</v>
      </c>
      <c r="B275" s="36">
        <v>5062.6000979999999</v>
      </c>
      <c r="C275" s="36">
        <f t="shared" si="12"/>
        <v>4981.7850099000007</v>
      </c>
      <c r="D275" s="36">
        <f t="shared" si="13"/>
        <v>182.21336624018826</v>
      </c>
      <c r="E275" s="40">
        <v>5062.6000979999999</v>
      </c>
      <c r="F275" s="36">
        <f t="shared" si="14"/>
        <v>5346.2117423803775</v>
      </c>
      <c r="G275" s="36">
        <f t="shared" si="15"/>
        <v>4617.3582774196238</v>
      </c>
      <c r="I275" s="40">
        <v>5062.6000979999999</v>
      </c>
      <c r="J275" s="36">
        <v>5346.2117423803775</v>
      </c>
      <c r="K275" s="36">
        <v>4617.3582774196238</v>
      </c>
    </row>
    <row r="276" spans="1:11" x14ac:dyDescent="0.25">
      <c r="A276" s="39">
        <v>40885</v>
      </c>
      <c r="B276" s="36">
        <v>4943.6499020000001</v>
      </c>
      <c r="C276" s="36">
        <f t="shared" si="12"/>
        <v>4964.7574952500008</v>
      </c>
      <c r="D276" s="36">
        <f t="shared" si="13"/>
        <v>167.80833726659341</v>
      </c>
      <c r="E276" s="40">
        <v>4943.6499020000001</v>
      </c>
      <c r="F276" s="36">
        <f t="shared" si="14"/>
        <v>5300.3741697831874</v>
      </c>
      <c r="G276" s="36">
        <f t="shared" si="15"/>
        <v>4629.1408207168142</v>
      </c>
      <c r="I276" s="40">
        <v>4943.6499020000001</v>
      </c>
      <c r="J276" s="36">
        <v>5300.3741697831874</v>
      </c>
      <c r="K276" s="36">
        <v>4629.1408207168142</v>
      </c>
    </row>
    <row r="277" spans="1:11" x14ac:dyDescent="0.25">
      <c r="A277" s="39">
        <v>40886</v>
      </c>
      <c r="B277" s="36">
        <v>4866.7001950000003</v>
      </c>
      <c r="C277" s="36">
        <f t="shared" si="12"/>
        <v>4943.6250001000008</v>
      </c>
      <c r="D277" s="36">
        <f t="shared" si="13"/>
        <v>150.50028019110135</v>
      </c>
      <c r="E277" s="40">
        <v>4866.7001950000003</v>
      </c>
      <c r="F277" s="36">
        <f t="shared" si="14"/>
        <v>5244.6255604822036</v>
      </c>
      <c r="G277" s="36">
        <f t="shared" si="15"/>
        <v>4642.6244397177979</v>
      </c>
      <c r="I277" s="40">
        <v>4866.7001950000003</v>
      </c>
      <c r="J277" s="36">
        <v>5244.6255604822036</v>
      </c>
      <c r="K277" s="36">
        <v>4642.6244397177979</v>
      </c>
    </row>
    <row r="278" spans="1:11" x14ac:dyDescent="0.25">
      <c r="A278" s="39">
        <v>40889</v>
      </c>
      <c r="B278" s="36">
        <v>4764.6000979999999</v>
      </c>
      <c r="C278" s="36">
        <f t="shared" ref="C278:C341" si="16">AVERAGE(B259:B278)</f>
        <v>4920.8025147500002</v>
      </c>
      <c r="D278" s="36">
        <f t="shared" ref="D278:D341" si="17">_xlfn.STDEV.S(B259:B278)</f>
        <v>140.49244760774653</v>
      </c>
      <c r="E278" s="40">
        <v>4764.6000979999999</v>
      </c>
      <c r="F278" s="36">
        <f t="shared" ref="F278:F341" si="18">C278+2*D278</f>
        <v>5201.7874099654937</v>
      </c>
      <c r="G278" s="36">
        <f t="shared" ref="G278:G341" si="19">C278-2*D278</f>
        <v>4639.8176195345068</v>
      </c>
      <c r="I278" s="40">
        <v>4764.6000979999999</v>
      </c>
      <c r="J278" s="36">
        <v>5201.7874099654937</v>
      </c>
      <c r="K278" s="36">
        <v>4639.8176195345068</v>
      </c>
    </row>
    <row r="279" spans="1:11" x14ac:dyDescent="0.25">
      <c r="A279" s="39">
        <v>40890</v>
      </c>
      <c r="B279" s="36">
        <v>4800.6000979999999</v>
      </c>
      <c r="C279" s="36">
        <f t="shared" si="16"/>
        <v>4902.3900147500008</v>
      </c>
      <c r="D279" s="36">
        <f t="shared" si="17"/>
        <v>130.01316596748103</v>
      </c>
      <c r="E279" s="40">
        <v>4800.6000979999999</v>
      </c>
      <c r="F279" s="36">
        <f t="shared" si="18"/>
        <v>5162.4163466849632</v>
      </c>
      <c r="G279" s="36">
        <f t="shared" si="19"/>
        <v>4642.3636828150384</v>
      </c>
      <c r="I279" s="40">
        <v>4800.6000979999999</v>
      </c>
      <c r="J279" s="36">
        <v>5162.4163466849632</v>
      </c>
      <c r="K279" s="36">
        <v>4642.3636828150384</v>
      </c>
    </row>
    <row r="280" spans="1:11" x14ac:dyDescent="0.25">
      <c r="A280" s="39">
        <v>40891</v>
      </c>
      <c r="B280" s="36">
        <v>4763.25</v>
      </c>
      <c r="C280" s="36">
        <f t="shared" si="16"/>
        <v>4883.1350098499997</v>
      </c>
      <c r="D280" s="36">
        <f t="shared" si="17"/>
        <v>119.78347132510889</v>
      </c>
      <c r="E280" s="40">
        <v>4763.25</v>
      </c>
      <c r="F280" s="36">
        <f t="shared" si="18"/>
        <v>5122.7019525002179</v>
      </c>
      <c r="G280" s="36">
        <f t="shared" si="19"/>
        <v>4643.5680671997816</v>
      </c>
      <c r="I280" s="40">
        <v>4763.25</v>
      </c>
      <c r="J280" s="36">
        <v>5122.7019525002179</v>
      </c>
      <c r="K280" s="36">
        <v>4643.5680671997816</v>
      </c>
    </row>
    <row r="281" spans="1:11" x14ac:dyDescent="0.25">
      <c r="A281" s="39">
        <v>40892</v>
      </c>
      <c r="B281" s="36">
        <v>4746.3500979999999</v>
      </c>
      <c r="C281" s="36">
        <f t="shared" si="16"/>
        <v>4867.0275147499997</v>
      </c>
      <c r="D281" s="36">
        <f t="shared" si="17"/>
        <v>115.11422807933974</v>
      </c>
      <c r="E281" s="40">
        <v>4746.3500979999999</v>
      </c>
      <c r="F281" s="36">
        <f t="shared" si="18"/>
        <v>5097.255970908679</v>
      </c>
      <c r="G281" s="36">
        <f t="shared" si="19"/>
        <v>4636.7990585913203</v>
      </c>
      <c r="I281" s="40">
        <v>4746.3500979999999</v>
      </c>
      <c r="J281" s="36">
        <v>5097.255970908679</v>
      </c>
      <c r="K281" s="36">
        <v>4636.7990585913203</v>
      </c>
    </row>
    <row r="282" spans="1:11" x14ac:dyDescent="0.25">
      <c r="A282" s="39">
        <v>40893</v>
      </c>
      <c r="B282" s="36">
        <v>4651.6000979999999</v>
      </c>
      <c r="C282" s="36">
        <f t="shared" si="16"/>
        <v>4848.085009899999</v>
      </c>
      <c r="D282" s="36">
        <f t="shared" si="17"/>
        <v>117.94290641246756</v>
      </c>
      <c r="E282" s="40">
        <v>4651.6000979999999</v>
      </c>
      <c r="F282" s="36">
        <f t="shared" si="18"/>
        <v>5083.9708227249339</v>
      </c>
      <c r="G282" s="36">
        <f t="shared" si="19"/>
        <v>4612.1991970750641</v>
      </c>
      <c r="I282" s="40">
        <v>4651.6000979999999</v>
      </c>
      <c r="J282" s="36">
        <v>5083.9708227249339</v>
      </c>
      <c r="K282" s="36">
        <v>4612.1991970750641</v>
      </c>
    </row>
    <row r="283" spans="1:11" x14ac:dyDescent="0.25">
      <c r="A283" s="39">
        <v>40896</v>
      </c>
      <c r="B283" s="36">
        <v>4613.1000979999999</v>
      </c>
      <c r="C283" s="36">
        <f t="shared" si="16"/>
        <v>4832.0025147999986</v>
      </c>
      <c r="D283" s="36">
        <f t="shared" si="17"/>
        <v>127.07938041906364</v>
      </c>
      <c r="E283" s="40">
        <v>4613.1000979999999</v>
      </c>
      <c r="F283" s="36">
        <f t="shared" si="18"/>
        <v>5086.1612756381255</v>
      </c>
      <c r="G283" s="36">
        <f t="shared" si="19"/>
        <v>4577.8437539618717</v>
      </c>
      <c r="I283" s="40">
        <v>4613.1000979999999</v>
      </c>
      <c r="J283" s="36">
        <v>5086.1612756381255</v>
      </c>
      <c r="K283" s="36">
        <v>4577.8437539618717</v>
      </c>
    </row>
    <row r="284" spans="1:11" x14ac:dyDescent="0.25">
      <c r="A284" s="39">
        <v>40897</v>
      </c>
      <c r="B284" s="36">
        <v>4544.2001950000003</v>
      </c>
      <c r="C284" s="36">
        <f t="shared" si="16"/>
        <v>4813.922534299998</v>
      </c>
      <c r="D284" s="36">
        <f t="shared" si="17"/>
        <v>140.9891057698691</v>
      </c>
      <c r="E284" s="40">
        <v>4544.2001950000003</v>
      </c>
      <c r="F284" s="36">
        <f t="shared" si="18"/>
        <v>5095.9007458397364</v>
      </c>
      <c r="G284" s="36">
        <f t="shared" si="19"/>
        <v>4531.9443227602596</v>
      </c>
      <c r="I284" s="40">
        <v>4544.2001950000003</v>
      </c>
      <c r="J284" s="36">
        <v>5095.9007458397364</v>
      </c>
      <c r="K284" s="36">
        <v>4531.9443227602596</v>
      </c>
    </row>
    <row r="285" spans="1:11" x14ac:dyDescent="0.25">
      <c r="A285" s="39">
        <v>40898</v>
      </c>
      <c r="B285" s="36">
        <v>4693.1499020000001</v>
      </c>
      <c r="C285" s="36">
        <f t="shared" si="16"/>
        <v>4809.6625244999987</v>
      </c>
      <c r="D285" s="36">
        <f t="shared" si="17"/>
        <v>143.38727606113139</v>
      </c>
      <c r="E285" s="40">
        <v>4693.1499020000001</v>
      </c>
      <c r="F285" s="36">
        <f t="shared" si="18"/>
        <v>5096.4370766222619</v>
      </c>
      <c r="G285" s="36">
        <f t="shared" si="19"/>
        <v>4522.8879723777354</v>
      </c>
      <c r="I285" s="40">
        <v>4693.1499020000001</v>
      </c>
      <c r="J285" s="36">
        <v>5096.4370766222619</v>
      </c>
      <c r="K285" s="36">
        <v>4522.8879723777354</v>
      </c>
    </row>
    <row r="286" spans="1:11" x14ac:dyDescent="0.25">
      <c r="A286" s="39">
        <v>40899</v>
      </c>
      <c r="B286" s="36">
        <v>4733.8500979999999</v>
      </c>
      <c r="C286" s="36">
        <f t="shared" si="16"/>
        <v>4805.7375244999985</v>
      </c>
      <c r="D286" s="36">
        <f t="shared" si="17"/>
        <v>144.38080063514988</v>
      </c>
      <c r="E286" s="40">
        <v>4733.8500979999999</v>
      </c>
      <c r="F286" s="36">
        <f t="shared" si="18"/>
        <v>5094.4991257702986</v>
      </c>
      <c r="G286" s="36">
        <f t="shared" si="19"/>
        <v>4516.9759232296983</v>
      </c>
      <c r="I286" s="40">
        <v>4733.8500979999999</v>
      </c>
      <c r="J286" s="36">
        <v>5094.4991257702986</v>
      </c>
      <c r="K286" s="36">
        <v>4516.9759232296983</v>
      </c>
    </row>
    <row r="287" spans="1:11" x14ac:dyDescent="0.25">
      <c r="A287" s="39">
        <v>40900</v>
      </c>
      <c r="B287" s="36">
        <v>4714</v>
      </c>
      <c r="C287" s="36">
        <f t="shared" si="16"/>
        <v>4806.1150147499993</v>
      </c>
      <c r="D287" s="36">
        <f t="shared" si="17"/>
        <v>144.11717562150244</v>
      </c>
      <c r="E287" s="40">
        <v>4714</v>
      </c>
      <c r="F287" s="36">
        <f t="shared" si="18"/>
        <v>5094.3493659930045</v>
      </c>
      <c r="G287" s="36">
        <f t="shared" si="19"/>
        <v>4517.8806635069941</v>
      </c>
      <c r="I287" s="40">
        <v>4714</v>
      </c>
      <c r="J287" s="36">
        <v>5094.3493659930045</v>
      </c>
      <c r="K287" s="36">
        <v>4517.8806635069941</v>
      </c>
    </row>
    <row r="288" spans="1:11" x14ac:dyDescent="0.25">
      <c r="A288" s="39">
        <v>40904</v>
      </c>
      <c r="B288" s="36">
        <v>4750.5</v>
      </c>
      <c r="C288" s="36">
        <f t="shared" si="16"/>
        <v>4808.1375244999999</v>
      </c>
      <c r="D288" s="36">
        <f t="shared" si="17"/>
        <v>142.97738877194143</v>
      </c>
      <c r="E288" s="40">
        <v>4750.5</v>
      </c>
      <c r="F288" s="36">
        <f t="shared" si="18"/>
        <v>5094.0923020438831</v>
      </c>
      <c r="G288" s="36">
        <f t="shared" si="19"/>
        <v>4522.1827469561167</v>
      </c>
      <c r="I288" s="40">
        <v>4750.5</v>
      </c>
      <c r="J288" s="36">
        <v>5094.0923020438831</v>
      </c>
      <c r="K288" s="36">
        <v>4522.1827469561167</v>
      </c>
    </row>
    <row r="289" spans="1:11" x14ac:dyDescent="0.25">
      <c r="A289" s="39">
        <v>40905</v>
      </c>
      <c r="B289" s="36">
        <v>4705.7998049999997</v>
      </c>
      <c r="C289" s="36">
        <f t="shared" si="16"/>
        <v>4800.8625245000003</v>
      </c>
      <c r="D289" s="36">
        <f t="shared" si="17"/>
        <v>144.36059641987075</v>
      </c>
      <c r="E289" s="40">
        <v>4705.7998049999997</v>
      </c>
      <c r="F289" s="36">
        <f t="shared" si="18"/>
        <v>5089.5837173397422</v>
      </c>
      <c r="G289" s="36">
        <f t="shared" si="19"/>
        <v>4512.1413316602584</v>
      </c>
      <c r="I289" s="40">
        <v>4705.7998049999997</v>
      </c>
      <c r="J289" s="36">
        <v>5089.5837173397422</v>
      </c>
      <c r="K289" s="36">
        <v>4512.1413316602584</v>
      </c>
    </row>
    <row r="290" spans="1:11" x14ac:dyDescent="0.25">
      <c r="A290" s="39">
        <v>40906</v>
      </c>
      <c r="B290" s="36">
        <v>4646.25</v>
      </c>
      <c r="C290" s="36">
        <f t="shared" si="16"/>
        <v>4792.9200196000002</v>
      </c>
      <c r="D290" s="36">
        <f t="shared" si="17"/>
        <v>148.42773577466465</v>
      </c>
      <c r="E290" s="40">
        <v>4646.25</v>
      </c>
      <c r="F290" s="36">
        <f t="shared" si="18"/>
        <v>5089.7754911493294</v>
      </c>
      <c r="G290" s="36">
        <f t="shared" si="19"/>
        <v>4496.064548050671</v>
      </c>
      <c r="I290" s="40">
        <v>4646.25</v>
      </c>
      <c r="J290" s="36">
        <v>5089.7754911493294</v>
      </c>
      <c r="K290" s="36">
        <v>4496.064548050671</v>
      </c>
    </row>
    <row r="291" spans="1:11" x14ac:dyDescent="0.25">
      <c r="A291" s="39">
        <v>40907</v>
      </c>
      <c r="B291" s="36">
        <v>4624.2998049999997</v>
      </c>
      <c r="C291" s="36">
        <f t="shared" si="16"/>
        <v>4782.5325196000003</v>
      </c>
      <c r="D291" s="36">
        <f t="shared" si="17"/>
        <v>152.75172421078383</v>
      </c>
      <c r="E291" s="40">
        <v>4624.2998049999997</v>
      </c>
      <c r="F291" s="36">
        <f t="shared" si="18"/>
        <v>5088.0359680215679</v>
      </c>
      <c r="G291" s="36">
        <f t="shared" si="19"/>
        <v>4477.0290711784328</v>
      </c>
      <c r="I291" s="40">
        <v>4624.2998049999997</v>
      </c>
      <c r="J291" s="36">
        <v>5088.0359680215679</v>
      </c>
      <c r="K291" s="36">
        <v>4477.0290711784328</v>
      </c>
    </row>
    <row r="292" spans="1:11" x14ac:dyDescent="0.25">
      <c r="A292" s="39">
        <v>40911</v>
      </c>
      <c r="B292" s="36">
        <v>4765.2998049999997</v>
      </c>
      <c r="C292" s="36">
        <f t="shared" si="16"/>
        <v>4773.9550049500012</v>
      </c>
      <c r="D292" s="36">
        <f t="shared" si="17"/>
        <v>148.38432887106399</v>
      </c>
      <c r="E292" s="40">
        <v>4765.2998049999997</v>
      </c>
      <c r="F292" s="36">
        <f t="shared" si="18"/>
        <v>5070.7236626921294</v>
      </c>
      <c r="G292" s="36">
        <f t="shared" si="19"/>
        <v>4477.186347207873</v>
      </c>
      <c r="I292" s="40">
        <v>4765.2998049999997</v>
      </c>
      <c r="J292" s="36">
        <v>5070.7236626921294</v>
      </c>
      <c r="K292" s="36">
        <v>4477.186347207873</v>
      </c>
    </row>
    <row r="293" spans="1:11" x14ac:dyDescent="0.25">
      <c r="A293" s="39">
        <v>40912</v>
      </c>
      <c r="B293" s="36">
        <v>4749.6499020000001</v>
      </c>
      <c r="C293" s="36">
        <f t="shared" si="16"/>
        <v>4758.9300049500007</v>
      </c>
      <c r="D293" s="36">
        <f t="shared" si="17"/>
        <v>133.40330154692089</v>
      </c>
      <c r="E293" s="40">
        <v>4749.6499020000001</v>
      </c>
      <c r="F293" s="36">
        <f t="shared" si="18"/>
        <v>5025.7366080438424</v>
      </c>
      <c r="G293" s="36">
        <f t="shared" si="19"/>
        <v>4492.123401856159</v>
      </c>
      <c r="I293" s="40">
        <v>4749.6499020000001</v>
      </c>
      <c r="J293" s="36">
        <v>5025.7366080438424</v>
      </c>
      <c r="K293" s="36">
        <v>4492.123401856159</v>
      </c>
    </row>
    <row r="294" spans="1:11" x14ac:dyDescent="0.25">
      <c r="A294" s="39">
        <v>40913</v>
      </c>
      <c r="B294" s="36">
        <v>4749.9501950000003</v>
      </c>
      <c r="C294" s="36">
        <f t="shared" si="16"/>
        <v>4744.4700196000003</v>
      </c>
      <c r="D294" s="36">
        <f t="shared" si="17"/>
        <v>115.96460421097115</v>
      </c>
      <c r="E294" s="40">
        <v>4749.9501950000003</v>
      </c>
      <c r="F294" s="36">
        <f t="shared" si="18"/>
        <v>4976.3992280219427</v>
      </c>
      <c r="G294" s="36">
        <f t="shared" si="19"/>
        <v>4512.540811178058</v>
      </c>
      <c r="I294" s="40">
        <v>4749.9501950000003</v>
      </c>
      <c r="J294" s="36">
        <v>4976.3992280219427</v>
      </c>
      <c r="K294" s="36">
        <v>4512.540811178058</v>
      </c>
    </row>
    <row r="295" spans="1:11" x14ac:dyDescent="0.25">
      <c r="A295" s="39">
        <v>40914</v>
      </c>
      <c r="B295" s="36">
        <v>4754.1000979999999</v>
      </c>
      <c r="C295" s="36">
        <f t="shared" si="16"/>
        <v>4729.0450196000002</v>
      </c>
      <c r="D295" s="36">
        <f t="shared" si="17"/>
        <v>88.744274327843883</v>
      </c>
      <c r="E295" s="40">
        <v>4754.1000979999999</v>
      </c>
      <c r="F295" s="36">
        <f t="shared" si="18"/>
        <v>4906.5335682556879</v>
      </c>
      <c r="G295" s="36">
        <f t="shared" si="19"/>
        <v>4551.5564709443124</v>
      </c>
      <c r="I295" s="40">
        <v>4754.1000979999999</v>
      </c>
      <c r="J295" s="36">
        <v>4906.5335682556879</v>
      </c>
      <c r="K295" s="36">
        <v>4551.5564709443124</v>
      </c>
    </row>
    <row r="296" spans="1:11" x14ac:dyDescent="0.25">
      <c r="A296" s="39">
        <v>40917</v>
      </c>
      <c r="B296" s="36">
        <v>4742.7998049999997</v>
      </c>
      <c r="C296" s="36">
        <f t="shared" si="16"/>
        <v>4719.00251475</v>
      </c>
      <c r="D296" s="36">
        <f t="shared" si="17"/>
        <v>73.180483014966882</v>
      </c>
      <c r="E296" s="40">
        <v>4742.7998049999997</v>
      </c>
      <c r="F296" s="36">
        <f t="shared" si="18"/>
        <v>4865.3634807799335</v>
      </c>
      <c r="G296" s="36">
        <f t="shared" si="19"/>
        <v>4572.6415487200666</v>
      </c>
      <c r="I296" s="40">
        <v>4742.7998049999997</v>
      </c>
      <c r="J296" s="36">
        <v>4865.3634807799335</v>
      </c>
      <c r="K296" s="36">
        <v>4572.6415487200666</v>
      </c>
    </row>
    <row r="297" spans="1:11" x14ac:dyDescent="0.25">
      <c r="A297" s="39">
        <v>40918</v>
      </c>
      <c r="B297" s="36">
        <v>4849.5498049999997</v>
      </c>
      <c r="C297" s="36">
        <f t="shared" si="16"/>
        <v>4718.1449952499997</v>
      </c>
      <c r="D297" s="36">
        <f t="shared" si="17"/>
        <v>71.438439541476257</v>
      </c>
      <c r="E297" s="40">
        <v>4849.5498049999997</v>
      </c>
      <c r="F297" s="36">
        <f t="shared" si="18"/>
        <v>4861.0218743329524</v>
      </c>
      <c r="G297" s="36">
        <f t="shared" si="19"/>
        <v>4575.2681161670471</v>
      </c>
      <c r="I297" s="40">
        <v>4849.5498049999997</v>
      </c>
      <c r="J297" s="36">
        <v>4861.0218743329524</v>
      </c>
      <c r="K297" s="36">
        <v>4575.2681161670471</v>
      </c>
    </row>
    <row r="298" spans="1:11" x14ac:dyDescent="0.25">
      <c r="A298" s="39">
        <v>40919</v>
      </c>
      <c r="B298" s="36">
        <v>4860.9501950000003</v>
      </c>
      <c r="C298" s="36">
        <f t="shared" si="16"/>
        <v>4722.9625001000004</v>
      </c>
      <c r="D298" s="36">
        <f t="shared" si="17"/>
        <v>77.709527859516683</v>
      </c>
      <c r="E298" s="40">
        <v>4860.9501950000003</v>
      </c>
      <c r="F298" s="36">
        <f t="shared" si="18"/>
        <v>4878.3815558190336</v>
      </c>
      <c r="G298" s="36">
        <f t="shared" si="19"/>
        <v>4567.5434443809672</v>
      </c>
      <c r="I298" s="40">
        <v>4860.9501950000003</v>
      </c>
      <c r="J298" s="36">
        <v>4878.3815558190336</v>
      </c>
      <c r="K298" s="36">
        <v>4567.5434443809672</v>
      </c>
    </row>
    <row r="299" spans="1:11" x14ac:dyDescent="0.25">
      <c r="A299" s="39">
        <v>40920</v>
      </c>
      <c r="B299" s="36">
        <v>4831.25</v>
      </c>
      <c r="C299" s="36">
        <f t="shared" si="16"/>
        <v>4724.4949952000006</v>
      </c>
      <c r="D299" s="36">
        <f t="shared" si="17"/>
        <v>79.600402962849031</v>
      </c>
      <c r="E299" s="40">
        <v>4831.25</v>
      </c>
      <c r="F299" s="36">
        <f t="shared" si="18"/>
        <v>4883.6958011256984</v>
      </c>
      <c r="G299" s="36">
        <f t="shared" si="19"/>
        <v>4565.2941892743029</v>
      </c>
      <c r="I299" s="40">
        <v>4831.25</v>
      </c>
      <c r="J299" s="36">
        <v>4883.6958011256984</v>
      </c>
      <c r="K299" s="36">
        <v>4565.2941892743029</v>
      </c>
    </row>
    <row r="300" spans="1:11" x14ac:dyDescent="0.25">
      <c r="A300" s="39">
        <v>40921</v>
      </c>
      <c r="B300" s="36">
        <v>4866</v>
      </c>
      <c r="C300" s="36">
        <f t="shared" si="16"/>
        <v>4729.6324952000004</v>
      </c>
      <c r="D300" s="36">
        <f t="shared" si="17"/>
        <v>85.342066121089232</v>
      </c>
      <c r="E300" s="40">
        <v>4866</v>
      </c>
      <c r="F300" s="36">
        <f t="shared" si="18"/>
        <v>4900.3166274421792</v>
      </c>
      <c r="G300" s="36">
        <f t="shared" si="19"/>
        <v>4558.9483629578217</v>
      </c>
      <c r="I300" s="40">
        <v>4866</v>
      </c>
      <c r="J300" s="36">
        <v>4900.3166274421792</v>
      </c>
      <c r="K300" s="36">
        <v>4558.9483629578217</v>
      </c>
    </row>
    <row r="301" spans="1:11" x14ac:dyDescent="0.25">
      <c r="A301" s="39">
        <v>40924</v>
      </c>
      <c r="B301" s="36">
        <v>4873.8999020000001</v>
      </c>
      <c r="C301" s="36">
        <f t="shared" si="16"/>
        <v>4736.0099854</v>
      </c>
      <c r="D301" s="36">
        <f t="shared" si="17"/>
        <v>91.22045463800066</v>
      </c>
      <c r="E301" s="40">
        <v>4873.8999020000001</v>
      </c>
      <c r="F301" s="36">
        <f t="shared" si="18"/>
        <v>4918.4508946760016</v>
      </c>
      <c r="G301" s="36">
        <f t="shared" si="19"/>
        <v>4553.5690761239985</v>
      </c>
      <c r="I301" s="40">
        <v>4873.8999020000001</v>
      </c>
      <c r="J301" s="36">
        <v>4918.4508946760016</v>
      </c>
      <c r="K301" s="36">
        <v>4553.5690761239985</v>
      </c>
    </row>
    <row r="302" spans="1:11" x14ac:dyDescent="0.25">
      <c r="A302" s="39">
        <v>40925</v>
      </c>
      <c r="B302" s="36">
        <v>4967.2998049999997</v>
      </c>
      <c r="C302" s="36">
        <f t="shared" si="16"/>
        <v>4751.7949707500002</v>
      </c>
      <c r="D302" s="36">
        <f t="shared" si="17"/>
        <v>102.46665487203569</v>
      </c>
      <c r="E302" s="40">
        <v>4967.2998049999997</v>
      </c>
      <c r="F302" s="36">
        <f t="shared" si="18"/>
        <v>4956.7282804940714</v>
      </c>
      <c r="G302" s="36">
        <f t="shared" si="19"/>
        <v>4546.8616610059289</v>
      </c>
      <c r="I302" s="40">
        <v>4967.2998049999997</v>
      </c>
      <c r="J302" s="36">
        <v>4956.7282804940714</v>
      </c>
      <c r="K302" s="36">
        <v>4546.8616610059289</v>
      </c>
    </row>
    <row r="303" spans="1:11" x14ac:dyDescent="0.25">
      <c r="A303" s="39">
        <v>40926</v>
      </c>
      <c r="B303" s="36">
        <v>4955.7998049999997</v>
      </c>
      <c r="C303" s="36">
        <f t="shared" si="16"/>
        <v>4768.9299561000007</v>
      </c>
      <c r="D303" s="36">
        <f t="shared" si="17"/>
        <v>106.62241347858523</v>
      </c>
      <c r="E303" s="40">
        <v>4955.7998049999997</v>
      </c>
      <c r="F303" s="36">
        <f t="shared" si="18"/>
        <v>4982.1747830571712</v>
      </c>
      <c r="G303" s="36">
        <f t="shared" si="19"/>
        <v>4555.6851291428302</v>
      </c>
      <c r="I303" s="40">
        <v>4955.7998049999997</v>
      </c>
      <c r="J303" s="36">
        <v>4982.1747830571712</v>
      </c>
      <c r="K303" s="36">
        <v>4555.6851291428302</v>
      </c>
    </row>
    <row r="304" spans="1:11" x14ac:dyDescent="0.25">
      <c r="A304" s="39">
        <v>40927</v>
      </c>
      <c r="B304" s="36">
        <v>5018.3999020000001</v>
      </c>
      <c r="C304" s="36">
        <f t="shared" si="16"/>
        <v>4792.6399414500011</v>
      </c>
      <c r="D304" s="36">
        <f t="shared" si="17"/>
        <v>106.7429184983374</v>
      </c>
      <c r="E304" s="40">
        <v>5018.3999020000001</v>
      </c>
      <c r="F304" s="36">
        <f t="shared" si="18"/>
        <v>5006.1257784466761</v>
      </c>
      <c r="G304" s="36">
        <f t="shared" si="19"/>
        <v>4579.154104453326</v>
      </c>
      <c r="I304" s="40">
        <v>5018.3999020000001</v>
      </c>
      <c r="J304" s="36">
        <v>5006.1257784466761</v>
      </c>
      <c r="K304" s="36">
        <v>4579.154104453326</v>
      </c>
    </row>
    <row r="305" spans="1:11" x14ac:dyDescent="0.25">
      <c r="A305" s="39">
        <v>40928</v>
      </c>
      <c r="B305" s="36">
        <v>5048.6000979999999</v>
      </c>
      <c r="C305" s="36">
        <f t="shared" si="16"/>
        <v>4810.4124512500002</v>
      </c>
      <c r="D305" s="36">
        <f t="shared" si="17"/>
        <v>118.27422507857864</v>
      </c>
      <c r="E305" s="40">
        <v>5048.6000979999999</v>
      </c>
      <c r="F305" s="36">
        <f t="shared" si="18"/>
        <v>5046.9609014071575</v>
      </c>
      <c r="G305" s="36">
        <f t="shared" si="19"/>
        <v>4573.864001092843</v>
      </c>
      <c r="I305" s="40">
        <v>5048.6000979999999</v>
      </c>
      <c r="J305" s="36">
        <v>5046.9609014071575</v>
      </c>
      <c r="K305" s="36">
        <v>4573.864001092843</v>
      </c>
    </row>
    <row r="306" spans="1:11" x14ac:dyDescent="0.25">
      <c r="A306" s="39">
        <v>40931</v>
      </c>
      <c r="B306" s="36">
        <v>5046.25</v>
      </c>
      <c r="C306" s="36">
        <f t="shared" si="16"/>
        <v>4826.0324463500001</v>
      </c>
      <c r="D306" s="36">
        <f t="shared" si="17"/>
        <v>127.87019005052242</v>
      </c>
      <c r="E306" s="40">
        <v>5046.25</v>
      </c>
      <c r="F306" s="36">
        <f t="shared" si="18"/>
        <v>5081.7728264510451</v>
      </c>
      <c r="G306" s="36">
        <f t="shared" si="19"/>
        <v>4570.2920662489551</v>
      </c>
      <c r="I306" s="40">
        <v>5046.25</v>
      </c>
      <c r="J306" s="36">
        <v>5081.7728264510451</v>
      </c>
      <c r="K306" s="36">
        <v>4570.2920662489551</v>
      </c>
    </row>
    <row r="307" spans="1:11" x14ac:dyDescent="0.25">
      <c r="A307" s="39">
        <v>40932</v>
      </c>
      <c r="B307" s="36">
        <v>5127.3500979999999</v>
      </c>
      <c r="C307" s="36">
        <f t="shared" si="16"/>
        <v>4846.6999512499997</v>
      </c>
      <c r="D307" s="36">
        <f t="shared" si="17"/>
        <v>141.48889998353272</v>
      </c>
      <c r="E307" s="40">
        <v>5127.3500979999999</v>
      </c>
      <c r="F307" s="36">
        <f t="shared" si="18"/>
        <v>5129.6777512170647</v>
      </c>
      <c r="G307" s="36">
        <f t="shared" si="19"/>
        <v>4563.7221512829346</v>
      </c>
      <c r="I307" s="40">
        <v>5127.3500979999999</v>
      </c>
      <c r="J307" s="36">
        <v>5129.6777512170647</v>
      </c>
      <c r="K307" s="36">
        <v>4563.7221512829346</v>
      </c>
    </row>
    <row r="308" spans="1:11" x14ac:dyDescent="0.25">
      <c r="A308" s="39">
        <v>40933</v>
      </c>
      <c r="B308" s="36">
        <v>5158.2998049999997</v>
      </c>
      <c r="C308" s="36">
        <f t="shared" si="16"/>
        <v>4867.0899415000004</v>
      </c>
      <c r="D308" s="36">
        <f t="shared" si="17"/>
        <v>155.57838974225541</v>
      </c>
      <c r="E308" s="40">
        <v>5158.2998049999997</v>
      </c>
      <c r="F308" s="36">
        <f t="shared" si="18"/>
        <v>5178.2467209845108</v>
      </c>
      <c r="G308" s="36">
        <f t="shared" si="19"/>
        <v>4555.9331620154899</v>
      </c>
      <c r="I308" s="40">
        <v>5158.2998049999997</v>
      </c>
      <c r="J308" s="36">
        <v>5178.2467209845108</v>
      </c>
      <c r="K308" s="36">
        <v>4555.9331620154899</v>
      </c>
    </row>
    <row r="309" spans="1:11" x14ac:dyDescent="0.25">
      <c r="A309" s="39">
        <v>40935</v>
      </c>
      <c r="B309" s="36">
        <v>5204.7001950000003</v>
      </c>
      <c r="C309" s="36">
        <f t="shared" si="16"/>
        <v>4892.0349609999994</v>
      </c>
      <c r="D309" s="36">
        <f t="shared" si="17"/>
        <v>167.86729829809144</v>
      </c>
      <c r="E309" s="40">
        <v>5204.7001950000003</v>
      </c>
      <c r="F309" s="36">
        <f t="shared" si="18"/>
        <v>5227.7695575961825</v>
      </c>
      <c r="G309" s="36">
        <f t="shared" si="19"/>
        <v>4556.3003644038163</v>
      </c>
      <c r="I309" s="40">
        <v>5204.7001950000003</v>
      </c>
      <c r="J309" s="36">
        <v>5227.7695575961825</v>
      </c>
      <c r="K309" s="36">
        <v>4556.3003644038163</v>
      </c>
    </row>
    <row r="310" spans="1:11" x14ac:dyDescent="0.25">
      <c r="A310" s="39">
        <v>40938</v>
      </c>
      <c r="B310" s="36">
        <v>5087.2998049999997</v>
      </c>
      <c r="C310" s="36">
        <f t="shared" si="16"/>
        <v>4914.0874512499995</v>
      </c>
      <c r="D310" s="36">
        <f t="shared" si="17"/>
        <v>162.77220644753066</v>
      </c>
      <c r="E310" s="40">
        <v>5087.2998049999997</v>
      </c>
      <c r="F310" s="36">
        <f t="shared" si="18"/>
        <v>5239.6318641450607</v>
      </c>
      <c r="G310" s="36">
        <f t="shared" si="19"/>
        <v>4588.5430383549383</v>
      </c>
      <c r="I310" s="40">
        <v>5087.2998049999997</v>
      </c>
      <c r="J310" s="36">
        <v>5239.6318641450607</v>
      </c>
      <c r="K310" s="36">
        <v>4588.5430383549383</v>
      </c>
    </row>
    <row r="311" spans="1:11" x14ac:dyDescent="0.25">
      <c r="A311" s="39">
        <v>40939</v>
      </c>
      <c r="B311" s="36">
        <v>5199.25</v>
      </c>
      <c r="C311" s="36">
        <f t="shared" si="16"/>
        <v>4942.8349609999996</v>
      </c>
      <c r="D311" s="36">
        <f t="shared" si="17"/>
        <v>159.63996426137808</v>
      </c>
      <c r="E311" s="40">
        <v>5199.25</v>
      </c>
      <c r="F311" s="36">
        <f t="shared" si="18"/>
        <v>5262.1148895227561</v>
      </c>
      <c r="G311" s="36">
        <f t="shared" si="19"/>
        <v>4623.555032477243</v>
      </c>
      <c r="I311" s="40">
        <v>5199.25</v>
      </c>
      <c r="J311" s="36">
        <v>5262.1148895227561</v>
      </c>
      <c r="K311" s="36">
        <v>4623.555032477243</v>
      </c>
    </row>
    <row r="312" spans="1:11" x14ac:dyDescent="0.25">
      <c r="A312" s="39">
        <v>40940</v>
      </c>
      <c r="B312" s="36">
        <v>5235.7001950000003</v>
      </c>
      <c r="C312" s="36">
        <f t="shared" si="16"/>
        <v>4966.3549805000002</v>
      </c>
      <c r="D312" s="36">
        <f t="shared" si="17"/>
        <v>166.60715422220815</v>
      </c>
      <c r="E312" s="40">
        <v>5235.7001950000003</v>
      </c>
      <c r="F312" s="36">
        <f t="shared" si="18"/>
        <v>5299.5692889444163</v>
      </c>
      <c r="G312" s="36">
        <f t="shared" si="19"/>
        <v>4633.1406720555842</v>
      </c>
      <c r="I312" s="40">
        <v>5235.7001950000003</v>
      </c>
      <c r="J312" s="36">
        <v>5299.5692889444163</v>
      </c>
      <c r="K312" s="36">
        <v>4633.1406720555842</v>
      </c>
    </row>
    <row r="313" spans="1:11" x14ac:dyDescent="0.25">
      <c r="A313" s="39">
        <v>40941</v>
      </c>
      <c r="B313" s="36">
        <v>5269.8999020000001</v>
      </c>
      <c r="C313" s="36">
        <f t="shared" si="16"/>
        <v>4992.3674805000001</v>
      </c>
      <c r="D313" s="36">
        <f t="shared" si="17"/>
        <v>171.53277393121064</v>
      </c>
      <c r="E313" s="40">
        <v>5269.8999020000001</v>
      </c>
      <c r="F313" s="36">
        <f t="shared" si="18"/>
        <v>5335.4330283624213</v>
      </c>
      <c r="G313" s="36">
        <f t="shared" si="19"/>
        <v>4649.3019326375788</v>
      </c>
      <c r="I313" s="40">
        <v>5269.8999020000001</v>
      </c>
      <c r="J313" s="36">
        <v>5335.4330283624213</v>
      </c>
      <c r="K313" s="36">
        <v>4649.3019326375788</v>
      </c>
    </row>
    <row r="314" spans="1:11" x14ac:dyDescent="0.25">
      <c r="A314" s="39">
        <v>40942</v>
      </c>
      <c r="B314" s="36">
        <v>5325.8500979999999</v>
      </c>
      <c r="C314" s="36">
        <f t="shared" si="16"/>
        <v>5021.1624756500005</v>
      </c>
      <c r="D314" s="36">
        <f t="shared" si="17"/>
        <v>176.94897258366427</v>
      </c>
      <c r="E314" s="40">
        <v>5325.8500979999999</v>
      </c>
      <c r="F314" s="36">
        <f t="shared" si="18"/>
        <v>5375.060420817329</v>
      </c>
      <c r="G314" s="36">
        <f t="shared" si="19"/>
        <v>4667.2645304826719</v>
      </c>
      <c r="I314" s="40">
        <v>5325.8500979999999</v>
      </c>
      <c r="J314" s="36">
        <v>5375.060420817329</v>
      </c>
      <c r="K314" s="36">
        <v>4667.2645304826719</v>
      </c>
    </row>
    <row r="315" spans="1:11" x14ac:dyDescent="0.25">
      <c r="A315" s="39">
        <v>40945</v>
      </c>
      <c r="B315" s="36">
        <v>5361.6499020000001</v>
      </c>
      <c r="C315" s="36">
        <f t="shared" si="16"/>
        <v>5051.539965850001</v>
      </c>
      <c r="D315" s="36">
        <f t="shared" si="17"/>
        <v>180.79668353956791</v>
      </c>
      <c r="E315" s="40">
        <v>5361.6499020000001</v>
      </c>
      <c r="F315" s="36">
        <f t="shared" si="18"/>
        <v>5413.1333329291365</v>
      </c>
      <c r="G315" s="36">
        <f t="shared" si="19"/>
        <v>4689.9465987708654</v>
      </c>
      <c r="I315" s="40">
        <v>5361.6499020000001</v>
      </c>
      <c r="J315" s="36">
        <v>5413.1333329291365</v>
      </c>
      <c r="K315" s="36">
        <v>4689.9465987708654</v>
      </c>
    </row>
    <row r="316" spans="1:11" x14ac:dyDescent="0.25">
      <c r="A316" s="39">
        <v>40946</v>
      </c>
      <c r="B316" s="36">
        <v>5335.1499020000001</v>
      </c>
      <c r="C316" s="36">
        <f t="shared" si="16"/>
        <v>5081.1574707000009</v>
      </c>
      <c r="D316" s="36">
        <f t="shared" si="17"/>
        <v>176.01309040579224</v>
      </c>
      <c r="E316" s="40">
        <v>5335.1499020000001</v>
      </c>
      <c r="F316" s="36">
        <f t="shared" si="18"/>
        <v>5433.1836515115856</v>
      </c>
      <c r="G316" s="36">
        <f t="shared" si="19"/>
        <v>4729.1312898884162</v>
      </c>
      <c r="I316" s="40">
        <v>5335.1499020000001</v>
      </c>
      <c r="J316" s="36">
        <v>5433.1836515115856</v>
      </c>
      <c r="K316" s="36">
        <v>4729.1312898884162</v>
      </c>
    </row>
    <row r="317" spans="1:11" x14ac:dyDescent="0.25">
      <c r="A317" s="39">
        <v>40947</v>
      </c>
      <c r="B317" s="36">
        <v>5368.1499020000001</v>
      </c>
      <c r="C317" s="36">
        <f t="shared" si="16"/>
        <v>5107.0874755500008</v>
      </c>
      <c r="D317" s="36">
        <f t="shared" si="17"/>
        <v>178.28227081790919</v>
      </c>
      <c r="E317" s="40">
        <v>5368.1499020000001</v>
      </c>
      <c r="F317" s="36">
        <f t="shared" si="18"/>
        <v>5463.6520171858192</v>
      </c>
      <c r="G317" s="36">
        <f t="shared" si="19"/>
        <v>4750.5229339141824</v>
      </c>
      <c r="I317" s="40">
        <v>5368.1499020000001</v>
      </c>
      <c r="J317" s="36">
        <v>5463.6520171858192</v>
      </c>
      <c r="K317" s="36">
        <v>4750.5229339141824</v>
      </c>
    </row>
    <row r="318" spans="1:11" x14ac:dyDescent="0.25">
      <c r="A318" s="39">
        <v>40948</v>
      </c>
      <c r="B318" s="36">
        <v>5412.3500979999999</v>
      </c>
      <c r="C318" s="36">
        <f t="shared" si="16"/>
        <v>5134.6574707000009</v>
      </c>
      <c r="D318" s="36">
        <f t="shared" si="17"/>
        <v>180.83234585032469</v>
      </c>
      <c r="E318" s="40">
        <v>5412.3500979999999</v>
      </c>
      <c r="F318" s="36">
        <f t="shared" si="18"/>
        <v>5496.3221624006501</v>
      </c>
      <c r="G318" s="36">
        <f t="shared" si="19"/>
        <v>4772.9927789993517</v>
      </c>
      <c r="I318" s="40">
        <v>5412.3500979999999</v>
      </c>
      <c r="J318" s="36">
        <v>5496.3221624006501</v>
      </c>
      <c r="K318" s="36">
        <v>4772.9927789993517</v>
      </c>
    </row>
    <row r="319" spans="1:11" x14ac:dyDescent="0.25">
      <c r="A319" s="39">
        <v>40949</v>
      </c>
      <c r="B319" s="36">
        <v>5381.6000979999999</v>
      </c>
      <c r="C319" s="36">
        <f t="shared" si="16"/>
        <v>5162.1749756000008</v>
      </c>
      <c r="D319" s="36">
        <f t="shared" si="17"/>
        <v>173.97621059270119</v>
      </c>
      <c r="E319" s="40">
        <v>5381.6000979999999</v>
      </c>
      <c r="F319" s="36">
        <f t="shared" si="18"/>
        <v>5510.1273967854031</v>
      </c>
      <c r="G319" s="36">
        <f t="shared" si="19"/>
        <v>4814.2225544145986</v>
      </c>
      <c r="I319" s="40">
        <v>5381.6000979999999</v>
      </c>
      <c r="J319" s="36">
        <v>5510.1273967854031</v>
      </c>
      <c r="K319" s="36">
        <v>4814.2225544145986</v>
      </c>
    </row>
    <row r="320" spans="1:11" x14ac:dyDescent="0.25">
      <c r="A320" s="39">
        <v>40952</v>
      </c>
      <c r="B320" s="36">
        <v>5390.2001950000003</v>
      </c>
      <c r="C320" s="36">
        <f t="shared" si="16"/>
        <v>5188.3849853499996</v>
      </c>
      <c r="D320" s="36">
        <f t="shared" si="17"/>
        <v>166.32613926933118</v>
      </c>
      <c r="E320" s="40">
        <v>5390.2001950000003</v>
      </c>
      <c r="F320" s="36">
        <f t="shared" si="18"/>
        <v>5521.037263888662</v>
      </c>
      <c r="G320" s="36">
        <f t="shared" si="19"/>
        <v>4855.7327068113373</v>
      </c>
      <c r="I320" s="40">
        <v>5390.2001950000003</v>
      </c>
      <c r="J320" s="36">
        <v>5521.037263888662</v>
      </c>
      <c r="K320" s="36">
        <v>4855.7327068113373</v>
      </c>
    </row>
    <row r="321" spans="1:11" x14ac:dyDescent="0.25">
      <c r="A321" s="39">
        <v>40953</v>
      </c>
      <c r="B321" s="36">
        <v>5416.0498049999997</v>
      </c>
      <c r="C321" s="36">
        <f t="shared" si="16"/>
        <v>5215.4924804999991</v>
      </c>
      <c r="D321" s="36">
        <f t="shared" si="17"/>
        <v>156.24834888745193</v>
      </c>
      <c r="E321" s="40">
        <v>5416.0498049999997</v>
      </c>
      <c r="F321" s="36">
        <f t="shared" si="18"/>
        <v>5527.9891782749028</v>
      </c>
      <c r="G321" s="36">
        <f t="shared" si="19"/>
        <v>4902.9957827250955</v>
      </c>
      <c r="I321" s="40">
        <v>5416.0498049999997</v>
      </c>
      <c r="J321" s="36">
        <v>5527.9891782749028</v>
      </c>
      <c r="K321" s="36">
        <v>4902.9957827250955</v>
      </c>
    </row>
    <row r="322" spans="1:11" x14ac:dyDescent="0.25">
      <c r="A322" s="39">
        <v>40954</v>
      </c>
      <c r="B322" s="36">
        <v>5531.9501950000003</v>
      </c>
      <c r="C322" s="36">
        <f t="shared" si="16"/>
        <v>5243.7250000000004</v>
      </c>
      <c r="D322" s="36">
        <f t="shared" si="17"/>
        <v>160.01015787153554</v>
      </c>
      <c r="E322" s="40">
        <v>5531.9501950000003</v>
      </c>
      <c r="F322" s="36">
        <f t="shared" si="18"/>
        <v>5563.7453157430718</v>
      </c>
      <c r="G322" s="36">
        <f t="shared" si="19"/>
        <v>4923.7046842569289</v>
      </c>
      <c r="I322" s="40">
        <v>5531.9501950000003</v>
      </c>
      <c r="J322" s="36">
        <v>5563.7453157430718</v>
      </c>
      <c r="K322" s="36">
        <v>4923.7046842569289</v>
      </c>
    </row>
    <row r="323" spans="1:11" x14ac:dyDescent="0.25">
      <c r="A323" s="39">
        <v>40955</v>
      </c>
      <c r="B323" s="36">
        <v>5521.9501950000003</v>
      </c>
      <c r="C323" s="36">
        <f t="shared" si="16"/>
        <v>5272.0325194999987</v>
      </c>
      <c r="D323" s="36">
        <f t="shared" si="17"/>
        <v>156.43121741074424</v>
      </c>
      <c r="E323" s="40">
        <v>5521.9501950000003</v>
      </c>
      <c r="F323" s="36">
        <f t="shared" si="18"/>
        <v>5584.8949543214876</v>
      </c>
      <c r="G323" s="36">
        <f t="shared" si="19"/>
        <v>4959.1700846785097</v>
      </c>
      <c r="I323" s="40">
        <v>5521.9501950000003</v>
      </c>
      <c r="J323" s="36">
        <v>5584.8949543214876</v>
      </c>
      <c r="K323" s="36">
        <v>4959.1700846785097</v>
      </c>
    </row>
    <row r="324" spans="1:11" x14ac:dyDescent="0.25">
      <c r="A324" s="39">
        <v>40956</v>
      </c>
      <c r="B324" s="36">
        <v>5564.2998049999997</v>
      </c>
      <c r="C324" s="36">
        <f t="shared" si="16"/>
        <v>5299.3275146499991</v>
      </c>
      <c r="D324" s="36">
        <f t="shared" si="17"/>
        <v>157.46914754466229</v>
      </c>
      <c r="E324" s="40">
        <v>5564.2998049999997</v>
      </c>
      <c r="F324" s="36">
        <f t="shared" si="18"/>
        <v>5614.2658097393232</v>
      </c>
      <c r="G324" s="36">
        <f t="shared" si="19"/>
        <v>4984.389219560675</v>
      </c>
      <c r="I324" s="40">
        <v>5564.2998049999997</v>
      </c>
      <c r="J324" s="36">
        <v>5614.2658097393232</v>
      </c>
      <c r="K324" s="36">
        <v>4984.389219560675</v>
      </c>
    </row>
    <row r="325" spans="1:11" x14ac:dyDescent="0.25">
      <c r="A325" s="39">
        <v>40960</v>
      </c>
      <c r="B325" s="36">
        <v>5607.1499020000001</v>
      </c>
      <c r="C325" s="36">
        <f t="shared" si="16"/>
        <v>5327.2550048499998</v>
      </c>
      <c r="D325" s="36">
        <f t="shared" si="17"/>
        <v>160.16859647799066</v>
      </c>
      <c r="E325" s="40">
        <v>5607.1499020000001</v>
      </c>
      <c r="F325" s="36">
        <f t="shared" si="18"/>
        <v>5647.5921978059814</v>
      </c>
      <c r="G325" s="36">
        <f t="shared" si="19"/>
        <v>5006.9178118940181</v>
      </c>
      <c r="I325" s="40">
        <v>5607.1499020000001</v>
      </c>
      <c r="J325" s="36">
        <v>5647.5921978059814</v>
      </c>
      <c r="K325" s="36">
        <v>5006.9178118940181</v>
      </c>
    </row>
    <row r="326" spans="1:11" x14ac:dyDescent="0.25">
      <c r="A326" s="39">
        <v>40961</v>
      </c>
      <c r="B326" s="36">
        <v>5505.3500979999999</v>
      </c>
      <c r="C326" s="36">
        <f t="shared" si="16"/>
        <v>5350.2100097499997</v>
      </c>
      <c r="D326" s="36">
        <f t="shared" si="17"/>
        <v>150.37514686715261</v>
      </c>
      <c r="E326" s="40">
        <v>5505.3500979999999</v>
      </c>
      <c r="F326" s="36">
        <f t="shared" si="18"/>
        <v>5650.9603034843049</v>
      </c>
      <c r="G326" s="36">
        <f t="shared" si="19"/>
        <v>5049.4597160156945</v>
      </c>
      <c r="I326" s="40">
        <v>5505.3500979999999</v>
      </c>
      <c r="J326" s="36">
        <v>5650.9603034843049</v>
      </c>
      <c r="K326" s="36">
        <v>5049.4597160156945</v>
      </c>
    </row>
    <row r="327" spans="1:11" x14ac:dyDescent="0.25">
      <c r="A327" s="39">
        <v>40962</v>
      </c>
      <c r="B327" s="36">
        <v>5483.2998049999997</v>
      </c>
      <c r="C327" s="36">
        <f t="shared" si="16"/>
        <v>5368.0074951000006</v>
      </c>
      <c r="D327" s="36">
        <f t="shared" si="17"/>
        <v>143.51826488379291</v>
      </c>
      <c r="E327" s="40">
        <v>5483.2998049999997</v>
      </c>
      <c r="F327" s="36">
        <f t="shared" si="18"/>
        <v>5655.0440248675868</v>
      </c>
      <c r="G327" s="36">
        <f t="shared" si="19"/>
        <v>5080.9709653324144</v>
      </c>
      <c r="I327" s="40">
        <v>5483.2998049999997</v>
      </c>
      <c r="J327" s="36">
        <v>5655.0440248675868</v>
      </c>
      <c r="K327" s="36">
        <v>5080.9709653324144</v>
      </c>
    </row>
    <row r="328" spans="1:11" x14ac:dyDescent="0.25">
      <c r="A328" s="39">
        <v>40963</v>
      </c>
      <c r="B328" s="36">
        <v>5429.2998049999997</v>
      </c>
      <c r="C328" s="36">
        <f t="shared" si="16"/>
        <v>5381.5574950999999</v>
      </c>
      <c r="D328" s="36">
        <f t="shared" si="17"/>
        <v>135.23074563123893</v>
      </c>
      <c r="E328" s="40">
        <v>5429.2998049999997</v>
      </c>
      <c r="F328" s="36">
        <f t="shared" si="18"/>
        <v>5652.0189863624773</v>
      </c>
      <c r="G328" s="36">
        <f t="shared" si="19"/>
        <v>5111.0960038375224</v>
      </c>
      <c r="I328" s="40">
        <v>5429.2998049999997</v>
      </c>
      <c r="J328" s="36">
        <v>5652.0189863624773</v>
      </c>
      <c r="K328" s="36">
        <v>5111.0960038375224</v>
      </c>
    </row>
    <row r="329" spans="1:11" x14ac:dyDescent="0.25">
      <c r="A329" s="39">
        <v>40966</v>
      </c>
      <c r="B329" s="36">
        <v>5281.2001950000003</v>
      </c>
      <c r="C329" s="36">
        <f t="shared" si="16"/>
        <v>5385.3824951000006</v>
      </c>
      <c r="D329" s="36">
        <f t="shared" si="17"/>
        <v>130.9801526347722</v>
      </c>
      <c r="E329" s="40">
        <v>5281.2001950000003</v>
      </c>
      <c r="F329" s="36">
        <f t="shared" si="18"/>
        <v>5647.3428003695453</v>
      </c>
      <c r="G329" s="36">
        <f t="shared" si="19"/>
        <v>5123.4221898304559</v>
      </c>
      <c r="I329" s="40">
        <v>5281.2001950000003</v>
      </c>
      <c r="J329" s="36">
        <v>5647.3428003695453</v>
      </c>
      <c r="K329" s="36">
        <v>5123.4221898304559</v>
      </c>
    </row>
    <row r="330" spans="1:11" x14ac:dyDescent="0.25">
      <c r="A330" s="39">
        <v>40967</v>
      </c>
      <c r="B330" s="36">
        <v>5375.5</v>
      </c>
      <c r="C330" s="36">
        <f t="shared" si="16"/>
        <v>5399.792504850001</v>
      </c>
      <c r="D330" s="36">
        <f t="shared" si="17"/>
        <v>110.75140803490893</v>
      </c>
      <c r="E330" s="40">
        <v>5375.5</v>
      </c>
      <c r="F330" s="36">
        <f t="shared" si="18"/>
        <v>5621.2953209198186</v>
      </c>
      <c r="G330" s="36">
        <f t="shared" si="19"/>
        <v>5178.2896887801835</v>
      </c>
      <c r="I330" s="40">
        <v>5375.5</v>
      </c>
      <c r="J330" s="36">
        <v>5621.2953209198186</v>
      </c>
      <c r="K330" s="36">
        <v>5178.2896887801835</v>
      </c>
    </row>
    <row r="331" spans="1:11" x14ac:dyDescent="0.25">
      <c r="A331" s="39">
        <v>40968</v>
      </c>
      <c r="B331" s="36">
        <v>5385.2001950000003</v>
      </c>
      <c r="C331" s="36">
        <f t="shared" si="16"/>
        <v>5409.0900146000004</v>
      </c>
      <c r="D331" s="36">
        <f t="shared" si="17"/>
        <v>100.346342014152</v>
      </c>
      <c r="E331" s="40">
        <v>5385.2001950000003</v>
      </c>
      <c r="F331" s="36">
        <f t="shared" si="18"/>
        <v>5609.7826986283044</v>
      </c>
      <c r="G331" s="36">
        <f t="shared" si="19"/>
        <v>5208.3973305716963</v>
      </c>
      <c r="I331" s="40">
        <v>5385.2001950000003</v>
      </c>
      <c r="J331" s="36">
        <v>5609.7826986283044</v>
      </c>
      <c r="K331" s="36">
        <v>5208.3973305716963</v>
      </c>
    </row>
    <row r="332" spans="1:11" x14ac:dyDescent="0.25">
      <c r="A332" s="39">
        <v>40969</v>
      </c>
      <c r="B332" s="36">
        <v>5339.75</v>
      </c>
      <c r="C332" s="36">
        <f t="shared" si="16"/>
        <v>5414.2925048500001</v>
      </c>
      <c r="D332" s="36">
        <f t="shared" si="17"/>
        <v>93.336140894528725</v>
      </c>
      <c r="E332" s="40">
        <v>5339.75</v>
      </c>
      <c r="F332" s="36">
        <f t="shared" si="18"/>
        <v>5600.9647866390578</v>
      </c>
      <c r="G332" s="36">
        <f t="shared" si="19"/>
        <v>5227.6202230609424</v>
      </c>
      <c r="I332" s="40">
        <v>5339.75</v>
      </c>
      <c r="J332" s="36">
        <v>5600.9647866390578</v>
      </c>
      <c r="K332" s="36">
        <v>5227.6202230609424</v>
      </c>
    </row>
    <row r="333" spans="1:11" x14ac:dyDescent="0.25">
      <c r="A333" s="39">
        <v>40970</v>
      </c>
      <c r="B333" s="36">
        <v>5359.3500979999999</v>
      </c>
      <c r="C333" s="36">
        <f t="shared" si="16"/>
        <v>5418.76501465</v>
      </c>
      <c r="D333" s="36">
        <f t="shared" si="17"/>
        <v>88.046173944498918</v>
      </c>
      <c r="E333" s="40">
        <v>5359.3500979999999</v>
      </c>
      <c r="F333" s="36">
        <f t="shared" si="18"/>
        <v>5594.8573625389981</v>
      </c>
      <c r="G333" s="36">
        <f t="shared" si="19"/>
        <v>5242.6726667610019</v>
      </c>
      <c r="I333" s="40">
        <v>5359.3500979999999</v>
      </c>
      <c r="J333" s="36">
        <v>5594.8573625389981</v>
      </c>
      <c r="K333" s="36">
        <v>5242.6726667610019</v>
      </c>
    </row>
    <row r="334" spans="1:11" x14ac:dyDescent="0.25">
      <c r="A334" s="39">
        <v>40973</v>
      </c>
      <c r="B334" s="36">
        <v>5280.3500979999999</v>
      </c>
      <c r="C334" s="36">
        <f t="shared" si="16"/>
        <v>5416.4900146499986</v>
      </c>
      <c r="D334" s="36">
        <f t="shared" si="17"/>
        <v>91.107929371876025</v>
      </c>
      <c r="E334" s="40">
        <v>5280.3500979999999</v>
      </c>
      <c r="F334" s="36">
        <f t="shared" si="18"/>
        <v>5598.7058733937502</v>
      </c>
      <c r="G334" s="36">
        <f t="shared" si="19"/>
        <v>5234.274155906247</v>
      </c>
      <c r="I334" s="40">
        <v>5280.3500979999999</v>
      </c>
      <c r="J334" s="36">
        <v>5598.7058733937502</v>
      </c>
      <c r="K334" s="36">
        <v>5234.274155906247</v>
      </c>
    </row>
    <row r="335" spans="1:11" x14ac:dyDescent="0.25">
      <c r="A335" s="39">
        <v>40974</v>
      </c>
      <c r="B335" s="36">
        <v>5222.3999020000001</v>
      </c>
      <c r="C335" s="36">
        <f t="shared" si="16"/>
        <v>5409.5275146499998</v>
      </c>
      <c r="D335" s="36">
        <f t="shared" si="17"/>
        <v>100.36943517830024</v>
      </c>
      <c r="E335" s="40">
        <v>5222.3999020000001</v>
      </c>
      <c r="F335" s="36">
        <f t="shared" si="18"/>
        <v>5610.2663850066001</v>
      </c>
      <c r="G335" s="36">
        <f t="shared" si="19"/>
        <v>5208.7886442933996</v>
      </c>
      <c r="I335" s="40">
        <v>5222.3999020000001</v>
      </c>
      <c r="J335" s="36">
        <v>5610.2663850066001</v>
      </c>
      <c r="K335" s="36">
        <v>5208.7886442933996</v>
      </c>
    </row>
    <row r="336" spans="1:11" x14ac:dyDescent="0.25">
      <c r="A336" s="39">
        <v>40975</v>
      </c>
      <c r="B336" s="36">
        <v>5220.4501950000003</v>
      </c>
      <c r="C336" s="36">
        <f t="shared" si="16"/>
        <v>5403.7925292999989</v>
      </c>
      <c r="D336" s="36">
        <f t="shared" si="17"/>
        <v>107.84170886448381</v>
      </c>
      <c r="E336" s="40">
        <v>5220.4501950000003</v>
      </c>
      <c r="F336" s="36">
        <f t="shared" si="18"/>
        <v>5619.4759470289664</v>
      </c>
      <c r="G336" s="36">
        <f t="shared" si="19"/>
        <v>5188.1091115710315</v>
      </c>
      <c r="I336" s="40">
        <v>5220.4501950000003</v>
      </c>
      <c r="J336" s="36">
        <v>5619.4759470289664</v>
      </c>
      <c r="K336" s="36">
        <v>5188.1091115710315</v>
      </c>
    </row>
    <row r="337" spans="1:11" x14ac:dyDescent="0.25">
      <c r="A337" s="39">
        <v>40977</v>
      </c>
      <c r="B337" s="36">
        <v>5333.5498049999997</v>
      </c>
      <c r="C337" s="36">
        <f t="shared" si="16"/>
        <v>5402.0625244499997</v>
      </c>
      <c r="D337" s="36">
        <f t="shared" si="17"/>
        <v>108.7175564057832</v>
      </c>
      <c r="E337" s="40">
        <v>5333.5498049999997</v>
      </c>
      <c r="F337" s="36">
        <f t="shared" si="18"/>
        <v>5619.4976372615665</v>
      </c>
      <c r="G337" s="36">
        <f t="shared" si="19"/>
        <v>5184.6274116384329</v>
      </c>
      <c r="I337" s="40">
        <v>5333.5498049999997</v>
      </c>
      <c r="J337" s="36">
        <v>5619.4976372615665</v>
      </c>
      <c r="K337" s="36">
        <v>5184.6274116384329</v>
      </c>
    </row>
    <row r="338" spans="1:11" x14ac:dyDescent="0.25">
      <c r="A338" s="39">
        <v>40980</v>
      </c>
      <c r="B338" s="36">
        <v>5359.5498049999997</v>
      </c>
      <c r="C338" s="36">
        <f t="shared" si="16"/>
        <v>5399.4225098000006</v>
      </c>
      <c r="D338" s="36">
        <f t="shared" si="17"/>
        <v>109.09501844589465</v>
      </c>
      <c r="E338" s="40">
        <v>5359.5498049999997</v>
      </c>
      <c r="F338" s="36">
        <f t="shared" si="18"/>
        <v>5617.6125466917902</v>
      </c>
      <c r="G338" s="36">
        <f t="shared" si="19"/>
        <v>5181.2324729082111</v>
      </c>
      <c r="I338" s="40">
        <v>5359.5498049999997</v>
      </c>
      <c r="J338" s="36">
        <v>5617.6125466917902</v>
      </c>
      <c r="K338" s="36">
        <v>5181.2324729082111</v>
      </c>
    </row>
    <row r="339" spans="1:11" x14ac:dyDescent="0.25">
      <c r="A339" s="39">
        <v>40981</v>
      </c>
      <c r="B339" s="36">
        <v>5429.5</v>
      </c>
      <c r="C339" s="36">
        <f t="shared" si="16"/>
        <v>5401.8175049000001</v>
      </c>
      <c r="D339" s="36">
        <f t="shared" si="17"/>
        <v>109.20888602949798</v>
      </c>
      <c r="E339" s="40">
        <v>5429.5</v>
      </c>
      <c r="F339" s="36">
        <f t="shared" si="18"/>
        <v>5620.2352769589961</v>
      </c>
      <c r="G339" s="36">
        <f t="shared" si="19"/>
        <v>5183.3997328410042</v>
      </c>
      <c r="I339" s="40">
        <v>5429.5</v>
      </c>
      <c r="J339" s="36">
        <v>5620.2352769589961</v>
      </c>
      <c r="K339" s="36">
        <v>5183.3997328410042</v>
      </c>
    </row>
    <row r="340" spans="1:11" x14ac:dyDescent="0.25">
      <c r="A340" s="39">
        <v>40982</v>
      </c>
      <c r="B340" s="36">
        <v>5463.8999020000001</v>
      </c>
      <c r="C340" s="36">
        <f t="shared" si="16"/>
        <v>5405.5024902499999</v>
      </c>
      <c r="D340" s="36">
        <f t="shared" si="17"/>
        <v>110.03652856833948</v>
      </c>
      <c r="E340" s="40">
        <v>5463.8999020000001</v>
      </c>
      <c r="F340" s="36">
        <f t="shared" si="18"/>
        <v>5625.5755473866793</v>
      </c>
      <c r="G340" s="36">
        <f t="shared" si="19"/>
        <v>5185.4294331133206</v>
      </c>
      <c r="I340" s="40">
        <v>5463.8999020000001</v>
      </c>
      <c r="J340" s="36">
        <v>5625.5755473866793</v>
      </c>
      <c r="K340" s="36">
        <v>5185.4294331133206</v>
      </c>
    </row>
    <row r="341" spans="1:11" x14ac:dyDescent="0.25">
      <c r="A341" s="39">
        <v>40983</v>
      </c>
      <c r="B341" s="36">
        <v>5380.5</v>
      </c>
      <c r="C341" s="36">
        <f t="shared" si="16"/>
        <v>5403.7250000000004</v>
      </c>
      <c r="D341" s="36">
        <f t="shared" si="17"/>
        <v>110.1442604297076</v>
      </c>
      <c r="E341" s="40">
        <v>5380.5</v>
      </c>
      <c r="F341" s="36">
        <f t="shared" si="18"/>
        <v>5624.0135208594156</v>
      </c>
      <c r="G341" s="36">
        <f t="shared" si="19"/>
        <v>5183.4364791405851</v>
      </c>
      <c r="I341" s="40">
        <v>5380.5</v>
      </c>
      <c r="J341" s="36">
        <v>5624.0135208594156</v>
      </c>
      <c r="K341" s="36">
        <v>5183.4364791405851</v>
      </c>
    </row>
    <row r="342" spans="1:11" x14ac:dyDescent="0.25">
      <c r="A342" s="39">
        <v>40984</v>
      </c>
      <c r="B342" s="36">
        <v>5317.8999020000001</v>
      </c>
      <c r="C342" s="36">
        <f t="shared" ref="C342:C405" si="20">AVERAGE(B323:B342)</f>
        <v>5393.0224853500004</v>
      </c>
      <c r="D342" s="36">
        <f t="shared" ref="D342:D405" si="21">_xlfn.STDEV.S(B323:B342)</f>
        <v>107.39420116262033</v>
      </c>
      <c r="E342" s="40">
        <v>5317.8999020000001</v>
      </c>
      <c r="F342" s="36">
        <f t="shared" ref="F342:F405" si="22">C342+2*D342</f>
        <v>5607.8108876752412</v>
      </c>
      <c r="G342" s="36">
        <f t="shared" ref="G342:G405" si="23">C342-2*D342</f>
        <v>5178.2340830247595</v>
      </c>
      <c r="I342" s="40">
        <v>5317.8999020000001</v>
      </c>
      <c r="J342" s="36">
        <v>5607.8108876752412</v>
      </c>
      <c r="K342" s="36">
        <v>5178.2340830247595</v>
      </c>
    </row>
    <row r="343" spans="1:11" x14ac:dyDescent="0.25">
      <c r="A343" s="39">
        <v>40987</v>
      </c>
      <c r="B343" s="36">
        <v>5257.0498049999997</v>
      </c>
      <c r="C343" s="36">
        <f t="shared" si="20"/>
        <v>5379.7774658500002</v>
      </c>
      <c r="D343" s="36">
        <f t="shared" si="21"/>
        <v>106.990992999817</v>
      </c>
      <c r="E343" s="40">
        <v>5257.0498049999997</v>
      </c>
      <c r="F343" s="36">
        <f t="shared" si="22"/>
        <v>5593.7594518496344</v>
      </c>
      <c r="G343" s="36">
        <f t="shared" si="23"/>
        <v>5165.7954798503661</v>
      </c>
      <c r="I343" s="40">
        <v>5257.0498049999997</v>
      </c>
      <c r="J343" s="36">
        <v>5593.7594518496344</v>
      </c>
      <c r="K343" s="36">
        <v>5165.7954798503661</v>
      </c>
    </row>
    <row r="344" spans="1:11" x14ac:dyDescent="0.25">
      <c r="A344" s="39">
        <v>40988</v>
      </c>
      <c r="B344" s="36">
        <v>5274.8500979999999</v>
      </c>
      <c r="C344" s="36">
        <f t="shared" si="20"/>
        <v>5365.3049805000001</v>
      </c>
      <c r="D344" s="36">
        <f t="shared" si="21"/>
        <v>100.07012838717112</v>
      </c>
      <c r="E344" s="40">
        <v>5274.8500979999999</v>
      </c>
      <c r="F344" s="36">
        <f t="shared" si="22"/>
        <v>5565.4452372743426</v>
      </c>
      <c r="G344" s="36">
        <f t="shared" si="23"/>
        <v>5165.1647237256575</v>
      </c>
      <c r="I344" s="40">
        <v>5274.8500979999999</v>
      </c>
      <c r="J344" s="36">
        <v>5565.4452372743426</v>
      </c>
      <c r="K344" s="36">
        <v>5165.1647237256575</v>
      </c>
    </row>
    <row r="345" spans="1:11" x14ac:dyDescent="0.25">
      <c r="A345" s="39">
        <v>40989</v>
      </c>
      <c r="B345" s="36">
        <v>5364.9501950000003</v>
      </c>
      <c r="C345" s="36">
        <f t="shared" si="20"/>
        <v>5353.194995150001</v>
      </c>
      <c r="D345" s="36">
        <f t="shared" si="21"/>
        <v>82.348651037728729</v>
      </c>
      <c r="E345" s="40">
        <v>5364.9501950000003</v>
      </c>
      <c r="F345" s="36">
        <f t="shared" si="22"/>
        <v>5517.8922972254586</v>
      </c>
      <c r="G345" s="36">
        <f t="shared" si="23"/>
        <v>5188.4976930745433</v>
      </c>
      <c r="I345" s="40">
        <v>5364.9501950000003</v>
      </c>
      <c r="J345" s="36">
        <v>5517.8922972254586</v>
      </c>
      <c r="K345" s="36">
        <v>5188.4976930745433</v>
      </c>
    </row>
    <row r="346" spans="1:11" x14ac:dyDescent="0.25">
      <c r="A346" s="39">
        <v>40990</v>
      </c>
      <c r="B346" s="36">
        <v>5228.4501950000003</v>
      </c>
      <c r="C346" s="36">
        <f t="shared" si="20"/>
        <v>5339.35</v>
      </c>
      <c r="D346" s="36">
        <f t="shared" si="21"/>
        <v>78.61335036414404</v>
      </c>
      <c r="E346" s="40">
        <v>5228.4501950000003</v>
      </c>
      <c r="F346" s="36">
        <f t="shared" si="22"/>
        <v>5496.5767007282884</v>
      </c>
      <c r="G346" s="36">
        <f t="shared" si="23"/>
        <v>5182.1232992717123</v>
      </c>
      <c r="I346" s="40">
        <v>5228.4501950000003</v>
      </c>
      <c r="J346" s="36">
        <v>5496.5767007282884</v>
      </c>
      <c r="K346" s="36">
        <v>5182.1232992717123</v>
      </c>
    </row>
    <row r="347" spans="1:11" x14ac:dyDescent="0.25">
      <c r="A347" s="39">
        <v>40991</v>
      </c>
      <c r="B347" s="36">
        <v>5278.2001950000003</v>
      </c>
      <c r="C347" s="36">
        <f t="shared" si="20"/>
        <v>5329.0950194999996</v>
      </c>
      <c r="D347" s="36">
        <f t="shared" si="21"/>
        <v>71.941342350604273</v>
      </c>
      <c r="E347" s="40">
        <v>5278.2001950000003</v>
      </c>
      <c r="F347" s="36">
        <f t="shared" si="22"/>
        <v>5472.9777042012083</v>
      </c>
      <c r="G347" s="36">
        <f t="shared" si="23"/>
        <v>5185.2123347987908</v>
      </c>
      <c r="I347" s="40">
        <v>5278.2001950000003</v>
      </c>
      <c r="J347" s="36">
        <v>5472.9777042012083</v>
      </c>
      <c r="K347" s="36">
        <v>5185.2123347987908</v>
      </c>
    </row>
    <row r="348" spans="1:11" x14ac:dyDescent="0.25">
      <c r="A348" s="39">
        <v>40994</v>
      </c>
      <c r="B348" s="36">
        <v>5184.25</v>
      </c>
      <c r="C348" s="36">
        <f t="shared" si="20"/>
        <v>5316.8425292499996</v>
      </c>
      <c r="D348" s="36">
        <f t="shared" si="21"/>
        <v>74.788188039801568</v>
      </c>
      <c r="E348" s="40">
        <v>5184.25</v>
      </c>
      <c r="F348" s="36">
        <f t="shared" si="22"/>
        <v>5466.4189053296031</v>
      </c>
      <c r="G348" s="36">
        <f t="shared" si="23"/>
        <v>5167.2661531703961</v>
      </c>
      <c r="I348" s="40">
        <v>5184.25</v>
      </c>
      <c r="J348" s="36">
        <v>5466.4189053296031</v>
      </c>
      <c r="K348" s="36">
        <v>5167.2661531703961</v>
      </c>
    </row>
    <row r="349" spans="1:11" x14ac:dyDescent="0.25">
      <c r="A349" s="39">
        <v>40995</v>
      </c>
      <c r="B349" s="36">
        <v>5243.1499020000001</v>
      </c>
      <c r="C349" s="36">
        <f t="shared" si="20"/>
        <v>5314.9400145999998</v>
      </c>
      <c r="D349" s="36">
        <f t="shared" si="21"/>
        <v>76.213006354975477</v>
      </c>
      <c r="E349" s="40">
        <v>5243.1499020000001</v>
      </c>
      <c r="F349" s="36">
        <f t="shared" si="22"/>
        <v>5467.3660273099504</v>
      </c>
      <c r="G349" s="36">
        <f t="shared" si="23"/>
        <v>5162.5140018900493</v>
      </c>
      <c r="I349" s="40">
        <v>5243.1499020000001</v>
      </c>
      <c r="J349" s="36">
        <v>5467.3660273099504</v>
      </c>
      <c r="K349" s="36">
        <v>5162.5140018900493</v>
      </c>
    </row>
    <row r="350" spans="1:11" x14ac:dyDescent="0.25">
      <c r="A350" s="39">
        <v>40996</v>
      </c>
      <c r="B350" s="36">
        <v>5194.75</v>
      </c>
      <c r="C350" s="36">
        <f t="shared" si="20"/>
        <v>5305.9025145999994</v>
      </c>
      <c r="D350" s="36">
        <f t="shared" si="21"/>
        <v>79.307736421090823</v>
      </c>
      <c r="E350" s="40">
        <v>5194.75</v>
      </c>
      <c r="F350" s="36">
        <f t="shared" si="22"/>
        <v>5464.517987442181</v>
      </c>
      <c r="G350" s="36">
        <f t="shared" si="23"/>
        <v>5147.2870417578179</v>
      </c>
      <c r="I350" s="40">
        <v>5194.75</v>
      </c>
      <c r="J350" s="36">
        <v>5464.517987442181</v>
      </c>
      <c r="K350" s="36">
        <v>5147.2870417578179</v>
      </c>
    </row>
    <row r="351" spans="1:11" x14ac:dyDescent="0.25">
      <c r="A351" s="39">
        <v>40997</v>
      </c>
      <c r="B351" s="36">
        <v>5178.8500979999999</v>
      </c>
      <c r="C351" s="36">
        <f t="shared" si="20"/>
        <v>5295.5850097499988</v>
      </c>
      <c r="D351" s="36">
        <f t="shared" si="21"/>
        <v>81.830955534144323</v>
      </c>
      <c r="E351" s="40">
        <v>5178.8500979999999</v>
      </c>
      <c r="F351" s="36">
        <f t="shared" si="22"/>
        <v>5459.2469208182874</v>
      </c>
      <c r="G351" s="36">
        <f t="shared" si="23"/>
        <v>5131.9230986817101</v>
      </c>
      <c r="I351" s="40">
        <v>5178.8500979999999</v>
      </c>
      <c r="J351" s="36">
        <v>5459.2469208182874</v>
      </c>
      <c r="K351" s="36">
        <v>5131.9230986817101</v>
      </c>
    </row>
    <row r="352" spans="1:11" x14ac:dyDescent="0.25">
      <c r="A352" s="39">
        <v>40998</v>
      </c>
      <c r="B352" s="36">
        <v>5295.5498049999997</v>
      </c>
      <c r="C352" s="36">
        <f t="shared" si="20"/>
        <v>5293.375</v>
      </c>
      <c r="D352" s="36">
        <f t="shared" si="21"/>
        <v>81.169599054494654</v>
      </c>
      <c r="E352" s="40">
        <v>5295.5498049999997</v>
      </c>
      <c r="F352" s="36">
        <f t="shared" si="22"/>
        <v>5455.714198108989</v>
      </c>
      <c r="G352" s="36">
        <f t="shared" si="23"/>
        <v>5131.035801891011</v>
      </c>
      <c r="I352" s="40">
        <v>5295.5498049999997</v>
      </c>
      <c r="J352" s="36">
        <v>5455.714198108989</v>
      </c>
      <c r="K352" s="36">
        <v>5131.035801891011</v>
      </c>
    </row>
    <row r="353" spans="1:11" x14ac:dyDescent="0.25">
      <c r="A353" s="39">
        <v>41001</v>
      </c>
      <c r="B353" s="36">
        <v>5317.8999020000001</v>
      </c>
      <c r="C353" s="36">
        <f t="shared" si="20"/>
        <v>5291.3024902000006</v>
      </c>
      <c r="D353" s="36">
        <f t="shared" si="21"/>
        <v>79.91588463643609</v>
      </c>
      <c r="E353" s="40">
        <v>5317.8999020000001</v>
      </c>
      <c r="F353" s="36">
        <f t="shared" si="22"/>
        <v>5451.1342594728731</v>
      </c>
      <c r="G353" s="36">
        <f t="shared" si="23"/>
        <v>5131.4707209271282</v>
      </c>
      <c r="I353" s="40">
        <v>5317.8999020000001</v>
      </c>
      <c r="J353" s="36">
        <v>5451.1342594728731</v>
      </c>
      <c r="K353" s="36">
        <v>5131.4707209271282</v>
      </c>
    </row>
    <row r="354" spans="1:11" x14ac:dyDescent="0.25">
      <c r="A354" s="39">
        <v>41002</v>
      </c>
      <c r="B354" s="36">
        <v>5358.5</v>
      </c>
      <c r="C354" s="36">
        <f t="shared" si="20"/>
        <v>5295.2099853</v>
      </c>
      <c r="D354" s="36">
        <f t="shared" si="21"/>
        <v>81.251592307165552</v>
      </c>
      <c r="E354" s="40">
        <v>5358.5</v>
      </c>
      <c r="F354" s="36">
        <f t="shared" si="22"/>
        <v>5457.713169914331</v>
      </c>
      <c r="G354" s="36">
        <f t="shared" si="23"/>
        <v>5132.7068006856689</v>
      </c>
      <c r="I354" s="40">
        <v>5358.5</v>
      </c>
      <c r="J354" s="36">
        <v>5457.713169914331</v>
      </c>
      <c r="K354" s="36">
        <v>5132.7068006856689</v>
      </c>
    </row>
    <row r="355" spans="1:11" x14ac:dyDescent="0.25">
      <c r="A355" s="39">
        <v>41003</v>
      </c>
      <c r="B355" s="36">
        <v>5322.8999020000001</v>
      </c>
      <c r="C355" s="36">
        <f t="shared" si="20"/>
        <v>5300.2349852999996</v>
      </c>
      <c r="D355" s="36">
        <f t="shared" si="21"/>
        <v>79.60263634659843</v>
      </c>
      <c r="E355" s="40">
        <v>5322.8999020000001</v>
      </c>
      <c r="F355" s="36">
        <f t="shared" si="22"/>
        <v>5459.4402579931966</v>
      </c>
      <c r="G355" s="36">
        <f t="shared" si="23"/>
        <v>5141.0297126068026</v>
      </c>
      <c r="I355" s="40">
        <v>5322.8999020000001</v>
      </c>
      <c r="J355" s="36">
        <v>5459.4402579931966</v>
      </c>
      <c r="K355" s="36">
        <v>5141.0297126068026</v>
      </c>
    </row>
    <row r="356" spans="1:11" x14ac:dyDescent="0.25">
      <c r="A356" s="39">
        <v>41008</v>
      </c>
      <c r="B356" s="36">
        <v>5234.3999020000001</v>
      </c>
      <c r="C356" s="36">
        <f t="shared" si="20"/>
        <v>5300.9324706500001</v>
      </c>
      <c r="D356" s="36">
        <f t="shared" si="21"/>
        <v>78.924991128112737</v>
      </c>
      <c r="E356" s="40">
        <v>5234.3999020000001</v>
      </c>
      <c r="F356" s="36">
        <f t="shared" si="22"/>
        <v>5458.7824529062254</v>
      </c>
      <c r="G356" s="36">
        <f t="shared" si="23"/>
        <v>5143.0824883937748</v>
      </c>
      <c r="I356" s="40">
        <v>5234.3999020000001</v>
      </c>
      <c r="J356" s="36">
        <v>5458.7824529062254</v>
      </c>
      <c r="K356" s="36">
        <v>5143.0824883937748</v>
      </c>
    </row>
    <row r="357" spans="1:11" x14ac:dyDescent="0.25">
      <c r="A357" s="39">
        <v>41009</v>
      </c>
      <c r="B357" s="36">
        <v>5243.6000979999999</v>
      </c>
      <c r="C357" s="36">
        <f t="shared" si="20"/>
        <v>5296.4349853000003</v>
      </c>
      <c r="D357" s="36">
        <f t="shared" si="21"/>
        <v>79.529039129043696</v>
      </c>
      <c r="E357" s="40">
        <v>5243.6000979999999</v>
      </c>
      <c r="F357" s="36">
        <f t="shared" si="22"/>
        <v>5455.4930635580877</v>
      </c>
      <c r="G357" s="36">
        <f t="shared" si="23"/>
        <v>5137.376907041913</v>
      </c>
      <c r="I357" s="40">
        <v>5243.6000979999999</v>
      </c>
      <c r="J357" s="36">
        <v>5455.4930635580877</v>
      </c>
      <c r="K357" s="36">
        <v>5137.376907041913</v>
      </c>
    </row>
    <row r="358" spans="1:11" x14ac:dyDescent="0.25">
      <c r="A358" s="39">
        <v>41010</v>
      </c>
      <c r="B358" s="36">
        <v>5226.8500979999999</v>
      </c>
      <c r="C358" s="36">
        <f t="shared" si="20"/>
        <v>5289.7999999499998</v>
      </c>
      <c r="D358" s="36">
        <f t="shared" si="21"/>
        <v>79.52179730769825</v>
      </c>
      <c r="E358" s="40">
        <v>5226.8500979999999</v>
      </c>
      <c r="F358" s="36">
        <f t="shared" si="22"/>
        <v>5448.8435945653964</v>
      </c>
      <c r="G358" s="36">
        <f t="shared" si="23"/>
        <v>5130.7564053346032</v>
      </c>
      <c r="I358" s="40">
        <v>5226.8500979999999</v>
      </c>
      <c r="J358" s="36">
        <v>5448.8435945653964</v>
      </c>
      <c r="K358" s="36">
        <v>5130.7564053346032</v>
      </c>
    </row>
    <row r="359" spans="1:11" x14ac:dyDescent="0.25">
      <c r="A359" s="39">
        <v>41011</v>
      </c>
      <c r="B359" s="36">
        <v>5276.8500979999999</v>
      </c>
      <c r="C359" s="36">
        <f t="shared" si="20"/>
        <v>5282.1675048500001</v>
      </c>
      <c r="D359" s="36">
        <f t="shared" si="21"/>
        <v>72.415874608657901</v>
      </c>
      <c r="E359" s="40">
        <v>5276.8500979999999</v>
      </c>
      <c r="F359" s="36">
        <f t="shared" si="22"/>
        <v>5426.9992540673156</v>
      </c>
      <c r="G359" s="36">
        <f t="shared" si="23"/>
        <v>5137.3357556326846</v>
      </c>
      <c r="I359" s="40">
        <v>5276.8500979999999</v>
      </c>
      <c r="J359" s="36">
        <v>5426.9992540673156</v>
      </c>
      <c r="K359" s="36">
        <v>5137.3357556326846</v>
      </c>
    </row>
    <row r="360" spans="1:11" x14ac:dyDescent="0.25">
      <c r="A360" s="39">
        <v>41012</v>
      </c>
      <c r="B360" s="36">
        <v>5207.4501950000003</v>
      </c>
      <c r="C360" s="36">
        <f t="shared" si="20"/>
        <v>5269.3450194999996</v>
      </c>
      <c r="D360" s="36">
        <f t="shared" si="21"/>
        <v>60.221000279110811</v>
      </c>
      <c r="E360" s="40">
        <v>5207.4501950000003</v>
      </c>
      <c r="F360" s="36">
        <f t="shared" si="22"/>
        <v>5389.7870200582211</v>
      </c>
      <c r="G360" s="36">
        <f t="shared" si="23"/>
        <v>5148.9030189417781</v>
      </c>
      <c r="I360" s="40">
        <v>5207.4501950000003</v>
      </c>
      <c r="J360" s="36">
        <v>5389.7870200582211</v>
      </c>
      <c r="K360" s="36">
        <v>5148.9030189417781</v>
      </c>
    </row>
    <row r="361" spans="1:11" x14ac:dyDescent="0.25">
      <c r="A361" s="39">
        <v>41015</v>
      </c>
      <c r="B361" s="36">
        <v>5226.2001950000003</v>
      </c>
      <c r="C361" s="36">
        <f t="shared" si="20"/>
        <v>5261.63002925</v>
      </c>
      <c r="D361" s="36">
        <f t="shared" si="21"/>
        <v>54.878062589394808</v>
      </c>
      <c r="E361" s="40">
        <v>5226.2001950000003</v>
      </c>
      <c r="F361" s="36">
        <f t="shared" si="22"/>
        <v>5371.3861544287893</v>
      </c>
      <c r="G361" s="36">
        <f t="shared" si="23"/>
        <v>5151.8739040712107</v>
      </c>
      <c r="I361" s="40">
        <v>5226.2001950000003</v>
      </c>
      <c r="J361" s="36">
        <v>5371.3861544287893</v>
      </c>
      <c r="K361" s="36">
        <v>5151.8739040712107</v>
      </c>
    </row>
    <row r="362" spans="1:11" x14ac:dyDescent="0.25">
      <c r="A362" s="39">
        <v>41016</v>
      </c>
      <c r="B362" s="36">
        <v>5289.7001950000003</v>
      </c>
      <c r="C362" s="36">
        <f t="shared" si="20"/>
        <v>5260.2200438999989</v>
      </c>
      <c r="D362" s="36">
        <f t="shared" si="21"/>
        <v>53.705977208232284</v>
      </c>
      <c r="E362" s="40">
        <v>5289.7001950000003</v>
      </c>
      <c r="F362" s="36">
        <f t="shared" si="22"/>
        <v>5367.6319983164631</v>
      </c>
      <c r="G362" s="36">
        <f t="shared" si="23"/>
        <v>5152.8080894835348</v>
      </c>
      <c r="I362" s="40">
        <v>5289.7001950000003</v>
      </c>
      <c r="J362" s="36">
        <v>5367.6319983164631</v>
      </c>
      <c r="K362" s="36">
        <v>5152.8080894835348</v>
      </c>
    </row>
    <row r="363" spans="1:11" x14ac:dyDescent="0.25">
      <c r="A363" s="39">
        <v>41017</v>
      </c>
      <c r="B363" s="36">
        <v>5300</v>
      </c>
      <c r="C363" s="36">
        <f t="shared" si="20"/>
        <v>5262.3675536499995</v>
      </c>
      <c r="D363" s="36">
        <f t="shared" si="21"/>
        <v>54.42641884621073</v>
      </c>
      <c r="E363" s="40">
        <v>5300</v>
      </c>
      <c r="F363" s="36">
        <f t="shared" si="22"/>
        <v>5371.220391342421</v>
      </c>
      <c r="G363" s="36">
        <f t="shared" si="23"/>
        <v>5153.5147159575781</v>
      </c>
      <c r="I363" s="40">
        <v>5300</v>
      </c>
      <c r="J363" s="36">
        <v>5371.220391342421</v>
      </c>
      <c r="K363" s="36">
        <v>5153.5147159575781</v>
      </c>
    </row>
    <row r="364" spans="1:11" x14ac:dyDescent="0.25">
      <c r="A364" s="39">
        <v>41018</v>
      </c>
      <c r="B364" s="36">
        <v>5332.3999020000001</v>
      </c>
      <c r="C364" s="36">
        <f t="shared" si="20"/>
        <v>5265.2450438499991</v>
      </c>
      <c r="D364" s="36">
        <f t="shared" si="21"/>
        <v>56.599043698906669</v>
      </c>
      <c r="E364" s="40">
        <v>5332.3999020000001</v>
      </c>
      <c r="F364" s="36">
        <f t="shared" si="22"/>
        <v>5378.4431312478127</v>
      </c>
      <c r="G364" s="36">
        <f t="shared" si="23"/>
        <v>5152.0469564521854</v>
      </c>
      <c r="I364" s="40">
        <v>5332.3999020000001</v>
      </c>
      <c r="J364" s="36">
        <v>5378.4431312478127</v>
      </c>
      <c r="K364" s="36">
        <v>5152.0469564521854</v>
      </c>
    </row>
    <row r="365" spans="1:11" x14ac:dyDescent="0.25">
      <c r="A365" s="39">
        <v>41019</v>
      </c>
      <c r="B365" s="36">
        <v>5290.8500979999999</v>
      </c>
      <c r="C365" s="36">
        <f t="shared" si="20"/>
        <v>5261.5400389999986</v>
      </c>
      <c r="D365" s="36">
        <f t="shared" si="21"/>
        <v>51.964331703478543</v>
      </c>
      <c r="E365" s="40">
        <v>5290.8500979999999</v>
      </c>
      <c r="F365" s="36">
        <f t="shared" si="22"/>
        <v>5365.4687024069553</v>
      </c>
      <c r="G365" s="36">
        <f t="shared" si="23"/>
        <v>5157.6113755930419</v>
      </c>
      <c r="I365" s="40">
        <v>5290.8500979999999</v>
      </c>
      <c r="J365" s="36">
        <v>5365.4687024069553</v>
      </c>
      <c r="K365" s="36">
        <v>5157.6113755930419</v>
      </c>
    </row>
    <row r="366" spans="1:11" x14ac:dyDescent="0.25">
      <c r="A366" s="39">
        <v>41022</v>
      </c>
      <c r="B366" s="36">
        <v>5200.6000979999999</v>
      </c>
      <c r="C366" s="36">
        <f t="shared" si="20"/>
        <v>5260.147534149999</v>
      </c>
      <c r="D366" s="36">
        <f t="shared" si="21"/>
        <v>53.254849473465278</v>
      </c>
      <c r="E366" s="40">
        <v>5200.6000979999999</v>
      </c>
      <c r="F366" s="36">
        <f t="shared" si="22"/>
        <v>5366.6572330969293</v>
      </c>
      <c r="G366" s="36">
        <f t="shared" si="23"/>
        <v>5153.6378352030688</v>
      </c>
      <c r="I366" s="40">
        <v>5200.6000979999999</v>
      </c>
      <c r="J366" s="36">
        <v>5366.6572330969293</v>
      </c>
      <c r="K366" s="36">
        <v>5153.6378352030688</v>
      </c>
    </row>
    <row r="367" spans="1:11" x14ac:dyDescent="0.25">
      <c r="A367" s="39">
        <v>41023</v>
      </c>
      <c r="B367" s="36">
        <v>5222.6499020000001</v>
      </c>
      <c r="C367" s="36">
        <f t="shared" si="20"/>
        <v>5257.3700195000001</v>
      </c>
      <c r="D367" s="36">
        <f t="shared" si="21"/>
        <v>53.710423842196661</v>
      </c>
      <c r="E367" s="40">
        <v>5222.6499020000001</v>
      </c>
      <c r="F367" s="36">
        <f t="shared" si="22"/>
        <v>5364.7908671843934</v>
      </c>
      <c r="G367" s="36">
        <f t="shared" si="23"/>
        <v>5149.9491718156069</v>
      </c>
      <c r="I367" s="40">
        <v>5222.6499020000001</v>
      </c>
      <c r="J367" s="36">
        <v>5364.7908671843934</v>
      </c>
      <c r="K367" s="36">
        <v>5149.9491718156069</v>
      </c>
    </row>
    <row r="368" spans="1:11" x14ac:dyDescent="0.25">
      <c r="A368" s="39">
        <v>41024</v>
      </c>
      <c r="B368" s="36">
        <v>5202</v>
      </c>
      <c r="C368" s="36">
        <f t="shared" si="20"/>
        <v>5258.2575194999999</v>
      </c>
      <c r="D368" s="36">
        <f t="shared" si="21"/>
        <v>52.573222941967103</v>
      </c>
      <c r="E368" s="40">
        <v>5202</v>
      </c>
      <c r="F368" s="36">
        <f t="shared" si="22"/>
        <v>5363.4039653839345</v>
      </c>
      <c r="G368" s="36">
        <f t="shared" si="23"/>
        <v>5153.1110736160654</v>
      </c>
      <c r="I368" s="40">
        <v>5202</v>
      </c>
      <c r="J368" s="36">
        <v>5363.4039653839345</v>
      </c>
      <c r="K368" s="36">
        <v>5153.1110736160654</v>
      </c>
    </row>
    <row r="369" spans="1:11" x14ac:dyDescent="0.25">
      <c r="A369" s="39">
        <v>41025</v>
      </c>
      <c r="B369" s="36">
        <v>5189</v>
      </c>
      <c r="C369" s="36">
        <f t="shared" si="20"/>
        <v>5255.5500244000004</v>
      </c>
      <c r="D369" s="36">
        <f t="shared" si="21"/>
        <v>54.741827049699886</v>
      </c>
      <c r="E369" s="40">
        <v>5189</v>
      </c>
      <c r="F369" s="36">
        <f t="shared" si="22"/>
        <v>5365.0336784994006</v>
      </c>
      <c r="G369" s="36">
        <f t="shared" si="23"/>
        <v>5146.0663703006003</v>
      </c>
      <c r="I369" s="40">
        <v>5189</v>
      </c>
      <c r="J369" s="36">
        <v>5365.0336784994006</v>
      </c>
      <c r="K369" s="36">
        <v>5146.0663703006003</v>
      </c>
    </row>
    <row r="370" spans="1:11" x14ac:dyDescent="0.25">
      <c r="A370" s="39">
        <v>41026</v>
      </c>
      <c r="B370" s="36">
        <v>5190.6000979999999</v>
      </c>
      <c r="C370" s="36">
        <f t="shared" si="20"/>
        <v>5255.3425292999991</v>
      </c>
      <c r="D370" s="36">
        <f t="shared" si="21"/>
        <v>54.991709343576801</v>
      </c>
      <c r="E370" s="40">
        <v>5190.6000979999999</v>
      </c>
      <c r="F370" s="36">
        <f t="shared" si="22"/>
        <v>5365.3259479871531</v>
      </c>
      <c r="G370" s="36">
        <f t="shared" si="23"/>
        <v>5145.3591106128451</v>
      </c>
      <c r="I370" s="40">
        <v>5190.6000979999999</v>
      </c>
      <c r="J370" s="36">
        <v>5365.3259479871531</v>
      </c>
      <c r="K370" s="36">
        <v>5145.3591106128451</v>
      </c>
    </row>
    <row r="371" spans="1:11" x14ac:dyDescent="0.25">
      <c r="A371" s="39">
        <v>41029</v>
      </c>
      <c r="B371" s="36">
        <v>5248.1499020000001</v>
      </c>
      <c r="C371" s="36">
        <f t="shared" si="20"/>
        <v>5258.8075195000001</v>
      </c>
      <c r="D371" s="36">
        <f t="shared" si="21"/>
        <v>52.021348114631458</v>
      </c>
      <c r="E371" s="40">
        <v>5248.1499020000001</v>
      </c>
      <c r="F371" s="36">
        <f t="shared" si="22"/>
        <v>5362.8502157292633</v>
      </c>
      <c r="G371" s="36">
        <f t="shared" si="23"/>
        <v>5154.764823270737</v>
      </c>
      <c r="I371" s="40">
        <v>5248.1499020000001</v>
      </c>
      <c r="J371" s="36">
        <v>5362.8502157292633</v>
      </c>
      <c r="K371" s="36">
        <v>5154.764823270737</v>
      </c>
    </row>
    <row r="372" spans="1:11" x14ac:dyDescent="0.25">
      <c r="A372" s="39">
        <v>41031</v>
      </c>
      <c r="B372" s="36">
        <v>5239.1499020000001</v>
      </c>
      <c r="C372" s="36">
        <f t="shared" si="20"/>
        <v>5255.9875243500001</v>
      </c>
      <c r="D372" s="36">
        <f t="shared" si="21"/>
        <v>51.450319145193021</v>
      </c>
      <c r="E372" s="40">
        <v>5239.1499020000001</v>
      </c>
      <c r="F372" s="36">
        <f t="shared" si="22"/>
        <v>5358.8881626403863</v>
      </c>
      <c r="G372" s="36">
        <f t="shared" si="23"/>
        <v>5153.0868860596138</v>
      </c>
      <c r="I372" s="40">
        <v>5239.1499020000001</v>
      </c>
      <c r="J372" s="36">
        <v>5358.8881626403863</v>
      </c>
      <c r="K372" s="36">
        <v>5153.0868860596138</v>
      </c>
    </row>
    <row r="373" spans="1:11" x14ac:dyDescent="0.25">
      <c r="A373" s="39">
        <v>41032</v>
      </c>
      <c r="B373" s="36">
        <v>5188.3999020000001</v>
      </c>
      <c r="C373" s="36">
        <f t="shared" si="20"/>
        <v>5249.5125243500006</v>
      </c>
      <c r="D373" s="36">
        <f t="shared" si="21"/>
        <v>51.397318766516911</v>
      </c>
      <c r="E373" s="40">
        <v>5188.3999020000001</v>
      </c>
      <c r="F373" s="36">
        <f t="shared" si="22"/>
        <v>5352.3071618830345</v>
      </c>
      <c r="G373" s="36">
        <f t="shared" si="23"/>
        <v>5146.7178868169667</v>
      </c>
      <c r="I373" s="40">
        <v>5188.3999020000001</v>
      </c>
      <c r="J373" s="36">
        <v>5352.3071618830345</v>
      </c>
      <c r="K373" s="36">
        <v>5146.7178868169667</v>
      </c>
    </row>
    <row r="374" spans="1:11" x14ac:dyDescent="0.25">
      <c r="A374" s="39">
        <v>41033</v>
      </c>
      <c r="B374" s="36">
        <v>5086.8500979999999</v>
      </c>
      <c r="C374" s="36">
        <f t="shared" si="20"/>
        <v>5235.9300292500002</v>
      </c>
      <c r="D374" s="36">
        <f t="shared" si="21"/>
        <v>56.70009504588316</v>
      </c>
      <c r="E374" s="40">
        <v>5086.8500979999999</v>
      </c>
      <c r="F374" s="36">
        <f t="shared" si="22"/>
        <v>5349.3302193417667</v>
      </c>
      <c r="G374" s="36">
        <f t="shared" si="23"/>
        <v>5122.5298391582337</v>
      </c>
      <c r="I374" s="40">
        <v>5086.8500979999999</v>
      </c>
      <c r="J374" s="36">
        <v>5349.3302193417667</v>
      </c>
      <c r="K374" s="36">
        <v>5122.5298391582337</v>
      </c>
    </row>
    <row r="375" spans="1:11" x14ac:dyDescent="0.25">
      <c r="A375" s="39">
        <v>41036</v>
      </c>
      <c r="B375" s="36">
        <v>5114.1499020000001</v>
      </c>
      <c r="C375" s="36">
        <f t="shared" si="20"/>
        <v>5225.4925292500002</v>
      </c>
      <c r="D375" s="36">
        <f t="shared" si="21"/>
        <v>59.014238820593327</v>
      </c>
      <c r="E375" s="40">
        <v>5114.1499020000001</v>
      </c>
      <c r="F375" s="36">
        <f t="shared" si="22"/>
        <v>5343.5210068911865</v>
      </c>
      <c r="G375" s="36">
        <f t="shared" si="23"/>
        <v>5107.4640516088139</v>
      </c>
      <c r="I375" s="40">
        <v>5114.1499020000001</v>
      </c>
      <c r="J375" s="36">
        <v>5343.5210068911865</v>
      </c>
      <c r="K375" s="36">
        <v>5107.4640516088139</v>
      </c>
    </row>
    <row r="376" spans="1:11" x14ac:dyDescent="0.25">
      <c r="A376" s="39">
        <v>41037</v>
      </c>
      <c r="B376" s="36">
        <v>4999.9501950000003</v>
      </c>
      <c r="C376" s="36">
        <f t="shared" si="20"/>
        <v>5213.7700439000009</v>
      </c>
      <c r="D376" s="36">
        <f t="shared" si="21"/>
        <v>77.531860100395377</v>
      </c>
      <c r="E376" s="40">
        <v>4999.9501950000003</v>
      </c>
      <c r="F376" s="36">
        <f t="shared" si="22"/>
        <v>5368.833764100792</v>
      </c>
      <c r="G376" s="36">
        <f t="shared" si="23"/>
        <v>5058.7063236992099</v>
      </c>
      <c r="I376" s="40">
        <v>4999.9501950000003</v>
      </c>
      <c r="J376" s="36">
        <v>5368.833764100792</v>
      </c>
      <c r="K376" s="36">
        <v>5058.7063236992099</v>
      </c>
    </row>
    <row r="377" spans="1:11" x14ac:dyDescent="0.25">
      <c r="A377" s="39">
        <v>41038</v>
      </c>
      <c r="B377" s="36">
        <v>4974.7998049999997</v>
      </c>
      <c r="C377" s="36">
        <f t="shared" si="20"/>
        <v>5200.3300292500007</v>
      </c>
      <c r="D377" s="36">
        <f t="shared" si="21"/>
        <v>93.700772439210198</v>
      </c>
      <c r="E377" s="40">
        <v>4974.7998049999997</v>
      </c>
      <c r="F377" s="36">
        <f t="shared" si="22"/>
        <v>5387.731574128421</v>
      </c>
      <c r="G377" s="36">
        <f t="shared" si="23"/>
        <v>5012.9284843715805</v>
      </c>
      <c r="I377" s="40">
        <v>4974.7998049999997</v>
      </c>
      <c r="J377" s="36">
        <v>5387.731574128421</v>
      </c>
      <c r="K377" s="36">
        <v>5012.9284843715805</v>
      </c>
    </row>
    <row r="378" spans="1:11" x14ac:dyDescent="0.25">
      <c r="A378" s="39">
        <v>41039</v>
      </c>
      <c r="B378" s="36">
        <v>4965.7001950000003</v>
      </c>
      <c r="C378" s="36">
        <f t="shared" si="20"/>
        <v>5187.2725341000005</v>
      </c>
      <c r="D378" s="36">
        <f t="shared" si="21"/>
        <v>107.05501336381867</v>
      </c>
      <c r="E378" s="40">
        <v>4965.7001950000003</v>
      </c>
      <c r="F378" s="36">
        <f t="shared" si="22"/>
        <v>5401.3825608276375</v>
      </c>
      <c r="G378" s="36">
        <f t="shared" si="23"/>
        <v>4973.1625073723635</v>
      </c>
      <c r="I378" s="40">
        <v>4965.7001950000003</v>
      </c>
      <c r="J378" s="36">
        <v>5401.3825608276375</v>
      </c>
      <c r="K378" s="36">
        <v>4973.1625073723635</v>
      </c>
    </row>
    <row r="379" spans="1:11" x14ac:dyDescent="0.25">
      <c r="A379" s="39">
        <v>41040</v>
      </c>
      <c r="B379" s="36">
        <v>4928.8999020000001</v>
      </c>
      <c r="C379" s="36">
        <f t="shared" si="20"/>
        <v>5169.8750243000004</v>
      </c>
      <c r="D379" s="36">
        <f t="shared" si="21"/>
        <v>119.30358267868395</v>
      </c>
      <c r="E379" s="40">
        <v>4928.8999020000001</v>
      </c>
      <c r="F379" s="36">
        <f t="shared" si="22"/>
        <v>5408.4821896573685</v>
      </c>
      <c r="G379" s="36">
        <f t="shared" si="23"/>
        <v>4931.2678589426323</v>
      </c>
      <c r="I379" s="40">
        <v>4928.8999020000001</v>
      </c>
      <c r="J379" s="36">
        <v>5408.4821896573685</v>
      </c>
      <c r="K379" s="36">
        <v>4931.2678589426323</v>
      </c>
    </row>
    <row r="380" spans="1:11" x14ac:dyDescent="0.25">
      <c r="A380" s="39">
        <v>41043</v>
      </c>
      <c r="B380" s="36">
        <v>4907.7998049999997</v>
      </c>
      <c r="C380" s="36">
        <f t="shared" si="20"/>
        <v>5154.8925048000001</v>
      </c>
      <c r="D380" s="36">
        <f t="shared" si="21"/>
        <v>132.42983470225667</v>
      </c>
      <c r="E380" s="40">
        <v>4907.7998049999997</v>
      </c>
      <c r="F380" s="36">
        <f t="shared" si="22"/>
        <v>5419.7521742045137</v>
      </c>
      <c r="G380" s="36">
        <f t="shared" si="23"/>
        <v>4890.0328353954865</v>
      </c>
      <c r="I380" s="40">
        <v>4907.7998049999997</v>
      </c>
      <c r="J380" s="36">
        <v>5419.7521742045137</v>
      </c>
      <c r="K380" s="36">
        <v>4890.0328353954865</v>
      </c>
    </row>
    <row r="381" spans="1:11" x14ac:dyDescent="0.25">
      <c r="A381" s="39">
        <v>41044</v>
      </c>
      <c r="B381" s="36">
        <v>4942.7998049999997</v>
      </c>
      <c r="C381" s="36">
        <f t="shared" si="20"/>
        <v>5140.7224852999998</v>
      </c>
      <c r="D381" s="36">
        <f t="shared" si="21"/>
        <v>139.37799774265133</v>
      </c>
      <c r="E381" s="40">
        <v>4942.7998049999997</v>
      </c>
      <c r="F381" s="36">
        <f t="shared" si="22"/>
        <v>5419.4784807853021</v>
      </c>
      <c r="G381" s="36">
        <f t="shared" si="23"/>
        <v>4861.9664898146975</v>
      </c>
      <c r="I381" s="40">
        <v>4942.7998049999997</v>
      </c>
      <c r="J381" s="36">
        <v>5419.4784807853021</v>
      </c>
      <c r="K381" s="36">
        <v>4861.9664898146975</v>
      </c>
    </row>
    <row r="382" spans="1:11" x14ac:dyDescent="0.25">
      <c r="A382" s="39">
        <v>41045</v>
      </c>
      <c r="B382" s="36">
        <v>4858.25</v>
      </c>
      <c r="C382" s="36">
        <f t="shared" si="20"/>
        <v>5119.1499755499999</v>
      </c>
      <c r="D382" s="36">
        <f t="shared" si="21"/>
        <v>148.2152031171467</v>
      </c>
      <c r="E382" s="40">
        <v>4858.25</v>
      </c>
      <c r="F382" s="36">
        <f t="shared" si="22"/>
        <v>5415.5803817842934</v>
      </c>
      <c r="G382" s="36">
        <f t="shared" si="23"/>
        <v>4822.7195693157064</v>
      </c>
      <c r="I382" s="40">
        <v>4858.25</v>
      </c>
      <c r="J382" s="36">
        <v>5415.5803817842934</v>
      </c>
      <c r="K382" s="36">
        <v>4822.7195693157064</v>
      </c>
    </row>
    <row r="383" spans="1:11" x14ac:dyDescent="0.25">
      <c r="A383" s="39">
        <v>41046</v>
      </c>
      <c r="B383" s="36">
        <v>4870.2001950000003</v>
      </c>
      <c r="C383" s="36">
        <f t="shared" si="20"/>
        <v>5097.6599852999998</v>
      </c>
      <c r="D383" s="36">
        <f t="shared" si="21"/>
        <v>151.73037903838531</v>
      </c>
      <c r="E383" s="40">
        <v>4870.2001950000003</v>
      </c>
      <c r="F383" s="36">
        <f t="shared" si="22"/>
        <v>5401.1207433767704</v>
      </c>
      <c r="G383" s="36">
        <f t="shared" si="23"/>
        <v>4794.1992272232292</v>
      </c>
      <c r="I383" s="40">
        <v>4870.2001950000003</v>
      </c>
      <c r="J383" s="36">
        <v>5401.1207433767704</v>
      </c>
      <c r="K383" s="36">
        <v>4794.1992272232292</v>
      </c>
    </row>
    <row r="384" spans="1:11" x14ac:dyDescent="0.25">
      <c r="A384" s="39">
        <v>41047</v>
      </c>
      <c r="B384" s="36">
        <v>4891.4501950000003</v>
      </c>
      <c r="C384" s="36">
        <f t="shared" si="20"/>
        <v>5075.6124999499998</v>
      </c>
      <c r="D384" s="36">
        <f t="shared" si="21"/>
        <v>147.81173435677294</v>
      </c>
      <c r="E384" s="40">
        <v>4891.4501950000003</v>
      </c>
      <c r="F384" s="36">
        <f t="shared" si="22"/>
        <v>5371.2359686635455</v>
      </c>
      <c r="G384" s="36">
        <f t="shared" si="23"/>
        <v>4779.9890312364541</v>
      </c>
      <c r="I384" s="40">
        <v>4891.4501950000003</v>
      </c>
      <c r="J384" s="36">
        <v>5371.2359686635455</v>
      </c>
      <c r="K384" s="36">
        <v>4779.9890312364541</v>
      </c>
    </row>
    <row r="385" spans="1:11" x14ac:dyDescent="0.25">
      <c r="A385" s="39">
        <v>41051</v>
      </c>
      <c r="B385" s="36">
        <v>4860.5</v>
      </c>
      <c r="C385" s="36">
        <f t="shared" si="20"/>
        <v>5054.0949950499999</v>
      </c>
      <c r="D385" s="36">
        <f t="shared" si="21"/>
        <v>146.14411977215144</v>
      </c>
      <c r="E385" s="40">
        <v>4860.5</v>
      </c>
      <c r="F385" s="36">
        <f t="shared" si="22"/>
        <v>5346.3832345943028</v>
      </c>
      <c r="G385" s="36">
        <f t="shared" si="23"/>
        <v>4761.8067555056969</v>
      </c>
      <c r="I385" s="40">
        <v>4860.5</v>
      </c>
      <c r="J385" s="36">
        <v>5346.3832345943028</v>
      </c>
      <c r="K385" s="36">
        <v>4761.8067555056969</v>
      </c>
    </row>
    <row r="386" spans="1:11" x14ac:dyDescent="0.25">
      <c r="A386" s="39">
        <v>41052</v>
      </c>
      <c r="B386" s="36">
        <v>4835.6499020000001</v>
      </c>
      <c r="C386" s="36">
        <f t="shared" si="20"/>
        <v>5035.8474852500003</v>
      </c>
      <c r="D386" s="36">
        <f t="shared" si="21"/>
        <v>149.63095872051227</v>
      </c>
      <c r="E386" s="40">
        <v>4835.6499020000001</v>
      </c>
      <c r="F386" s="36">
        <f t="shared" si="22"/>
        <v>5335.109402691025</v>
      </c>
      <c r="G386" s="36">
        <f t="shared" si="23"/>
        <v>4736.5855678089756</v>
      </c>
      <c r="I386" s="40">
        <v>4835.6499020000001</v>
      </c>
      <c r="J386" s="36">
        <v>5335.109402691025</v>
      </c>
      <c r="K386" s="36">
        <v>4736.5855678089756</v>
      </c>
    </row>
    <row r="387" spans="1:11" x14ac:dyDescent="0.25">
      <c r="A387" s="39">
        <v>41053</v>
      </c>
      <c r="B387" s="36">
        <v>4921.3999020000001</v>
      </c>
      <c r="C387" s="36">
        <f t="shared" si="20"/>
        <v>5020.7849852500003</v>
      </c>
      <c r="D387" s="36">
        <f t="shared" si="21"/>
        <v>144.92549458399543</v>
      </c>
      <c r="E387" s="40">
        <v>4921.3999020000001</v>
      </c>
      <c r="F387" s="36">
        <f t="shared" si="22"/>
        <v>5310.6359744179908</v>
      </c>
      <c r="G387" s="36">
        <f t="shared" si="23"/>
        <v>4730.9339960820098</v>
      </c>
      <c r="I387" s="40">
        <v>4921.3999020000001</v>
      </c>
      <c r="J387" s="36">
        <v>5310.6359744179908</v>
      </c>
      <c r="K387" s="36">
        <v>4730.9339960820098</v>
      </c>
    </row>
    <row r="388" spans="1:11" x14ac:dyDescent="0.25">
      <c r="A388" s="39">
        <v>41054</v>
      </c>
      <c r="B388" s="36">
        <v>4920.3999020000001</v>
      </c>
      <c r="C388" s="36">
        <f t="shared" si="20"/>
        <v>5006.7049803500004</v>
      </c>
      <c r="D388" s="36">
        <f t="shared" si="21"/>
        <v>139.9883328289755</v>
      </c>
      <c r="E388" s="40">
        <v>4920.3999020000001</v>
      </c>
      <c r="F388" s="36">
        <f t="shared" si="22"/>
        <v>5286.6816460079517</v>
      </c>
      <c r="G388" s="36">
        <f t="shared" si="23"/>
        <v>4726.728314692049</v>
      </c>
      <c r="I388" s="40">
        <v>4920.3999020000001</v>
      </c>
      <c r="J388" s="36">
        <v>5286.6816460079517</v>
      </c>
      <c r="K388" s="36">
        <v>4726.728314692049</v>
      </c>
    </row>
    <row r="389" spans="1:11" x14ac:dyDescent="0.25">
      <c r="A389" s="39">
        <v>41057</v>
      </c>
      <c r="B389" s="36">
        <v>4985.6499020000001</v>
      </c>
      <c r="C389" s="36">
        <f t="shared" si="20"/>
        <v>4996.5374754500008</v>
      </c>
      <c r="D389" s="36">
        <f t="shared" si="21"/>
        <v>133.27498526568149</v>
      </c>
      <c r="E389" s="40">
        <v>4985.6499020000001</v>
      </c>
      <c r="F389" s="36">
        <f t="shared" si="22"/>
        <v>5263.087445981364</v>
      </c>
      <c r="G389" s="36">
        <f t="shared" si="23"/>
        <v>4729.9875049186376</v>
      </c>
      <c r="I389" s="40">
        <v>4985.6499020000001</v>
      </c>
      <c r="J389" s="36">
        <v>5263.087445981364</v>
      </c>
      <c r="K389" s="36">
        <v>4729.9875049186376</v>
      </c>
    </row>
    <row r="390" spans="1:11" x14ac:dyDescent="0.25">
      <c r="A390" s="39">
        <v>41058</v>
      </c>
      <c r="B390" s="36">
        <v>4990.1000979999999</v>
      </c>
      <c r="C390" s="36">
        <f t="shared" si="20"/>
        <v>4986.5124754500011</v>
      </c>
      <c r="D390" s="36">
        <f t="shared" si="21"/>
        <v>125.20579650934165</v>
      </c>
      <c r="E390" s="40">
        <v>4990.1000979999999</v>
      </c>
      <c r="F390" s="36">
        <f t="shared" si="22"/>
        <v>5236.9240684686847</v>
      </c>
      <c r="G390" s="36">
        <f t="shared" si="23"/>
        <v>4736.1008824313176</v>
      </c>
      <c r="I390" s="40">
        <v>4990.1000979999999</v>
      </c>
      <c r="J390" s="36">
        <v>5236.9240684686847</v>
      </c>
      <c r="K390" s="36">
        <v>4736.1008824313176</v>
      </c>
    </row>
    <row r="391" spans="1:11" x14ac:dyDescent="0.25">
      <c r="A391" s="39">
        <v>41059</v>
      </c>
      <c r="B391" s="36">
        <v>4950.75</v>
      </c>
      <c r="C391" s="36">
        <f t="shared" si="20"/>
        <v>4971.6424803500004</v>
      </c>
      <c r="D391" s="36">
        <f t="shared" si="21"/>
        <v>109.12470285830638</v>
      </c>
      <c r="E391" s="40">
        <v>4950.75</v>
      </c>
      <c r="F391" s="36">
        <f t="shared" si="22"/>
        <v>5189.8918860666136</v>
      </c>
      <c r="G391" s="36">
        <f t="shared" si="23"/>
        <v>4753.3930746333872</v>
      </c>
      <c r="I391" s="40">
        <v>4950.75</v>
      </c>
      <c r="J391" s="36">
        <v>5189.8918860666136</v>
      </c>
      <c r="K391" s="36">
        <v>4753.3930746333872</v>
      </c>
    </row>
    <row r="392" spans="1:11" x14ac:dyDescent="0.25">
      <c r="A392" s="39">
        <v>41060</v>
      </c>
      <c r="B392" s="36">
        <v>4924.25</v>
      </c>
      <c r="C392" s="36">
        <f t="shared" si="20"/>
        <v>4955.8974852500005</v>
      </c>
      <c r="D392" s="36">
        <f t="shared" si="21"/>
        <v>89.437877248098644</v>
      </c>
      <c r="E392" s="40">
        <v>4924.25</v>
      </c>
      <c r="F392" s="36">
        <f t="shared" si="22"/>
        <v>5134.7732397461978</v>
      </c>
      <c r="G392" s="36">
        <f t="shared" si="23"/>
        <v>4777.0217307538032</v>
      </c>
      <c r="I392" s="40">
        <v>4924.25</v>
      </c>
      <c r="J392" s="36">
        <v>5134.7732397461978</v>
      </c>
      <c r="K392" s="36">
        <v>4777.0217307538032</v>
      </c>
    </row>
    <row r="393" spans="1:11" x14ac:dyDescent="0.25">
      <c r="A393" s="39">
        <v>41061</v>
      </c>
      <c r="B393" s="36">
        <v>4841.6000979999999</v>
      </c>
      <c r="C393" s="36">
        <f t="shared" si="20"/>
        <v>4938.5574950499995</v>
      </c>
      <c r="D393" s="36">
        <f t="shared" si="21"/>
        <v>74.330895177944569</v>
      </c>
      <c r="E393" s="40">
        <v>4841.6000979999999</v>
      </c>
      <c r="F393" s="36">
        <f t="shared" si="22"/>
        <v>5087.2192854058885</v>
      </c>
      <c r="G393" s="36">
        <f t="shared" si="23"/>
        <v>4789.8957046941105</v>
      </c>
      <c r="I393" s="40">
        <v>4841.6000979999999</v>
      </c>
      <c r="J393" s="36">
        <v>5087.2192854058885</v>
      </c>
      <c r="K393" s="36">
        <v>4789.8957046941105</v>
      </c>
    </row>
    <row r="394" spans="1:11" x14ac:dyDescent="0.25">
      <c r="A394" s="39">
        <v>41064</v>
      </c>
      <c r="B394" s="36">
        <v>4848.1499020000001</v>
      </c>
      <c r="C394" s="36">
        <f t="shared" si="20"/>
        <v>4926.62248525</v>
      </c>
      <c r="D394" s="36">
        <f t="shared" si="21"/>
        <v>68.17566520395107</v>
      </c>
      <c r="E394" s="40">
        <v>4848.1499020000001</v>
      </c>
      <c r="F394" s="36">
        <f t="shared" si="22"/>
        <v>5062.9738156579024</v>
      </c>
      <c r="G394" s="36">
        <f t="shared" si="23"/>
        <v>4790.2711548420975</v>
      </c>
      <c r="I394" s="40">
        <v>4848.1499020000001</v>
      </c>
      <c r="J394" s="36">
        <v>5062.9738156579024</v>
      </c>
      <c r="K394" s="36">
        <v>4790.2711548420975</v>
      </c>
    </row>
    <row r="395" spans="1:11" x14ac:dyDescent="0.25">
      <c r="A395" s="39">
        <v>41065</v>
      </c>
      <c r="B395" s="36">
        <v>4863.2998049999997</v>
      </c>
      <c r="C395" s="36">
        <f t="shared" si="20"/>
        <v>4914.0799803999998</v>
      </c>
      <c r="D395" s="36">
        <f t="shared" si="21"/>
        <v>53.315074612056243</v>
      </c>
      <c r="E395" s="40">
        <v>4863.2998049999997</v>
      </c>
      <c r="F395" s="36">
        <f t="shared" si="22"/>
        <v>5020.7101296241126</v>
      </c>
      <c r="G395" s="36">
        <f t="shared" si="23"/>
        <v>4807.4498311758871</v>
      </c>
      <c r="I395" s="40">
        <v>4863.2998049999997</v>
      </c>
      <c r="J395" s="36">
        <v>5020.7101296241126</v>
      </c>
      <c r="K395" s="36">
        <v>4807.4498311758871</v>
      </c>
    </row>
    <row r="396" spans="1:11" x14ac:dyDescent="0.25">
      <c r="A396" s="39">
        <v>41066</v>
      </c>
      <c r="B396" s="36">
        <v>4997.1000979999999</v>
      </c>
      <c r="C396" s="36">
        <f t="shared" si="20"/>
        <v>4913.9374755499994</v>
      </c>
      <c r="D396" s="36">
        <f t="shared" si="21"/>
        <v>53.076750017069671</v>
      </c>
      <c r="E396" s="40">
        <v>4997.1000979999999</v>
      </c>
      <c r="F396" s="36">
        <f t="shared" si="22"/>
        <v>5020.0909755841385</v>
      </c>
      <c r="G396" s="36">
        <f t="shared" si="23"/>
        <v>4807.7839755158602</v>
      </c>
      <c r="I396" s="40">
        <v>4997.1000979999999</v>
      </c>
      <c r="J396" s="36">
        <v>5020.0909755841385</v>
      </c>
      <c r="K396" s="36">
        <v>4807.7839755158602</v>
      </c>
    </row>
    <row r="397" spans="1:11" x14ac:dyDescent="0.25">
      <c r="A397" s="39">
        <v>41067</v>
      </c>
      <c r="B397" s="36">
        <v>5049.6499020000001</v>
      </c>
      <c r="C397" s="36">
        <f t="shared" si="20"/>
        <v>4917.6799804000002</v>
      </c>
      <c r="D397" s="36">
        <f t="shared" si="21"/>
        <v>59.806353803859736</v>
      </c>
      <c r="E397" s="40">
        <v>5049.6499020000001</v>
      </c>
      <c r="F397" s="36">
        <f t="shared" si="22"/>
        <v>5037.2926880077193</v>
      </c>
      <c r="G397" s="36">
        <f t="shared" si="23"/>
        <v>4798.0672727922811</v>
      </c>
      <c r="I397" s="40">
        <v>5049.6499020000001</v>
      </c>
      <c r="J397" s="36">
        <v>5037.2926880077193</v>
      </c>
      <c r="K397" s="36">
        <v>4798.0672727922811</v>
      </c>
    </row>
    <row r="398" spans="1:11" x14ac:dyDescent="0.25">
      <c r="A398" s="39">
        <v>41068</v>
      </c>
      <c r="B398" s="36">
        <v>5068.3500979999999</v>
      </c>
      <c r="C398" s="36">
        <f t="shared" si="20"/>
        <v>4922.8124755499994</v>
      </c>
      <c r="D398" s="36">
        <f t="shared" si="21"/>
        <v>67.989121555935924</v>
      </c>
      <c r="E398" s="40">
        <v>5068.3500979999999</v>
      </c>
      <c r="F398" s="36">
        <f t="shared" si="22"/>
        <v>5058.7907186618713</v>
      </c>
      <c r="G398" s="36">
        <f t="shared" si="23"/>
        <v>4786.8342324381274</v>
      </c>
      <c r="I398" s="40">
        <v>5068.3500979999999</v>
      </c>
      <c r="J398" s="36">
        <v>5058.7907186618713</v>
      </c>
      <c r="K398" s="36">
        <v>4786.8342324381274</v>
      </c>
    </row>
    <row r="399" spans="1:11" x14ac:dyDescent="0.25">
      <c r="A399" s="39">
        <v>41071</v>
      </c>
      <c r="B399" s="36">
        <v>5054.1000979999999</v>
      </c>
      <c r="C399" s="36">
        <f t="shared" si="20"/>
        <v>4929.0724853499996</v>
      </c>
      <c r="D399" s="36">
        <f t="shared" si="21"/>
        <v>74.070919410094078</v>
      </c>
      <c r="E399" s="40">
        <v>5054.1000979999999</v>
      </c>
      <c r="F399" s="36">
        <f t="shared" si="22"/>
        <v>5077.2143241701879</v>
      </c>
      <c r="G399" s="36">
        <f t="shared" si="23"/>
        <v>4780.9306465298114</v>
      </c>
      <c r="I399" s="40">
        <v>5054.1000979999999</v>
      </c>
      <c r="J399" s="36">
        <v>5077.2143241701879</v>
      </c>
      <c r="K399" s="36">
        <v>4780.9306465298114</v>
      </c>
    </row>
    <row r="400" spans="1:11" x14ac:dyDescent="0.25">
      <c r="A400" s="39">
        <v>41072</v>
      </c>
      <c r="B400" s="36">
        <v>5115.8999020000001</v>
      </c>
      <c r="C400" s="36">
        <f t="shared" si="20"/>
        <v>4939.4774901999999</v>
      </c>
      <c r="D400" s="36">
        <f t="shared" si="21"/>
        <v>84.769096624190439</v>
      </c>
      <c r="E400" s="40">
        <v>5115.8999020000001</v>
      </c>
      <c r="F400" s="36">
        <f t="shared" si="22"/>
        <v>5109.0156834483805</v>
      </c>
      <c r="G400" s="36">
        <f t="shared" si="23"/>
        <v>4769.9392969516193</v>
      </c>
      <c r="I400" s="40">
        <v>5115.8999020000001</v>
      </c>
      <c r="J400" s="36">
        <v>5109.0156834483805</v>
      </c>
      <c r="K400" s="36">
        <v>4769.9392969516193</v>
      </c>
    </row>
    <row r="401" spans="1:11" x14ac:dyDescent="0.25">
      <c r="A401" s="39">
        <v>41073</v>
      </c>
      <c r="B401" s="36">
        <v>5121.4501950000003</v>
      </c>
      <c r="C401" s="36">
        <f t="shared" si="20"/>
        <v>4948.4100096999991</v>
      </c>
      <c r="D401" s="36">
        <f t="shared" si="21"/>
        <v>94.042942187790359</v>
      </c>
      <c r="E401" s="40">
        <v>5121.4501950000003</v>
      </c>
      <c r="F401" s="36">
        <f t="shared" si="22"/>
        <v>5136.4958940755796</v>
      </c>
      <c r="G401" s="36">
        <f t="shared" si="23"/>
        <v>4760.3241253244187</v>
      </c>
      <c r="I401" s="40">
        <v>5121.4501950000003</v>
      </c>
      <c r="J401" s="36">
        <v>5136.4958940755796</v>
      </c>
      <c r="K401" s="36">
        <v>4760.3241253244187</v>
      </c>
    </row>
    <row r="402" spans="1:11" x14ac:dyDescent="0.25">
      <c r="A402" s="39">
        <v>41074</v>
      </c>
      <c r="B402" s="36">
        <v>5054.75</v>
      </c>
      <c r="C402" s="36">
        <f t="shared" si="20"/>
        <v>4958.2350096999999</v>
      </c>
      <c r="D402" s="36">
        <f t="shared" si="21"/>
        <v>94.391730854172849</v>
      </c>
      <c r="E402" s="40">
        <v>5054.75</v>
      </c>
      <c r="F402" s="36">
        <f t="shared" si="22"/>
        <v>5147.0184714083452</v>
      </c>
      <c r="G402" s="36">
        <f t="shared" si="23"/>
        <v>4769.4515479916545</v>
      </c>
      <c r="I402" s="40">
        <v>5054.75</v>
      </c>
      <c r="J402" s="36">
        <v>5147.0184714083452</v>
      </c>
      <c r="K402" s="36">
        <v>4769.4515479916545</v>
      </c>
    </row>
    <row r="403" spans="1:11" x14ac:dyDescent="0.25">
      <c r="A403" s="39">
        <v>41075</v>
      </c>
      <c r="B403" s="36">
        <v>5139.0498049999997</v>
      </c>
      <c r="C403" s="36">
        <f t="shared" si="20"/>
        <v>4971.6774902000006</v>
      </c>
      <c r="D403" s="36">
        <f t="shared" si="21"/>
        <v>100.16198306520803</v>
      </c>
      <c r="E403" s="40">
        <v>5139.0498049999997</v>
      </c>
      <c r="F403" s="36">
        <f t="shared" si="22"/>
        <v>5172.0014563304167</v>
      </c>
      <c r="G403" s="36">
        <f t="shared" si="23"/>
        <v>4771.3535240695846</v>
      </c>
      <c r="I403" s="40">
        <v>5139.0498049999997</v>
      </c>
      <c r="J403" s="36">
        <v>5172.0014563304167</v>
      </c>
      <c r="K403" s="36">
        <v>4771.3535240695846</v>
      </c>
    </row>
    <row r="404" spans="1:11" x14ac:dyDescent="0.25">
      <c r="A404" s="39">
        <v>41078</v>
      </c>
      <c r="B404" s="36">
        <v>5064.25</v>
      </c>
      <c r="C404" s="36">
        <f t="shared" si="20"/>
        <v>4980.3174804499995</v>
      </c>
      <c r="D404" s="36">
        <f t="shared" si="21"/>
        <v>100.33005957305085</v>
      </c>
      <c r="E404" s="40">
        <v>5064.25</v>
      </c>
      <c r="F404" s="36">
        <f t="shared" si="22"/>
        <v>5180.9775995961008</v>
      </c>
      <c r="G404" s="36">
        <f t="shared" si="23"/>
        <v>4779.6573613038981</v>
      </c>
      <c r="I404" s="40">
        <v>5064.25</v>
      </c>
      <c r="J404" s="36">
        <v>5180.9775995961008</v>
      </c>
      <c r="K404" s="36">
        <v>4779.6573613038981</v>
      </c>
    </row>
    <row r="405" spans="1:11" x14ac:dyDescent="0.25">
      <c r="A405" s="39">
        <v>41079</v>
      </c>
      <c r="B405" s="36">
        <v>5103.8500979999999</v>
      </c>
      <c r="C405" s="36">
        <f t="shared" si="20"/>
        <v>4992.48498535</v>
      </c>
      <c r="D405" s="36">
        <f t="shared" si="21"/>
        <v>99.789096464874532</v>
      </c>
      <c r="E405" s="40">
        <v>5103.8500979999999</v>
      </c>
      <c r="F405" s="36">
        <f t="shared" si="22"/>
        <v>5192.0631782797491</v>
      </c>
      <c r="G405" s="36">
        <f t="shared" si="23"/>
        <v>4792.9067924202509</v>
      </c>
      <c r="I405" s="40">
        <v>5103.8500979999999</v>
      </c>
      <c r="J405" s="36">
        <v>5192.0631782797491</v>
      </c>
      <c r="K405" s="36">
        <v>4792.9067924202509</v>
      </c>
    </row>
    <row r="406" spans="1:11" x14ac:dyDescent="0.25">
      <c r="A406" s="39">
        <v>41080</v>
      </c>
      <c r="B406" s="36">
        <v>5120.5498049999997</v>
      </c>
      <c r="C406" s="36">
        <f t="shared" ref="C406:C469" si="24">AVERAGE(B387:B406)</f>
        <v>5006.7299805000002</v>
      </c>
      <c r="D406" s="36">
        <f t="shared" ref="D406:D469" si="25">_xlfn.STDEV.S(B387:B406)</f>
        <v>96.503168374045927</v>
      </c>
      <c r="E406" s="40">
        <v>5120.5498049999997</v>
      </c>
      <c r="F406" s="36">
        <f t="shared" ref="F406:F469" si="26">C406+2*D406</f>
        <v>5199.7363172480918</v>
      </c>
      <c r="G406" s="36">
        <f t="shared" ref="G406:G469" si="27">C406-2*D406</f>
        <v>4813.7236437519086</v>
      </c>
      <c r="I406" s="40">
        <v>5120.5498049999997</v>
      </c>
      <c r="J406" s="36">
        <v>5199.7363172480918</v>
      </c>
      <c r="K406" s="36">
        <v>4813.7236437519086</v>
      </c>
    </row>
    <row r="407" spans="1:11" x14ac:dyDescent="0.25">
      <c r="A407" s="39">
        <v>41081</v>
      </c>
      <c r="B407" s="36">
        <v>5165</v>
      </c>
      <c r="C407" s="36">
        <f t="shared" si="24"/>
        <v>5018.9099853999996</v>
      </c>
      <c r="D407" s="36">
        <f t="shared" si="25"/>
        <v>100.45829063970922</v>
      </c>
      <c r="E407" s="40">
        <v>5165</v>
      </c>
      <c r="F407" s="36">
        <f t="shared" si="26"/>
        <v>5219.8265666794177</v>
      </c>
      <c r="G407" s="36">
        <f t="shared" si="27"/>
        <v>4817.9934041205815</v>
      </c>
      <c r="I407" s="40">
        <v>5165</v>
      </c>
      <c r="J407" s="36">
        <v>5219.8265666794177</v>
      </c>
      <c r="K407" s="36">
        <v>4817.9934041205815</v>
      </c>
    </row>
    <row r="408" spans="1:11" x14ac:dyDescent="0.25">
      <c r="A408" s="39">
        <v>41082</v>
      </c>
      <c r="B408" s="36">
        <v>5146.0498049999997</v>
      </c>
      <c r="C408" s="36">
        <f t="shared" si="24"/>
        <v>5030.1924805500003</v>
      </c>
      <c r="D408" s="36">
        <f t="shared" si="25"/>
        <v>101.47851685197206</v>
      </c>
      <c r="E408" s="40">
        <v>5146.0498049999997</v>
      </c>
      <c r="F408" s="36">
        <f t="shared" si="26"/>
        <v>5233.1495142539443</v>
      </c>
      <c r="G408" s="36">
        <f t="shared" si="27"/>
        <v>4827.2354468460562</v>
      </c>
      <c r="I408" s="40">
        <v>5146.0498049999997</v>
      </c>
      <c r="J408" s="36">
        <v>5233.1495142539443</v>
      </c>
      <c r="K408" s="36">
        <v>4827.2354468460562</v>
      </c>
    </row>
    <row r="409" spans="1:11" x14ac:dyDescent="0.25">
      <c r="A409" s="39">
        <v>41085</v>
      </c>
      <c r="B409" s="36">
        <v>5114.6499020000001</v>
      </c>
      <c r="C409" s="36">
        <f t="shared" si="24"/>
        <v>5036.6424805500001</v>
      </c>
      <c r="D409" s="36">
        <f t="shared" si="25"/>
        <v>102.59190052188218</v>
      </c>
      <c r="E409" s="40">
        <v>5114.6499020000001</v>
      </c>
      <c r="F409" s="36">
        <f t="shared" si="26"/>
        <v>5241.8262815937642</v>
      </c>
      <c r="G409" s="36">
        <f t="shared" si="27"/>
        <v>4831.458679506236</v>
      </c>
      <c r="I409" s="40">
        <v>5114.6499020000001</v>
      </c>
      <c r="J409" s="36">
        <v>5241.8262815937642</v>
      </c>
      <c r="K409" s="36">
        <v>4831.458679506236</v>
      </c>
    </row>
    <row r="410" spans="1:11" x14ac:dyDescent="0.25">
      <c r="A410" s="39">
        <v>41086</v>
      </c>
      <c r="B410" s="36">
        <v>5120.7998049999997</v>
      </c>
      <c r="C410" s="36">
        <f t="shared" si="24"/>
        <v>5043.1774659000002</v>
      </c>
      <c r="D410" s="36">
        <f t="shared" si="25"/>
        <v>103.62863966455598</v>
      </c>
      <c r="E410" s="40">
        <v>5120.7998049999997</v>
      </c>
      <c r="F410" s="36">
        <f t="shared" si="26"/>
        <v>5250.4347452291122</v>
      </c>
      <c r="G410" s="36">
        <f t="shared" si="27"/>
        <v>4835.9201865708883</v>
      </c>
      <c r="I410" s="40">
        <v>5120.7998049999997</v>
      </c>
      <c r="J410" s="36">
        <v>5250.4347452291122</v>
      </c>
      <c r="K410" s="36">
        <v>4835.9201865708883</v>
      </c>
    </row>
    <row r="411" spans="1:11" x14ac:dyDescent="0.25">
      <c r="A411" s="39">
        <v>41087</v>
      </c>
      <c r="B411" s="36">
        <v>5141.8999020000001</v>
      </c>
      <c r="C411" s="36">
        <f t="shared" si="24"/>
        <v>5052.7349610000001</v>
      </c>
      <c r="D411" s="36">
        <f t="shared" si="25"/>
        <v>103.47015153145267</v>
      </c>
      <c r="E411" s="40">
        <v>5141.8999020000001</v>
      </c>
      <c r="F411" s="36">
        <f t="shared" si="26"/>
        <v>5259.6752640629056</v>
      </c>
      <c r="G411" s="36">
        <f t="shared" si="27"/>
        <v>4845.7946579370946</v>
      </c>
      <c r="I411" s="40">
        <v>5141.8999020000001</v>
      </c>
      <c r="J411" s="36">
        <v>5259.6752640629056</v>
      </c>
      <c r="K411" s="36">
        <v>4845.7946579370946</v>
      </c>
    </row>
    <row r="412" spans="1:11" x14ac:dyDescent="0.25">
      <c r="A412" s="39">
        <v>41088</v>
      </c>
      <c r="B412" s="36">
        <v>5149.1499020000001</v>
      </c>
      <c r="C412" s="36">
        <f t="shared" si="24"/>
        <v>5063.9799561000009</v>
      </c>
      <c r="D412" s="36">
        <f t="shared" si="25"/>
        <v>100.96216859215278</v>
      </c>
      <c r="E412" s="40">
        <v>5149.1499020000001</v>
      </c>
      <c r="F412" s="36">
        <f t="shared" si="26"/>
        <v>5265.9042932843067</v>
      </c>
      <c r="G412" s="36">
        <f t="shared" si="27"/>
        <v>4862.055618915695</v>
      </c>
      <c r="I412" s="40">
        <v>5149.1499020000001</v>
      </c>
      <c r="J412" s="36">
        <v>5265.9042932843067</v>
      </c>
      <c r="K412" s="36">
        <v>4862.055618915695</v>
      </c>
    </row>
    <row r="413" spans="1:11" x14ac:dyDescent="0.25">
      <c r="A413" s="39">
        <v>41089</v>
      </c>
      <c r="B413" s="36">
        <v>5278.8999020000001</v>
      </c>
      <c r="C413" s="36">
        <f t="shared" si="24"/>
        <v>5085.8449463000015</v>
      </c>
      <c r="D413" s="36">
        <f t="shared" si="25"/>
        <v>97.56241084231705</v>
      </c>
      <c r="E413" s="40">
        <v>5278.8999020000001</v>
      </c>
      <c r="F413" s="36">
        <f t="shared" si="26"/>
        <v>5280.9697679846358</v>
      </c>
      <c r="G413" s="36">
        <f t="shared" si="27"/>
        <v>4890.7201246153672</v>
      </c>
      <c r="I413" s="40">
        <v>5278.8999020000001</v>
      </c>
      <c r="J413" s="36">
        <v>5280.9697679846358</v>
      </c>
      <c r="K413" s="36">
        <v>4890.7201246153672</v>
      </c>
    </row>
    <row r="414" spans="1:11" x14ac:dyDescent="0.25">
      <c r="A414" s="39">
        <v>41092</v>
      </c>
      <c r="B414" s="36">
        <v>5278.6000979999999</v>
      </c>
      <c r="C414" s="36">
        <f t="shared" si="24"/>
        <v>5107.3674561000007</v>
      </c>
      <c r="D414" s="36">
        <f t="shared" si="25"/>
        <v>89.513686703626632</v>
      </c>
      <c r="E414" s="40">
        <v>5278.6000979999999</v>
      </c>
      <c r="F414" s="36">
        <f t="shared" si="26"/>
        <v>5286.3948295072541</v>
      </c>
      <c r="G414" s="36">
        <f t="shared" si="27"/>
        <v>4928.3400826927473</v>
      </c>
      <c r="I414" s="40">
        <v>5278.6000979999999</v>
      </c>
      <c r="J414" s="36">
        <v>5286.3948295072541</v>
      </c>
      <c r="K414" s="36">
        <v>4928.3400826927473</v>
      </c>
    </row>
    <row r="415" spans="1:11" x14ac:dyDescent="0.25">
      <c r="A415" s="39">
        <v>41093</v>
      </c>
      <c r="B415" s="36">
        <v>5287.9501950000003</v>
      </c>
      <c r="C415" s="36">
        <f t="shared" si="24"/>
        <v>5128.599975600001</v>
      </c>
      <c r="D415" s="36">
        <f t="shared" si="25"/>
        <v>78.225723197956214</v>
      </c>
      <c r="E415" s="40">
        <v>5287.9501950000003</v>
      </c>
      <c r="F415" s="36">
        <f t="shared" si="26"/>
        <v>5285.0514219959132</v>
      </c>
      <c r="G415" s="36">
        <f t="shared" si="27"/>
        <v>4972.1485292040888</v>
      </c>
      <c r="I415" s="40">
        <v>5287.9501950000003</v>
      </c>
      <c r="J415" s="36">
        <v>5285.0514219959132</v>
      </c>
      <c r="K415" s="36">
        <v>4972.1485292040888</v>
      </c>
    </row>
    <row r="416" spans="1:11" x14ac:dyDescent="0.25">
      <c r="A416" s="39">
        <v>41094</v>
      </c>
      <c r="B416" s="36">
        <v>5302.5498049999997</v>
      </c>
      <c r="C416" s="36">
        <f t="shared" si="24"/>
        <v>5143.8724609500005</v>
      </c>
      <c r="D416" s="36">
        <f t="shared" si="25"/>
        <v>80.970222203882727</v>
      </c>
      <c r="E416" s="40">
        <v>5302.5498049999997</v>
      </c>
      <c r="F416" s="36">
        <f t="shared" si="26"/>
        <v>5305.8129053577659</v>
      </c>
      <c r="G416" s="36">
        <f t="shared" si="27"/>
        <v>4981.932016542235</v>
      </c>
      <c r="I416" s="40">
        <v>5302.5498049999997</v>
      </c>
      <c r="J416" s="36">
        <v>5305.8129053577659</v>
      </c>
      <c r="K416" s="36">
        <v>4981.932016542235</v>
      </c>
    </row>
    <row r="417" spans="1:11" x14ac:dyDescent="0.25">
      <c r="A417" s="39">
        <v>41095</v>
      </c>
      <c r="B417" s="36">
        <v>5327.2998049999997</v>
      </c>
      <c r="C417" s="36">
        <f t="shared" si="24"/>
        <v>5157.7549561000005</v>
      </c>
      <c r="D417" s="36">
        <f t="shared" si="25"/>
        <v>87.503560014656131</v>
      </c>
      <c r="E417" s="40">
        <v>5327.2998049999997</v>
      </c>
      <c r="F417" s="36">
        <f t="shared" si="26"/>
        <v>5332.7620761293128</v>
      </c>
      <c r="G417" s="36">
        <f t="shared" si="27"/>
        <v>4982.7478360706882</v>
      </c>
      <c r="I417" s="40">
        <v>5327.2998049999997</v>
      </c>
      <c r="J417" s="36">
        <v>5332.7620761293128</v>
      </c>
      <c r="K417" s="36">
        <v>4982.7478360706882</v>
      </c>
    </row>
    <row r="418" spans="1:11" x14ac:dyDescent="0.25">
      <c r="A418" s="39">
        <v>41096</v>
      </c>
      <c r="B418" s="36">
        <v>5316.9501950000003</v>
      </c>
      <c r="C418" s="36">
        <f t="shared" si="24"/>
        <v>5170.1849609500005</v>
      </c>
      <c r="D418" s="36">
        <f t="shared" si="25"/>
        <v>91.691812845404954</v>
      </c>
      <c r="E418" s="40">
        <v>5316.9501950000003</v>
      </c>
      <c r="F418" s="36">
        <f t="shared" si="26"/>
        <v>5353.5685866408103</v>
      </c>
      <c r="G418" s="36">
        <f t="shared" si="27"/>
        <v>4986.8013352591906</v>
      </c>
      <c r="I418" s="40">
        <v>5316.9501950000003</v>
      </c>
      <c r="J418" s="36">
        <v>5353.5685866408103</v>
      </c>
      <c r="K418" s="36">
        <v>4986.8013352591906</v>
      </c>
    </row>
    <row r="419" spans="1:11" x14ac:dyDescent="0.25">
      <c r="A419" s="39">
        <v>41099</v>
      </c>
      <c r="B419" s="36">
        <v>5275.1499020000001</v>
      </c>
      <c r="C419" s="36">
        <f t="shared" si="24"/>
        <v>5181.2374511500002</v>
      </c>
      <c r="D419" s="36">
        <f t="shared" si="25"/>
        <v>90.274194880680454</v>
      </c>
      <c r="E419" s="40">
        <v>5275.1499020000001</v>
      </c>
      <c r="F419" s="36">
        <f t="shared" si="26"/>
        <v>5361.7858409113614</v>
      </c>
      <c r="G419" s="36">
        <f t="shared" si="27"/>
        <v>5000.6890613886389</v>
      </c>
      <c r="I419" s="40">
        <v>5275.1499020000001</v>
      </c>
      <c r="J419" s="36">
        <v>5361.7858409113614</v>
      </c>
      <c r="K419" s="36">
        <v>5000.6890613886389</v>
      </c>
    </row>
    <row r="420" spans="1:11" x14ac:dyDescent="0.25">
      <c r="A420" s="39">
        <v>41100</v>
      </c>
      <c r="B420" s="36">
        <v>5345.3500979999999</v>
      </c>
      <c r="C420" s="36">
        <f t="shared" si="24"/>
        <v>5192.7099609499992</v>
      </c>
      <c r="D420" s="36">
        <f t="shared" si="25"/>
        <v>95.936045273238548</v>
      </c>
      <c r="E420" s="40">
        <v>5345.3500979999999</v>
      </c>
      <c r="F420" s="36">
        <f t="shared" si="26"/>
        <v>5384.5820514964762</v>
      </c>
      <c r="G420" s="36">
        <f t="shared" si="27"/>
        <v>5000.8378704035222</v>
      </c>
      <c r="I420" s="40">
        <v>5345.3500979999999</v>
      </c>
      <c r="J420" s="36">
        <v>5384.5820514964762</v>
      </c>
      <c r="K420" s="36">
        <v>5000.8378704035222</v>
      </c>
    </row>
    <row r="421" spans="1:11" x14ac:dyDescent="0.25">
      <c r="A421" s="39">
        <v>41101</v>
      </c>
      <c r="B421" s="36">
        <v>5306.2998049999997</v>
      </c>
      <c r="C421" s="36">
        <f t="shared" si="24"/>
        <v>5201.9524414499992</v>
      </c>
      <c r="D421" s="36">
        <f t="shared" si="25"/>
        <v>97.599342206288938</v>
      </c>
      <c r="E421" s="40">
        <v>5306.2998049999997</v>
      </c>
      <c r="F421" s="36">
        <f t="shared" si="26"/>
        <v>5397.1511258625769</v>
      </c>
      <c r="G421" s="36">
        <f t="shared" si="27"/>
        <v>5006.7537570374216</v>
      </c>
      <c r="I421" s="40">
        <v>5306.2998049999997</v>
      </c>
      <c r="J421" s="36">
        <v>5397.1511258625769</v>
      </c>
      <c r="K421" s="36">
        <v>5006.7537570374216</v>
      </c>
    </row>
    <row r="422" spans="1:11" x14ac:dyDescent="0.25">
      <c r="A422" s="39">
        <v>41102</v>
      </c>
      <c r="B422" s="36">
        <v>5235.25</v>
      </c>
      <c r="C422" s="36">
        <f t="shared" si="24"/>
        <v>5210.9774414499998</v>
      </c>
      <c r="D422" s="36">
        <f t="shared" si="25"/>
        <v>91.420991635128814</v>
      </c>
      <c r="E422" s="40">
        <v>5235.25</v>
      </c>
      <c r="F422" s="36">
        <f t="shared" si="26"/>
        <v>5393.8194247202573</v>
      </c>
      <c r="G422" s="36">
        <f t="shared" si="27"/>
        <v>5028.1354581797423</v>
      </c>
      <c r="I422" s="40">
        <v>5235.25</v>
      </c>
      <c r="J422" s="36">
        <v>5393.8194247202573</v>
      </c>
      <c r="K422" s="36">
        <v>5028.1354581797423</v>
      </c>
    </row>
    <row r="423" spans="1:11" x14ac:dyDescent="0.25">
      <c r="A423" s="39">
        <v>41103</v>
      </c>
      <c r="B423" s="36">
        <v>5227.25</v>
      </c>
      <c r="C423" s="36">
        <f t="shared" si="24"/>
        <v>5215.3874511999993</v>
      </c>
      <c r="D423" s="36">
        <f t="shared" si="25"/>
        <v>89.883083144609074</v>
      </c>
      <c r="E423" s="40">
        <v>5227.25</v>
      </c>
      <c r="F423" s="36">
        <f t="shared" si="26"/>
        <v>5395.1536174892171</v>
      </c>
      <c r="G423" s="36">
        <f t="shared" si="27"/>
        <v>5035.6212849107815</v>
      </c>
      <c r="I423" s="40">
        <v>5227.25</v>
      </c>
      <c r="J423" s="36">
        <v>5395.1536174892171</v>
      </c>
      <c r="K423" s="36">
        <v>5035.6212849107815</v>
      </c>
    </row>
    <row r="424" spans="1:11" x14ac:dyDescent="0.25">
      <c r="A424" s="39">
        <v>41106</v>
      </c>
      <c r="B424" s="36">
        <v>5197.25</v>
      </c>
      <c r="C424" s="36">
        <f t="shared" si="24"/>
        <v>5222.0374511999999</v>
      </c>
      <c r="D424" s="36">
        <f t="shared" si="25"/>
        <v>82.749588027860966</v>
      </c>
      <c r="E424" s="40">
        <v>5197.25</v>
      </c>
      <c r="F424" s="36">
        <f t="shared" si="26"/>
        <v>5387.5366272557221</v>
      </c>
      <c r="G424" s="36">
        <f t="shared" si="27"/>
        <v>5056.5382751442776</v>
      </c>
      <c r="I424" s="40">
        <v>5197.25</v>
      </c>
      <c r="J424" s="36">
        <v>5387.5366272557221</v>
      </c>
      <c r="K424" s="36">
        <v>5056.5382751442776</v>
      </c>
    </row>
    <row r="425" spans="1:11" x14ac:dyDescent="0.25">
      <c r="A425" s="39">
        <v>41107</v>
      </c>
      <c r="B425" s="36">
        <v>5192.8500979999999</v>
      </c>
      <c r="C425" s="36">
        <f t="shared" si="24"/>
        <v>5226.4874512000006</v>
      </c>
      <c r="D425" s="36">
        <f t="shared" si="25"/>
        <v>78.334637491387085</v>
      </c>
      <c r="E425" s="40">
        <v>5192.8500979999999</v>
      </c>
      <c r="F425" s="36">
        <f t="shared" si="26"/>
        <v>5383.1567261827749</v>
      </c>
      <c r="G425" s="36">
        <f t="shared" si="27"/>
        <v>5069.8181762172262</v>
      </c>
      <c r="I425" s="40">
        <v>5192.8500979999999</v>
      </c>
      <c r="J425" s="36">
        <v>5383.1567261827749</v>
      </c>
      <c r="K425" s="36">
        <v>5069.8181762172262</v>
      </c>
    </row>
    <row r="426" spans="1:11" x14ac:dyDescent="0.25">
      <c r="A426" s="39">
        <v>41108</v>
      </c>
      <c r="B426" s="36">
        <v>5216.2998049999997</v>
      </c>
      <c r="C426" s="36">
        <f t="shared" si="24"/>
        <v>5231.2749512</v>
      </c>
      <c r="D426" s="36">
        <f t="shared" si="25"/>
        <v>74.343652019004367</v>
      </c>
      <c r="E426" s="40">
        <v>5216.2998049999997</v>
      </c>
      <c r="F426" s="36">
        <f t="shared" si="26"/>
        <v>5379.9622552380088</v>
      </c>
      <c r="G426" s="36">
        <f t="shared" si="27"/>
        <v>5082.5876471619913</v>
      </c>
      <c r="I426" s="40">
        <v>5216.2998049999997</v>
      </c>
      <c r="J426" s="36">
        <v>5379.9622552380088</v>
      </c>
      <c r="K426" s="36">
        <v>5082.5876471619913</v>
      </c>
    </row>
    <row r="427" spans="1:11" x14ac:dyDescent="0.25">
      <c r="A427" s="39">
        <v>41109</v>
      </c>
      <c r="B427" s="36">
        <v>5242.7001950000003</v>
      </c>
      <c r="C427" s="36">
        <f t="shared" si="24"/>
        <v>5235.1599609499999</v>
      </c>
      <c r="D427" s="36">
        <f t="shared" si="25"/>
        <v>72.710273776026057</v>
      </c>
      <c r="E427" s="40">
        <v>5242.7001950000003</v>
      </c>
      <c r="F427" s="36">
        <f t="shared" si="26"/>
        <v>5380.580508502052</v>
      </c>
      <c r="G427" s="36">
        <f t="shared" si="27"/>
        <v>5089.7394133979478</v>
      </c>
      <c r="I427" s="40">
        <v>5242.7001950000003</v>
      </c>
      <c r="J427" s="36">
        <v>5380.580508502052</v>
      </c>
      <c r="K427" s="36">
        <v>5089.7394133979478</v>
      </c>
    </row>
    <row r="428" spans="1:11" x14ac:dyDescent="0.25">
      <c r="A428" s="39">
        <v>41110</v>
      </c>
      <c r="B428" s="36">
        <v>5205.1000979999999</v>
      </c>
      <c r="C428" s="36">
        <f t="shared" si="24"/>
        <v>5238.1124755999999</v>
      </c>
      <c r="D428" s="36">
        <f t="shared" si="25"/>
        <v>70.051681279301022</v>
      </c>
      <c r="E428" s="40">
        <v>5205.1000979999999</v>
      </c>
      <c r="F428" s="36">
        <f t="shared" si="26"/>
        <v>5378.2158381586023</v>
      </c>
      <c r="G428" s="36">
        <f t="shared" si="27"/>
        <v>5098.0091130413975</v>
      </c>
      <c r="I428" s="40">
        <v>5205.1000979999999</v>
      </c>
      <c r="J428" s="36">
        <v>5378.2158381586023</v>
      </c>
      <c r="K428" s="36">
        <v>5098.0091130413975</v>
      </c>
    </row>
    <row r="429" spans="1:11" x14ac:dyDescent="0.25">
      <c r="A429" s="39">
        <v>41113</v>
      </c>
      <c r="B429" s="36">
        <v>5117.9501950000003</v>
      </c>
      <c r="C429" s="36">
        <f t="shared" si="24"/>
        <v>5238.2774902500005</v>
      </c>
      <c r="D429" s="36">
        <f t="shared" si="25"/>
        <v>69.748776617621374</v>
      </c>
      <c r="E429" s="40">
        <v>5117.9501950000003</v>
      </c>
      <c r="F429" s="36">
        <f t="shared" si="26"/>
        <v>5377.7750434852433</v>
      </c>
      <c r="G429" s="36">
        <f t="shared" si="27"/>
        <v>5098.7799370147577</v>
      </c>
      <c r="I429" s="40">
        <v>5117.9501950000003</v>
      </c>
      <c r="J429" s="36">
        <v>5377.7750434852433</v>
      </c>
      <c r="K429" s="36">
        <v>5098.7799370147577</v>
      </c>
    </row>
    <row r="430" spans="1:11" x14ac:dyDescent="0.25">
      <c r="A430" s="39">
        <v>41114</v>
      </c>
      <c r="B430" s="36">
        <v>5128.2001950000003</v>
      </c>
      <c r="C430" s="36">
        <f t="shared" si="24"/>
        <v>5238.6475097499988</v>
      </c>
      <c r="D430" s="36">
        <f t="shared" si="25"/>
        <v>69.109452115616051</v>
      </c>
      <c r="E430" s="40">
        <v>5128.2001950000003</v>
      </c>
      <c r="F430" s="36">
        <f t="shared" si="26"/>
        <v>5376.8664139812308</v>
      </c>
      <c r="G430" s="36">
        <f t="shared" si="27"/>
        <v>5100.4286055187667</v>
      </c>
      <c r="I430" s="40">
        <v>5128.2001950000003</v>
      </c>
      <c r="J430" s="36">
        <v>5376.8664139812308</v>
      </c>
      <c r="K430" s="36">
        <v>5100.4286055187667</v>
      </c>
    </row>
    <row r="431" spans="1:11" x14ac:dyDescent="0.25">
      <c r="A431" s="39">
        <v>41115</v>
      </c>
      <c r="B431" s="36">
        <v>5109.6000979999999</v>
      </c>
      <c r="C431" s="36">
        <f t="shared" si="24"/>
        <v>5237.0325195499991</v>
      </c>
      <c r="D431" s="36">
        <f t="shared" si="25"/>
        <v>71.813787735619712</v>
      </c>
      <c r="E431" s="40">
        <v>5109.6000979999999</v>
      </c>
      <c r="F431" s="36">
        <f t="shared" si="26"/>
        <v>5380.6600950212387</v>
      </c>
      <c r="G431" s="36">
        <f t="shared" si="27"/>
        <v>5093.4049440787594</v>
      </c>
      <c r="I431" s="40">
        <v>5109.6000979999999</v>
      </c>
      <c r="J431" s="36">
        <v>5380.6600950212387</v>
      </c>
      <c r="K431" s="36">
        <v>5093.4049440787594</v>
      </c>
    </row>
    <row r="432" spans="1:11" x14ac:dyDescent="0.25">
      <c r="A432" s="39">
        <v>41116</v>
      </c>
      <c r="B432" s="36">
        <v>5043</v>
      </c>
      <c r="C432" s="36">
        <f t="shared" si="24"/>
        <v>5231.7250244499992</v>
      </c>
      <c r="D432" s="36">
        <f t="shared" si="25"/>
        <v>81.869297683482671</v>
      </c>
      <c r="E432" s="40">
        <v>5043</v>
      </c>
      <c r="F432" s="36">
        <f t="shared" si="26"/>
        <v>5395.4636198169646</v>
      </c>
      <c r="G432" s="36">
        <f t="shared" si="27"/>
        <v>5067.9864290830337</v>
      </c>
      <c r="I432" s="40">
        <v>5043</v>
      </c>
      <c r="J432" s="36">
        <v>5395.4636198169646</v>
      </c>
      <c r="K432" s="36">
        <v>5067.9864290830337</v>
      </c>
    </row>
    <row r="433" spans="1:11" x14ac:dyDescent="0.25">
      <c r="A433" s="39">
        <v>41117</v>
      </c>
      <c r="B433" s="36">
        <v>5099.8500979999999</v>
      </c>
      <c r="C433" s="36">
        <f t="shared" si="24"/>
        <v>5222.7725342499998</v>
      </c>
      <c r="D433" s="36">
        <f t="shared" si="25"/>
        <v>86.11853572081877</v>
      </c>
      <c r="E433" s="40">
        <v>5099.8500979999999</v>
      </c>
      <c r="F433" s="36">
        <f t="shared" si="26"/>
        <v>5395.0096056916373</v>
      </c>
      <c r="G433" s="36">
        <f t="shared" si="27"/>
        <v>5050.5354628083624</v>
      </c>
      <c r="I433" s="40">
        <v>5099.8500979999999</v>
      </c>
      <c r="J433" s="36">
        <v>5395.0096056916373</v>
      </c>
      <c r="K433" s="36">
        <v>5050.5354628083624</v>
      </c>
    </row>
    <row r="434" spans="1:11" x14ac:dyDescent="0.25">
      <c r="A434" s="39">
        <v>41120</v>
      </c>
      <c r="B434" s="36">
        <v>5199.7998049999997</v>
      </c>
      <c r="C434" s="36">
        <f t="shared" si="24"/>
        <v>5218.8325195999996</v>
      </c>
      <c r="D434" s="36">
        <f t="shared" si="25"/>
        <v>85.22792870802698</v>
      </c>
      <c r="E434" s="40">
        <v>5199.7998049999997</v>
      </c>
      <c r="F434" s="36">
        <f t="shared" si="26"/>
        <v>5389.2883770160533</v>
      </c>
      <c r="G434" s="36">
        <f t="shared" si="27"/>
        <v>5048.3766621839459</v>
      </c>
      <c r="I434" s="40">
        <v>5199.7998049999997</v>
      </c>
      <c r="J434" s="36">
        <v>5389.2883770160533</v>
      </c>
      <c r="K434" s="36">
        <v>5048.3766621839459</v>
      </c>
    </row>
    <row r="435" spans="1:11" x14ac:dyDescent="0.25">
      <c r="A435" s="39">
        <v>41121</v>
      </c>
      <c r="B435" s="36">
        <v>5229</v>
      </c>
      <c r="C435" s="36">
        <f t="shared" si="24"/>
        <v>5215.8850098499988</v>
      </c>
      <c r="D435" s="36">
        <f t="shared" si="25"/>
        <v>83.71774795667433</v>
      </c>
      <c r="E435" s="40">
        <v>5229</v>
      </c>
      <c r="F435" s="36">
        <f t="shared" si="26"/>
        <v>5383.3205057633477</v>
      </c>
      <c r="G435" s="36">
        <f t="shared" si="27"/>
        <v>5048.44951393665</v>
      </c>
      <c r="I435" s="40">
        <v>5229</v>
      </c>
      <c r="J435" s="36">
        <v>5383.3205057633477</v>
      </c>
      <c r="K435" s="36">
        <v>5048.44951393665</v>
      </c>
    </row>
    <row r="436" spans="1:11" x14ac:dyDescent="0.25">
      <c r="A436" s="39">
        <v>41122</v>
      </c>
      <c r="B436" s="36">
        <v>5240.5</v>
      </c>
      <c r="C436" s="36">
        <f t="shared" si="24"/>
        <v>5212.7825195999994</v>
      </c>
      <c r="D436" s="36">
        <f t="shared" si="25"/>
        <v>81.456209495614075</v>
      </c>
      <c r="E436" s="40">
        <v>5240.5</v>
      </c>
      <c r="F436" s="36">
        <f t="shared" si="26"/>
        <v>5375.6949385912276</v>
      </c>
      <c r="G436" s="36">
        <f t="shared" si="27"/>
        <v>5049.8701006087713</v>
      </c>
      <c r="I436" s="40">
        <v>5240.5</v>
      </c>
      <c r="J436" s="36">
        <v>5375.6949385912276</v>
      </c>
      <c r="K436" s="36">
        <v>5049.8701006087713</v>
      </c>
    </row>
    <row r="437" spans="1:11" x14ac:dyDescent="0.25">
      <c r="A437" s="39">
        <v>41123</v>
      </c>
      <c r="B437" s="36">
        <v>5227.75</v>
      </c>
      <c r="C437" s="36">
        <f t="shared" si="24"/>
        <v>5207.80502935</v>
      </c>
      <c r="D437" s="36">
        <f t="shared" si="25"/>
        <v>77.010414836612753</v>
      </c>
      <c r="E437" s="40">
        <v>5227.75</v>
      </c>
      <c r="F437" s="36">
        <f t="shared" si="26"/>
        <v>5361.8258590232253</v>
      </c>
      <c r="G437" s="36">
        <f t="shared" si="27"/>
        <v>5053.7841996767747</v>
      </c>
      <c r="I437" s="40">
        <v>5227.75</v>
      </c>
      <c r="J437" s="36">
        <v>5361.8258590232253</v>
      </c>
      <c r="K437" s="36">
        <v>5053.7841996767747</v>
      </c>
    </row>
    <row r="438" spans="1:11" x14ac:dyDescent="0.25">
      <c r="A438" s="39">
        <v>41124</v>
      </c>
      <c r="B438" s="36">
        <v>5215.7001950000003</v>
      </c>
      <c r="C438" s="36">
        <f t="shared" si="24"/>
        <v>5202.74252935</v>
      </c>
      <c r="D438" s="36">
        <f t="shared" si="25"/>
        <v>72.66308850973985</v>
      </c>
      <c r="E438" s="40">
        <v>5215.7001950000003</v>
      </c>
      <c r="F438" s="36">
        <f t="shared" si="26"/>
        <v>5348.0687063694795</v>
      </c>
      <c r="G438" s="36">
        <f t="shared" si="27"/>
        <v>5057.4163523305206</v>
      </c>
      <c r="I438" s="40">
        <v>5215.7001950000003</v>
      </c>
      <c r="J438" s="36">
        <v>5348.0687063694795</v>
      </c>
      <c r="K438" s="36">
        <v>5057.4163523305206</v>
      </c>
    </row>
    <row r="439" spans="1:11" x14ac:dyDescent="0.25">
      <c r="A439" s="39">
        <v>41127</v>
      </c>
      <c r="B439" s="36">
        <v>5282.5498049999997</v>
      </c>
      <c r="C439" s="36">
        <f t="shared" si="24"/>
        <v>5203.1125244999994</v>
      </c>
      <c r="D439" s="36">
        <f t="shared" si="25"/>
        <v>73.068893197155859</v>
      </c>
      <c r="E439" s="40">
        <v>5282.5498049999997</v>
      </c>
      <c r="F439" s="36">
        <f t="shared" si="26"/>
        <v>5349.250310894311</v>
      </c>
      <c r="G439" s="36">
        <f t="shared" si="27"/>
        <v>5056.9747381056877</v>
      </c>
      <c r="I439" s="40">
        <v>5282.5498049999997</v>
      </c>
      <c r="J439" s="36">
        <v>5349.250310894311</v>
      </c>
      <c r="K439" s="36">
        <v>5056.9747381056877</v>
      </c>
    </row>
    <row r="440" spans="1:11" x14ac:dyDescent="0.25">
      <c r="A440" s="39">
        <v>41128</v>
      </c>
      <c r="B440" s="36">
        <v>5336.7001950000003</v>
      </c>
      <c r="C440" s="36">
        <f t="shared" si="24"/>
        <v>5202.68002935</v>
      </c>
      <c r="D440" s="36">
        <f t="shared" si="25"/>
        <v>72.203148080312559</v>
      </c>
      <c r="E440" s="40">
        <v>5336.7001950000003</v>
      </c>
      <c r="F440" s="36">
        <f t="shared" si="26"/>
        <v>5347.0863255106251</v>
      </c>
      <c r="G440" s="36">
        <f t="shared" si="27"/>
        <v>5058.273733189375</v>
      </c>
      <c r="I440" s="40">
        <v>5336.7001950000003</v>
      </c>
      <c r="J440" s="36">
        <v>5347.0863255106251</v>
      </c>
      <c r="K440" s="36">
        <v>5058.273733189375</v>
      </c>
    </row>
    <row r="441" spans="1:11" x14ac:dyDescent="0.25">
      <c r="A441" s="39">
        <v>41129</v>
      </c>
      <c r="B441" s="36">
        <v>5338</v>
      </c>
      <c r="C441" s="36">
        <f t="shared" si="24"/>
        <v>5204.2650390999997</v>
      </c>
      <c r="D441" s="36">
        <f t="shared" si="25"/>
        <v>74.895291361463634</v>
      </c>
      <c r="E441" s="40">
        <v>5338</v>
      </c>
      <c r="F441" s="36">
        <f t="shared" si="26"/>
        <v>5354.0556218229267</v>
      </c>
      <c r="G441" s="36">
        <f t="shared" si="27"/>
        <v>5054.4744563770728</v>
      </c>
      <c r="I441" s="40">
        <v>5338</v>
      </c>
      <c r="J441" s="36">
        <v>5354.0556218229267</v>
      </c>
      <c r="K441" s="36">
        <v>5054.4744563770728</v>
      </c>
    </row>
    <row r="442" spans="1:11" x14ac:dyDescent="0.25">
      <c r="A442" s="39">
        <v>41130</v>
      </c>
      <c r="B442" s="36">
        <v>5322.9501950000003</v>
      </c>
      <c r="C442" s="36">
        <f t="shared" si="24"/>
        <v>5208.6500488499996</v>
      </c>
      <c r="D442" s="36">
        <f t="shared" si="25"/>
        <v>79.245893439389022</v>
      </c>
      <c r="E442" s="40">
        <v>5322.9501950000003</v>
      </c>
      <c r="F442" s="36">
        <f t="shared" si="26"/>
        <v>5367.1418357287776</v>
      </c>
      <c r="G442" s="36">
        <f t="shared" si="27"/>
        <v>5050.1582619712217</v>
      </c>
      <c r="I442" s="40">
        <v>5322.9501950000003</v>
      </c>
      <c r="J442" s="36">
        <v>5367.1418357287776</v>
      </c>
      <c r="K442" s="36">
        <v>5050.1582619712217</v>
      </c>
    </row>
    <row r="443" spans="1:11" x14ac:dyDescent="0.25">
      <c r="A443" s="39">
        <v>41131</v>
      </c>
      <c r="B443" s="36">
        <v>5320.3999020000001</v>
      </c>
      <c r="C443" s="36">
        <f t="shared" si="24"/>
        <v>5213.3075439500008</v>
      </c>
      <c r="D443" s="36">
        <f t="shared" si="25"/>
        <v>83.042965162703794</v>
      </c>
      <c r="E443" s="40">
        <v>5320.3999020000001</v>
      </c>
      <c r="F443" s="36">
        <f t="shared" si="26"/>
        <v>5379.3934742754082</v>
      </c>
      <c r="G443" s="36">
        <f t="shared" si="27"/>
        <v>5047.2216136245934</v>
      </c>
      <c r="I443" s="40">
        <v>5320.3999020000001</v>
      </c>
      <c r="J443" s="36">
        <v>5379.3934742754082</v>
      </c>
      <c r="K443" s="36">
        <v>5047.2216136245934</v>
      </c>
    </row>
    <row r="444" spans="1:11" x14ac:dyDescent="0.25">
      <c r="A444" s="39">
        <v>41134</v>
      </c>
      <c r="B444" s="36">
        <v>5347.8999020000001</v>
      </c>
      <c r="C444" s="36">
        <f t="shared" si="24"/>
        <v>5220.840039050001</v>
      </c>
      <c r="D444" s="36">
        <f t="shared" si="25"/>
        <v>88.183133509755962</v>
      </c>
      <c r="E444" s="40">
        <v>5347.8999020000001</v>
      </c>
      <c r="F444" s="36">
        <f t="shared" si="26"/>
        <v>5397.2063060695127</v>
      </c>
      <c r="G444" s="36">
        <f t="shared" si="27"/>
        <v>5044.4737720304893</v>
      </c>
      <c r="I444" s="40">
        <v>5347.8999020000001</v>
      </c>
      <c r="J444" s="36">
        <v>5397.2063060695127</v>
      </c>
      <c r="K444" s="36">
        <v>5044.4737720304893</v>
      </c>
    </row>
    <row r="445" spans="1:11" x14ac:dyDescent="0.25">
      <c r="A445" s="39">
        <v>41135</v>
      </c>
      <c r="B445" s="36">
        <v>5380.3500979999999</v>
      </c>
      <c r="C445" s="36">
        <f t="shared" si="24"/>
        <v>5230.215039050001</v>
      </c>
      <c r="D445" s="36">
        <f t="shared" si="25"/>
        <v>94.771538388695419</v>
      </c>
      <c r="E445" s="40">
        <v>5380.3500979999999</v>
      </c>
      <c r="F445" s="36">
        <f t="shared" si="26"/>
        <v>5419.7581158273915</v>
      </c>
      <c r="G445" s="36">
        <f t="shared" si="27"/>
        <v>5040.6719622726105</v>
      </c>
      <c r="I445" s="40">
        <v>5380.3500979999999</v>
      </c>
      <c r="J445" s="36">
        <v>5419.7581158273915</v>
      </c>
      <c r="K445" s="36">
        <v>5040.6719622726105</v>
      </c>
    </row>
    <row r="446" spans="1:11" x14ac:dyDescent="0.25">
      <c r="A446" s="39">
        <v>41137</v>
      </c>
      <c r="B446" s="36">
        <v>5362.9501950000003</v>
      </c>
      <c r="C446" s="36">
        <f t="shared" si="24"/>
        <v>5237.5475585499998</v>
      </c>
      <c r="D446" s="36">
        <f t="shared" si="25"/>
        <v>99.207628188425957</v>
      </c>
      <c r="E446" s="40">
        <v>5362.9501950000003</v>
      </c>
      <c r="F446" s="36">
        <f t="shared" si="26"/>
        <v>5435.9628149268519</v>
      </c>
      <c r="G446" s="36">
        <f t="shared" si="27"/>
        <v>5039.1323021731478</v>
      </c>
      <c r="I446" s="40">
        <v>5362.9501950000003</v>
      </c>
      <c r="J446" s="36">
        <v>5435.9628149268519</v>
      </c>
      <c r="K446" s="36">
        <v>5039.1323021731478</v>
      </c>
    </row>
    <row r="447" spans="1:11" x14ac:dyDescent="0.25">
      <c r="A447" s="39">
        <v>41138</v>
      </c>
      <c r="B447" s="36">
        <v>5366.2998049999997</v>
      </c>
      <c r="C447" s="36">
        <f t="shared" si="24"/>
        <v>5243.7275390499999</v>
      </c>
      <c r="D447" s="36">
        <f t="shared" si="25"/>
        <v>103.31038171926238</v>
      </c>
      <c r="E447" s="40">
        <v>5366.2998049999997</v>
      </c>
      <c r="F447" s="36">
        <f t="shared" si="26"/>
        <v>5450.3483024885245</v>
      </c>
      <c r="G447" s="36">
        <f t="shared" si="27"/>
        <v>5037.1067756114753</v>
      </c>
      <c r="I447" s="40">
        <v>5366.2998049999997</v>
      </c>
      <c r="J447" s="36">
        <v>5450.3483024885245</v>
      </c>
      <c r="K447" s="36">
        <v>5037.1067756114753</v>
      </c>
    </row>
    <row r="448" spans="1:11" x14ac:dyDescent="0.25">
      <c r="A448" s="39">
        <v>41142</v>
      </c>
      <c r="B448" s="36">
        <v>5421</v>
      </c>
      <c r="C448" s="36">
        <f t="shared" si="24"/>
        <v>5254.52253415</v>
      </c>
      <c r="D448" s="36">
        <f t="shared" si="25"/>
        <v>110.1172753485626</v>
      </c>
      <c r="E448" s="40">
        <v>5421</v>
      </c>
      <c r="F448" s="36">
        <f t="shared" si="26"/>
        <v>5474.757084847125</v>
      </c>
      <c r="G448" s="36">
        <f t="shared" si="27"/>
        <v>5034.2879834528749</v>
      </c>
      <c r="I448" s="40">
        <v>5421</v>
      </c>
      <c r="J448" s="36">
        <v>5474.757084847125</v>
      </c>
      <c r="K448" s="36">
        <v>5034.2879834528749</v>
      </c>
    </row>
    <row r="449" spans="1:11" x14ac:dyDescent="0.25">
      <c r="A449" s="39">
        <v>41143</v>
      </c>
      <c r="B449" s="36">
        <v>5412.8500979999999</v>
      </c>
      <c r="C449" s="36">
        <f t="shared" si="24"/>
        <v>5269.2675293000002</v>
      </c>
      <c r="D449" s="36">
        <f t="shared" si="25"/>
        <v>110.61021849814369</v>
      </c>
      <c r="E449" s="40">
        <v>5412.8500979999999</v>
      </c>
      <c r="F449" s="36">
        <f t="shared" si="26"/>
        <v>5490.4879662962876</v>
      </c>
      <c r="G449" s="36">
        <f t="shared" si="27"/>
        <v>5048.0470923037128</v>
      </c>
      <c r="I449" s="40">
        <v>5412.8500979999999</v>
      </c>
      <c r="J449" s="36">
        <v>5490.4879662962876</v>
      </c>
      <c r="K449" s="36">
        <v>5048.0470923037128</v>
      </c>
    </row>
    <row r="450" spans="1:11" x14ac:dyDescent="0.25">
      <c r="A450" s="39">
        <v>41144</v>
      </c>
      <c r="B450" s="36">
        <v>5415.3500979999999</v>
      </c>
      <c r="C450" s="36">
        <f t="shared" si="24"/>
        <v>5283.6250244499988</v>
      </c>
      <c r="D450" s="36">
        <f t="shared" si="25"/>
        <v>109.97012968116951</v>
      </c>
      <c r="E450" s="40">
        <v>5415.3500979999999</v>
      </c>
      <c r="F450" s="36">
        <f t="shared" si="26"/>
        <v>5503.5652838123378</v>
      </c>
      <c r="G450" s="36">
        <f t="shared" si="27"/>
        <v>5063.6847650876598</v>
      </c>
      <c r="I450" s="40">
        <v>5415.3500979999999</v>
      </c>
      <c r="J450" s="36">
        <v>5503.5652838123378</v>
      </c>
      <c r="K450" s="36">
        <v>5063.6847650876598</v>
      </c>
    </row>
    <row r="451" spans="1:11" x14ac:dyDescent="0.25">
      <c r="A451" s="39">
        <v>41145</v>
      </c>
      <c r="B451" s="36">
        <v>5386.7001950000003</v>
      </c>
      <c r="C451" s="36">
        <f t="shared" si="24"/>
        <v>5297.4800292999989</v>
      </c>
      <c r="D451" s="36">
        <f t="shared" si="25"/>
        <v>104.19509827593031</v>
      </c>
      <c r="E451" s="40">
        <v>5386.7001950000003</v>
      </c>
      <c r="F451" s="36">
        <f t="shared" si="26"/>
        <v>5505.8702258518597</v>
      </c>
      <c r="G451" s="36">
        <f t="shared" si="27"/>
        <v>5089.0898327481382</v>
      </c>
      <c r="I451" s="40">
        <v>5386.7001950000003</v>
      </c>
      <c r="J451" s="36">
        <v>5505.8702258518597</v>
      </c>
      <c r="K451" s="36">
        <v>5089.0898327481382</v>
      </c>
    </row>
    <row r="452" spans="1:11" x14ac:dyDescent="0.25">
      <c r="A452" s="39">
        <v>41148</v>
      </c>
      <c r="B452" s="36">
        <v>5350.25</v>
      </c>
      <c r="C452" s="36">
        <f t="shared" si="24"/>
        <v>5312.8425292999982</v>
      </c>
      <c r="D452" s="36">
        <f t="shared" si="25"/>
        <v>85.710715402093513</v>
      </c>
      <c r="E452" s="40">
        <v>5350.25</v>
      </c>
      <c r="F452" s="36">
        <f t="shared" si="26"/>
        <v>5484.2639601041856</v>
      </c>
      <c r="G452" s="36">
        <f t="shared" si="27"/>
        <v>5141.4210984958108</v>
      </c>
      <c r="I452" s="40">
        <v>5350.25</v>
      </c>
      <c r="J452" s="36">
        <v>5484.2639601041856</v>
      </c>
      <c r="K452" s="36">
        <v>5141.4210984958108</v>
      </c>
    </row>
    <row r="453" spans="1:11" x14ac:dyDescent="0.25">
      <c r="A453" s="39">
        <v>41150</v>
      </c>
      <c r="B453" s="36">
        <v>5287.7998049999997</v>
      </c>
      <c r="C453" s="36">
        <f t="shared" si="24"/>
        <v>5322.2400146499995</v>
      </c>
      <c r="D453" s="36">
        <f t="shared" si="25"/>
        <v>69.990719531891486</v>
      </c>
      <c r="E453" s="40">
        <v>5287.7998049999997</v>
      </c>
      <c r="F453" s="36">
        <f t="shared" si="26"/>
        <v>5462.2214537137825</v>
      </c>
      <c r="G453" s="36">
        <f t="shared" si="27"/>
        <v>5182.2585755862165</v>
      </c>
      <c r="I453" s="40">
        <v>5287.7998049999997</v>
      </c>
      <c r="J453" s="36">
        <v>5462.2214537137825</v>
      </c>
      <c r="K453" s="36">
        <v>5182.2585755862165</v>
      </c>
    </row>
    <row r="454" spans="1:11" x14ac:dyDescent="0.25">
      <c r="A454" s="39">
        <v>41151</v>
      </c>
      <c r="B454" s="36">
        <v>5315.0498049999997</v>
      </c>
      <c r="C454" s="36">
        <f t="shared" si="24"/>
        <v>5328.0025146499993</v>
      </c>
      <c r="D454" s="36">
        <f t="shared" si="25"/>
        <v>63.854803076124007</v>
      </c>
      <c r="E454" s="40">
        <v>5315.0498049999997</v>
      </c>
      <c r="F454" s="36">
        <f t="shared" si="26"/>
        <v>5455.7121208022472</v>
      </c>
      <c r="G454" s="36">
        <f t="shared" si="27"/>
        <v>5200.2929084977513</v>
      </c>
      <c r="I454" s="40">
        <v>5315.0498049999997</v>
      </c>
      <c r="J454" s="36">
        <v>5455.7121208022472</v>
      </c>
      <c r="K454" s="36">
        <v>5200.2929084977513</v>
      </c>
    </row>
    <row r="455" spans="1:11" x14ac:dyDescent="0.25">
      <c r="A455" s="39">
        <v>41152</v>
      </c>
      <c r="B455" s="36">
        <v>5258.5</v>
      </c>
      <c r="C455" s="36">
        <f t="shared" si="24"/>
        <v>5329.4775146499996</v>
      </c>
      <c r="D455" s="36">
        <f t="shared" si="25"/>
        <v>61.75370041227486</v>
      </c>
      <c r="E455" s="40">
        <v>5258.5</v>
      </c>
      <c r="F455" s="36">
        <f t="shared" si="26"/>
        <v>5452.9849154745498</v>
      </c>
      <c r="G455" s="36">
        <f t="shared" si="27"/>
        <v>5205.9701138254495</v>
      </c>
      <c r="I455" s="40">
        <v>5258.5</v>
      </c>
      <c r="J455" s="36">
        <v>5452.9849154745498</v>
      </c>
      <c r="K455" s="36">
        <v>5205.9701138254495</v>
      </c>
    </row>
    <row r="456" spans="1:11" x14ac:dyDescent="0.25">
      <c r="A456" s="39">
        <v>41155</v>
      </c>
      <c r="B456" s="36">
        <v>5253.75</v>
      </c>
      <c r="C456" s="36">
        <f t="shared" si="24"/>
        <v>5330.14001465</v>
      </c>
      <c r="D456" s="36">
        <f t="shared" si="25"/>
        <v>60.812806396413585</v>
      </c>
      <c r="E456" s="40">
        <v>5253.75</v>
      </c>
      <c r="F456" s="36">
        <f t="shared" si="26"/>
        <v>5451.7656274428273</v>
      </c>
      <c r="G456" s="36">
        <f t="shared" si="27"/>
        <v>5208.5144018571727</v>
      </c>
      <c r="I456" s="40">
        <v>5253.75</v>
      </c>
      <c r="J456" s="36">
        <v>5451.7656274428273</v>
      </c>
      <c r="K456" s="36">
        <v>5208.5144018571727</v>
      </c>
    </row>
    <row r="457" spans="1:11" x14ac:dyDescent="0.25">
      <c r="A457" s="39">
        <v>41156</v>
      </c>
      <c r="B457" s="36">
        <v>5274</v>
      </c>
      <c r="C457" s="36">
        <f t="shared" si="24"/>
        <v>5332.45251465</v>
      </c>
      <c r="D457" s="36">
        <f t="shared" si="25"/>
        <v>57.503676785979216</v>
      </c>
      <c r="E457" s="40">
        <v>5274</v>
      </c>
      <c r="F457" s="36">
        <f t="shared" si="26"/>
        <v>5447.4598682219585</v>
      </c>
      <c r="G457" s="36">
        <f t="shared" si="27"/>
        <v>5217.4451610780416</v>
      </c>
      <c r="I457" s="40">
        <v>5274</v>
      </c>
      <c r="J457" s="36">
        <v>5447.4598682219585</v>
      </c>
      <c r="K457" s="36">
        <v>5217.4451610780416</v>
      </c>
    </row>
    <row r="458" spans="1:11" x14ac:dyDescent="0.25">
      <c r="A458" s="39">
        <v>41157</v>
      </c>
      <c r="B458" s="36">
        <v>5225.7001950000003</v>
      </c>
      <c r="C458" s="36">
        <f t="shared" si="24"/>
        <v>5332.95251465</v>
      </c>
      <c r="D458" s="36">
        <f t="shared" si="25"/>
        <v>56.46924530509876</v>
      </c>
      <c r="E458" s="40">
        <v>5225.7001950000003</v>
      </c>
      <c r="F458" s="36">
        <f t="shared" si="26"/>
        <v>5445.8910052601977</v>
      </c>
      <c r="G458" s="36">
        <f t="shared" si="27"/>
        <v>5220.0140240398023</v>
      </c>
      <c r="I458" s="40">
        <v>5225.7001950000003</v>
      </c>
      <c r="J458" s="36">
        <v>5445.8910052601977</v>
      </c>
      <c r="K458" s="36">
        <v>5220.0140240398023</v>
      </c>
    </row>
    <row r="459" spans="1:11" x14ac:dyDescent="0.25">
      <c r="A459" s="39">
        <v>41158</v>
      </c>
      <c r="B459" s="36">
        <v>5238.3999020000001</v>
      </c>
      <c r="C459" s="36">
        <f t="shared" si="24"/>
        <v>5330.7450195000001</v>
      </c>
      <c r="D459" s="36">
        <f t="shared" si="25"/>
        <v>59.333597637405973</v>
      </c>
      <c r="E459" s="40">
        <v>5238.3999020000001</v>
      </c>
      <c r="F459" s="36">
        <f t="shared" si="26"/>
        <v>5449.4122147748121</v>
      </c>
      <c r="G459" s="36">
        <f t="shared" si="27"/>
        <v>5212.0778242251881</v>
      </c>
      <c r="I459" s="40">
        <v>5238.3999020000001</v>
      </c>
      <c r="J459" s="36">
        <v>5449.4122147748121</v>
      </c>
      <c r="K459" s="36">
        <v>5212.0778242251881</v>
      </c>
    </row>
    <row r="460" spans="1:11" x14ac:dyDescent="0.25">
      <c r="A460" s="39">
        <v>41159</v>
      </c>
      <c r="B460" s="36">
        <v>5342.1000979999999</v>
      </c>
      <c r="C460" s="36">
        <f t="shared" si="24"/>
        <v>5331.01501465</v>
      </c>
      <c r="D460" s="36">
        <f t="shared" si="25"/>
        <v>59.374394670926087</v>
      </c>
      <c r="E460" s="40">
        <v>5342.1000979999999</v>
      </c>
      <c r="F460" s="36">
        <f t="shared" si="26"/>
        <v>5449.763803991852</v>
      </c>
      <c r="G460" s="36">
        <f t="shared" si="27"/>
        <v>5212.266225308148</v>
      </c>
      <c r="I460" s="40">
        <v>5342.1000979999999</v>
      </c>
      <c r="J460" s="36">
        <v>5449.763803991852</v>
      </c>
      <c r="K460" s="36">
        <v>5212.266225308148</v>
      </c>
    </row>
    <row r="461" spans="1:11" x14ac:dyDescent="0.25">
      <c r="A461" s="39">
        <v>41162</v>
      </c>
      <c r="B461" s="36">
        <v>5363.4501950000003</v>
      </c>
      <c r="C461" s="36">
        <f t="shared" si="24"/>
        <v>5332.2875244000006</v>
      </c>
      <c r="D461" s="36">
        <f t="shared" si="25"/>
        <v>59.803151382796337</v>
      </c>
      <c r="E461" s="40">
        <v>5363.4501950000003</v>
      </c>
      <c r="F461" s="36">
        <f t="shared" si="26"/>
        <v>5451.8938271655934</v>
      </c>
      <c r="G461" s="36">
        <f t="shared" si="27"/>
        <v>5212.6812216344078</v>
      </c>
      <c r="I461" s="40">
        <v>5363.4501950000003</v>
      </c>
      <c r="J461" s="36">
        <v>5451.8938271655934</v>
      </c>
      <c r="K461" s="36">
        <v>5212.6812216344078</v>
      </c>
    </row>
    <row r="462" spans="1:11" x14ac:dyDescent="0.25">
      <c r="A462" s="39">
        <v>41163</v>
      </c>
      <c r="B462" s="36">
        <v>5390</v>
      </c>
      <c r="C462" s="36">
        <f t="shared" si="24"/>
        <v>5335.64001465</v>
      </c>
      <c r="D462" s="36">
        <f t="shared" si="25"/>
        <v>61.117092833945478</v>
      </c>
      <c r="E462" s="40">
        <v>5390</v>
      </c>
      <c r="F462" s="36">
        <f t="shared" si="26"/>
        <v>5457.8742003178913</v>
      </c>
      <c r="G462" s="36">
        <f t="shared" si="27"/>
        <v>5213.4058289821087</v>
      </c>
      <c r="I462" s="40">
        <v>5390</v>
      </c>
      <c r="J462" s="36">
        <v>5457.8742003178913</v>
      </c>
      <c r="K462" s="36">
        <v>5213.4058289821087</v>
      </c>
    </row>
    <row r="463" spans="1:11" x14ac:dyDescent="0.25">
      <c r="A463" s="39">
        <v>41164</v>
      </c>
      <c r="B463" s="36">
        <v>5431</v>
      </c>
      <c r="C463" s="36">
        <f t="shared" si="24"/>
        <v>5341.1700195499998</v>
      </c>
      <c r="D463" s="36">
        <f t="shared" si="25"/>
        <v>64.571595670589645</v>
      </c>
      <c r="E463" s="40">
        <v>5431</v>
      </c>
      <c r="F463" s="36">
        <f t="shared" si="26"/>
        <v>5470.3132108911786</v>
      </c>
      <c r="G463" s="36">
        <f t="shared" si="27"/>
        <v>5212.0268282088209</v>
      </c>
      <c r="I463" s="40">
        <v>5431</v>
      </c>
      <c r="J463" s="36">
        <v>5470.3132108911786</v>
      </c>
      <c r="K463" s="36">
        <v>5212.0268282088209</v>
      </c>
    </row>
    <row r="464" spans="1:11" x14ac:dyDescent="0.25">
      <c r="A464" s="39">
        <v>41165</v>
      </c>
      <c r="B464" s="36">
        <v>5435.3500979999999</v>
      </c>
      <c r="C464" s="36">
        <f t="shared" si="24"/>
        <v>5345.5425293499993</v>
      </c>
      <c r="D464" s="36">
        <f t="shared" si="25"/>
        <v>67.925093185729807</v>
      </c>
      <c r="E464" s="40">
        <v>5435.3500979999999</v>
      </c>
      <c r="F464" s="36">
        <f t="shared" si="26"/>
        <v>5481.3927157214594</v>
      </c>
      <c r="G464" s="36">
        <f t="shared" si="27"/>
        <v>5209.6923429785393</v>
      </c>
      <c r="I464" s="40">
        <v>5435.3500979999999</v>
      </c>
      <c r="J464" s="36">
        <v>5481.3927157214594</v>
      </c>
      <c r="K464" s="36">
        <v>5209.6923429785393</v>
      </c>
    </row>
    <row r="465" spans="1:11" x14ac:dyDescent="0.25">
      <c r="A465" s="39">
        <v>41166</v>
      </c>
      <c r="B465" s="36">
        <v>5577.6499020000001</v>
      </c>
      <c r="C465" s="36">
        <f t="shared" si="24"/>
        <v>5355.40751955</v>
      </c>
      <c r="D465" s="36">
        <f t="shared" si="25"/>
        <v>85.340942346674851</v>
      </c>
      <c r="E465" s="40">
        <v>5577.6499020000001</v>
      </c>
      <c r="F465" s="36">
        <f t="shared" si="26"/>
        <v>5526.0894042433492</v>
      </c>
      <c r="G465" s="36">
        <f t="shared" si="27"/>
        <v>5184.7256348566507</v>
      </c>
      <c r="I465" s="40">
        <v>5577.6499020000001</v>
      </c>
      <c r="J465" s="36">
        <v>5526.0894042433492</v>
      </c>
      <c r="K465" s="36">
        <v>5184.7256348566507</v>
      </c>
    </row>
    <row r="466" spans="1:11" x14ac:dyDescent="0.25">
      <c r="A466" s="39">
        <v>41169</v>
      </c>
      <c r="B466" s="36">
        <v>5610</v>
      </c>
      <c r="C466" s="36">
        <f t="shared" si="24"/>
        <v>5367.7600097999994</v>
      </c>
      <c r="D466" s="36">
        <f t="shared" si="25"/>
        <v>102.62020197463015</v>
      </c>
      <c r="E466" s="40">
        <v>5610</v>
      </c>
      <c r="F466" s="36">
        <f t="shared" si="26"/>
        <v>5573.0004137492597</v>
      </c>
      <c r="G466" s="36">
        <f t="shared" si="27"/>
        <v>5162.519605850739</v>
      </c>
      <c r="I466" s="40">
        <v>5610</v>
      </c>
      <c r="J466" s="36">
        <v>5573.0004137492597</v>
      </c>
      <c r="K466" s="36">
        <v>5162.519605850739</v>
      </c>
    </row>
    <row r="467" spans="1:11" x14ac:dyDescent="0.25">
      <c r="A467" s="39">
        <v>41170</v>
      </c>
      <c r="B467" s="36">
        <v>5600.0498049999997</v>
      </c>
      <c r="C467" s="36">
        <f t="shared" si="24"/>
        <v>5379.4475097999994</v>
      </c>
      <c r="D467" s="36">
        <f t="shared" si="25"/>
        <v>115.00839210660003</v>
      </c>
      <c r="E467" s="40">
        <v>5600.0498049999997</v>
      </c>
      <c r="F467" s="36">
        <f t="shared" si="26"/>
        <v>5609.4642940131998</v>
      </c>
      <c r="G467" s="36">
        <f t="shared" si="27"/>
        <v>5149.4307255867989</v>
      </c>
      <c r="I467" s="40">
        <v>5600.0498049999997</v>
      </c>
      <c r="J467" s="36">
        <v>5609.4642940131998</v>
      </c>
      <c r="K467" s="36">
        <v>5149.4307255867989</v>
      </c>
    </row>
    <row r="468" spans="1:11" x14ac:dyDescent="0.25">
      <c r="A468" s="39">
        <v>41172</v>
      </c>
      <c r="B468" s="36">
        <v>5554.25</v>
      </c>
      <c r="C468" s="36">
        <f t="shared" si="24"/>
        <v>5386.1100097999997</v>
      </c>
      <c r="D468" s="36">
        <f t="shared" si="25"/>
        <v>121.23339774719534</v>
      </c>
      <c r="E468" s="40">
        <v>5554.25</v>
      </c>
      <c r="F468" s="36">
        <f t="shared" si="26"/>
        <v>5628.5768052943904</v>
      </c>
      <c r="G468" s="36">
        <f t="shared" si="27"/>
        <v>5143.643214305609</v>
      </c>
      <c r="I468" s="40">
        <v>5554.25</v>
      </c>
      <c r="J468" s="36">
        <v>5628.5768052943904</v>
      </c>
      <c r="K468" s="36">
        <v>5143.643214305609</v>
      </c>
    </row>
    <row r="469" spans="1:11" x14ac:dyDescent="0.25">
      <c r="A469" s="39">
        <v>41173</v>
      </c>
      <c r="B469" s="36">
        <v>5691.1499020000001</v>
      </c>
      <c r="C469" s="36">
        <f t="shared" si="24"/>
        <v>5400.0249999999996</v>
      </c>
      <c r="D469" s="36">
        <f t="shared" si="25"/>
        <v>139.1165664826265</v>
      </c>
      <c r="E469" s="40">
        <v>5691.1499020000001</v>
      </c>
      <c r="F469" s="36">
        <f t="shared" si="26"/>
        <v>5678.258132965253</v>
      </c>
      <c r="G469" s="36">
        <f t="shared" si="27"/>
        <v>5121.7918670347462</v>
      </c>
      <c r="I469" s="40">
        <v>5691.1499020000001</v>
      </c>
      <c r="J469" s="36">
        <v>5678.258132965253</v>
      </c>
      <c r="K469" s="36">
        <v>5121.7918670347462</v>
      </c>
    </row>
    <row r="470" spans="1:11" x14ac:dyDescent="0.25">
      <c r="A470" s="39">
        <v>41176</v>
      </c>
      <c r="B470" s="36">
        <v>5669.6000979999999</v>
      </c>
      <c r="C470" s="36">
        <f t="shared" ref="C470:C533" si="28">AVERAGE(B451:B470)</f>
        <v>5412.7375000000002</v>
      </c>
      <c r="D470" s="36">
        <f t="shared" ref="D470:D533" si="29">_xlfn.STDEV.S(B451:B470)</f>
        <v>151.64339818284657</v>
      </c>
      <c r="E470" s="40">
        <v>5669.6000979999999</v>
      </c>
      <c r="F470" s="36">
        <f t="shared" ref="F470:F533" si="30">C470+2*D470</f>
        <v>5716.0242963656929</v>
      </c>
      <c r="G470" s="36">
        <f t="shared" ref="G470:G533" si="31">C470-2*D470</f>
        <v>5109.4507036343075</v>
      </c>
      <c r="I470" s="40">
        <v>5669.6000979999999</v>
      </c>
      <c r="J470" s="36">
        <v>5716.0242963656929</v>
      </c>
      <c r="K470" s="36">
        <v>5109.4507036343075</v>
      </c>
    </row>
    <row r="471" spans="1:11" x14ac:dyDescent="0.25">
      <c r="A471" s="39">
        <v>41177</v>
      </c>
      <c r="B471" s="36">
        <v>5673.8999020000001</v>
      </c>
      <c r="C471" s="36">
        <f t="shared" si="28"/>
        <v>5427.0974853500002</v>
      </c>
      <c r="D471" s="36">
        <f t="shared" si="29"/>
        <v>162.27370630772793</v>
      </c>
      <c r="E471" s="40">
        <v>5673.8999020000001</v>
      </c>
      <c r="F471" s="36">
        <f t="shared" si="30"/>
        <v>5751.644897965456</v>
      </c>
      <c r="G471" s="36">
        <f t="shared" si="31"/>
        <v>5102.5500727345443</v>
      </c>
      <c r="I471" s="40">
        <v>5673.8999020000001</v>
      </c>
      <c r="J471" s="36">
        <v>5751.644897965456</v>
      </c>
      <c r="K471" s="36">
        <v>5102.5500727345443</v>
      </c>
    </row>
    <row r="472" spans="1:11" x14ac:dyDescent="0.25">
      <c r="A472" s="39">
        <v>41178</v>
      </c>
      <c r="B472" s="36">
        <v>5663.4501950000003</v>
      </c>
      <c r="C472" s="36">
        <f t="shared" si="28"/>
        <v>5442.7574951000006</v>
      </c>
      <c r="D472" s="36">
        <f t="shared" si="29"/>
        <v>169.42234809787686</v>
      </c>
      <c r="E472" s="40">
        <v>5663.4501950000003</v>
      </c>
      <c r="F472" s="36">
        <f t="shared" si="30"/>
        <v>5781.602191295754</v>
      </c>
      <c r="G472" s="36">
        <f t="shared" si="31"/>
        <v>5103.9127989042472</v>
      </c>
      <c r="I472" s="40">
        <v>5663.4501950000003</v>
      </c>
      <c r="J472" s="36">
        <v>5781.602191295754</v>
      </c>
      <c r="K472" s="36">
        <v>5103.9127989042472</v>
      </c>
    </row>
    <row r="473" spans="1:11" x14ac:dyDescent="0.25">
      <c r="A473" s="39">
        <v>41179</v>
      </c>
      <c r="B473" s="36">
        <v>5649.5</v>
      </c>
      <c r="C473" s="36">
        <f t="shared" si="28"/>
        <v>5460.8425048500003</v>
      </c>
      <c r="D473" s="36">
        <f t="shared" si="29"/>
        <v>171.30519621009623</v>
      </c>
      <c r="E473" s="40">
        <v>5649.5</v>
      </c>
      <c r="F473" s="36">
        <f t="shared" si="30"/>
        <v>5803.4528972701928</v>
      </c>
      <c r="G473" s="36">
        <f t="shared" si="31"/>
        <v>5118.2321124298078</v>
      </c>
      <c r="I473" s="40">
        <v>5649.5</v>
      </c>
      <c r="J473" s="36">
        <v>5803.4528972701928</v>
      </c>
      <c r="K473" s="36">
        <v>5118.2321124298078</v>
      </c>
    </row>
    <row r="474" spans="1:11" x14ac:dyDescent="0.25">
      <c r="A474" s="39">
        <v>41180</v>
      </c>
      <c r="B474" s="36">
        <v>5703.2998049999997</v>
      </c>
      <c r="C474" s="36">
        <f t="shared" si="28"/>
        <v>5480.2550048499998</v>
      </c>
      <c r="D474" s="36">
        <f t="shared" si="29"/>
        <v>175.85236970171832</v>
      </c>
      <c r="E474" s="40">
        <v>5703.2998049999997</v>
      </c>
      <c r="F474" s="36">
        <f t="shared" si="30"/>
        <v>5831.9597442534359</v>
      </c>
      <c r="G474" s="36">
        <f t="shared" si="31"/>
        <v>5128.5502654465636</v>
      </c>
      <c r="I474" s="40">
        <v>5703.2998049999997</v>
      </c>
      <c r="J474" s="36">
        <v>5831.9597442534359</v>
      </c>
      <c r="K474" s="36">
        <v>5128.5502654465636</v>
      </c>
    </row>
    <row r="475" spans="1:11" x14ac:dyDescent="0.25">
      <c r="A475" s="39">
        <v>41183</v>
      </c>
      <c r="B475" s="36">
        <v>5718.7998049999997</v>
      </c>
      <c r="C475" s="36">
        <f t="shared" si="28"/>
        <v>5503.2699951000013</v>
      </c>
      <c r="D475" s="36">
        <f t="shared" si="29"/>
        <v>175.42303855221022</v>
      </c>
      <c r="E475" s="40">
        <v>5718.7998049999997</v>
      </c>
      <c r="F475" s="36">
        <f t="shared" si="30"/>
        <v>5854.1160722044215</v>
      </c>
      <c r="G475" s="36">
        <f t="shared" si="31"/>
        <v>5152.4239179955812</v>
      </c>
      <c r="I475" s="40">
        <v>5718.7998049999997</v>
      </c>
      <c r="J475" s="36">
        <v>5854.1160722044215</v>
      </c>
      <c r="K475" s="36">
        <v>5152.4239179955812</v>
      </c>
    </row>
    <row r="476" spans="1:11" x14ac:dyDescent="0.25">
      <c r="A476" s="39">
        <v>41185</v>
      </c>
      <c r="B476" s="36">
        <v>5731.25</v>
      </c>
      <c r="C476" s="36">
        <f t="shared" si="28"/>
        <v>5527.1449951000004</v>
      </c>
      <c r="D476" s="36">
        <f t="shared" si="29"/>
        <v>172.13916475713762</v>
      </c>
      <c r="E476" s="40">
        <v>5731.25</v>
      </c>
      <c r="F476" s="36">
        <f t="shared" si="30"/>
        <v>5871.4233246142758</v>
      </c>
      <c r="G476" s="36">
        <f t="shared" si="31"/>
        <v>5182.8666655857251</v>
      </c>
      <c r="I476" s="40">
        <v>5731.25</v>
      </c>
      <c r="J476" s="36">
        <v>5871.4233246142758</v>
      </c>
      <c r="K476" s="36">
        <v>5182.8666655857251</v>
      </c>
    </row>
    <row r="477" spans="1:11" x14ac:dyDescent="0.25">
      <c r="A477" s="39">
        <v>41186</v>
      </c>
      <c r="B477" s="36">
        <v>5787.6000979999999</v>
      </c>
      <c r="C477" s="36">
        <f t="shared" si="28"/>
        <v>5552.8249999999998</v>
      </c>
      <c r="D477" s="36">
        <f t="shared" si="29"/>
        <v>170.69072799897856</v>
      </c>
      <c r="E477" s="40">
        <v>5787.6000979999999</v>
      </c>
      <c r="F477" s="36">
        <f t="shared" si="30"/>
        <v>5894.2064559979572</v>
      </c>
      <c r="G477" s="36">
        <f t="shared" si="31"/>
        <v>5211.4435440020425</v>
      </c>
      <c r="I477" s="40">
        <v>5787.6000979999999</v>
      </c>
      <c r="J477" s="36">
        <v>5894.2064559979572</v>
      </c>
      <c r="K477" s="36">
        <v>5211.4435440020425</v>
      </c>
    </row>
    <row r="478" spans="1:11" x14ac:dyDescent="0.25">
      <c r="A478" s="39">
        <v>41187</v>
      </c>
      <c r="B478" s="36">
        <v>5746.9501950000003</v>
      </c>
      <c r="C478" s="36">
        <f t="shared" si="28"/>
        <v>5578.8874999999998</v>
      </c>
      <c r="D478" s="36">
        <f t="shared" si="29"/>
        <v>157.38990187531508</v>
      </c>
      <c r="E478" s="40">
        <v>5746.9501950000003</v>
      </c>
      <c r="F478" s="36">
        <f t="shared" si="30"/>
        <v>5893.6673037506298</v>
      </c>
      <c r="G478" s="36">
        <f t="shared" si="31"/>
        <v>5264.1076962493698</v>
      </c>
      <c r="I478" s="40">
        <v>5746.9501950000003</v>
      </c>
      <c r="J478" s="36">
        <v>5893.6673037506298</v>
      </c>
      <c r="K478" s="36">
        <v>5264.1076962493698</v>
      </c>
    </row>
    <row r="479" spans="1:11" x14ac:dyDescent="0.25">
      <c r="A479" s="39">
        <v>41190</v>
      </c>
      <c r="B479" s="36">
        <v>5676</v>
      </c>
      <c r="C479" s="36">
        <f t="shared" si="28"/>
        <v>5600.7675048999999</v>
      </c>
      <c r="D479" s="36">
        <f t="shared" si="29"/>
        <v>136.61016067822234</v>
      </c>
      <c r="E479" s="40">
        <v>5676</v>
      </c>
      <c r="F479" s="36">
        <f t="shared" si="30"/>
        <v>5873.9878262564444</v>
      </c>
      <c r="G479" s="36">
        <f t="shared" si="31"/>
        <v>5327.5471835435555</v>
      </c>
      <c r="I479" s="40">
        <v>5676</v>
      </c>
      <c r="J479" s="36">
        <v>5873.9878262564444</v>
      </c>
      <c r="K479" s="36">
        <v>5327.5471835435555</v>
      </c>
    </row>
    <row r="480" spans="1:11" x14ac:dyDescent="0.25">
      <c r="A480" s="39">
        <v>41191</v>
      </c>
      <c r="B480" s="36">
        <v>5704.6000979999999</v>
      </c>
      <c r="C480" s="36">
        <f t="shared" si="28"/>
        <v>5618.8925048999999</v>
      </c>
      <c r="D480" s="36">
        <f t="shared" si="29"/>
        <v>123.94532994908528</v>
      </c>
      <c r="E480" s="40">
        <v>5704.6000979999999</v>
      </c>
      <c r="F480" s="36">
        <f t="shared" si="30"/>
        <v>5866.7831647981702</v>
      </c>
      <c r="G480" s="36">
        <f t="shared" si="31"/>
        <v>5371.0018450018297</v>
      </c>
      <c r="I480" s="40">
        <v>5704.6000979999999</v>
      </c>
      <c r="J480" s="36">
        <v>5866.7831647981702</v>
      </c>
      <c r="K480" s="36">
        <v>5371.0018450018297</v>
      </c>
    </row>
    <row r="481" spans="1:11" x14ac:dyDescent="0.25">
      <c r="A481" s="39">
        <v>41192</v>
      </c>
      <c r="B481" s="36">
        <v>5652.1499020000001</v>
      </c>
      <c r="C481" s="36">
        <f t="shared" si="28"/>
        <v>5633.3274902499998</v>
      </c>
      <c r="D481" s="36">
        <f t="shared" si="29"/>
        <v>108.47613277177857</v>
      </c>
      <c r="E481" s="40">
        <v>5652.1499020000001</v>
      </c>
      <c r="F481" s="36">
        <f t="shared" si="30"/>
        <v>5850.2797557935573</v>
      </c>
      <c r="G481" s="36">
        <f t="shared" si="31"/>
        <v>5416.3752247064422</v>
      </c>
      <c r="I481" s="40">
        <v>5652.1499020000001</v>
      </c>
      <c r="J481" s="36">
        <v>5850.2797557935573</v>
      </c>
      <c r="K481" s="36">
        <v>5416.3752247064422</v>
      </c>
    </row>
    <row r="482" spans="1:11" x14ac:dyDescent="0.25">
      <c r="A482" s="39">
        <v>41193</v>
      </c>
      <c r="B482" s="36">
        <v>5708.0498049999997</v>
      </c>
      <c r="C482" s="36">
        <f t="shared" si="28"/>
        <v>5649.2299804999993</v>
      </c>
      <c r="D482" s="36">
        <f t="shared" si="29"/>
        <v>93.158531865817835</v>
      </c>
      <c r="E482" s="40">
        <v>5708.0498049999997</v>
      </c>
      <c r="F482" s="36">
        <f t="shared" si="30"/>
        <v>5835.5470442316346</v>
      </c>
      <c r="G482" s="36">
        <f t="shared" si="31"/>
        <v>5462.9129167683641</v>
      </c>
      <c r="I482" s="40">
        <v>5708.0498049999997</v>
      </c>
      <c r="J482" s="36">
        <v>5835.5470442316346</v>
      </c>
      <c r="K482" s="36">
        <v>5462.9129167683641</v>
      </c>
    </row>
    <row r="483" spans="1:11" x14ac:dyDescent="0.25">
      <c r="A483" s="39">
        <v>41194</v>
      </c>
      <c r="B483" s="36">
        <v>5676.0498049999997</v>
      </c>
      <c r="C483" s="36">
        <f t="shared" si="28"/>
        <v>5661.4824707499993</v>
      </c>
      <c r="D483" s="36">
        <f t="shared" si="29"/>
        <v>77.793328552798997</v>
      </c>
      <c r="E483" s="40">
        <v>5676.0498049999997</v>
      </c>
      <c r="F483" s="36">
        <f t="shared" si="30"/>
        <v>5817.0691278555969</v>
      </c>
      <c r="G483" s="36">
        <f t="shared" si="31"/>
        <v>5505.8958136444016</v>
      </c>
      <c r="I483" s="40">
        <v>5676.0498049999997</v>
      </c>
      <c r="J483" s="36">
        <v>5817.0691278555969</v>
      </c>
      <c r="K483" s="36">
        <v>5505.8958136444016</v>
      </c>
    </row>
    <row r="484" spans="1:11" x14ac:dyDescent="0.25">
      <c r="A484" s="39">
        <v>41197</v>
      </c>
      <c r="B484" s="36">
        <v>5687.25</v>
      </c>
      <c r="C484" s="36">
        <f t="shared" si="28"/>
        <v>5674.0774658499995</v>
      </c>
      <c r="D484" s="36">
        <f t="shared" si="29"/>
        <v>56.819045595772515</v>
      </c>
      <c r="E484" s="40">
        <v>5687.25</v>
      </c>
      <c r="F484" s="36">
        <f t="shared" si="30"/>
        <v>5787.7155570415443</v>
      </c>
      <c r="G484" s="36">
        <f t="shared" si="31"/>
        <v>5560.4393746584547</v>
      </c>
      <c r="I484" s="40">
        <v>5687.25</v>
      </c>
      <c r="J484" s="36">
        <v>5787.7155570415443</v>
      </c>
      <c r="K484" s="36">
        <v>5560.4393746584547</v>
      </c>
    </row>
    <row r="485" spans="1:11" x14ac:dyDescent="0.25">
      <c r="A485" s="39">
        <v>41198</v>
      </c>
      <c r="B485" s="36">
        <v>5648</v>
      </c>
      <c r="C485" s="36">
        <f t="shared" si="28"/>
        <v>5677.5949707500004</v>
      </c>
      <c r="D485" s="36">
        <f t="shared" si="29"/>
        <v>52.552719017521461</v>
      </c>
      <c r="E485" s="40">
        <v>5648</v>
      </c>
      <c r="F485" s="36">
        <f t="shared" si="30"/>
        <v>5782.7004087850437</v>
      </c>
      <c r="G485" s="36">
        <f t="shared" si="31"/>
        <v>5572.489532714957</v>
      </c>
      <c r="I485" s="40">
        <v>5648</v>
      </c>
      <c r="J485" s="36">
        <v>5782.7004087850437</v>
      </c>
      <c r="K485" s="36">
        <v>5572.489532714957</v>
      </c>
    </row>
    <row r="486" spans="1:11" x14ac:dyDescent="0.25">
      <c r="A486" s="39">
        <v>41199</v>
      </c>
      <c r="B486" s="36">
        <v>5660.25</v>
      </c>
      <c r="C486" s="36">
        <f t="shared" si="28"/>
        <v>5680.1074707500002</v>
      </c>
      <c r="D486" s="36">
        <f t="shared" si="29"/>
        <v>50.304071228554221</v>
      </c>
      <c r="E486" s="40">
        <v>5660.25</v>
      </c>
      <c r="F486" s="36">
        <f t="shared" si="30"/>
        <v>5780.7156132071086</v>
      </c>
      <c r="G486" s="36">
        <f t="shared" si="31"/>
        <v>5579.4993282928917</v>
      </c>
      <c r="I486" s="40">
        <v>5660.25</v>
      </c>
      <c r="J486" s="36">
        <v>5780.7156132071086</v>
      </c>
      <c r="K486" s="36">
        <v>5579.4993282928917</v>
      </c>
    </row>
    <row r="487" spans="1:11" x14ac:dyDescent="0.25">
      <c r="A487" s="39">
        <v>41200</v>
      </c>
      <c r="B487" s="36">
        <v>5718.7001950000003</v>
      </c>
      <c r="C487" s="36">
        <f t="shared" si="28"/>
        <v>5686.0399902500003</v>
      </c>
      <c r="D487" s="36">
        <f t="shared" si="29"/>
        <v>47.270645630700422</v>
      </c>
      <c r="E487" s="40">
        <v>5718.7001950000003</v>
      </c>
      <c r="F487" s="36">
        <f t="shared" si="30"/>
        <v>5780.5812815114014</v>
      </c>
      <c r="G487" s="36">
        <f t="shared" si="31"/>
        <v>5591.4986989885992</v>
      </c>
      <c r="I487" s="40">
        <v>5718.7001950000003</v>
      </c>
      <c r="J487" s="36">
        <v>5780.5812815114014</v>
      </c>
      <c r="K487" s="36">
        <v>5591.4986989885992</v>
      </c>
    </row>
    <row r="488" spans="1:11" x14ac:dyDescent="0.25">
      <c r="A488" s="39">
        <v>41201</v>
      </c>
      <c r="B488" s="36">
        <v>5684.25</v>
      </c>
      <c r="C488" s="36">
        <f t="shared" si="28"/>
        <v>5692.5399902500012</v>
      </c>
      <c r="D488" s="36">
        <f t="shared" si="29"/>
        <v>35.722149522406283</v>
      </c>
      <c r="E488" s="40">
        <v>5684.25</v>
      </c>
      <c r="F488" s="36">
        <f t="shared" si="30"/>
        <v>5763.9842892948136</v>
      </c>
      <c r="G488" s="36">
        <f t="shared" si="31"/>
        <v>5621.0956912051888</v>
      </c>
      <c r="I488" s="40">
        <v>5684.25</v>
      </c>
      <c r="J488" s="36">
        <v>5763.9842892948136</v>
      </c>
      <c r="K488" s="36">
        <v>5621.0956912051888</v>
      </c>
    </row>
    <row r="489" spans="1:11" x14ac:dyDescent="0.25">
      <c r="A489" s="39">
        <v>41204</v>
      </c>
      <c r="B489" s="36">
        <v>5717.1499020000001</v>
      </c>
      <c r="C489" s="36">
        <f t="shared" si="28"/>
        <v>5693.8399902500005</v>
      </c>
      <c r="D489" s="36">
        <f t="shared" si="29"/>
        <v>36.139556090916784</v>
      </c>
      <c r="E489" s="40">
        <v>5717.1499020000001</v>
      </c>
      <c r="F489" s="36">
        <f t="shared" si="30"/>
        <v>5766.1191024318341</v>
      </c>
      <c r="G489" s="36">
        <f t="shared" si="31"/>
        <v>5621.5608780681669</v>
      </c>
      <c r="I489" s="40">
        <v>5717.1499020000001</v>
      </c>
      <c r="J489" s="36">
        <v>5766.1191024318341</v>
      </c>
      <c r="K489" s="36">
        <v>5621.5608780681669</v>
      </c>
    </row>
    <row r="490" spans="1:11" x14ac:dyDescent="0.25">
      <c r="A490" s="39">
        <v>41205</v>
      </c>
      <c r="B490" s="36">
        <v>5691.3999020000001</v>
      </c>
      <c r="C490" s="36">
        <f t="shared" si="28"/>
        <v>5694.9299804500006</v>
      </c>
      <c r="D490" s="36">
        <f t="shared" si="29"/>
        <v>35.696013971912244</v>
      </c>
      <c r="E490" s="40">
        <v>5691.3999020000001</v>
      </c>
      <c r="F490" s="36">
        <f t="shared" si="30"/>
        <v>5766.3220083938249</v>
      </c>
      <c r="G490" s="36">
        <f t="shared" si="31"/>
        <v>5623.5379525061762</v>
      </c>
      <c r="I490" s="40">
        <v>5691.3999020000001</v>
      </c>
      <c r="J490" s="36">
        <v>5766.3220083938249</v>
      </c>
      <c r="K490" s="36">
        <v>5623.5379525061762</v>
      </c>
    </row>
    <row r="491" spans="1:11" x14ac:dyDescent="0.25">
      <c r="A491" s="39">
        <v>41207</v>
      </c>
      <c r="B491" s="36">
        <v>5705.2998049999997</v>
      </c>
      <c r="C491" s="36">
        <f t="shared" si="28"/>
        <v>5696.4999756000007</v>
      </c>
      <c r="D491" s="36">
        <f t="shared" si="29"/>
        <v>35.411768949364458</v>
      </c>
      <c r="E491" s="40">
        <v>5705.2998049999997</v>
      </c>
      <c r="F491" s="36">
        <f t="shared" si="30"/>
        <v>5767.3235134987299</v>
      </c>
      <c r="G491" s="36">
        <f t="shared" si="31"/>
        <v>5625.6764377012714</v>
      </c>
      <c r="I491" s="40">
        <v>5705.2998049999997</v>
      </c>
      <c r="J491" s="36">
        <v>5767.3235134987299</v>
      </c>
      <c r="K491" s="36">
        <v>5625.6764377012714</v>
      </c>
    </row>
    <row r="492" spans="1:11" x14ac:dyDescent="0.25">
      <c r="A492" s="39">
        <v>41211</v>
      </c>
      <c r="B492" s="36">
        <v>5665.6000979999999</v>
      </c>
      <c r="C492" s="36">
        <f t="shared" si="28"/>
        <v>5696.6074707500002</v>
      </c>
      <c r="D492" s="36">
        <f t="shared" si="29"/>
        <v>35.309278306641716</v>
      </c>
      <c r="E492" s="40">
        <v>5665.6000979999999</v>
      </c>
      <c r="F492" s="36">
        <f t="shared" si="30"/>
        <v>5767.2260273632837</v>
      </c>
      <c r="G492" s="36">
        <f t="shared" si="31"/>
        <v>5625.9889141367166</v>
      </c>
      <c r="I492" s="40">
        <v>5665.6000979999999</v>
      </c>
      <c r="J492" s="36">
        <v>5767.2260273632837</v>
      </c>
      <c r="K492" s="36">
        <v>5625.9889141367166</v>
      </c>
    </row>
    <row r="493" spans="1:11" x14ac:dyDescent="0.25">
      <c r="A493" s="39">
        <v>41212</v>
      </c>
      <c r="B493" s="36">
        <v>5597.8999020000001</v>
      </c>
      <c r="C493" s="36">
        <f t="shared" si="28"/>
        <v>5694.0274658500002</v>
      </c>
      <c r="D493" s="36">
        <f t="shared" si="29"/>
        <v>40.444308283818899</v>
      </c>
      <c r="E493" s="40">
        <v>5597.8999020000001</v>
      </c>
      <c r="F493" s="36">
        <f t="shared" si="30"/>
        <v>5774.9160824176379</v>
      </c>
      <c r="G493" s="36">
        <f t="shared" si="31"/>
        <v>5613.1388492823626</v>
      </c>
      <c r="I493" s="40">
        <v>5597.8999020000001</v>
      </c>
      <c r="J493" s="36">
        <v>5774.9160824176379</v>
      </c>
      <c r="K493" s="36">
        <v>5613.1388492823626</v>
      </c>
    </row>
    <row r="494" spans="1:11" x14ac:dyDescent="0.25">
      <c r="A494" s="39">
        <v>41213</v>
      </c>
      <c r="B494" s="36">
        <v>5619.7001950000003</v>
      </c>
      <c r="C494" s="36">
        <f t="shared" si="28"/>
        <v>5689.8474853500002</v>
      </c>
      <c r="D494" s="36">
        <f t="shared" si="29"/>
        <v>43.630157096876331</v>
      </c>
      <c r="E494" s="40">
        <v>5619.7001950000003</v>
      </c>
      <c r="F494" s="36">
        <f t="shared" si="30"/>
        <v>5777.1077995437527</v>
      </c>
      <c r="G494" s="36">
        <f t="shared" si="31"/>
        <v>5602.5871711562477</v>
      </c>
      <c r="I494" s="40">
        <v>5619.7001950000003</v>
      </c>
      <c r="J494" s="36">
        <v>5777.1077995437527</v>
      </c>
      <c r="K494" s="36">
        <v>5602.5871711562477</v>
      </c>
    </row>
    <row r="495" spans="1:11" x14ac:dyDescent="0.25">
      <c r="A495" s="39">
        <v>41214</v>
      </c>
      <c r="B495" s="36">
        <v>5645.0498049999997</v>
      </c>
      <c r="C495" s="36">
        <f t="shared" si="28"/>
        <v>5686.1599853500011</v>
      </c>
      <c r="D495" s="36">
        <f t="shared" si="29"/>
        <v>44.167661296884042</v>
      </c>
      <c r="E495" s="40">
        <v>5645.0498049999997</v>
      </c>
      <c r="F495" s="36">
        <f t="shared" si="30"/>
        <v>5774.4953079437691</v>
      </c>
      <c r="G495" s="36">
        <f t="shared" si="31"/>
        <v>5597.824662756233</v>
      </c>
      <c r="I495" s="40">
        <v>5645.0498049999997</v>
      </c>
      <c r="J495" s="36">
        <v>5774.4953079437691</v>
      </c>
      <c r="K495" s="36">
        <v>5597.824662756233</v>
      </c>
    </row>
    <row r="496" spans="1:11" x14ac:dyDescent="0.25">
      <c r="A496" s="39">
        <v>41215</v>
      </c>
      <c r="B496" s="36">
        <v>5697.7001950000003</v>
      </c>
      <c r="C496" s="36">
        <f t="shared" si="28"/>
        <v>5684.4824951000001</v>
      </c>
      <c r="D496" s="36">
        <f t="shared" si="29"/>
        <v>42.986320548176437</v>
      </c>
      <c r="E496" s="40">
        <v>5697.7001950000003</v>
      </c>
      <c r="F496" s="36">
        <f t="shared" si="30"/>
        <v>5770.4551361963531</v>
      </c>
      <c r="G496" s="36">
        <f t="shared" si="31"/>
        <v>5598.509854003647</v>
      </c>
      <c r="I496" s="40">
        <v>5697.7001950000003</v>
      </c>
      <c r="J496" s="36">
        <v>5770.4551361963531</v>
      </c>
      <c r="K496" s="36">
        <v>5598.509854003647</v>
      </c>
    </row>
    <row r="497" spans="1:11" x14ac:dyDescent="0.25">
      <c r="A497" s="39">
        <v>41218</v>
      </c>
      <c r="B497" s="36">
        <v>5704.2001950000003</v>
      </c>
      <c r="C497" s="36">
        <f t="shared" si="28"/>
        <v>5680.3124999500005</v>
      </c>
      <c r="D497" s="36">
        <f t="shared" si="29"/>
        <v>35.921274887720848</v>
      </c>
      <c r="E497" s="40">
        <v>5704.2001950000003</v>
      </c>
      <c r="F497" s="36">
        <f t="shared" si="30"/>
        <v>5752.155049725442</v>
      </c>
      <c r="G497" s="36">
        <f t="shared" si="31"/>
        <v>5608.469950174559</v>
      </c>
      <c r="I497" s="40">
        <v>5704.2001950000003</v>
      </c>
      <c r="J497" s="36">
        <v>5752.155049725442</v>
      </c>
      <c r="K497" s="36">
        <v>5608.469950174559</v>
      </c>
    </row>
    <row r="498" spans="1:11" x14ac:dyDescent="0.25">
      <c r="A498" s="39">
        <v>41219</v>
      </c>
      <c r="B498" s="36">
        <v>5724.3999020000001</v>
      </c>
      <c r="C498" s="36">
        <f t="shared" si="28"/>
        <v>5679.1849853000003</v>
      </c>
      <c r="D498" s="36">
        <f t="shared" si="29"/>
        <v>34.023299009144267</v>
      </c>
      <c r="E498" s="40">
        <v>5724.3999020000001</v>
      </c>
      <c r="F498" s="36">
        <f t="shared" si="30"/>
        <v>5747.2315833182893</v>
      </c>
      <c r="G498" s="36">
        <f t="shared" si="31"/>
        <v>5611.1383872817114</v>
      </c>
      <c r="I498" s="40">
        <v>5724.3999020000001</v>
      </c>
      <c r="J498" s="36">
        <v>5747.2315833182893</v>
      </c>
      <c r="K498" s="36">
        <v>5611.1383872817114</v>
      </c>
    </row>
    <row r="499" spans="1:11" x14ac:dyDescent="0.25">
      <c r="A499" s="39">
        <v>41220</v>
      </c>
      <c r="B499" s="36">
        <v>5760.1000979999999</v>
      </c>
      <c r="C499" s="36">
        <f t="shared" si="28"/>
        <v>5683.3899901999994</v>
      </c>
      <c r="D499" s="36">
        <f t="shared" si="29"/>
        <v>38.51013717640091</v>
      </c>
      <c r="E499" s="40">
        <v>5760.1000979999999</v>
      </c>
      <c r="F499" s="36">
        <f t="shared" si="30"/>
        <v>5760.410264552801</v>
      </c>
      <c r="G499" s="36">
        <f t="shared" si="31"/>
        <v>5606.3697158471978</v>
      </c>
      <c r="I499" s="40">
        <v>5760.1000979999999</v>
      </c>
      <c r="J499" s="36">
        <v>5760.410264552801</v>
      </c>
      <c r="K499" s="36">
        <v>5606.3697158471978</v>
      </c>
    </row>
    <row r="500" spans="1:11" x14ac:dyDescent="0.25">
      <c r="A500" s="39">
        <v>41221</v>
      </c>
      <c r="B500" s="36">
        <v>5738.75</v>
      </c>
      <c r="C500" s="36">
        <f t="shared" si="28"/>
        <v>5685.0974852999989</v>
      </c>
      <c r="D500" s="36">
        <f t="shared" si="29"/>
        <v>40.219224169672557</v>
      </c>
      <c r="E500" s="40">
        <v>5738.75</v>
      </c>
      <c r="F500" s="36">
        <f t="shared" si="30"/>
        <v>5765.535933639344</v>
      </c>
      <c r="G500" s="36">
        <f t="shared" si="31"/>
        <v>5604.6590369606538</v>
      </c>
      <c r="I500" s="40">
        <v>5738.75</v>
      </c>
      <c r="J500" s="36">
        <v>5765.535933639344</v>
      </c>
      <c r="K500" s="36">
        <v>5604.6590369606538</v>
      </c>
    </row>
    <row r="501" spans="1:11" x14ac:dyDescent="0.25">
      <c r="A501" s="39">
        <v>41222</v>
      </c>
      <c r="B501" s="36">
        <v>5686.25</v>
      </c>
      <c r="C501" s="36">
        <f t="shared" si="28"/>
        <v>5686.8024901999997</v>
      </c>
      <c r="D501" s="36">
        <f t="shared" si="29"/>
        <v>39.464693130655867</v>
      </c>
      <c r="E501" s="40">
        <v>5686.25</v>
      </c>
      <c r="F501" s="36">
        <f t="shared" si="30"/>
        <v>5765.7318764613119</v>
      </c>
      <c r="G501" s="36">
        <f t="shared" si="31"/>
        <v>5607.8731039386876</v>
      </c>
      <c r="I501" s="40">
        <v>5686.25</v>
      </c>
      <c r="J501" s="36">
        <v>5765.7318764613119</v>
      </c>
      <c r="K501" s="36">
        <v>5607.8731039386876</v>
      </c>
    </row>
    <row r="502" spans="1:11" x14ac:dyDescent="0.25">
      <c r="A502" s="39">
        <v>41225</v>
      </c>
      <c r="B502" s="36">
        <v>5683.7001950000003</v>
      </c>
      <c r="C502" s="36">
        <f t="shared" si="28"/>
        <v>5685.5850096999993</v>
      </c>
      <c r="D502" s="36">
        <f t="shared" si="29"/>
        <v>39.149046333736528</v>
      </c>
      <c r="E502" s="40">
        <v>5683.7001950000003</v>
      </c>
      <c r="F502" s="36">
        <f t="shared" si="30"/>
        <v>5763.883102367472</v>
      </c>
      <c r="G502" s="36">
        <f t="shared" si="31"/>
        <v>5607.2869170325266</v>
      </c>
      <c r="I502" s="40">
        <v>5683.7001950000003</v>
      </c>
      <c r="J502" s="36">
        <v>5763.883102367472</v>
      </c>
      <c r="K502" s="36">
        <v>5607.2869170325266</v>
      </c>
    </row>
    <row r="503" spans="1:11" x14ac:dyDescent="0.25">
      <c r="A503" s="39">
        <v>41228</v>
      </c>
      <c r="B503" s="36">
        <v>5631</v>
      </c>
      <c r="C503" s="36">
        <f t="shared" si="28"/>
        <v>5683.3325194499994</v>
      </c>
      <c r="D503" s="36">
        <f t="shared" si="29"/>
        <v>40.979736749257995</v>
      </c>
      <c r="E503" s="40">
        <v>5631</v>
      </c>
      <c r="F503" s="36">
        <f t="shared" si="30"/>
        <v>5765.2919929485151</v>
      </c>
      <c r="G503" s="36">
        <f t="shared" si="31"/>
        <v>5601.3730459514836</v>
      </c>
      <c r="I503" s="40">
        <v>5631</v>
      </c>
      <c r="J503" s="36">
        <v>5765.2919929485151</v>
      </c>
      <c r="K503" s="36">
        <v>5601.3730459514836</v>
      </c>
    </row>
    <row r="504" spans="1:11" x14ac:dyDescent="0.25">
      <c r="A504" s="39">
        <v>41229</v>
      </c>
      <c r="B504" s="36">
        <v>5574.0498049999997</v>
      </c>
      <c r="C504" s="36">
        <f t="shared" si="28"/>
        <v>5677.6725096999999</v>
      </c>
      <c r="D504" s="36">
        <f t="shared" si="29"/>
        <v>47.67990223907654</v>
      </c>
      <c r="E504" s="40">
        <v>5574.0498049999997</v>
      </c>
      <c r="F504" s="36">
        <f t="shared" si="30"/>
        <v>5773.0323141781528</v>
      </c>
      <c r="G504" s="36">
        <f t="shared" si="31"/>
        <v>5582.312705221847</v>
      </c>
      <c r="I504" s="40">
        <v>5574.0498049999997</v>
      </c>
      <c r="J504" s="36">
        <v>5773.0323141781528</v>
      </c>
      <c r="K504" s="36">
        <v>5582.312705221847</v>
      </c>
    </row>
    <row r="505" spans="1:11" x14ac:dyDescent="0.25">
      <c r="A505" s="39">
        <v>41232</v>
      </c>
      <c r="B505" s="36">
        <v>5571.3999020000001</v>
      </c>
      <c r="C505" s="36">
        <f t="shared" si="28"/>
        <v>5673.8425048000008</v>
      </c>
      <c r="D505" s="36">
        <f t="shared" si="29"/>
        <v>52.971749689319772</v>
      </c>
      <c r="E505" s="40">
        <v>5571.3999020000001</v>
      </c>
      <c r="F505" s="36">
        <f t="shared" si="30"/>
        <v>5779.7860041786407</v>
      </c>
      <c r="G505" s="36">
        <f t="shared" si="31"/>
        <v>5567.8990054213609</v>
      </c>
      <c r="I505" s="40">
        <v>5571.3999020000001</v>
      </c>
      <c r="J505" s="36">
        <v>5779.7860041786407</v>
      </c>
      <c r="K505" s="36">
        <v>5567.8990054213609</v>
      </c>
    </row>
    <row r="506" spans="1:11" x14ac:dyDescent="0.25">
      <c r="A506" s="39">
        <v>41233</v>
      </c>
      <c r="B506" s="36">
        <v>5571.5498049999997</v>
      </c>
      <c r="C506" s="36">
        <f t="shared" si="28"/>
        <v>5669.4074950499999</v>
      </c>
      <c r="D506" s="36">
        <f t="shared" si="29"/>
        <v>57.674117634659417</v>
      </c>
      <c r="E506" s="40">
        <v>5571.5498049999997</v>
      </c>
      <c r="F506" s="36">
        <f t="shared" si="30"/>
        <v>5784.7557303193189</v>
      </c>
      <c r="G506" s="36">
        <f t="shared" si="31"/>
        <v>5554.0592597806808</v>
      </c>
      <c r="I506" s="40">
        <v>5571.5498049999997</v>
      </c>
      <c r="J506" s="36">
        <v>5784.7557303193189</v>
      </c>
      <c r="K506" s="36">
        <v>5554.0592597806808</v>
      </c>
    </row>
    <row r="507" spans="1:11" x14ac:dyDescent="0.25">
      <c r="A507" s="39">
        <v>41234</v>
      </c>
      <c r="B507" s="36">
        <v>5614.7998049999997</v>
      </c>
      <c r="C507" s="36">
        <f t="shared" si="28"/>
        <v>5664.2124755499999</v>
      </c>
      <c r="D507" s="36">
        <f t="shared" si="29"/>
        <v>57.67980493338915</v>
      </c>
      <c r="E507" s="40">
        <v>5614.7998049999997</v>
      </c>
      <c r="F507" s="36">
        <f t="shared" si="30"/>
        <v>5779.5720854167785</v>
      </c>
      <c r="G507" s="36">
        <f t="shared" si="31"/>
        <v>5548.8528656832214</v>
      </c>
      <c r="I507" s="40">
        <v>5614.7998049999997</v>
      </c>
      <c r="J507" s="36">
        <v>5779.5720854167785</v>
      </c>
      <c r="K507" s="36">
        <v>5548.8528656832214</v>
      </c>
    </row>
    <row r="508" spans="1:11" x14ac:dyDescent="0.25">
      <c r="A508" s="39">
        <v>41235</v>
      </c>
      <c r="B508" s="36">
        <v>5627.75</v>
      </c>
      <c r="C508" s="36">
        <f t="shared" si="28"/>
        <v>5661.3874755500001</v>
      </c>
      <c r="D508" s="36">
        <f t="shared" si="29"/>
        <v>58.029318943132743</v>
      </c>
      <c r="E508" s="40">
        <v>5627.75</v>
      </c>
      <c r="F508" s="36">
        <f t="shared" si="30"/>
        <v>5777.4461134362655</v>
      </c>
      <c r="G508" s="36">
        <f t="shared" si="31"/>
        <v>5545.3288376637347</v>
      </c>
      <c r="I508" s="40">
        <v>5627.75</v>
      </c>
      <c r="J508" s="36">
        <v>5777.4461134362655</v>
      </c>
      <c r="K508" s="36">
        <v>5545.3288376637347</v>
      </c>
    </row>
    <row r="509" spans="1:11" x14ac:dyDescent="0.25">
      <c r="A509" s="39">
        <v>41236</v>
      </c>
      <c r="B509" s="36">
        <v>5626.6000979999999</v>
      </c>
      <c r="C509" s="36">
        <f t="shared" si="28"/>
        <v>5656.85998535</v>
      </c>
      <c r="D509" s="36">
        <f t="shared" si="29"/>
        <v>56.972470436936888</v>
      </c>
      <c r="E509" s="40">
        <v>5626.6000979999999</v>
      </c>
      <c r="F509" s="36">
        <f t="shared" si="30"/>
        <v>5770.8049262238737</v>
      </c>
      <c r="G509" s="36">
        <f t="shared" si="31"/>
        <v>5542.9150444761262</v>
      </c>
      <c r="I509" s="40">
        <v>5626.6000979999999</v>
      </c>
      <c r="J509" s="36">
        <v>5770.8049262238737</v>
      </c>
      <c r="K509" s="36">
        <v>5542.9150444761262</v>
      </c>
    </row>
    <row r="510" spans="1:11" x14ac:dyDescent="0.25">
      <c r="A510" s="39">
        <v>41239</v>
      </c>
      <c r="B510" s="36">
        <v>5635.8999020000001</v>
      </c>
      <c r="C510" s="36">
        <f t="shared" si="28"/>
        <v>5654.0849853500004</v>
      </c>
      <c r="D510" s="36">
        <f t="shared" si="29"/>
        <v>56.551649479371044</v>
      </c>
      <c r="E510" s="40">
        <v>5635.8999020000001</v>
      </c>
      <c r="F510" s="36">
        <f t="shared" si="30"/>
        <v>5767.1882843087424</v>
      </c>
      <c r="G510" s="36">
        <f t="shared" si="31"/>
        <v>5540.9816863912583</v>
      </c>
      <c r="I510" s="40">
        <v>5635.8999020000001</v>
      </c>
      <c r="J510" s="36">
        <v>5767.1882843087424</v>
      </c>
      <c r="K510" s="36">
        <v>5540.9816863912583</v>
      </c>
    </row>
    <row r="511" spans="1:11" x14ac:dyDescent="0.25">
      <c r="A511" s="39">
        <v>41240</v>
      </c>
      <c r="B511" s="36">
        <v>5727.4501950000003</v>
      </c>
      <c r="C511" s="36">
        <f t="shared" si="28"/>
        <v>5655.1925048500007</v>
      </c>
      <c r="D511" s="36">
        <f t="shared" si="29"/>
        <v>57.810332514937066</v>
      </c>
      <c r="E511" s="40">
        <v>5727.4501950000003</v>
      </c>
      <c r="F511" s="36">
        <f t="shared" si="30"/>
        <v>5770.8131698798752</v>
      </c>
      <c r="G511" s="36">
        <f t="shared" si="31"/>
        <v>5539.5718398201261</v>
      </c>
      <c r="I511" s="40">
        <v>5727.4501950000003</v>
      </c>
      <c r="J511" s="36">
        <v>5770.8131698798752</v>
      </c>
      <c r="K511" s="36">
        <v>5539.5718398201261</v>
      </c>
    </row>
    <row r="512" spans="1:11" x14ac:dyDescent="0.25">
      <c r="A512" s="39">
        <v>41242</v>
      </c>
      <c r="B512" s="36">
        <v>5825</v>
      </c>
      <c r="C512" s="36">
        <f t="shared" si="28"/>
        <v>5663.16249995</v>
      </c>
      <c r="D512" s="36">
        <f t="shared" si="29"/>
        <v>69.18872259047221</v>
      </c>
      <c r="E512" s="40">
        <v>5825</v>
      </c>
      <c r="F512" s="36">
        <f t="shared" si="30"/>
        <v>5801.539945130944</v>
      </c>
      <c r="G512" s="36">
        <f t="shared" si="31"/>
        <v>5524.7850547690559</v>
      </c>
      <c r="I512" s="40">
        <v>5825</v>
      </c>
      <c r="J512" s="36">
        <v>5801.539945130944</v>
      </c>
      <c r="K512" s="36">
        <v>5524.7850547690559</v>
      </c>
    </row>
    <row r="513" spans="1:11" x14ac:dyDescent="0.25">
      <c r="A513" s="39">
        <v>41243</v>
      </c>
      <c r="B513" s="36">
        <v>5879.8500979999999</v>
      </c>
      <c r="C513" s="36">
        <f t="shared" si="28"/>
        <v>5677.2600097499999</v>
      </c>
      <c r="D513" s="36">
        <f t="shared" si="29"/>
        <v>82.613246085408861</v>
      </c>
      <c r="E513" s="40">
        <v>5879.8500979999999</v>
      </c>
      <c r="F513" s="36">
        <f t="shared" si="30"/>
        <v>5842.4865019208173</v>
      </c>
      <c r="G513" s="36">
        <f t="shared" si="31"/>
        <v>5512.0335175791824</v>
      </c>
      <c r="I513" s="40">
        <v>5879.8500979999999</v>
      </c>
      <c r="J513" s="36">
        <v>5842.4865019208173</v>
      </c>
      <c r="K513" s="36">
        <v>5512.0335175791824</v>
      </c>
    </row>
    <row r="514" spans="1:11" x14ac:dyDescent="0.25">
      <c r="A514" s="39">
        <v>41246</v>
      </c>
      <c r="B514" s="36">
        <v>5870.9501950000003</v>
      </c>
      <c r="C514" s="36">
        <f t="shared" si="28"/>
        <v>5689.822509749999</v>
      </c>
      <c r="D514" s="36">
        <f t="shared" si="29"/>
        <v>91.972664019411454</v>
      </c>
      <c r="E514" s="40">
        <v>5870.9501950000003</v>
      </c>
      <c r="F514" s="36">
        <f t="shared" si="30"/>
        <v>5873.7678377888215</v>
      </c>
      <c r="G514" s="36">
        <f t="shared" si="31"/>
        <v>5505.8771817111765</v>
      </c>
      <c r="I514" s="40">
        <v>5870.9501950000003</v>
      </c>
      <c r="J514" s="36">
        <v>5873.7678377888215</v>
      </c>
      <c r="K514" s="36">
        <v>5505.8771817111765</v>
      </c>
    </row>
    <row r="515" spans="1:11" x14ac:dyDescent="0.25">
      <c r="A515" s="39">
        <v>41247</v>
      </c>
      <c r="B515" s="36">
        <v>5889.25</v>
      </c>
      <c r="C515" s="36">
        <f t="shared" si="28"/>
        <v>5702.0325194999987</v>
      </c>
      <c r="D515" s="36">
        <f t="shared" si="29"/>
        <v>101.43846712081807</v>
      </c>
      <c r="E515" s="40">
        <v>5889.25</v>
      </c>
      <c r="F515" s="36">
        <f t="shared" si="30"/>
        <v>5904.9094537416349</v>
      </c>
      <c r="G515" s="36">
        <f t="shared" si="31"/>
        <v>5499.1555852583624</v>
      </c>
      <c r="I515" s="40">
        <v>5889.25</v>
      </c>
      <c r="J515" s="36">
        <v>5904.9094537416349</v>
      </c>
      <c r="K515" s="36">
        <v>5499.1555852583624</v>
      </c>
    </row>
    <row r="516" spans="1:11" x14ac:dyDescent="0.25">
      <c r="A516" s="39">
        <v>41248</v>
      </c>
      <c r="B516" s="36">
        <v>5900.5</v>
      </c>
      <c r="C516" s="36">
        <f t="shared" si="28"/>
        <v>5712.1725097500002</v>
      </c>
      <c r="D516" s="36">
        <f t="shared" si="29"/>
        <v>110.69628276924568</v>
      </c>
      <c r="E516" s="40">
        <v>5900.5</v>
      </c>
      <c r="F516" s="36">
        <f t="shared" si="30"/>
        <v>5933.5650752884912</v>
      </c>
      <c r="G516" s="36">
        <f t="shared" si="31"/>
        <v>5490.7799442115092</v>
      </c>
      <c r="I516" s="40">
        <v>5900.5</v>
      </c>
      <c r="J516" s="36">
        <v>5933.5650752884912</v>
      </c>
      <c r="K516" s="36">
        <v>5490.7799442115092</v>
      </c>
    </row>
    <row r="517" spans="1:11" x14ac:dyDescent="0.25">
      <c r="A517" s="39">
        <v>41249</v>
      </c>
      <c r="B517" s="36">
        <v>5930.8999020000001</v>
      </c>
      <c r="C517" s="36">
        <f t="shared" si="28"/>
        <v>5723.5074951000006</v>
      </c>
      <c r="D517" s="36">
        <f t="shared" si="29"/>
        <v>120.96718776941239</v>
      </c>
      <c r="E517" s="40">
        <v>5930.8999020000001</v>
      </c>
      <c r="F517" s="36">
        <f t="shared" si="30"/>
        <v>5965.4418706388251</v>
      </c>
      <c r="G517" s="36">
        <f t="shared" si="31"/>
        <v>5481.5731195611761</v>
      </c>
      <c r="I517" s="40">
        <v>5930.8999020000001</v>
      </c>
      <c r="J517" s="36">
        <v>5965.4418706388251</v>
      </c>
      <c r="K517" s="36">
        <v>5481.5731195611761</v>
      </c>
    </row>
    <row r="518" spans="1:11" x14ac:dyDescent="0.25">
      <c r="A518" s="39">
        <v>41250</v>
      </c>
      <c r="B518" s="36">
        <v>5907.3999020000001</v>
      </c>
      <c r="C518" s="36">
        <f t="shared" si="28"/>
        <v>5732.6574951000002</v>
      </c>
      <c r="D518" s="36">
        <f t="shared" si="29"/>
        <v>127.76815366851525</v>
      </c>
      <c r="E518" s="40">
        <v>5907.3999020000001</v>
      </c>
      <c r="F518" s="36">
        <f t="shared" si="30"/>
        <v>5988.1938024370311</v>
      </c>
      <c r="G518" s="36">
        <f t="shared" si="31"/>
        <v>5477.1211877629694</v>
      </c>
      <c r="I518" s="40">
        <v>5907.3999020000001</v>
      </c>
      <c r="J518" s="36">
        <v>5988.1938024370311</v>
      </c>
      <c r="K518" s="36">
        <v>5477.1211877629694</v>
      </c>
    </row>
    <row r="519" spans="1:11" x14ac:dyDescent="0.25">
      <c r="A519" s="39">
        <v>41253</v>
      </c>
      <c r="B519" s="36">
        <v>5908.8999020000001</v>
      </c>
      <c r="C519" s="36">
        <f t="shared" si="28"/>
        <v>5740.0974853000007</v>
      </c>
      <c r="D519" s="36">
        <f t="shared" si="29"/>
        <v>133.64732481970705</v>
      </c>
      <c r="E519" s="40">
        <v>5908.8999020000001</v>
      </c>
      <c r="F519" s="36">
        <f t="shared" si="30"/>
        <v>6007.392134939415</v>
      </c>
      <c r="G519" s="36">
        <f t="shared" si="31"/>
        <v>5472.8028356605864</v>
      </c>
      <c r="I519" s="40">
        <v>5908.8999020000001</v>
      </c>
      <c r="J519" s="36">
        <v>6007.392134939415</v>
      </c>
      <c r="K519" s="36">
        <v>5472.8028356605864</v>
      </c>
    </row>
    <row r="520" spans="1:11" x14ac:dyDescent="0.25">
      <c r="A520" s="39">
        <v>41254</v>
      </c>
      <c r="B520" s="36">
        <v>5898.7998049999997</v>
      </c>
      <c r="C520" s="36">
        <f t="shared" si="28"/>
        <v>5748.0999755499997</v>
      </c>
      <c r="D520" s="36">
        <f t="shared" si="29"/>
        <v>138.27401376201908</v>
      </c>
      <c r="E520" s="40">
        <v>5898.7998049999997</v>
      </c>
      <c r="F520" s="36">
        <f t="shared" si="30"/>
        <v>6024.6480030740377</v>
      </c>
      <c r="G520" s="36">
        <f t="shared" si="31"/>
        <v>5471.5519480259618</v>
      </c>
      <c r="I520" s="40">
        <v>5898.7998049999997</v>
      </c>
      <c r="J520" s="36">
        <v>6024.6480030740377</v>
      </c>
      <c r="K520" s="36">
        <v>5471.5519480259618</v>
      </c>
    </row>
    <row r="521" spans="1:11" x14ac:dyDescent="0.25">
      <c r="A521" s="39">
        <v>41255</v>
      </c>
      <c r="B521" s="36">
        <v>5888</v>
      </c>
      <c r="C521" s="36">
        <f t="shared" si="28"/>
        <v>5758.1874755500012</v>
      </c>
      <c r="D521" s="36">
        <f t="shared" si="29"/>
        <v>140.85935482561783</v>
      </c>
      <c r="E521" s="40">
        <v>5888</v>
      </c>
      <c r="F521" s="36">
        <f t="shared" si="30"/>
        <v>6039.9061852012364</v>
      </c>
      <c r="G521" s="36">
        <f t="shared" si="31"/>
        <v>5476.4687658987659</v>
      </c>
      <c r="I521" s="40">
        <v>5888</v>
      </c>
      <c r="J521" s="36">
        <v>6039.9061852012364</v>
      </c>
      <c r="K521" s="36">
        <v>5476.4687658987659</v>
      </c>
    </row>
    <row r="522" spans="1:11" x14ac:dyDescent="0.25">
      <c r="A522" s="39">
        <v>41256</v>
      </c>
      <c r="B522" s="36">
        <v>5851.5</v>
      </c>
      <c r="C522" s="36">
        <f t="shared" si="28"/>
        <v>5766.5774658000009</v>
      </c>
      <c r="D522" s="36">
        <f t="shared" si="29"/>
        <v>141.1861094486155</v>
      </c>
      <c r="E522" s="40">
        <v>5851.5</v>
      </c>
      <c r="F522" s="36">
        <f t="shared" si="30"/>
        <v>6048.9496846972315</v>
      </c>
      <c r="G522" s="36">
        <f t="shared" si="31"/>
        <v>5484.2052469027703</v>
      </c>
      <c r="I522" s="40">
        <v>5851.5</v>
      </c>
      <c r="J522" s="36">
        <v>6048.9496846972315</v>
      </c>
      <c r="K522" s="36">
        <v>5484.2052469027703</v>
      </c>
    </row>
    <row r="523" spans="1:11" x14ac:dyDescent="0.25">
      <c r="A523" s="39">
        <v>41257</v>
      </c>
      <c r="B523" s="36">
        <v>5879.6000979999999</v>
      </c>
      <c r="C523" s="36">
        <f t="shared" si="28"/>
        <v>5779.0074707000003</v>
      </c>
      <c r="D523" s="36">
        <f t="shared" si="29"/>
        <v>139.55561016535725</v>
      </c>
      <c r="E523" s="40">
        <v>5879.6000979999999</v>
      </c>
      <c r="F523" s="36">
        <f t="shared" si="30"/>
        <v>6058.1186910307151</v>
      </c>
      <c r="G523" s="36">
        <f t="shared" si="31"/>
        <v>5499.8962503692856</v>
      </c>
      <c r="I523" s="40">
        <v>5879.6000979999999</v>
      </c>
      <c r="J523" s="36">
        <v>6058.1186910307151</v>
      </c>
      <c r="K523" s="36">
        <v>5499.8962503692856</v>
      </c>
    </row>
    <row r="524" spans="1:11" x14ac:dyDescent="0.25">
      <c r="A524" s="39">
        <v>41260</v>
      </c>
      <c r="B524" s="36">
        <v>5857.8999020000001</v>
      </c>
      <c r="C524" s="36">
        <f t="shared" si="28"/>
        <v>5793.199975550001</v>
      </c>
      <c r="D524" s="36">
        <f t="shared" si="29"/>
        <v>131.834710179225</v>
      </c>
      <c r="E524" s="40">
        <v>5857.8999020000001</v>
      </c>
      <c r="F524" s="36">
        <f t="shared" si="30"/>
        <v>6056.8693959084512</v>
      </c>
      <c r="G524" s="36">
        <f t="shared" si="31"/>
        <v>5529.5305551915508</v>
      </c>
      <c r="I524" s="40">
        <v>5857.8999020000001</v>
      </c>
      <c r="J524" s="36">
        <v>6056.8693959084512</v>
      </c>
      <c r="K524" s="36">
        <v>5529.5305551915508</v>
      </c>
    </row>
    <row r="525" spans="1:11" x14ac:dyDescent="0.25">
      <c r="A525" s="39">
        <v>41261</v>
      </c>
      <c r="B525" s="36">
        <v>5896.7998049999997</v>
      </c>
      <c r="C525" s="36">
        <f t="shared" si="28"/>
        <v>5809.4699707000009</v>
      </c>
      <c r="D525" s="36">
        <f t="shared" si="29"/>
        <v>122.79011243933542</v>
      </c>
      <c r="E525" s="40">
        <v>5896.7998049999997</v>
      </c>
      <c r="F525" s="36">
        <f t="shared" si="30"/>
        <v>6055.0501955786713</v>
      </c>
      <c r="G525" s="36">
        <f t="shared" si="31"/>
        <v>5563.8897458213305</v>
      </c>
      <c r="I525" s="40">
        <v>5896.7998049999997</v>
      </c>
      <c r="J525" s="36">
        <v>6055.0501955786713</v>
      </c>
      <c r="K525" s="36">
        <v>5563.8897458213305</v>
      </c>
    </row>
    <row r="526" spans="1:11" x14ac:dyDescent="0.25">
      <c r="A526" s="39">
        <v>41262</v>
      </c>
      <c r="B526" s="36">
        <v>5929.6000979999999</v>
      </c>
      <c r="C526" s="36">
        <f t="shared" si="28"/>
        <v>5827.3724853500007</v>
      </c>
      <c r="D526" s="36">
        <f t="shared" si="29"/>
        <v>111.8942320527826</v>
      </c>
      <c r="E526" s="40">
        <v>5929.6000979999999</v>
      </c>
      <c r="F526" s="36">
        <f t="shared" si="30"/>
        <v>6051.160949455566</v>
      </c>
      <c r="G526" s="36">
        <f t="shared" si="31"/>
        <v>5603.5840212444355</v>
      </c>
      <c r="I526" s="40">
        <v>5929.6000979999999</v>
      </c>
      <c r="J526" s="36">
        <v>6051.160949455566</v>
      </c>
      <c r="K526" s="36">
        <v>5603.5840212444355</v>
      </c>
    </row>
    <row r="527" spans="1:11" x14ac:dyDescent="0.25">
      <c r="A527" s="39">
        <v>41263</v>
      </c>
      <c r="B527" s="36">
        <v>5916.3999020000001</v>
      </c>
      <c r="C527" s="36">
        <f t="shared" si="28"/>
        <v>5842.4524901999994</v>
      </c>
      <c r="D527" s="36">
        <f t="shared" si="29"/>
        <v>101.58653809635101</v>
      </c>
      <c r="E527" s="40">
        <v>5916.3999020000001</v>
      </c>
      <c r="F527" s="36">
        <f t="shared" si="30"/>
        <v>6045.6255663927013</v>
      </c>
      <c r="G527" s="36">
        <f t="shared" si="31"/>
        <v>5639.2794140072974</v>
      </c>
      <c r="I527" s="40">
        <v>5916.3999020000001</v>
      </c>
      <c r="J527" s="36">
        <v>6045.6255663927013</v>
      </c>
      <c r="K527" s="36">
        <v>5639.2794140072974</v>
      </c>
    </row>
    <row r="528" spans="1:11" x14ac:dyDescent="0.25">
      <c r="A528" s="39">
        <v>41264</v>
      </c>
      <c r="B528" s="36">
        <v>5847.7001950000003</v>
      </c>
      <c r="C528" s="36">
        <f t="shared" si="28"/>
        <v>5853.4499999499994</v>
      </c>
      <c r="D528" s="36">
        <f t="shared" si="29"/>
        <v>88.13510693641895</v>
      </c>
      <c r="E528" s="40">
        <v>5847.7001950000003</v>
      </c>
      <c r="F528" s="36">
        <f t="shared" si="30"/>
        <v>6029.7202138228376</v>
      </c>
      <c r="G528" s="36">
        <f t="shared" si="31"/>
        <v>5677.1797860771612</v>
      </c>
      <c r="I528" s="40">
        <v>5847.7001950000003</v>
      </c>
      <c r="J528" s="36">
        <v>6029.7202138228376</v>
      </c>
      <c r="K528" s="36">
        <v>5677.1797860771612</v>
      </c>
    </row>
    <row r="529" spans="1:11" x14ac:dyDescent="0.25">
      <c r="A529" s="39">
        <v>41267</v>
      </c>
      <c r="B529" s="36">
        <v>5855.75</v>
      </c>
      <c r="C529" s="36">
        <f t="shared" si="28"/>
        <v>5864.9074950499999</v>
      </c>
      <c r="D529" s="36">
        <f t="shared" si="29"/>
        <v>70.152867865510942</v>
      </c>
      <c r="E529" s="40">
        <v>5855.75</v>
      </c>
      <c r="F529" s="36">
        <f t="shared" si="30"/>
        <v>6005.2132307810216</v>
      </c>
      <c r="G529" s="36">
        <f t="shared" si="31"/>
        <v>5724.6017593189781</v>
      </c>
      <c r="I529" s="40">
        <v>5855.75</v>
      </c>
      <c r="J529" s="36">
        <v>6005.2132307810216</v>
      </c>
      <c r="K529" s="36">
        <v>5724.6017593189781</v>
      </c>
    </row>
    <row r="530" spans="1:11" x14ac:dyDescent="0.25">
      <c r="A530" s="39">
        <v>41269</v>
      </c>
      <c r="B530" s="36">
        <v>5905.6000979999999</v>
      </c>
      <c r="C530" s="36">
        <f t="shared" si="28"/>
        <v>5878.3925048499996</v>
      </c>
      <c r="D530" s="36">
        <f t="shared" si="29"/>
        <v>45.353333887512122</v>
      </c>
      <c r="E530" s="40">
        <v>5905.6000979999999</v>
      </c>
      <c r="F530" s="36">
        <f t="shared" si="30"/>
        <v>5969.099172625024</v>
      </c>
      <c r="G530" s="36">
        <f t="shared" si="31"/>
        <v>5787.6858370749751</v>
      </c>
      <c r="I530" s="40">
        <v>5905.6000979999999</v>
      </c>
      <c r="J530" s="36">
        <v>5969.099172625024</v>
      </c>
      <c r="K530" s="36">
        <v>5787.6858370749751</v>
      </c>
    </row>
    <row r="531" spans="1:11" x14ac:dyDescent="0.25">
      <c r="A531" s="39">
        <v>41270</v>
      </c>
      <c r="B531" s="36">
        <v>5870.1000979999999</v>
      </c>
      <c r="C531" s="36">
        <f t="shared" si="28"/>
        <v>5885.5249999999996</v>
      </c>
      <c r="D531" s="36">
        <f t="shared" si="29"/>
        <v>28.422846969099474</v>
      </c>
      <c r="E531" s="40">
        <v>5870.1000979999999</v>
      </c>
      <c r="F531" s="36">
        <f t="shared" si="30"/>
        <v>5942.3706939381982</v>
      </c>
      <c r="G531" s="36">
        <f t="shared" si="31"/>
        <v>5828.6793060618011</v>
      </c>
      <c r="I531" s="40">
        <v>5870.1000979999999</v>
      </c>
      <c r="J531" s="36">
        <v>5942.3706939381982</v>
      </c>
      <c r="K531" s="36">
        <v>5828.6793060618011</v>
      </c>
    </row>
    <row r="532" spans="1:11" x14ac:dyDescent="0.25">
      <c r="A532" s="39">
        <v>41271</v>
      </c>
      <c r="B532" s="36">
        <v>5908.3500979999999</v>
      </c>
      <c r="C532" s="36">
        <f t="shared" si="28"/>
        <v>5889.6925049000001</v>
      </c>
      <c r="D532" s="36">
        <f t="shared" si="29"/>
        <v>24.983840986807134</v>
      </c>
      <c r="E532" s="40">
        <v>5908.3500979999999</v>
      </c>
      <c r="F532" s="36">
        <f t="shared" si="30"/>
        <v>5939.6601868736143</v>
      </c>
      <c r="G532" s="36">
        <f t="shared" si="31"/>
        <v>5839.724822926386</v>
      </c>
      <c r="I532" s="40">
        <v>5908.3500979999999</v>
      </c>
      <c r="J532" s="36">
        <v>5939.6601868736143</v>
      </c>
      <c r="K532" s="36">
        <v>5839.724822926386</v>
      </c>
    </row>
    <row r="533" spans="1:11" x14ac:dyDescent="0.25">
      <c r="A533" s="39">
        <v>41274</v>
      </c>
      <c r="B533" s="36">
        <v>5905.1000979999999</v>
      </c>
      <c r="C533" s="36">
        <f t="shared" si="28"/>
        <v>5890.955004899999</v>
      </c>
      <c r="D533" s="36">
        <f t="shared" si="29"/>
        <v>25.098014940562436</v>
      </c>
      <c r="E533" s="40">
        <v>5905.1000979999999</v>
      </c>
      <c r="F533" s="36">
        <f t="shared" si="30"/>
        <v>5941.1510347811236</v>
      </c>
      <c r="G533" s="36">
        <f t="shared" si="31"/>
        <v>5840.7589750188745</v>
      </c>
      <c r="I533" s="40">
        <v>5905.1000979999999</v>
      </c>
      <c r="J533" s="36">
        <v>5941.1510347811236</v>
      </c>
      <c r="K533" s="36">
        <v>5840.7589750188745</v>
      </c>
    </row>
    <row r="534" spans="1:11" x14ac:dyDescent="0.25">
      <c r="A534" s="39">
        <v>41276</v>
      </c>
      <c r="B534" s="36">
        <v>5993.25</v>
      </c>
      <c r="C534" s="36">
        <f t="shared" ref="C534:C597" si="32">AVERAGE(B515:B534)</f>
        <v>5897.0699951499992</v>
      </c>
      <c r="D534" s="36">
        <f t="shared" ref="D534:D597" si="33">_xlfn.STDEV.S(B515:B534)</f>
        <v>33.469945837862248</v>
      </c>
      <c r="E534" s="40">
        <v>5993.25</v>
      </c>
      <c r="F534" s="36">
        <f t="shared" ref="F534:F597" si="34">C534+2*D534</f>
        <v>5964.0098868257237</v>
      </c>
      <c r="G534" s="36">
        <f t="shared" ref="G534:G597" si="35">C534-2*D534</f>
        <v>5830.1301034742746</v>
      </c>
      <c r="I534" s="40">
        <v>5993.25</v>
      </c>
      <c r="J534" s="36">
        <v>5964.0098868257237</v>
      </c>
      <c r="K534" s="36">
        <v>5830.1301034742746</v>
      </c>
    </row>
    <row r="535" spans="1:11" x14ac:dyDescent="0.25">
      <c r="A535" s="39">
        <v>41277</v>
      </c>
      <c r="B535" s="36">
        <v>6009.5</v>
      </c>
      <c r="C535" s="36">
        <f t="shared" si="32"/>
        <v>5903.082495149999</v>
      </c>
      <c r="D535" s="36">
        <f t="shared" si="33"/>
        <v>41.764287662285312</v>
      </c>
      <c r="E535" s="40">
        <v>6009.5</v>
      </c>
      <c r="F535" s="36">
        <f t="shared" si="34"/>
        <v>5986.6110704745697</v>
      </c>
      <c r="G535" s="36">
        <f t="shared" si="35"/>
        <v>5819.5539198254282</v>
      </c>
      <c r="I535" s="40">
        <v>6009.5</v>
      </c>
      <c r="J535" s="36">
        <v>5986.6110704745697</v>
      </c>
      <c r="K535" s="36">
        <v>5819.5539198254282</v>
      </c>
    </row>
    <row r="536" spans="1:11" x14ac:dyDescent="0.25">
      <c r="A536" s="39">
        <v>41278</v>
      </c>
      <c r="B536" s="36">
        <v>6016.1499020000001</v>
      </c>
      <c r="C536" s="36">
        <f t="shared" si="32"/>
        <v>5908.8649902499992</v>
      </c>
      <c r="D536" s="36">
        <f t="shared" si="33"/>
        <v>48.801252666071584</v>
      </c>
      <c r="E536" s="40">
        <v>6016.1499020000001</v>
      </c>
      <c r="F536" s="36">
        <f t="shared" si="34"/>
        <v>6006.467495582142</v>
      </c>
      <c r="G536" s="36">
        <f t="shared" si="35"/>
        <v>5811.2624849178565</v>
      </c>
      <c r="I536" s="40">
        <v>6016.1499020000001</v>
      </c>
      <c r="J536" s="36">
        <v>6006.467495582142</v>
      </c>
      <c r="K536" s="36">
        <v>5811.2624849178565</v>
      </c>
    </row>
    <row r="537" spans="1:11" x14ac:dyDescent="0.25">
      <c r="A537" s="39">
        <v>41281</v>
      </c>
      <c r="B537" s="36">
        <v>5988.3999020000001</v>
      </c>
      <c r="C537" s="36">
        <f t="shared" si="32"/>
        <v>5911.7399902499992</v>
      </c>
      <c r="D537" s="36">
        <f t="shared" si="33"/>
        <v>51.7710726610443</v>
      </c>
      <c r="E537" s="40">
        <v>5988.3999020000001</v>
      </c>
      <c r="F537" s="36">
        <f t="shared" si="34"/>
        <v>6015.282135572088</v>
      </c>
      <c r="G537" s="36">
        <f t="shared" si="35"/>
        <v>5808.1978449279104</v>
      </c>
      <c r="I537" s="40">
        <v>5988.3999020000001</v>
      </c>
      <c r="J537" s="36">
        <v>6015.282135572088</v>
      </c>
      <c r="K537" s="36">
        <v>5808.1978449279104</v>
      </c>
    </row>
    <row r="538" spans="1:11" x14ac:dyDescent="0.25">
      <c r="A538" s="39">
        <v>41282</v>
      </c>
      <c r="B538" s="36">
        <v>6001.7001950000003</v>
      </c>
      <c r="C538" s="36">
        <f t="shared" si="32"/>
        <v>5916.4550048999999</v>
      </c>
      <c r="D538" s="36">
        <f t="shared" si="33"/>
        <v>55.513872204056185</v>
      </c>
      <c r="E538" s="40">
        <v>6001.7001950000003</v>
      </c>
      <c r="F538" s="36">
        <f t="shared" si="34"/>
        <v>6027.482749308112</v>
      </c>
      <c r="G538" s="36">
        <f t="shared" si="35"/>
        <v>5805.4272604918879</v>
      </c>
      <c r="I538" s="40">
        <v>6001.7001950000003</v>
      </c>
      <c r="J538" s="36">
        <v>6027.482749308112</v>
      </c>
      <c r="K538" s="36">
        <v>5805.4272604918879</v>
      </c>
    </row>
    <row r="539" spans="1:11" x14ac:dyDescent="0.25">
      <c r="A539" s="39">
        <v>41283</v>
      </c>
      <c r="B539" s="36">
        <v>5971.5</v>
      </c>
      <c r="C539" s="36">
        <f t="shared" si="32"/>
        <v>5919.5850097999992</v>
      </c>
      <c r="D539" s="36">
        <f t="shared" si="33"/>
        <v>56.815001459921291</v>
      </c>
      <c r="E539" s="40">
        <v>5971.5</v>
      </c>
      <c r="F539" s="36">
        <f t="shared" si="34"/>
        <v>6033.215012719842</v>
      </c>
      <c r="G539" s="36">
        <f t="shared" si="35"/>
        <v>5805.9550068801564</v>
      </c>
      <c r="I539" s="40">
        <v>5971.5</v>
      </c>
      <c r="J539" s="36">
        <v>6033.215012719842</v>
      </c>
      <c r="K539" s="36">
        <v>5805.9550068801564</v>
      </c>
    </row>
    <row r="540" spans="1:11" x14ac:dyDescent="0.25">
      <c r="A540" s="39">
        <v>41284</v>
      </c>
      <c r="B540" s="36">
        <v>5968.6499020000001</v>
      </c>
      <c r="C540" s="36">
        <f t="shared" si="32"/>
        <v>5923.07751465</v>
      </c>
      <c r="D540" s="36">
        <f t="shared" si="33"/>
        <v>57.611370648692947</v>
      </c>
      <c r="E540" s="40">
        <v>5968.6499020000001</v>
      </c>
      <c r="F540" s="36">
        <f t="shared" si="34"/>
        <v>6038.3002559473862</v>
      </c>
      <c r="G540" s="36">
        <f t="shared" si="35"/>
        <v>5807.8547733526138</v>
      </c>
      <c r="I540" s="40">
        <v>5968.6499020000001</v>
      </c>
      <c r="J540" s="36">
        <v>6038.3002559473862</v>
      </c>
      <c r="K540" s="36">
        <v>5807.8547733526138</v>
      </c>
    </row>
    <row r="541" spans="1:11" x14ac:dyDescent="0.25">
      <c r="A541" s="39">
        <v>41285</v>
      </c>
      <c r="B541" s="36">
        <v>5951.2998049999997</v>
      </c>
      <c r="C541" s="36">
        <f t="shared" si="32"/>
        <v>5926.2425049000003</v>
      </c>
      <c r="D541" s="36">
        <f t="shared" si="33"/>
        <v>57.320912370767687</v>
      </c>
      <c r="E541" s="40">
        <v>5951.2998049999997</v>
      </c>
      <c r="F541" s="36">
        <f t="shared" si="34"/>
        <v>6040.8843296415353</v>
      </c>
      <c r="G541" s="36">
        <f t="shared" si="35"/>
        <v>5811.6006801584654</v>
      </c>
      <c r="I541" s="40">
        <v>5951.2998049999997</v>
      </c>
      <c r="J541" s="36">
        <v>6040.8843296415353</v>
      </c>
      <c r="K541" s="36">
        <v>5811.6006801584654</v>
      </c>
    </row>
    <row r="542" spans="1:11" x14ac:dyDescent="0.25">
      <c r="A542" s="39">
        <v>41288</v>
      </c>
      <c r="B542" s="36">
        <v>6024.0498049999997</v>
      </c>
      <c r="C542" s="36">
        <f t="shared" si="32"/>
        <v>5934.8699951500012</v>
      </c>
      <c r="D542" s="36">
        <f t="shared" si="33"/>
        <v>58.453403421319635</v>
      </c>
      <c r="E542" s="40">
        <v>6024.0498049999997</v>
      </c>
      <c r="F542" s="36">
        <f t="shared" si="34"/>
        <v>6051.7768019926407</v>
      </c>
      <c r="G542" s="36">
        <f t="shared" si="35"/>
        <v>5817.9631883073616</v>
      </c>
      <c r="I542" s="40">
        <v>6024.0498049999997</v>
      </c>
      <c r="J542" s="36">
        <v>6051.7768019926407</v>
      </c>
      <c r="K542" s="36">
        <v>5817.9631883073616</v>
      </c>
    </row>
    <row r="543" spans="1:11" x14ac:dyDescent="0.25">
      <c r="A543" s="39">
        <v>41289</v>
      </c>
      <c r="B543" s="36">
        <v>6056.6000979999999</v>
      </c>
      <c r="C543" s="36">
        <f t="shared" si="32"/>
        <v>5943.7199951500015</v>
      </c>
      <c r="D543" s="36">
        <f t="shared" si="33"/>
        <v>62.876743867445796</v>
      </c>
      <c r="E543" s="40">
        <v>6056.6000979999999</v>
      </c>
      <c r="F543" s="36">
        <f t="shared" si="34"/>
        <v>6069.4734828848932</v>
      </c>
      <c r="G543" s="36">
        <f t="shared" si="35"/>
        <v>5817.9665074151098</v>
      </c>
      <c r="I543" s="40">
        <v>6056.6000979999999</v>
      </c>
      <c r="J543" s="36">
        <v>6069.4734828848932</v>
      </c>
      <c r="K543" s="36">
        <v>5817.9665074151098</v>
      </c>
    </row>
    <row r="544" spans="1:11" x14ac:dyDescent="0.25">
      <c r="A544" s="39">
        <v>41290</v>
      </c>
      <c r="B544" s="36">
        <v>6001.8500979999999</v>
      </c>
      <c r="C544" s="36">
        <f t="shared" si="32"/>
        <v>5950.9175049500009</v>
      </c>
      <c r="D544" s="36">
        <f t="shared" si="33"/>
        <v>60.738503781517224</v>
      </c>
      <c r="E544" s="40">
        <v>6001.8500979999999</v>
      </c>
      <c r="F544" s="36">
        <f t="shared" si="34"/>
        <v>6072.3945125130349</v>
      </c>
      <c r="G544" s="36">
        <f t="shared" si="35"/>
        <v>5829.4404973869669</v>
      </c>
      <c r="I544" s="40">
        <v>6001.8500979999999</v>
      </c>
      <c r="J544" s="36">
        <v>6072.3945125130349</v>
      </c>
      <c r="K544" s="36">
        <v>5829.4404973869669</v>
      </c>
    </row>
    <row r="545" spans="1:11" x14ac:dyDescent="0.25">
      <c r="A545" s="39">
        <v>41291</v>
      </c>
      <c r="B545" s="36">
        <v>6039.2001950000003</v>
      </c>
      <c r="C545" s="36">
        <f t="shared" si="32"/>
        <v>5958.0375244500001</v>
      </c>
      <c r="D545" s="36">
        <f t="shared" si="33"/>
        <v>62.384784477470667</v>
      </c>
      <c r="E545" s="40">
        <v>6039.2001950000003</v>
      </c>
      <c r="F545" s="36">
        <f t="shared" si="34"/>
        <v>6082.807093404941</v>
      </c>
      <c r="G545" s="36">
        <f t="shared" si="35"/>
        <v>5833.2679554950591</v>
      </c>
      <c r="I545" s="40">
        <v>6039.2001950000003</v>
      </c>
      <c r="J545" s="36">
        <v>6082.807093404941</v>
      </c>
      <c r="K545" s="36">
        <v>5833.2679554950591</v>
      </c>
    </row>
    <row r="546" spans="1:11" x14ac:dyDescent="0.25">
      <c r="A546" s="39">
        <v>41292</v>
      </c>
      <c r="B546" s="36">
        <v>6064.3999020000001</v>
      </c>
      <c r="C546" s="36">
        <f t="shared" si="32"/>
        <v>5964.7775146500007</v>
      </c>
      <c r="D546" s="36">
        <f t="shared" si="33"/>
        <v>66.309118261913625</v>
      </c>
      <c r="E546" s="40">
        <v>6064.3999020000001</v>
      </c>
      <c r="F546" s="36">
        <f t="shared" si="34"/>
        <v>6097.3957511738281</v>
      </c>
      <c r="G546" s="36">
        <f t="shared" si="35"/>
        <v>5832.1592781261734</v>
      </c>
      <c r="I546" s="40">
        <v>6064.3999020000001</v>
      </c>
      <c r="J546" s="36">
        <v>6097.3957511738281</v>
      </c>
      <c r="K546" s="36">
        <v>5832.1592781261734</v>
      </c>
    </row>
    <row r="547" spans="1:11" x14ac:dyDescent="0.25">
      <c r="A547" s="39">
        <v>41295</v>
      </c>
      <c r="B547" s="36">
        <v>6082.2998049999997</v>
      </c>
      <c r="C547" s="36">
        <f t="shared" si="32"/>
        <v>5973.0725097999994</v>
      </c>
      <c r="D547" s="36">
        <f t="shared" si="33"/>
        <v>70.201229769331192</v>
      </c>
      <c r="E547" s="40">
        <v>6082.2998049999997</v>
      </c>
      <c r="F547" s="36">
        <f t="shared" si="34"/>
        <v>6113.474969338662</v>
      </c>
      <c r="G547" s="36">
        <f t="shared" si="35"/>
        <v>5832.6700502613367</v>
      </c>
      <c r="I547" s="40">
        <v>6082.2998049999997</v>
      </c>
      <c r="J547" s="36">
        <v>6113.474969338662</v>
      </c>
      <c r="K547" s="36">
        <v>5832.6700502613367</v>
      </c>
    </row>
    <row r="548" spans="1:11" x14ac:dyDescent="0.25">
      <c r="A548" s="39">
        <v>41296</v>
      </c>
      <c r="B548" s="36">
        <v>6048.5</v>
      </c>
      <c r="C548" s="36">
        <f t="shared" si="32"/>
        <v>5983.1125000499997</v>
      </c>
      <c r="D548" s="36">
        <f t="shared" si="33"/>
        <v>65.530668367269982</v>
      </c>
      <c r="E548" s="40">
        <v>6048.5</v>
      </c>
      <c r="F548" s="36">
        <f t="shared" si="34"/>
        <v>6114.1738367845392</v>
      </c>
      <c r="G548" s="36">
        <f t="shared" si="35"/>
        <v>5852.0511633154601</v>
      </c>
      <c r="I548" s="40">
        <v>6048.5</v>
      </c>
      <c r="J548" s="36">
        <v>6114.1738367845392</v>
      </c>
      <c r="K548" s="36">
        <v>5852.0511633154601</v>
      </c>
    </row>
    <row r="549" spans="1:11" x14ac:dyDescent="0.25">
      <c r="A549" s="39">
        <v>41297</v>
      </c>
      <c r="B549" s="36">
        <v>6054.2998049999997</v>
      </c>
      <c r="C549" s="36">
        <f t="shared" si="32"/>
        <v>5993.0399902999998</v>
      </c>
      <c r="D549" s="36">
        <f t="shared" si="33"/>
        <v>60.029127206514609</v>
      </c>
      <c r="E549" s="40">
        <v>6054.2998049999997</v>
      </c>
      <c r="F549" s="36">
        <f t="shared" si="34"/>
        <v>6113.0982447130291</v>
      </c>
      <c r="G549" s="36">
        <f t="shared" si="35"/>
        <v>5872.9817358869705</v>
      </c>
      <c r="I549" s="40">
        <v>6054.2998049999997</v>
      </c>
      <c r="J549" s="36">
        <v>6113.0982447130291</v>
      </c>
      <c r="K549" s="36">
        <v>5872.9817358869705</v>
      </c>
    </row>
    <row r="550" spans="1:11" x14ac:dyDescent="0.25">
      <c r="A550" s="39">
        <v>41298</v>
      </c>
      <c r="B550" s="36">
        <v>6019.3500979999999</v>
      </c>
      <c r="C550" s="36">
        <f t="shared" si="32"/>
        <v>5998.7274902999989</v>
      </c>
      <c r="D550" s="36">
        <f t="shared" si="33"/>
        <v>56.59921890250147</v>
      </c>
      <c r="E550" s="40">
        <v>6019.3500979999999</v>
      </c>
      <c r="F550" s="36">
        <f t="shared" si="34"/>
        <v>6111.9259281050017</v>
      </c>
      <c r="G550" s="36">
        <f t="shared" si="35"/>
        <v>5885.529052494996</v>
      </c>
      <c r="I550" s="40">
        <v>6019.3500979999999</v>
      </c>
      <c r="J550" s="36">
        <v>6111.9259281050017</v>
      </c>
      <c r="K550" s="36">
        <v>5885.529052494996</v>
      </c>
    </row>
    <row r="551" spans="1:11" x14ac:dyDescent="0.25">
      <c r="A551" s="39">
        <v>41299</v>
      </c>
      <c r="B551" s="36">
        <v>6074.6499020000001</v>
      </c>
      <c r="C551" s="36">
        <f t="shared" si="32"/>
        <v>6008.9549804999997</v>
      </c>
      <c r="D551" s="36">
        <f t="shared" si="33"/>
        <v>50.258874817088987</v>
      </c>
      <c r="E551" s="40">
        <v>6074.6499020000001</v>
      </c>
      <c r="F551" s="36">
        <f t="shared" si="34"/>
        <v>6109.4727301341773</v>
      </c>
      <c r="G551" s="36">
        <f t="shared" si="35"/>
        <v>5908.4372308658221</v>
      </c>
      <c r="I551" s="40">
        <v>6074.6499020000001</v>
      </c>
      <c r="J551" s="36">
        <v>6109.4727301341773</v>
      </c>
      <c r="K551" s="36">
        <v>5908.4372308658221</v>
      </c>
    </row>
    <row r="552" spans="1:11" x14ac:dyDescent="0.25">
      <c r="A552" s="39">
        <v>41302</v>
      </c>
      <c r="B552" s="36">
        <v>6074.7998049999997</v>
      </c>
      <c r="C552" s="36">
        <f t="shared" si="32"/>
        <v>6017.2774658500002</v>
      </c>
      <c r="D552" s="36">
        <f t="shared" si="33"/>
        <v>46.35223195801008</v>
      </c>
      <c r="E552" s="40">
        <v>6074.7998049999997</v>
      </c>
      <c r="F552" s="36">
        <f t="shared" si="34"/>
        <v>6109.9819297660206</v>
      </c>
      <c r="G552" s="36">
        <f t="shared" si="35"/>
        <v>5924.5730019339799</v>
      </c>
      <c r="I552" s="40">
        <v>6074.7998049999997</v>
      </c>
      <c r="J552" s="36">
        <v>6109.9819297660206</v>
      </c>
      <c r="K552" s="36">
        <v>5924.5730019339799</v>
      </c>
    </row>
    <row r="553" spans="1:11" x14ac:dyDescent="0.25">
      <c r="A553" s="39">
        <v>41303</v>
      </c>
      <c r="B553" s="36">
        <v>6049.8999020000001</v>
      </c>
      <c r="C553" s="36">
        <f t="shared" si="32"/>
        <v>6024.5174560500009</v>
      </c>
      <c r="D553" s="36">
        <f t="shared" si="33"/>
        <v>38.562438134713787</v>
      </c>
      <c r="E553" s="40">
        <v>6049.8999020000001</v>
      </c>
      <c r="F553" s="36">
        <f t="shared" si="34"/>
        <v>6101.6423323194285</v>
      </c>
      <c r="G553" s="36">
        <f t="shared" si="35"/>
        <v>5947.3925797805732</v>
      </c>
      <c r="I553" s="40">
        <v>6049.8999020000001</v>
      </c>
      <c r="J553" s="36">
        <v>6101.6423323194285</v>
      </c>
      <c r="K553" s="36">
        <v>5947.3925797805732</v>
      </c>
    </row>
    <row r="554" spans="1:11" x14ac:dyDescent="0.25">
      <c r="A554" s="39">
        <v>41304</v>
      </c>
      <c r="B554" s="36">
        <v>6055.75</v>
      </c>
      <c r="C554" s="36">
        <f t="shared" si="32"/>
        <v>6027.6424560500018</v>
      </c>
      <c r="D554" s="36">
        <f t="shared" si="33"/>
        <v>38.427427538104332</v>
      </c>
      <c r="E554" s="40">
        <v>6055.75</v>
      </c>
      <c r="F554" s="36">
        <f t="shared" si="34"/>
        <v>6104.4973111262107</v>
      </c>
      <c r="G554" s="36">
        <f t="shared" si="35"/>
        <v>5950.7876009737929</v>
      </c>
      <c r="I554" s="40">
        <v>6055.75</v>
      </c>
      <c r="J554" s="36">
        <v>6104.4973111262107</v>
      </c>
      <c r="K554" s="36">
        <v>5950.7876009737929</v>
      </c>
    </row>
    <row r="555" spans="1:11" x14ac:dyDescent="0.25">
      <c r="A555" s="39">
        <v>41305</v>
      </c>
      <c r="B555" s="36">
        <v>6034.75</v>
      </c>
      <c r="C555" s="36">
        <f t="shared" si="32"/>
        <v>6028.9049560500007</v>
      </c>
      <c r="D555" s="36">
        <f t="shared" si="33"/>
        <v>38.214193354663074</v>
      </c>
      <c r="E555" s="40">
        <v>6034.75</v>
      </c>
      <c r="F555" s="36">
        <f t="shared" si="34"/>
        <v>6105.333342759327</v>
      </c>
      <c r="G555" s="36">
        <f t="shared" si="35"/>
        <v>5952.4765693406744</v>
      </c>
      <c r="I555" s="40">
        <v>6034.75</v>
      </c>
      <c r="J555" s="36">
        <v>6105.333342759327</v>
      </c>
      <c r="K555" s="36">
        <v>5952.4765693406744</v>
      </c>
    </row>
    <row r="556" spans="1:11" x14ac:dyDescent="0.25">
      <c r="A556" s="39">
        <v>41306</v>
      </c>
      <c r="B556" s="36">
        <v>5998.8999020000001</v>
      </c>
      <c r="C556" s="36">
        <f t="shared" si="32"/>
        <v>6028.0424560500014</v>
      </c>
      <c r="D556" s="36">
        <f t="shared" si="33"/>
        <v>38.708696589110808</v>
      </c>
      <c r="E556" s="40">
        <v>5998.8999020000001</v>
      </c>
      <c r="F556" s="36">
        <f t="shared" si="34"/>
        <v>6105.459849228223</v>
      </c>
      <c r="G556" s="36">
        <f t="shared" si="35"/>
        <v>5950.6250628717798</v>
      </c>
      <c r="I556" s="40">
        <v>5998.8999020000001</v>
      </c>
      <c r="J556" s="36">
        <v>6105.459849228223</v>
      </c>
      <c r="K556" s="36">
        <v>5950.6250628717798</v>
      </c>
    </row>
    <row r="557" spans="1:11" x14ac:dyDescent="0.25">
      <c r="A557" s="39">
        <v>41309</v>
      </c>
      <c r="B557" s="36">
        <v>5987.25</v>
      </c>
      <c r="C557" s="36">
        <f t="shared" si="32"/>
        <v>6027.9849609500006</v>
      </c>
      <c r="D557" s="36">
        <f t="shared" si="33"/>
        <v>38.771480909353208</v>
      </c>
      <c r="E557" s="40">
        <v>5987.25</v>
      </c>
      <c r="F557" s="36">
        <f t="shared" si="34"/>
        <v>6105.527922768707</v>
      </c>
      <c r="G557" s="36">
        <f t="shared" si="35"/>
        <v>5950.4419991312943</v>
      </c>
      <c r="I557" s="40">
        <v>5987.25</v>
      </c>
      <c r="J557" s="36">
        <v>6105.527922768707</v>
      </c>
      <c r="K557" s="36">
        <v>5950.4419991312943</v>
      </c>
    </row>
    <row r="558" spans="1:11" x14ac:dyDescent="0.25">
      <c r="A558" s="39">
        <v>41310</v>
      </c>
      <c r="B558" s="36">
        <v>5956.8999020000001</v>
      </c>
      <c r="C558" s="36">
        <f t="shared" si="32"/>
        <v>6025.7449463000003</v>
      </c>
      <c r="D558" s="36">
        <f t="shared" si="33"/>
        <v>41.56362926660055</v>
      </c>
      <c r="E558" s="40">
        <v>5956.8999020000001</v>
      </c>
      <c r="F558" s="36">
        <f t="shared" si="34"/>
        <v>6108.8722048332011</v>
      </c>
      <c r="G558" s="36">
        <f t="shared" si="35"/>
        <v>5942.6176877667995</v>
      </c>
      <c r="I558" s="40">
        <v>5956.8999020000001</v>
      </c>
      <c r="J558" s="36">
        <v>6108.8722048332011</v>
      </c>
      <c r="K558" s="36">
        <v>5942.6176877667995</v>
      </c>
    </row>
    <row r="559" spans="1:11" x14ac:dyDescent="0.25">
      <c r="A559" s="39">
        <v>41311</v>
      </c>
      <c r="B559" s="36">
        <v>5959.2001950000003</v>
      </c>
      <c r="C559" s="36">
        <f t="shared" si="32"/>
        <v>6025.1299560500011</v>
      </c>
      <c r="D559" s="36">
        <f t="shared" si="33"/>
        <v>42.489191037098443</v>
      </c>
      <c r="E559" s="40">
        <v>5959.2001950000003</v>
      </c>
      <c r="F559" s="36">
        <f t="shared" si="34"/>
        <v>6110.1083381241979</v>
      </c>
      <c r="G559" s="36">
        <f t="shared" si="35"/>
        <v>5940.1515739758042</v>
      </c>
      <c r="I559" s="40">
        <v>5959.2001950000003</v>
      </c>
      <c r="J559" s="36">
        <v>6110.1083381241979</v>
      </c>
      <c r="K559" s="36">
        <v>5940.1515739758042</v>
      </c>
    </row>
    <row r="560" spans="1:11" x14ac:dyDescent="0.25">
      <c r="A560" s="39">
        <v>41312</v>
      </c>
      <c r="B560" s="36">
        <v>5938.7998049999997</v>
      </c>
      <c r="C560" s="36">
        <f t="shared" si="32"/>
        <v>6023.6374512000011</v>
      </c>
      <c r="D560" s="36">
        <f t="shared" si="33"/>
        <v>45.026099334914036</v>
      </c>
      <c r="E560" s="40">
        <v>5938.7998049999997</v>
      </c>
      <c r="F560" s="36">
        <f t="shared" si="34"/>
        <v>6113.6896498698288</v>
      </c>
      <c r="G560" s="36">
        <f t="shared" si="35"/>
        <v>5933.5852525301734</v>
      </c>
      <c r="I560" s="40">
        <v>5938.7998049999997</v>
      </c>
      <c r="J560" s="36">
        <v>6113.6896498698288</v>
      </c>
      <c r="K560" s="36">
        <v>5933.5852525301734</v>
      </c>
    </row>
    <row r="561" spans="1:11" x14ac:dyDescent="0.25">
      <c r="A561" s="39">
        <v>41313</v>
      </c>
      <c r="B561" s="36">
        <v>5903.5</v>
      </c>
      <c r="C561" s="36">
        <f t="shared" si="32"/>
        <v>6021.2474609500005</v>
      </c>
      <c r="D561" s="36">
        <f t="shared" si="33"/>
        <v>50.055586922102719</v>
      </c>
      <c r="E561" s="40">
        <v>5903.5</v>
      </c>
      <c r="F561" s="36">
        <f t="shared" si="34"/>
        <v>6121.3586347942055</v>
      </c>
      <c r="G561" s="36">
        <f t="shared" si="35"/>
        <v>5921.1362871057954</v>
      </c>
      <c r="I561" s="40">
        <v>5903.5</v>
      </c>
      <c r="J561" s="36">
        <v>6121.3586347942055</v>
      </c>
      <c r="K561" s="36">
        <v>5921.1362871057954</v>
      </c>
    </row>
    <row r="562" spans="1:11" x14ac:dyDescent="0.25">
      <c r="A562" s="39">
        <v>41316</v>
      </c>
      <c r="B562" s="36">
        <v>5897.8500979999999</v>
      </c>
      <c r="C562" s="36">
        <f t="shared" si="32"/>
        <v>6014.9374756000007</v>
      </c>
      <c r="D562" s="36">
        <f t="shared" si="33"/>
        <v>57.13714415827323</v>
      </c>
      <c r="E562" s="40">
        <v>5897.8500979999999</v>
      </c>
      <c r="F562" s="36">
        <f t="shared" si="34"/>
        <v>6129.2117639165472</v>
      </c>
      <c r="G562" s="36">
        <f t="shared" si="35"/>
        <v>5900.6631872834541</v>
      </c>
      <c r="I562" s="40">
        <v>5897.8500979999999</v>
      </c>
      <c r="J562" s="36">
        <v>6129.2117639165472</v>
      </c>
      <c r="K562" s="36">
        <v>5900.6631872834541</v>
      </c>
    </row>
    <row r="563" spans="1:11" x14ac:dyDescent="0.25">
      <c r="A563" s="39">
        <v>41317</v>
      </c>
      <c r="B563" s="36">
        <v>5922.5</v>
      </c>
      <c r="C563" s="36">
        <f t="shared" si="32"/>
        <v>6008.2324707000007</v>
      </c>
      <c r="D563" s="36">
        <f t="shared" si="33"/>
        <v>59.797105450355495</v>
      </c>
      <c r="E563" s="40">
        <v>5922.5</v>
      </c>
      <c r="F563" s="36">
        <f t="shared" si="34"/>
        <v>6127.8266816007117</v>
      </c>
      <c r="G563" s="36">
        <f t="shared" si="35"/>
        <v>5888.6382597992897</v>
      </c>
      <c r="I563" s="40">
        <v>5922.5</v>
      </c>
      <c r="J563" s="36">
        <v>6127.8266816007117</v>
      </c>
      <c r="K563" s="36">
        <v>5888.6382597992897</v>
      </c>
    </row>
    <row r="564" spans="1:11" x14ac:dyDescent="0.25">
      <c r="A564" s="39">
        <v>41318</v>
      </c>
      <c r="B564" s="36">
        <v>5932.9501950000003</v>
      </c>
      <c r="C564" s="36">
        <f t="shared" si="32"/>
        <v>6004.7874755499997</v>
      </c>
      <c r="D564" s="36">
        <f t="shared" si="33"/>
        <v>62.123607304604015</v>
      </c>
      <c r="E564" s="40">
        <v>5932.9501950000003</v>
      </c>
      <c r="F564" s="36">
        <f t="shared" si="34"/>
        <v>6129.0346901592075</v>
      </c>
      <c r="G564" s="36">
        <f t="shared" si="35"/>
        <v>5880.540260940792</v>
      </c>
      <c r="I564" s="40">
        <v>5932.9501950000003</v>
      </c>
      <c r="J564" s="36">
        <v>6129.0346901592075</v>
      </c>
      <c r="K564" s="36">
        <v>5880.540260940792</v>
      </c>
    </row>
    <row r="565" spans="1:11" x14ac:dyDescent="0.25">
      <c r="A565" s="39">
        <v>41319</v>
      </c>
      <c r="B565" s="36">
        <v>5896.9501950000003</v>
      </c>
      <c r="C565" s="36">
        <f t="shared" si="32"/>
        <v>5997.6749755499995</v>
      </c>
      <c r="D565" s="36">
        <f t="shared" si="33"/>
        <v>65.998564497016957</v>
      </c>
      <c r="E565" s="40">
        <v>5896.9501950000003</v>
      </c>
      <c r="F565" s="36">
        <f t="shared" si="34"/>
        <v>6129.6721045440336</v>
      </c>
      <c r="G565" s="36">
        <f t="shared" si="35"/>
        <v>5865.6778465559655</v>
      </c>
      <c r="I565" s="40">
        <v>5896.9501950000003</v>
      </c>
      <c r="J565" s="36">
        <v>6129.6721045440336</v>
      </c>
      <c r="K565" s="36">
        <v>5865.6778465559655</v>
      </c>
    </row>
    <row r="566" spans="1:11" x14ac:dyDescent="0.25">
      <c r="A566" s="39">
        <v>41320</v>
      </c>
      <c r="B566" s="36">
        <v>5887.3999020000001</v>
      </c>
      <c r="C566" s="36">
        <f t="shared" si="32"/>
        <v>5988.8249755500001</v>
      </c>
      <c r="D566" s="36">
        <f t="shared" si="33"/>
        <v>68.403726366012975</v>
      </c>
      <c r="E566" s="40">
        <v>5887.3999020000001</v>
      </c>
      <c r="F566" s="36">
        <f t="shared" si="34"/>
        <v>6125.632428282026</v>
      </c>
      <c r="G566" s="36">
        <f t="shared" si="35"/>
        <v>5852.0175228179742</v>
      </c>
      <c r="I566" s="40">
        <v>5887.3999020000001</v>
      </c>
      <c r="J566" s="36">
        <v>6125.632428282026</v>
      </c>
      <c r="K566" s="36">
        <v>5852.0175228179742</v>
      </c>
    </row>
    <row r="567" spans="1:11" x14ac:dyDescent="0.25">
      <c r="A567" s="39">
        <v>41323</v>
      </c>
      <c r="B567" s="36">
        <v>5898.2001950000003</v>
      </c>
      <c r="C567" s="36">
        <f t="shared" si="32"/>
        <v>5979.6199950499995</v>
      </c>
      <c r="D567" s="36">
        <f t="shared" si="33"/>
        <v>67.544527077092155</v>
      </c>
      <c r="E567" s="40">
        <v>5898.2001950000003</v>
      </c>
      <c r="F567" s="36">
        <f t="shared" si="34"/>
        <v>6114.7090492041834</v>
      </c>
      <c r="G567" s="36">
        <f t="shared" si="35"/>
        <v>5844.5309408958155</v>
      </c>
      <c r="I567" s="40">
        <v>5898.2001950000003</v>
      </c>
      <c r="J567" s="36">
        <v>6114.7090492041834</v>
      </c>
      <c r="K567" s="36">
        <v>5844.5309408958155</v>
      </c>
    </row>
    <row r="568" spans="1:11" x14ac:dyDescent="0.25">
      <c r="A568" s="39">
        <v>41324</v>
      </c>
      <c r="B568" s="36">
        <v>5939.7001950000003</v>
      </c>
      <c r="C568" s="36">
        <f t="shared" si="32"/>
        <v>5974.1800047999986</v>
      </c>
      <c r="D568" s="36">
        <f t="shared" si="33"/>
        <v>66.070243759761098</v>
      </c>
      <c r="E568" s="40">
        <v>5939.7001950000003</v>
      </c>
      <c r="F568" s="36">
        <f t="shared" si="34"/>
        <v>6106.3204923195208</v>
      </c>
      <c r="G568" s="36">
        <f t="shared" si="35"/>
        <v>5842.0395172804765</v>
      </c>
      <c r="I568" s="40">
        <v>5939.7001950000003</v>
      </c>
      <c r="J568" s="36">
        <v>6106.3204923195208</v>
      </c>
      <c r="K568" s="36">
        <v>5842.0395172804765</v>
      </c>
    </row>
    <row r="569" spans="1:11" x14ac:dyDescent="0.25">
      <c r="A569" s="39">
        <v>41325</v>
      </c>
      <c r="B569" s="36">
        <v>5943.0498049999997</v>
      </c>
      <c r="C569" s="36">
        <f t="shared" si="32"/>
        <v>5968.6175047999986</v>
      </c>
      <c r="D569" s="36">
        <f t="shared" si="33"/>
        <v>63.607076703904255</v>
      </c>
      <c r="E569" s="40">
        <v>5943.0498049999997</v>
      </c>
      <c r="F569" s="36">
        <f t="shared" si="34"/>
        <v>6095.8316582078069</v>
      </c>
      <c r="G569" s="36">
        <f t="shared" si="35"/>
        <v>5841.4033513921904</v>
      </c>
      <c r="I569" s="40">
        <v>5943.0498049999997</v>
      </c>
      <c r="J569" s="36">
        <v>6095.8316582078069</v>
      </c>
      <c r="K569" s="36">
        <v>5841.4033513921904</v>
      </c>
    </row>
    <row r="570" spans="1:11" x14ac:dyDescent="0.25">
      <c r="A570" s="39">
        <v>41326</v>
      </c>
      <c r="B570" s="36">
        <v>5852.25</v>
      </c>
      <c r="C570" s="36">
        <f t="shared" si="32"/>
        <v>5960.2624999</v>
      </c>
      <c r="D570" s="36">
        <f t="shared" si="33"/>
        <v>67.450887377609291</v>
      </c>
      <c r="E570" s="40">
        <v>5852.25</v>
      </c>
      <c r="F570" s="36">
        <f t="shared" si="34"/>
        <v>6095.1642746552188</v>
      </c>
      <c r="G570" s="36">
        <f t="shared" si="35"/>
        <v>5825.3607251447811</v>
      </c>
      <c r="I570" s="40">
        <v>5852.25</v>
      </c>
      <c r="J570" s="36">
        <v>6095.1642746552188</v>
      </c>
      <c r="K570" s="36">
        <v>5825.3607251447811</v>
      </c>
    </row>
    <row r="571" spans="1:11" x14ac:dyDescent="0.25">
      <c r="A571" s="39">
        <v>41327</v>
      </c>
      <c r="B571" s="36">
        <v>5850.2998049999997</v>
      </c>
      <c r="C571" s="36">
        <f t="shared" si="32"/>
        <v>5949.0449950499997</v>
      </c>
      <c r="D571" s="36">
        <f t="shared" si="33"/>
        <v>66.067545245994737</v>
      </c>
      <c r="E571" s="40">
        <v>5850.2998049999997</v>
      </c>
      <c r="F571" s="36">
        <f t="shared" si="34"/>
        <v>6081.1800855419888</v>
      </c>
      <c r="G571" s="36">
        <f t="shared" si="35"/>
        <v>5816.9099045580106</v>
      </c>
      <c r="I571" s="40">
        <v>5850.2998049999997</v>
      </c>
      <c r="J571" s="36">
        <v>6081.1800855419888</v>
      </c>
      <c r="K571" s="36">
        <v>5816.9099045580106</v>
      </c>
    </row>
    <row r="572" spans="1:11" x14ac:dyDescent="0.25">
      <c r="A572" s="39">
        <v>41330</v>
      </c>
      <c r="B572" s="36">
        <v>5854.75</v>
      </c>
      <c r="C572" s="36">
        <f t="shared" si="32"/>
        <v>5938.0425048000006</v>
      </c>
      <c r="D572" s="36">
        <f t="shared" si="33"/>
        <v>62.234559781900423</v>
      </c>
      <c r="E572" s="40">
        <v>5854.75</v>
      </c>
      <c r="F572" s="36">
        <f t="shared" si="34"/>
        <v>6062.5116243638013</v>
      </c>
      <c r="G572" s="36">
        <f t="shared" si="35"/>
        <v>5813.5733852362</v>
      </c>
      <c r="I572" s="40">
        <v>5854.75</v>
      </c>
      <c r="J572" s="36">
        <v>6062.5116243638013</v>
      </c>
      <c r="K572" s="36">
        <v>5813.5733852362</v>
      </c>
    </row>
    <row r="573" spans="1:11" x14ac:dyDescent="0.25">
      <c r="A573" s="39">
        <v>41331</v>
      </c>
      <c r="B573" s="36">
        <v>5761.3500979999999</v>
      </c>
      <c r="C573" s="36">
        <f t="shared" si="32"/>
        <v>5923.6150146</v>
      </c>
      <c r="D573" s="36">
        <f t="shared" si="33"/>
        <v>68.107789196973428</v>
      </c>
      <c r="E573" s="40">
        <v>5761.3500979999999</v>
      </c>
      <c r="F573" s="36">
        <f t="shared" si="34"/>
        <v>6059.830592993947</v>
      </c>
      <c r="G573" s="36">
        <f t="shared" si="35"/>
        <v>5787.399436206053</v>
      </c>
      <c r="I573" s="40">
        <v>5761.3500979999999</v>
      </c>
      <c r="J573" s="36">
        <v>6059.830592993947</v>
      </c>
      <c r="K573" s="36">
        <v>5787.399436206053</v>
      </c>
    </row>
    <row r="574" spans="1:11" x14ac:dyDescent="0.25">
      <c r="A574" s="39">
        <v>41332</v>
      </c>
      <c r="B574" s="36">
        <v>5796.8999020000001</v>
      </c>
      <c r="C574" s="36">
        <f t="shared" si="32"/>
        <v>5910.6725096999999</v>
      </c>
      <c r="D574" s="36">
        <f t="shared" si="33"/>
        <v>66.245812089889498</v>
      </c>
      <c r="E574" s="40">
        <v>5796.8999020000001</v>
      </c>
      <c r="F574" s="36">
        <f t="shared" si="34"/>
        <v>6043.164133879779</v>
      </c>
      <c r="G574" s="36">
        <f t="shared" si="35"/>
        <v>5778.1808855202207</v>
      </c>
      <c r="I574" s="40">
        <v>5796.8999020000001</v>
      </c>
      <c r="J574" s="36">
        <v>6043.164133879779</v>
      </c>
      <c r="K574" s="36">
        <v>5778.1808855202207</v>
      </c>
    </row>
    <row r="575" spans="1:11" x14ac:dyDescent="0.25">
      <c r="A575" s="39">
        <v>41333</v>
      </c>
      <c r="B575" s="36">
        <v>5693.0498049999997</v>
      </c>
      <c r="C575" s="36">
        <f t="shared" si="32"/>
        <v>5893.5874999500002</v>
      </c>
      <c r="D575" s="36">
        <f t="shared" si="33"/>
        <v>75.918277255762987</v>
      </c>
      <c r="E575" s="40">
        <v>5693.0498049999997</v>
      </c>
      <c r="F575" s="36">
        <f t="shared" si="34"/>
        <v>6045.4240544615259</v>
      </c>
      <c r="G575" s="36">
        <f t="shared" si="35"/>
        <v>5741.7509454384744</v>
      </c>
      <c r="I575" s="40">
        <v>5693.0498049999997</v>
      </c>
      <c r="J575" s="36">
        <v>6045.4240544615259</v>
      </c>
      <c r="K575" s="36">
        <v>5741.7509454384744</v>
      </c>
    </row>
    <row r="576" spans="1:11" x14ac:dyDescent="0.25">
      <c r="A576" s="39">
        <v>41334</v>
      </c>
      <c r="B576" s="36">
        <v>5719.7001950000003</v>
      </c>
      <c r="C576" s="36">
        <f t="shared" si="32"/>
        <v>5879.6275145999998</v>
      </c>
      <c r="D576" s="36">
        <f t="shared" si="33"/>
        <v>81.031696392917155</v>
      </c>
      <c r="E576" s="40">
        <v>5719.7001950000003</v>
      </c>
      <c r="F576" s="36">
        <f t="shared" si="34"/>
        <v>6041.6909073858342</v>
      </c>
      <c r="G576" s="36">
        <f t="shared" si="35"/>
        <v>5717.5641218141654</v>
      </c>
      <c r="I576" s="40">
        <v>5719.7001950000003</v>
      </c>
      <c r="J576" s="36">
        <v>6041.6909073858342</v>
      </c>
      <c r="K576" s="36">
        <v>5717.5641218141654</v>
      </c>
    </row>
    <row r="577" spans="1:11" x14ac:dyDescent="0.25">
      <c r="A577" s="39">
        <v>41337</v>
      </c>
      <c r="B577" s="36">
        <v>5698.5</v>
      </c>
      <c r="C577" s="36">
        <f t="shared" si="32"/>
        <v>5865.1900145999989</v>
      </c>
      <c r="D577" s="36">
        <f t="shared" si="33"/>
        <v>86.39332626590776</v>
      </c>
      <c r="E577" s="40">
        <v>5698.5</v>
      </c>
      <c r="F577" s="36">
        <f t="shared" si="34"/>
        <v>6037.9766671318148</v>
      </c>
      <c r="G577" s="36">
        <f t="shared" si="35"/>
        <v>5692.403362068183</v>
      </c>
      <c r="I577" s="40">
        <v>5698.5</v>
      </c>
      <c r="J577" s="36">
        <v>6037.9766671318148</v>
      </c>
      <c r="K577" s="36">
        <v>5692.403362068183</v>
      </c>
    </row>
    <row r="578" spans="1:11" x14ac:dyDescent="0.25">
      <c r="A578" s="39">
        <v>41338</v>
      </c>
      <c r="B578" s="36">
        <v>5784.25</v>
      </c>
      <c r="C578" s="36">
        <f t="shared" si="32"/>
        <v>5856.5575195000001</v>
      </c>
      <c r="D578" s="36">
        <f t="shared" si="33"/>
        <v>85.366859317813905</v>
      </c>
      <c r="E578" s="40">
        <v>5784.25</v>
      </c>
      <c r="F578" s="36">
        <f t="shared" si="34"/>
        <v>6027.2912381356282</v>
      </c>
      <c r="G578" s="36">
        <f t="shared" si="35"/>
        <v>5685.8238008643721</v>
      </c>
      <c r="I578" s="40">
        <v>5784.25</v>
      </c>
      <c r="J578" s="36">
        <v>6027.2912381356282</v>
      </c>
      <c r="K578" s="36">
        <v>5685.8238008643721</v>
      </c>
    </row>
    <row r="579" spans="1:11" x14ac:dyDescent="0.25">
      <c r="A579" s="39">
        <v>41339</v>
      </c>
      <c r="B579" s="36">
        <v>5818.6000979999999</v>
      </c>
      <c r="C579" s="36">
        <f t="shared" si="32"/>
        <v>5849.5275146499998</v>
      </c>
      <c r="D579" s="36">
        <f t="shared" si="33"/>
        <v>82.199801630978158</v>
      </c>
      <c r="E579" s="40">
        <v>5818.6000979999999</v>
      </c>
      <c r="F579" s="36">
        <f t="shared" si="34"/>
        <v>6013.927117911956</v>
      </c>
      <c r="G579" s="36">
        <f t="shared" si="35"/>
        <v>5685.1279113880437</v>
      </c>
      <c r="I579" s="40">
        <v>5818.6000979999999</v>
      </c>
      <c r="J579" s="36">
        <v>6013.927117911956</v>
      </c>
      <c r="K579" s="36">
        <v>5685.1279113880437</v>
      </c>
    </row>
    <row r="580" spans="1:11" x14ac:dyDescent="0.25">
      <c r="A580" s="39">
        <v>41340</v>
      </c>
      <c r="B580" s="36">
        <v>5863.2998049999997</v>
      </c>
      <c r="C580" s="36">
        <f t="shared" si="32"/>
        <v>5845.7525146499993</v>
      </c>
      <c r="D580" s="36">
        <f t="shared" si="33"/>
        <v>79.576002079581329</v>
      </c>
      <c r="E580" s="40">
        <v>5863.2998049999997</v>
      </c>
      <c r="F580" s="36">
        <f t="shared" si="34"/>
        <v>6004.9045188091623</v>
      </c>
      <c r="G580" s="36">
        <f t="shared" si="35"/>
        <v>5686.6005104908363</v>
      </c>
      <c r="I580" s="40">
        <v>5863.2998049999997</v>
      </c>
      <c r="J580" s="36">
        <v>6004.9045188091623</v>
      </c>
      <c r="K580" s="36">
        <v>5686.6005104908363</v>
      </c>
    </row>
    <row r="581" spans="1:11" x14ac:dyDescent="0.25">
      <c r="A581" s="39">
        <v>41341</v>
      </c>
      <c r="B581" s="36">
        <v>5945.7001950000003</v>
      </c>
      <c r="C581" s="36">
        <f t="shared" si="32"/>
        <v>5847.8625244000004</v>
      </c>
      <c r="D581" s="36">
        <f t="shared" si="33"/>
        <v>81.718446655708803</v>
      </c>
      <c r="E581" s="40">
        <v>5945.7001950000003</v>
      </c>
      <c r="F581" s="36">
        <f t="shared" si="34"/>
        <v>6011.2994177114178</v>
      </c>
      <c r="G581" s="36">
        <f t="shared" si="35"/>
        <v>5684.425631088583</v>
      </c>
      <c r="I581" s="40">
        <v>5945.7001950000003</v>
      </c>
      <c r="J581" s="36">
        <v>6011.2994177114178</v>
      </c>
      <c r="K581" s="36">
        <v>5684.425631088583</v>
      </c>
    </row>
    <row r="582" spans="1:11" x14ac:dyDescent="0.25">
      <c r="A582" s="39">
        <v>41344</v>
      </c>
      <c r="B582" s="36">
        <v>5942.3500979999999</v>
      </c>
      <c r="C582" s="36">
        <f t="shared" si="32"/>
        <v>5850.0875243999999</v>
      </c>
      <c r="D582" s="36">
        <f t="shared" si="33"/>
        <v>83.732128494766158</v>
      </c>
      <c r="E582" s="40">
        <v>5942.3500979999999</v>
      </c>
      <c r="F582" s="36">
        <f t="shared" si="34"/>
        <v>6017.5517813895322</v>
      </c>
      <c r="G582" s="36">
        <f t="shared" si="35"/>
        <v>5682.6232674104676</v>
      </c>
      <c r="I582" s="40">
        <v>5942.3500979999999</v>
      </c>
      <c r="J582" s="36">
        <v>6017.5517813895322</v>
      </c>
      <c r="K582" s="36">
        <v>5682.6232674104676</v>
      </c>
    </row>
    <row r="583" spans="1:11" x14ac:dyDescent="0.25">
      <c r="A583" s="39">
        <v>41345</v>
      </c>
      <c r="B583" s="36">
        <v>5914.1000979999999</v>
      </c>
      <c r="C583" s="36">
        <f t="shared" si="32"/>
        <v>5849.6675292999989</v>
      </c>
      <c r="D583" s="36">
        <f t="shared" si="33"/>
        <v>83.370079367685975</v>
      </c>
      <c r="E583" s="40">
        <v>5914.1000979999999</v>
      </c>
      <c r="F583" s="36">
        <f t="shared" si="34"/>
        <v>6016.4076880353705</v>
      </c>
      <c r="G583" s="36">
        <f t="shared" si="35"/>
        <v>5682.9273705646274</v>
      </c>
      <c r="I583" s="40">
        <v>5914.1000979999999</v>
      </c>
      <c r="J583" s="36">
        <v>6016.4076880353705</v>
      </c>
      <c r="K583" s="36">
        <v>5682.9273705646274</v>
      </c>
    </row>
    <row r="584" spans="1:11" x14ac:dyDescent="0.25">
      <c r="A584" s="39">
        <v>41346</v>
      </c>
      <c r="B584" s="36">
        <v>5851.2001950000003</v>
      </c>
      <c r="C584" s="36">
        <f t="shared" si="32"/>
        <v>5845.5800292999993</v>
      </c>
      <c r="D584" s="36">
        <f t="shared" si="33"/>
        <v>81.04353153666726</v>
      </c>
      <c r="E584" s="40">
        <v>5851.2001950000003</v>
      </c>
      <c r="F584" s="36">
        <f t="shared" si="34"/>
        <v>6007.6670923733336</v>
      </c>
      <c r="G584" s="36">
        <f t="shared" si="35"/>
        <v>5683.492966226665</v>
      </c>
      <c r="I584" s="40">
        <v>5851.2001950000003</v>
      </c>
      <c r="J584" s="36">
        <v>6007.6670923733336</v>
      </c>
      <c r="K584" s="36">
        <v>5683.492966226665</v>
      </c>
    </row>
    <row r="585" spans="1:11" x14ac:dyDescent="0.25">
      <c r="A585" s="39">
        <v>41347</v>
      </c>
      <c r="B585" s="36">
        <v>5908.9501950000003</v>
      </c>
      <c r="C585" s="36">
        <f t="shared" si="32"/>
        <v>5846.1800292999997</v>
      </c>
      <c r="D585" s="36">
        <f t="shared" si="33"/>
        <v>81.48707035041005</v>
      </c>
      <c r="E585" s="40">
        <v>5908.9501950000003</v>
      </c>
      <c r="F585" s="36">
        <f t="shared" si="34"/>
        <v>6009.1541700008202</v>
      </c>
      <c r="G585" s="36">
        <f t="shared" si="35"/>
        <v>5683.2058885991792</v>
      </c>
      <c r="I585" s="40">
        <v>5908.9501950000003</v>
      </c>
      <c r="J585" s="36">
        <v>6009.1541700008202</v>
      </c>
      <c r="K585" s="36">
        <v>5683.2058885991792</v>
      </c>
    </row>
    <row r="586" spans="1:11" x14ac:dyDescent="0.25">
      <c r="A586" s="39">
        <v>41348</v>
      </c>
      <c r="B586" s="36">
        <v>5872.6000979999999</v>
      </c>
      <c r="C586" s="36">
        <f t="shared" si="32"/>
        <v>5845.440039099999</v>
      </c>
      <c r="D586" s="36">
        <f t="shared" si="33"/>
        <v>81.159589525286677</v>
      </c>
      <c r="E586" s="40">
        <v>5872.6000979999999</v>
      </c>
      <c r="F586" s="36">
        <f t="shared" si="34"/>
        <v>6007.7592181505725</v>
      </c>
      <c r="G586" s="36">
        <f t="shared" si="35"/>
        <v>5683.1208600494256</v>
      </c>
      <c r="I586" s="40">
        <v>5872.6000979999999</v>
      </c>
      <c r="J586" s="36">
        <v>6007.7592181505725</v>
      </c>
      <c r="K586" s="36">
        <v>5683.1208600494256</v>
      </c>
    </row>
    <row r="587" spans="1:11" x14ac:dyDescent="0.25">
      <c r="A587" s="39">
        <v>41351</v>
      </c>
      <c r="B587" s="36">
        <v>5835.25</v>
      </c>
      <c r="C587" s="36">
        <f t="shared" si="32"/>
        <v>5842.2925293499993</v>
      </c>
      <c r="D587" s="36">
        <f t="shared" si="33"/>
        <v>80.220999665754832</v>
      </c>
      <c r="E587" s="40">
        <v>5835.25</v>
      </c>
      <c r="F587" s="36">
        <f t="shared" si="34"/>
        <v>6002.7345286815089</v>
      </c>
      <c r="G587" s="36">
        <f t="shared" si="35"/>
        <v>5681.8505300184897</v>
      </c>
      <c r="I587" s="40">
        <v>5835.25</v>
      </c>
      <c r="J587" s="36">
        <v>6002.7345286815089</v>
      </c>
      <c r="K587" s="36">
        <v>5681.8505300184897</v>
      </c>
    </row>
    <row r="588" spans="1:11" x14ac:dyDescent="0.25">
      <c r="A588" s="39">
        <v>41352</v>
      </c>
      <c r="B588" s="36">
        <v>5745.9501950000003</v>
      </c>
      <c r="C588" s="36">
        <f t="shared" si="32"/>
        <v>5832.6050293499993</v>
      </c>
      <c r="D588" s="36">
        <f t="shared" si="33"/>
        <v>79.53463525431863</v>
      </c>
      <c r="E588" s="40">
        <v>5745.9501950000003</v>
      </c>
      <c r="F588" s="36">
        <f t="shared" si="34"/>
        <v>5991.6742998586369</v>
      </c>
      <c r="G588" s="36">
        <f t="shared" si="35"/>
        <v>5673.5357588413617</v>
      </c>
      <c r="I588" s="40">
        <v>5745.9501950000003</v>
      </c>
      <c r="J588" s="36">
        <v>5991.6742998586369</v>
      </c>
      <c r="K588" s="36">
        <v>5673.5357588413617</v>
      </c>
    </row>
    <row r="589" spans="1:11" x14ac:dyDescent="0.25">
      <c r="A589" s="39">
        <v>41353</v>
      </c>
      <c r="B589" s="36">
        <v>5694.3999020000001</v>
      </c>
      <c r="C589" s="36">
        <f t="shared" si="32"/>
        <v>5820.1725341999991</v>
      </c>
      <c r="D589" s="36">
        <f t="shared" si="33"/>
        <v>80.785836414972763</v>
      </c>
      <c r="E589" s="40">
        <v>5694.3999020000001</v>
      </c>
      <c r="F589" s="36">
        <f t="shared" si="34"/>
        <v>5981.7442070299448</v>
      </c>
      <c r="G589" s="36">
        <f t="shared" si="35"/>
        <v>5658.6008613700533</v>
      </c>
      <c r="I589" s="40">
        <v>5694.3999020000001</v>
      </c>
      <c r="J589" s="36">
        <v>5981.7442070299448</v>
      </c>
      <c r="K589" s="36">
        <v>5658.6008613700533</v>
      </c>
    </row>
    <row r="590" spans="1:11" x14ac:dyDescent="0.25">
      <c r="A590" s="39">
        <v>41354</v>
      </c>
      <c r="B590" s="36">
        <v>5658.75</v>
      </c>
      <c r="C590" s="36">
        <f t="shared" si="32"/>
        <v>5810.4975341999989</v>
      </c>
      <c r="D590" s="36">
        <f t="shared" si="33"/>
        <v>88.006230095095816</v>
      </c>
      <c r="E590" s="40">
        <v>5658.75</v>
      </c>
      <c r="F590" s="36">
        <f t="shared" si="34"/>
        <v>5986.5099943901905</v>
      </c>
      <c r="G590" s="36">
        <f t="shared" si="35"/>
        <v>5634.4850740098072</v>
      </c>
      <c r="I590" s="40">
        <v>5658.75</v>
      </c>
      <c r="J590" s="36">
        <v>5986.5099943901905</v>
      </c>
      <c r="K590" s="36">
        <v>5634.4850740098072</v>
      </c>
    </row>
    <row r="591" spans="1:11" x14ac:dyDescent="0.25">
      <c r="A591" s="39">
        <v>41355</v>
      </c>
      <c r="B591" s="36">
        <v>5651.3500979999999</v>
      </c>
      <c r="C591" s="36">
        <f t="shared" si="32"/>
        <v>5800.5500488499993</v>
      </c>
      <c r="D591" s="36">
        <f t="shared" si="33"/>
        <v>94.289997953652318</v>
      </c>
      <c r="E591" s="40">
        <v>5651.3500979999999</v>
      </c>
      <c r="F591" s="36">
        <f t="shared" si="34"/>
        <v>5989.1300447573039</v>
      </c>
      <c r="G591" s="36">
        <f t="shared" si="35"/>
        <v>5611.9700529426946</v>
      </c>
      <c r="I591" s="40">
        <v>5651.3500979999999</v>
      </c>
      <c r="J591" s="36">
        <v>5989.1300447573039</v>
      </c>
      <c r="K591" s="36">
        <v>5611.9700529426946</v>
      </c>
    </row>
    <row r="592" spans="1:11" x14ac:dyDescent="0.25">
      <c r="A592" s="39">
        <v>41358</v>
      </c>
      <c r="B592" s="36">
        <v>5633.8500979999999</v>
      </c>
      <c r="C592" s="36">
        <f t="shared" si="32"/>
        <v>5789.5050537500001</v>
      </c>
      <c r="D592" s="36">
        <f t="shared" si="33"/>
        <v>100.35014256446091</v>
      </c>
      <c r="E592" s="40">
        <v>5633.8500979999999</v>
      </c>
      <c r="F592" s="36">
        <f t="shared" si="34"/>
        <v>5990.2053388789218</v>
      </c>
      <c r="G592" s="36">
        <f t="shared" si="35"/>
        <v>5588.8047686210784</v>
      </c>
      <c r="I592" s="40">
        <v>5633.8500979999999</v>
      </c>
      <c r="J592" s="36">
        <v>5990.2053388789218</v>
      </c>
      <c r="K592" s="36">
        <v>5588.8047686210784</v>
      </c>
    </row>
    <row r="593" spans="1:11" x14ac:dyDescent="0.25">
      <c r="A593" s="39">
        <v>41359</v>
      </c>
      <c r="B593" s="36">
        <v>5641.6000979999999</v>
      </c>
      <c r="C593" s="36">
        <f t="shared" si="32"/>
        <v>5783.517553749999</v>
      </c>
      <c r="D593" s="36">
        <f t="shared" si="33"/>
        <v>105.55593239669319</v>
      </c>
      <c r="E593" s="40">
        <v>5641.6000979999999</v>
      </c>
      <c r="F593" s="36">
        <f t="shared" si="34"/>
        <v>5994.6294185433853</v>
      </c>
      <c r="G593" s="36">
        <f t="shared" si="35"/>
        <v>5572.4056889566127</v>
      </c>
      <c r="I593" s="40">
        <v>5641.6000979999999</v>
      </c>
      <c r="J593" s="36">
        <v>5994.6294185433853</v>
      </c>
      <c r="K593" s="36">
        <v>5572.4056889566127</v>
      </c>
    </row>
    <row r="594" spans="1:11" x14ac:dyDescent="0.25">
      <c r="A594" s="39">
        <v>41361</v>
      </c>
      <c r="B594" s="36">
        <v>5682.5498049999997</v>
      </c>
      <c r="C594" s="36">
        <f t="shared" si="32"/>
        <v>5777.8000488999987</v>
      </c>
      <c r="D594" s="36">
        <f t="shared" si="33"/>
        <v>107.8645945100014</v>
      </c>
      <c r="E594" s="40">
        <v>5682.5498049999997</v>
      </c>
      <c r="F594" s="36">
        <f t="shared" si="34"/>
        <v>5993.5292379200018</v>
      </c>
      <c r="G594" s="36">
        <f t="shared" si="35"/>
        <v>5562.0708598799956</v>
      </c>
      <c r="I594" s="40">
        <v>5682.5498049999997</v>
      </c>
      <c r="J594" s="36">
        <v>5993.5292379200018</v>
      </c>
      <c r="K594" s="36">
        <v>5562.0708598799956</v>
      </c>
    </row>
    <row r="595" spans="1:11" x14ac:dyDescent="0.25">
      <c r="A595" s="39">
        <v>41365</v>
      </c>
      <c r="B595" s="36">
        <v>5704.3999020000001</v>
      </c>
      <c r="C595" s="36">
        <f t="shared" si="32"/>
        <v>5778.3675537500003</v>
      </c>
      <c r="D595" s="36">
        <f t="shared" si="33"/>
        <v>107.42419131551867</v>
      </c>
      <c r="E595" s="40">
        <v>5704.3999020000001</v>
      </c>
      <c r="F595" s="36">
        <f t="shared" si="34"/>
        <v>5993.2159363810379</v>
      </c>
      <c r="G595" s="36">
        <f t="shared" si="35"/>
        <v>5563.5191711189627</v>
      </c>
      <c r="I595" s="40">
        <v>5704.3999020000001</v>
      </c>
      <c r="J595" s="36">
        <v>5993.2159363810379</v>
      </c>
      <c r="K595" s="36">
        <v>5563.5191711189627</v>
      </c>
    </row>
    <row r="596" spans="1:11" x14ac:dyDescent="0.25">
      <c r="A596" s="39">
        <v>41366</v>
      </c>
      <c r="B596" s="36">
        <v>5748.1000979999999</v>
      </c>
      <c r="C596" s="36">
        <f t="shared" si="32"/>
        <v>5779.7875488999998</v>
      </c>
      <c r="D596" s="36">
        <f t="shared" si="33"/>
        <v>106.79372958293467</v>
      </c>
      <c r="E596" s="40">
        <v>5748.1000979999999</v>
      </c>
      <c r="F596" s="36">
        <f t="shared" si="34"/>
        <v>5993.3750080658692</v>
      </c>
      <c r="G596" s="36">
        <f t="shared" si="35"/>
        <v>5566.2000897341304</v>
      </c>
      <c r="I596" s="40">
        <v>5748.1000979999999</v>
      </c>
      <c r="J596" s="36">
        <v>5993.3750080658692</v>
      </c>
      <c r="K596" s="36">
        <v>5566.2000897341304</v>
      </c>
    </row>
    <row r="597" spans="1:11" x14ac:dyDescent="0.25">
      <c r="A597" s="39">
        <v>41367</v>
      </c>
      <c r="B597" s="36">
        <v>5672.8999020000001</v>
      </c>
      <c r="C597" s="36">
        <f t="shared" si="32"/>
        <v>5778.5075439999991</v>
      </c>
      <c r="D597" s="36">
        <f t="shared" si="33"/>
        <v>107.96628325770949</v>
      </c>
      <c r="E597" s="40">
        <v>5672.8999020000001</v>
      </c>
      <c r="F597" s="36">
        <f t="shared" si="34"/>
        <v>5994.4401105154184</v>
      </c>
      <c r="G597" s="36">
        <f t="shared" si="35"/>
        <v>5562.5749774845799</v>
      </c>
      <c r="I597" s="40">
        <v>5672.8999020000001</v>
      </c>
      <c r="J597" s="36">
        <v>5994.4401105154184</v>
      </c>
      <c r="K597" s="36">
        <v>5562.5749774845799</v>
      </c>
    </row>
    <row r="598" spans="1:11" x14ac:dyDescent="0.25">
      <c r="A598" s="39">
        <v>41368</v>
      </c>
      <c r="B598" s="36">
        <v>5574.75</v>
      </c>
      <c r="C598" s="36">
        <f t="shared" ref="C598:C661" si="36">AVERAGE(B579:B598)</f>
        <v>5768.0325439999997</v>
      </c>
      <c r="D598" s="36">
        <f t="shared" ref="D598:D661" si="37">_xlfn.STDEV.S(B579:B598)</f>
        <v>117.15201472427884</v>
      </c>
      <c r="E598" s="40">
        <v>5574.75</v>
      </c>
      <c r="F598" s="36">
        <f t="shared" ref="F598:F661" si="38">C598+2*D598</f>
        <v>6002.3365734485578</v>
      </c>
      <c r="G598" s="36">
        <f t="shared" ref="G598:G661" si="39">C598-2*D598</f>
        <v>5533.7285145514415</v>
      </c>
      <c r="I598" s="40">
        <v>5574.75</v>
      </c>
      <c r="J598" s="36">
        <v>6002.3365734485578</v>
      </c>
      <c r="K598" s="36">
        <v>5533.7285145514415</v>
      </c>
    </row>
    <row r="599" spans="1:11" x14ac:dyDescent="0.25">
      <c r="A599" s="39">
        <v>41369</v>
      </c>
      <c r="B599" s="36">
        <v>5553.25</v>
      </c>
      <c r="C599" s="36">
        <f t="shared" si="36"/>
        <v>5754.7650390999997</v>
      </c>
      <c r="D599" s="36">
        <f t="shared" si="37"/>
        <v>125.82804191044843</v>
      </c>
      <c r="E599" s="40">
        <v>5553.25</v>
      </c>
      <c r="F599" s="36">
        <f t="shared" si="38"/>
        <v>6006.4211229208968</v>
      </c>
      <c r="G599" s="36">
        <f t="shared" si="39"/>
        <v>5503.1089552791027</v>
      </c>
      <c r="I599" s="40">
        <v>5553.25</v>
      </c>
      <c r="J599" s="36">
        <v>6006.4211229208968</v>
      </c>
      <c r="K599" s="36">
        <v>5503.1089552791027</v>
      </c>
    </row>
    <row r="600" spans="1:11" x14ac:dyDescent="0.25">
      <c r="A600" s="39">
        <v>41372</v>
      </c>
      <c r="B600" s="36">
        <v>5542.9501950000003</v>
      </c>
      <c r="C600" s="36">
        <f t="shared" si="36"/>
        <v>5738.7475586</v>
      </c>
      <c r="D600" s="36">
        <f t="shared" si="37"/>
        <v>131.54462233304307</v>
      </c>
      <c r="E600" s="40">
        <v>5542.9501950000003</v>
      </c>
      <c r="F600" s="36">
        <f t="shared" si="38"/>
        <v>6001.8368032660865</v>
      </c>
      <c r="G600" s="36">
        <f t="shared" si="39"/>
        <v>5475.6583139339136</v>
      </c>
      <c r="I600" s="40">
        <v>5542.9501950000003</v>
      </c>
      <c r="J600" s="36">
        <v>6001.8368032660865</v>
      </c>
      <c r="K600" s="36">
        <v>5475.6583139339136</v>
      </c>
    </row>
    <row r="601" spans="1:11" x14ac:dyDescent="0.25">
      <c r="A601" s="39">
        <v>41373</v>
      </c>
      <c r="B601" s="36">
        <v>5495.1000979999999</v>
      </c>
      <c r="C601" s="36">
        <f t="shared" si="36"/>
        <v>5716.2175537499998</v>
      </c>
      <c r="D601" s="36">
        <f t="shared" si="37"/>
        <v>132.81535156259395</v>
      </c>
      <c r="E601" s="40">
        <v>5495.1000979999999</v>
      </c>
      <c r="F601" s="36">
        <f t="shared" si="38"/>
        <v>5981.8482568751879</v>
      </c>
      <c r="G601" s="36">
        <f t="shared" si="39"/>
        <v>5450.5868506248116</v>
      </c>
      <c r="I601" s="40">
        <v>5495.1000979999999</v>
      </c>
      <c r="J601" s="36">
        <v>5981.8482568751879</v>
      </c>
      <c r="K601" s="36">
        <v>5450.5868506248116</v>
      </c>
    </row>
    <row r="602" spans="1:11" x14ac:dyDescent="0.25">
      <c r="A602" s="39">
        <v>41374</v>
      </c>
      <c r="B602" s="36">
        <v>5558.7001950000003</v>
      </c>
      <c r="C602" s="36">
        <f t="shared" si="36"/>
        <v>5697.0350586000004</v>
      </c>
      <c r="D602" s="36">
        <f t="shared" si="37"/>
        <v>125.96466984587293</v>
      </c>
      <c r="E602" s="40">
        <v>5558.7001950000003</v>
      </c>
      <c r="F602" s="36">
        <f t="shared" si="38"/>
        <v>5948.964398291746</v>
      </c>
      <c r="G602" s="36">
        <f t="shared" si="39"/>
        <v>5445.1057189082549</v>
      </c>
      <c r="I602" s="40">
        <v>5558.7001950000003</v>
      </c>
      <c r="J602" s="36">
        <v>5948.964398291746</v>
      </c>
      <c r="K602" s="36">
        <v>5445.1057189082549</v>
      </c>
    </row>
    <row r="603" spans="1:11" x14ac:dyDescent="0.25">
      <c r="A603" s="39">
        <v>41375</v>
      </c>
      <c r="B603" s="36">
        <v>5594</v>
      </c>
      <c r="C603" s="36">
        <f t="shared" si="36"/>
        <v>5681.0300537000003</v>
      </c>
      <c r="D603" s="36">
        <f t="shared" si="37"/>
        <v>116.94592796228004</v>
      </c>
      <c r="E603" s="40">
        <v>5594</v>
      </c>
      <c r="F603" s="36">
        <f t="shared" si="38"/>
        <v>5914.9219096245606</v>
      </c>
      <c r="G603" s="36">
        <f t="shared" si="39"/>
        <v>5447.1381977754399</v>
      </c>
      <c r="I603" s="40">
        <v>5594</v>
      </c>
      <c r="J603" s="36">
        <v>5914.9219096245606</v>
      </c>
      <c r="K603" s="36">
        <v>5447.1381977754399</v>
      </c>
    </row>
    <row r="604" spans="1:11" x14ac:dyDescent="0.25">
      <c r="A604" s="39">
        <v>41376</v>
      </c>
      <c r="B604" s="36">
        <v>5528.5498049999997</v>
      </c>
      <c r="C604" s="36">
        <f t="shared" si="36"/>
        <v>5664.8975342000003</v>
      </c>
      <c r="D604" s="36">
        <f t="shared" si="37"/>
        <v>114.46393061328403</v>
      </c>
      <c r="E604" s="40">
        <v>5528.5498049999997</v>
      </c>
      <c r="F604" s="36">
        <f t="shared" si="38"/>
        <v>5893.8253954265683</v>
      </c>
      <c r="G604" s="36">
        <f t="shared" si="39"/>
        <v>5435.9696729734324</v>
      </c>
      <c r="I604" s="40">
        <v>5528.5498049999997</v>
      </c>
      <c r="J604" s="36">
        <v>5893.8253954265683</v>
      </c>
      <c r="K604" s="36">
        <v>5435.9696729734324</v>
      </c>
    </row>
    <row r="605" spans="1:11" x14ac:dyDescent="0.25">
      <c r="A605" s="39">
        <v>41379</v>
      </c>
      <c r="B605" s="36">
        <v>5568.3999020000001</v>
      </c>
      <c r="C605" s="36">
        <f t="shared" si="36"/>
        <v>5647.8700195500005</v>
      </c>
      <c r="D605" s="36">
        <f t="shared" si="37"/>
        <v>100.7574480702461</v>
      </c>
      <c r="E605" s="40">
        <v>5568.3999020000001</v>
      </c>
      <c r="F605" s="36">
        <f t="shared" si="38"/>
        <v>5849.3849156904926</v>
      </c>
      <c r="G605" s="36">
        <f t="shared" si="39"/>
        <v>5446.3551234095085</v>
      </c>
      <c r="I605" s="40">
        <v>5568.3999020000001</v>
      </c>
      <c r="J605" s="36">
        <v>5849.3849156904926</v>
      </c>
      <c r="K605" s="36">
        <v>5446.3551234095085</v>
      </c>
    </row>
    <row r="606" spans="1:11" x14ac:dyDescent="0.25">
      <c r="A606" s="39">
        <v>41380</v>
      </c>
      <c r="B606" s="36">
        <v>5688.9501950000003</v>
      </c>
      <c r="C606" s="36">
        <f t="shared" si="36"/>
        <v>5638.6875243999993</v>
      </c>
      <c r="D606" s="36">
        <f t="shared" si="37"/>
        <v>86.568139210865127</v>
      </c>
      <c r="E606" s="40">
        <v>5688.9501950000003</v>
      </c>
      <c r="F606" s="36">
        <f t="shared" si="38"/>
        <v>5811.8238028217293</v>
      </c>
      <c r="G606" s="36">
        <f t="shared" si="39"/>
        <v>5465.5512459782694</v>
      </c>
      <c r="I606" s="40">
        <v>5688.9501950000003</v>
      </c>
      <c r="J606" s="36">
        <v>5811.8238028217293</v>
      </c>
      <c r="K606" s="36">
        <v>5465.5512459782694</v>
      </c>
    </row>
    <row r="607" spans="1:11" x14ac:dyDescent="0.25">
      <c r="A607" s="39">
        <v>41381</v>
      </c>
      <c r="B607" s="36">
        <v>5688.7001950000003</v>
      </c>
      <c r="C607" s="36">
        <f t="shared" si="36"/>
        <v>5631.3600341499996</v>
      </c>
      <c r="D607" s="36">
        <f t="shared" si="37"/>
        <v>74.401977174304704</v>
      </c>
      <c r="E607" s="40">
        <v>5688.7001950000003</v>
      </c>
      <c r="F607" s="36">
        <f t="shared" si="38"/>
        <v>5780.1639884986089</v>
      </c>
      <c r="G607" s="36">
        <f t="shared" si="39"/>
        <v>5482.5560798013903</v>
      </c>
      <c r="I607" s="40">
        <v>5688.7001950000003</v>
      </c>
      <c r="J607" s="36">
        <v>5780.1639884986089</v>
      </c>
      <c r="K607" s="36">
        <v>5482.5560798013903</v>
      </c>
    </row>
    <row r="608" spans="1:11" x14ac:dyDescent="0.25">
      <c r="A608" s="39">
        <v>41382</v>
      </c>
      <c r="B608" s="36">
        <v>5783.1000979999999</v>
      </c>
      <c r="C608" s="36">
        <f t="shared" si="36"/>
        <v>5633.2175292999991</v>
      </c>
      <c r="D608" s="36">
        <f t="shared" si="37"/>
        <v>77.799528543557656</v>
      </c>
      <c r="E608" s="40">
        <v>5783.1000979999999</v>
      </c>
      <c r="F608" s="36">
        <f t="shared" si="38"/>
        <v>5788.8165863871145</v>
      </c>
      <c r="G608" s="36">
        <f t="shared" si="39"/>
        <v>5477.6184722128837</v>
      </c>
      <c r="I608" s="40">
        <v>5783.1000979999999</v>
      </c>
      <c r="J608" s="36">
        <v>5788.8165863871145</v>
      </c>
      <c r="K608" s="36">
        <v>5477.6184722128837</v>
      </c>
    </row>
    <row r="609" spans="1:11" x14ac:dyDescent="0.25">
      <c r="A609" s="39">
        <v>41386</v>
      </c>
      <c r="B609" s="36">
        <v>5834.3999020000001</v>
      </c>
      <c r="C609" s="36">
        <f t="shared" si="36"/>
        <v>5640.2175292999991</v>
      </c>
      <c r="D609" s="36">
        <f t="shared" si="37"/>
        <v>89.075258111919652</v>
      </c>
      <c r="E609" s="40">
        <v>5834.3999020000001</v>
      </c>
      <c r="F609" s="36">
        <f t="shared" si="38"/>
        <v>5818.3680455238382</v>
      </c>
      <c r="G609" s="36">
        <f t="shared" si="39"/>
        <v>5462.06701307616</v>
      </c>
      <c r="I609" s="40">
        <v>5834.3999020000001</v>
      </c>
      <c r="J609" s="36">
        <v>5818.3680455238382</v>
      </c>
      <c r="K609" s="36">
        <v>5462.06701307616</v>
      </c>
    </row>
    <row r="610" spans="1:11" x14ac:dyDescent="0.25">
      <c r="A610" s="39">
        <v>41387</v>
      </c>
      <c r="B610" s="36">
        <v>5836.8999020000001</v>
      </c>
      <c r="C610" s="36">
        <f t="shared" si="36"/>
        <v>5649.1250244000003</v>
      </c>
      <c r="D610" s="36">
        <f t="shared" si="37"/>
        <v>99.341851155206783</v>
      </c>
      <c r="E610" s="40">
        <v>5836.8999020000001</v>
      </c>
      <c r="F610" s="36">
        <f t="shared" si="38"/>
        <v>5847.8087267104138</v>
      </c>
      <c r="G610" s="36">
        <f t="shared" si="39"/>
        <v>5450.4413220895867</v>
      </c>
      <c r="I610" s="40">
        <v>5836.8999020000001</v>
      </c>
      <c r="J610" s="36">
        <v>5847.8087267104138</v>
      </c>
      <c r="K610" s="36">
        <v>5450.4413220895867</v>
      </c>
    </row>
    <row r="611" spans="1:11" x14ac:dyDescent="0.25">
      <c r="A611" s="39">
        <v>41389</v>
      </c>
      <c r="B611" s="36">
        <v>5916.2998049999997</v>
      </c>
      <c r="C611" s="36">
        <f t="shared" si="36"/>
        <v>5662.372509750001</v>
      </c>
      <c r="D611" s="36">
        <f t="shared" si="37"/>
        <v>115.93436425796806</v>
      </c>
      <c r="E611" s="40">
        <v>5916.2998049999997</v>
      </c>
      <c r="F611" s="36">
        <f t="shared" si="38"/>
        <v>5894.2412382659368</v>
      </c>
      <c r="G611" s="36">
        <f t="shared" si="39"/>
        <v>5430.5037812340652</v>
      </c>
      <c r="I611" s="40">
        <v>5916.2998049999997</v>
      </c>
      <c r="J611" s="36">
        <v>5894.2412382659368</v>
      </c>
      <c r="K611" s="36">
        <v>5430.5037812340652</v>
      </c>
    </row>
    <row r="612" spans="1:11" x14ac:dyDescent="0.25">
      <c r="A612" s="39">
        <v>41390</v>
      </c>
      <c r="B612" s="36">
        <v>5871.4501950000003</v>
      </c>
      <c r="C612" s="36">
        <f t="shared" si="36"/>
        <v>5674.2525145999998</v>
      </c>
      <c r="D612" s="36">
        <f t="shared" si="37"/>
        <v>124.70006535574751</v>
      </c>
      <c r="E612" s="40">
        <v>5871.4501950000003</v>
      </c>
      <c r="F612" s="36">
        <f t="shared" si="38"/>
        <v>5923.6526453114948</v>
      </c>
      <c r="G612" s="36">
        <f t="shared" si="39"/>
        <v>5424.8523838885048</v>
      </c>
      <c r="I612" s="40">
        <v>5871.4501950000003</v>
      </c>
      <c r="J612" s="36">
        <v>5923.6526453114948</v>
      </c>
      <c r="K612" s="36">
        <v>5424.8523838885048</v>
      </c>
    </row>
    <row r="613" spans="1:11" x14ac:dyDescent="0.25">
      <c r="A613" s="39">
        <v>41393</v>
      </c>
      <c r="B613" s="36">
        <v>5904.1000979999999</v>
      </c>
      <c r="C613" s="36">
        <f t="shared" si="36"/>
        <v>5687.3775145999998</v>
      </c>
      <c r="D613" s="36">
        <f t="shared" si="37"/>
        <v>134.5108953677078</v>
      </c>
      <c r="E613" s="40">
        <v>5904.1000979999999</v>
      </c>
      <c r="F613" s="36">
        <f t="shared" si="38"/>
        <v>5956.3993053354152</v>
      </c>
      <c r="G613" s="36">
        <f t="shared" si="39"/>
        <v>5418.3557238645844</v>
      </c>
      <c r="I613" s="40">
        <v>5904.1000979999999</v>
      </c>
      <c r="J613" s="36">
        <v>5956.3993053354152</v>
      </c>
      <c r="K613" s="36">
        <v>5418.3557238645844</v>
      </c>
    </row>
    <row r="614" spans="1:11" x14ac:dyDescent="0.25">
      <c r="A614" s="39">
        <v>41394</v>
      </c>
      <c r="B614" s="36">
        <v>5930.2001950000003</v>
      </c>
      <c r="C614" s="36">
        <f t="shared" si="36"/>
        <v>5699.7600340999998</v>
      </c>
      <c r="D614" s="36">
        <f t="shared" si="37"/>
        <v>145.03056847167508</v>
      </c>
      <c r="E614" s="40">
        <v>5930.2001950000003</v>
      </c>
      <c r="F614" s="36">
        <f t="shared" si="38"/>
        <v>5989.8211710433498</v>
      </c>
      <c r="G614" s="36">
        <f t="shared" si="39"/>
        <v>5409.6988971566498</v>
      </c>
      <c r="I614" s="40">
        <v>5930.2001950000003</v>
      </c>
      <c r="J614" s="36">
        <v>5989.8211710433498</v>
      </c>
      <c r="K614" s="36">
        <v>5409.6988971566498</v>
      </c>
    </row>
    <row r="615" spans="1:11" x14ac:dyDescent="0.25">
      <c r="A615" s="39">
        <v>41396</v>
      </c>
      <c r="B615" s="36">
        <v>5999.3500979999999</v>
      </c>
      <c r="C615" s="36">
        <f t="shared" si="36"/>
        <v>5714.5075438999993</v>
      </c>
      <c r="D615" s="36">
        <f t="shared" si="37"/>
        <v>159.77391051446187</v>
      </c>
      <c r="E615" s="40">
        <v>5999.3500979999999</v>
      </c>
      <c r="F615" s="36">
        <f t="shared" si="38"/>
        <v>6034.0553649289232</v>
      </c>
      <c r="G615" s="36">
        <f t="shared" si="39"/>
        <v>5394.9597228710754</v>
      </c>
      <c r="I615" s="40">
        <v>5999.3500979999999</v>
      </c>
      <c r="J615" s="36">
        <v>6034.0553649289232</v>
      </c>
      <c r="K615" s="36">
        <v>5394.9597228710754</v>
      </c>
    </row>
    <row r="616" spans="1:11" x14ac:dyDescent="0.25">
      <c r="A616" s="39">
        <v>41397</v>
      </c>
      <c r="B616" s="36">
        <v>5944</v>
      </c>
      <c r="C616" s="36">
        <f t="shared" si="36"/>
        <v>5724.3025389999993</v>
      </c>
      <c r="D616" s="36">
        <f t="shared" si="37"/>
        <v>167.74759175873521</v>
      </c>
      <c r="E616" s="40">
        <v>5944</v>
      </c>
      <c r="F616" s="36">
        <f t="shared" si="38"/>
        <v>6059.79772251747</v>
      </c>
      <c r="G616" s="36">
        <f t="shared" si="39"/>
        <v>5388.8073554825287</v>
      </c>
      <c r="I616" s="40">
        <v>5944</v>
      </c>
      <c r="J616" s="36">
        <v>6059.79772251747</v>
      </c>
      <c r="K616" s="36">
        <v>5388.8073554825287</v>
      </c>
    </row>
    <row r="617" spans="1:11" x14ac:dyDescent="0.25">
      <c r="A617" s="39">
        <v>41400</v>
      </c>
      <c r="B617" s="36">
        <v>5971.0498049999997</v>
      </c>
      <c r="C617" s="36">
        <f t="shared" si="36"/>
        <v>5739.21003415</v>
      </c>
      <c r="D617" s="36">
        <f t="shared" si="37"/>
        <v>175.98492014213303</v>
      </c>
      <c r="E617" s="40">
        <v>5971.0498049999997</v>
      </c>
      <c r="F617" s="36">
        <f t="shared" si="38"/>
        <v>6091.1798744342659</v>
      </c>
      <c r="G617" s="36">
        <f t="shared" si="39"/>
        <v>5387.240193865734</v>
      </c>
      <c r="I617" s="40">
        <v>5971.0498049999997</v>
      </c>
      <c r="J617" s="36">
        <v>6091.1798744342659</v>
      </c>
      <c r="K617" s="36">
        <v>5387.240193865734</v>
      </c>
    </row>
    <row r="618" spans="1:11" x14ac:dyDescent="0.25">
      <c r="A618" s="39">
        <v>41401</v>
      </c>
      <c r="B618" s="36">
        <v>6043.5498049999997</v>
      </c>
      <c r="C618" s="36">
        <f t="shared" si="36"/>
        <v>5762.6500243999999</v>
      </c>
      <c r="D618" s="36">
        <f t="shared" si="37"/>
        <v>183.9665416749863</v>
      </c>
      <c r="E618" s="40">
        <v>6043.5498049999997</v>
      </c>
      <c r="F618" s="36">
        <f t="shared" si="38"/>
        <v>6130.5831077499724</v>
      </c>
      <c r="G618" s="36">
        <f t="shared" si="39"/>
        <v>5394.7169410500273</v>
      </c>
      <c r="I618" s="40">
        <v>6043.5498049999997</v>
      </c>
      <c r="J618" s="36">
        <v>6130.5831077499724</v>
      </c>
      <c r="K618" s="36">
        <v>5394.7169410500273</v>
      </c>
    </row>
    <row r="619" spans="1:11" x14ac:dyDescent="0.25">
      <c r="A619" s="39">
        <v>41402</v>
      </c>
      <c r="B619" s="36">
        <v>6069.2998049999997</v>
      </c>
      <c r="C619" s="36">
        <f t="shared" si="36"/>
        <v>5788.4525146499991</v>
      </c>
      <c r="D619" s="36">
        <f t="shared" si="37"/>
        <v>189.16720928746102</v>
      </c>
      <c r="E619" s="40">
        <v>6069.2998049999997</v>
      </c>
      <c r="F619" s="36">
        <f t="shared" si="38"/>
        <v>6166.7869332249211</v>
      </c>
      <c r="G619" s="36">
        <f t="shared" si="39"/>
        <v>5410.1180960750771</v>
      </c>
      <c r="I619" s="40">
        <v>6069.2998049999997</v>
      </c>
      <c r="J619" s="36">
        <v>6166.7869332249211</v>
      </c>
      <c r="K619" s="36">
        <v>5410.1180960750771</v>
      </c>
    </row>
    <row r="620" spans="1:11" x14ac:dyDescent="0.25">
      <c r="A620" s="39">
        <v>41403</v>
      </c>
      <c r="B620" s="36">
        <v>6050.1499020000001</v>
      </c>
      <c r="C620" s="36">
        <f t="shared" si="36"/>
        <v>5813.8125</v>
      </c>
      <c r="D620" s="36">
        <f t="shared" si="37"/>
        <v>188.5194370511764</v>
      </c>
      <c r="E620" s="40">
        <v>6050.1499020000001</v>
      </c>
      <c r="F620" s="36">
        <f t="shared" si="38"/>
        <v>6190.8513741023526</v>
      </c>
      <c r="G620" s="36">
        <f t="shared" si="39"/>
        <v>5436.7736258976474</v>
      </c>
      <c r="I620" s="40">
        <v>6050.1499020000001</v>
      </c>
      <c r="J620" s="36">
        <v>6190.8513741023526</v>
      </c>
      <c r="K620" s="36">
        <v>5436.7736258976474</v>
      </c>
    </row>
    <row r="621" spans="1:11" x14ac:dyDescent="0.25">
      <c r="A621" s="39">
        <v>41404</v>
      </c>
      <c r="B621" s="36">
        <v>6094.75</v>
      </c>
      <c r="C621" s="36">
        <f t="shared" si="36"/>
        <v>5843.7949951000001</v>
      </c>
      <c r="D621" s="36">
        <f t="shared" si="37"/>
        <v>182.75973129033108</v>
      </c>
      <c r="E621" s="40">
        <v>6094.75</v>
      </c>
      <c r="F621" s="36">
        <f t="shared" si="38"/>
        <v>6209.3144576806626</v>
      </c>
      <c r="G621" s="36">
        <f t="shared" si="39"/>
        <v>5478.2755325193375</v>
      </c>
      <c r="I621" s="40">
        <v>6094.75</v>
      </c>
      <c r="J621" s="36">
        <v>6209.3144576806626</v>
      </c>
      <c r="K621" s="36">
        <v>5478.2755325193375</v>
      </c>
    </row>
    <row r="622" spans="1:11" x14ac:dyDescent="0.25">
      <c r="A622" s="39">
        <v>41407</v>
      </c>
      <c r="B622" s="36">
        <v>5980.4501950000003</v>
      </c>
      <c r="C622" s="36">
        <f t="shared" si="36"/>
        <v>5864.8824951000006</v>
      </c>
      <c r="D622" s="36">
        <f t="shared" si="37"/>
        <v>172.15709070735929</v>
      </c>
      <c r="E622" s="40">
        <v>5980.4501950000003</v>
      </c>
      <c r="F622" s="36">
        <f t="shared" si="38"/>
        <v>6209.196676514719</v>
      </c>
      <c r="G622" s="36">
        <f t="shared" si="39"/>
        <v>5520.5683136852822</v>
      </c>
      <c r="I622" s="40">
        <v>5980.4501950000003</v>
      </c>
      <c r="J622" s="36">
        <v>6209.196676514719</v>
      </c>
      <c r="K622" s="36">
        <v>5520.5683136852822</v>
      </c>
    </row>
    <row r="623" spans="1:11" x14ac:dyDescent="0.25">
      <c r="A623" s="39">
        <v>41408</v>
      </c>
      <c r="B623" s="36">
        <v>5995.3999020000001</v>
      </c>
      <c r="C623" s="36">
        <f t="shared" si="36"/>
        <v>5884.9524902000003</v>
      </c>
      <c r="D623" s="36">
        <f t="shared" si="37"/>
        <v>162.0143897153055</v>
      </c>
      <c r="E623" s="40">
        <v>5995.3999020000001</v>
      </c>
      <c r="F623" s="36">
        <f t="shared" si="38"/>
        <v>6208.9812696306117</v>
      </c>
      <c r="G623" s="36">
        <f t="shared" si="39"/>
        <v>5560.9237107693889</v>
      </c>
      <c r="I623" s="40">
        <v>5995.3999020000001</v>
      </c>
      <c r="J623" s="36">
        <v>6208.9812696306117</v>
      </c>
      <c r="K623" s="36">
        <v>5560.9237107693889</v>
      </c>
    </row>
    <row r="624" spans="1:11" x14ac:dyDescent="0.25">
      <c r="A624" s="39">
        <v>41409</v>
      </c>
      <c r="B624" s="36">
        <v>6146.75</v>
      </c>
      <c r="C624" s="36">
        <f t="shared" si="36"/>
        <v>5915.8624999500007</v>
      </c>
      <c r="D624" s="36">
        <f t="shared" si="37"/>
        <v>148.87845185117385</v>
      </c>
      <c r="E624" s="40">
        <v>6146.75</v>
      </c>
      <c r="F624" s="36">
        <f t="shared" si="38"/>
        <v>6213.6194036523484</v>
      </c>
      <c r="G624" s="36">
        <f t="shared" si="39"/>
        <v>5618.105596247653</v>
      </c>
      <c r="I624" s="40">
        <v>6146.75</v>
      </c>
      <c r="J624" s="36">
        <v>6213.6194036523484</v>
      </c>
      <c r="K624" s="36">
        <v>5618.105596247653</v>
      </c>
    </row>
    <row r="625" spans="1:11" x14ac:dyDescent="0.25">
      <c r="A625" s="39">
        <v>41410</v>
      </c>
      <c r="B625" s="36">
        <v>6169.8999020000001</v>
      </c>
      <c r="C625" s="36">
        <f t="shared" si="36"/>
        <v>5945.9374999500014</v>
      </c>
      <c r="D625" s="36">
        <f t="shared" si="37"/>
        <v>135.11120317657125</v>
      </c>
      <c r="E625" s="40">
        <v>6169.8999020000001</v>
      </c>
      <c r="F625" s="36">
        <f t="shared" si="38"/>
        <v>6216.1599063031435</v>
      </c>
      <c r="G625" s="36">
        <f t="shared" si="39"/>
        <v>5675.7150935968593</v>
      </c>
      <c r="I625" s="40">
        <v>6169.8999020000001</v>
      </c>
      <c r="J625" s="36">
        <v>6216.1599063031435</v>
      </c>
      <c r="K625" s="36">
        <v>5675.7150935968593</v>
      </c>
    </row>
    <row r="626" spans="1:11" x14ac:dyDescent="0.25">
      <c r="A626" s="39">
        <v>41411</v>
      </c>
      <c r="B626" s="36">
        <v>6187.2998049999997</v>
      </c>
      <c r="C626" s="36">
        <f t="shared" si="36"/>
        <v>5970.8549804500017</v>
      </c>
      <c r="D626" s="36">
        <f t="shared" si="37"/>
        <v>131.11693815602783</v>
      </c>
      <c r="E626" s="40">
        <v>6187.2998049999997</v>
      </c>
      <c r="F626" s="36">
        <f t="shared" si="38"/>
        <v>6233.0888567620577</v>
      </c>
      <c r="G626" s="36">
        <f t="shared" si="39"/>
        <v>5708.6211041379456</v>
      </c>
      <c r="I626" s="40">
        <v>6187.2998049999997</v>
      </c>
      <c r="J626" s="36">
        <v>6233.0888567620577</v>
      </c>
      <c r="K626" s="36">
        <v>5708.6211041379456</v>
      </c>
    </row>
    <row r="627" spans="1:11" x14ac:dyDescent="0.25">
      <c r="A627" s="39">
        <v>41414</v>
      </c>
      <c r="B627" s="36">
        <v>6156.8999020000001</v>
      </c>
      <c r="C627" s="36">
        <f t="shared" si="36"/>
        <v>5994.2649658000009</v>
      </c>
      <c r="D627" s="36">
        <f t="shared" si="37"/>
        <v>119.35842076819829</v>
      </c>
      <c r="E627" s="40">
        <v>6156.8999020000001</v>
      </c>
      <c r="F627" s="36">
        <f t="shared" si="38"/>
        <v>6232.9818073363977</v>
      </c>
      <c r="G627" s="36">
        <f t="shared" si="39"/>
        <v>5755.5481242636042</v>
      </c>
      <c r="I627" s="40">
        <v>6156.8999020000001</v>
      </c>
      <c r="J627" s="36">
        <v>6232.9818073363977</v>
      </c>
      <c r="K627" s="36">
        <v>5755.5481242636042</v>
      </c>
    </row>
    <row r="628" spans="1:11" x14ac:dyDescent="0.25">
      <c r="A628" s="39">
        <v>41415</v>
      </c>
      <c r="B628" s="36">
        <v>6114.1000979999999</v>
      </c>
      <c r="C628" s="36">
        <f t="shared" si="36"/>
        <v>6010.8149658000011</v>
      </c>
      <c r="D628" s="36">
        <f t="shared" si="37"/>
        <v>111.20725721152304</v>
      </c>
      <c r="E628" s="40">
        <v>6114.1000979999999</v>
      </c>
      <c r="F628" s="36">
        <f t="shared" si="38"/>
        <v>6233.2294802230472</v>
      </c>
      <c r="G628" s="36">
        <f t="shared" si="39"/>
        <v>5788.4004513769551</v>
      </c>
      <c r="I628" s="40">
        <v>6114.1000979999999</v>
      </c>
      <c r="J628" s="36">
        <v>6233.2294802230472</v>
      </c>
      <c r="K628" s="36">
        <v>5788.4004513769551</v>
      </c>
    </row>
    <row r="629" spans="1:11" x14ac:dyDescent="0.25">
      <c r="A629" s="39">
        <v>41416</v>
      </c>
      <c r="B629" s="36">
        <v>6094.5</v>
      </c>
      <c r="C629" s="36">
        <f t="shared" si="36"/>
        <v>6023.8199707000003</v>
      </c>
      <c r="D629" s="36">
        <f t="shared" si="37"/>
        <v>104.49687334486531</v>
      </c>
      <c r="E629" s="40">
        <v>6094.5</v>
      </c>
      <c r="F629" s="36">
        <f t="shared" si="38"/>
        <v>6232.8137173897312</v>
      </c>
      <c r="G629" s="36">
        <f t="shared" si="39"/>
        <v>5814.8262240102695</v>
      </c>
      <c r="I629" s="40">
        <v>6094.5</v>
      </c>
      <c r="J629" s="36">
        <v>6232.8137173897312</v>
      </c>
      <c r="K629" s="36">
        <v>5814.8262240102695</v>
      </c>
    </row>
    <row r="630" spans="1:11" x14ac:dyDescent="0.25">
      <c r="A630" s="39">
        <v>41417</v>
      </c>
      <c r="B630" s="36">
        <v>5967.0498049999997</v>
      </c>
      <c r="C630" s="36">
        <f t="shared" si="36"/>
        <v>6030.3274658500004</v>
      </c>
      <c r="D630" s="36">
        <f t="shared" si="37"/>
        <v>95.946565174374953</v>
      </c>
      <c r="E630" s="40">
        <v>5967.0498049999997</v>
      </c>
      <c r="F630" s="36">
        <f t="shared" si="38"/>
        <v>6222.2205961987502</v>
      </c>
      <c r="G630" s="36">
        <f t="shared" si="39"/>
        <v>5838.4343355012506</v>
      </c>
      <c r="I630" s="40">
        <v>5967.0498049999997</v>
      </c>
      <c r="J630" s="36">
        <v>6222.2205961987502</v>
      </c>
      <c r="K630" s="36">
        <v>5838.4343355012506</v>
      </c>
    </row>
    <row r="631" spans="1:11" x14ac:dyDescent="0.25">
      <c r="A631" s="39">
        <v>41418</v>
      </c>
      <c r="B631" s="36">
        <v>5983.5498049999997</v>
      </c>
      <c r="C631" s="36">
        <f t="shared" si="36"/>
        <v>6033.6899658500015</v>
      </c>
      <c r="D631" s="36">
        <f t="shared" si="37"/>
        <v>92.869132030289052</v>
      </c>
      <c r="E631" s="40">
        <v>5983.5498049999997</v>
      </c>
      <c r="F631" s="36">
        <f t="shared" si="38"/>
        <v>6219.4282299105798</v>
      </c>
      <c r="G631" s="36">
        <f t="shared" si="39"/>
        <v>5847.9517017894232</v>
      </c>
      <c r="I631" s="40">
        <v>5983.5498049999997</v>
      </c>
      <c r="J631" s="36">
        <v>6219.4282299105798</v>
      </c>
      <c r="K631" s="36">
        <v>5847.9517017894232</v>
      </c>
    </row>
    <row r="632" spans="1:11" x14ac:dyDescent="0.25">
      <c r="A632" s="39">
        <v>41421</v>
      </c>
      <c r="B632" s="36">
        <v>6083.1499020000001</v>
      </c>
      <c r="C632" s="36">
        <f t="shared" si="36"/>
        <v>6044.2749512000009</v>
      </c>
      <c r="D632" s="36">
        <f t="shared" si="37"/>
        <v>85.147717384008715</v>
      </c>
      <c r="E632" s="40">
        <v>6083.1499020000001</v>
      </c>
      <c r="F632" s="36">
        <f t="shared" si="38"/>
        <v>6214.5703859680179</v>
      </c>
      <c r="G632" s="36">
        <f t="shared" si="39"/>
        <v>5873.9795164319839</v>
      </c>
      <c r="I632" s="40">
        <v>6083.1499020000001</v>
      </c>
      <c r="J632" s="36">
        <v>6214.5703859680179</v>
      </c>
      <c r="K632" s="36">
        <v>5873.9795164319839</v>
      </c>
    </row>
    <row r="633" spans="1:11" x14ac:dyDescent="0.25">
      <c r="A633" s="39">
        <v>41422</v>
      </c>
      <c r="B633" s="36">
        <v>6111.25</v>
      </c>
      <c r="C633" s="36">
        <f t="shared" si="36"/>
        <v>6054.6324463000001</v>
      </c>
      <c r="D633" s="36">
        <f t="shared" si="37"/>
        <v>79.618714850884857</v>
      </c>
      <c r="E633" s="40">
        <v>6111.25</v>
      </c>
      <c r="F633" s="36">
        <f t="shared" si="38"/>
        <v>6213.8698760017696</v>
      </c>
      <c r="G633" s="36">
        <f t="shared" si="39"/>
        <v>5895.3950165982305</v>
      </c>
      <c r="I633" s="40">
        <v>6111.25</v>
      </c>
      <c r="J633" s="36">
        <v>6213.8698760017696</v>
      </c>
      <c r="K633" s="36">
        <v>5895.3950165982305</v>
      </c>
    </row>
    <row r="634" spans="1:11" x14ac:dyDescent="0.25">
      <c r="A634" s="39">
        <v>41423</v>
      </c>
      <c r="B634" s="36">
        <v>6104.2998049999997</v>
      </c>
      <c r="C634" s="36">
        <f t="shared" si="36"/>
        <v>6063.3374267999998</v>
      </c>
      <c r="D634" s="36">
        <f t="shared" si="37"/>
        <v>74.661193676276994</v>
      </c>
      <c r="E634" s="40">
        <v>6104.2998049999997</v>
      </c>
      <c r="F634" s="36">
        <f t="shared" si="38"/>
        <v>6212.6598141525537</v>
      </c>
      <c r="G634" s="36">
        <f t="shared" si="39"/>
        <v>5914.0150394474458</v>
      </c>
      <c r="I634" s="40">
        <v>6104.2998049999997</v>
      </c>
      <c r="J634" s="36">
        <v>6212.6598141525537</v>
      </c>
      <c r="K634" s="36">
        <v>5914.0150394474458</v>
      </c>
    </row>
    <row r="635" spans="1:11" x14ac:dyDescent="0.25">
      <c r="A635" s="39">
        <v>41424</v>
      </c>
      <c r="B635" s="36">
        <v>6124.0498049999997</v>
      </c>
      <c r="C635" s="36">
        <f t="shared" si="36"/>
        <v>6069.5724121500007</v>
      </c>
      <c r="D635" s="36">
        <f t="shared" si="37"/>
        <v>74.242028370802757</v>
      </c>
      <c r="E635" s="40">
        <v>6124.0498049999997</v>
      </c>
      <c r="F635" s="36">
        <f t="shared" si="38"/>
        <v>6218.0564688916065</v>
      </c>
      <c r="G635" s="36">
        <f t="shared" si="39"/>
        <v>5921.0883554083948</v>
      </c>
      <c r="I635" s="40">
        <v>6124.0498049999997</v>
      </c>
      <c r="J635" s="36">
        <v>6218.0564688916065</v>
      </c>
      <c r="K635" s="36">
        <v>5921.0883554083948</v>
      </c>
    </row>
    <row r="636" spans="1:11" x14ac:dyDescent="0.25">
      <c r="A636" s="39">
        <v>41425</v>
      </c>
      <c r="B636" s="36">
        <v>5985.9501950000003</v>
      </c>
      <c r="C636" s="36">
        <f t="shared" si="36"/>
        <v>6071.6699219000002</v>
      </c>
      <c r="D636" s="36">
        <f t="shared" si="37"/>
        <v>71.030738461189372</v>
      </c>
      <c r="E636" s="40">
        <v>5985.9501950000003</v>
      </c>
      <c r="F636" s="36">
        <f t="shared" si="38"/>
        <v>6213.7313988223787</v>
      </c>
      <c r="G636" s="36">
        <f t="shared" si="39"/>
        <v>5929.6084449776217</v>
      </c>
      <c r="I636" s="40">
        <v>5985.9501950000003</v>
      </c>
      <c r="J636" s="36">
        <v>6213.7313988223787</v>
      </c>
      <c r="K636" s="36">
        <v>5929.6084449776217</v>
      </c>
    </row>
    <row r="637" spans="1:11" x14ac:dyDescent="0.25">
      <c r="A637" s="39">
        <v>41428</v>
      </c>
      <c r="B637" s="36">
        <v>5939.2998049999997</v>
      </c>
      <c r="C637" s="36">
        <f t="shared" si="36"/>
        <v>6070.0824219000006</v>
      </c>
      <c r="D637" s="36">
        <f t="shared" si="37"/>
        <v>73.702455546697635</v>
      </c>
      <c r="E637" s="40">
        <v>5939.2998049999997</v>
      </c>
      <c r="F637" s="36">
        <f t="shared" si="38"/>
        <v>6217.4873329933962</v>
      </c>
      <c r="G637" s="36">
        <f t="shared" si="39"/>
        <v>5922.6775108066049</v>
      </c>
      <c r="I637" s="40">
        <v>5939.2998049999997</v>
      </c>
      <c r="J637" s="36">
        <v>6217.4873329933962</v>
      </c>
      <c r="K637" s="36">
        <v>5922.6775108066049</v>
      </c>
    </row>
    <row r="638" spans="1:11" x14ac:dyDescent="0.25">
      <c r="A638" s="39">
        <v>41429</v>
      </c>
      <c r="B638" s="36">
        <v>5919.4501950000003</v>
      </c>
      <c r="C638" s="36">
        <f t="shared" si="36"/>
        <v>6063.8774414000009</v>
      </c>
      <c r="D638" s="36">
        <f t="shared" si="37"/>
        <v>80.923953736900771</v>
      </c>
      <c r="E638" s="40">
        <v>5919.4501950000003</v>
      </c>
      <c r="F638" s="36">
        <f t="shared" si="38"/>
        <v>6225.7253488738024</v>
      </c>
      <c r="G638" s="36">
        <f t="shared" si="39"/>
        <v>5902.0295339261993</v>
      </c>
      <c r="I638" s="40">
        <v>5919.4501950000003</v>
      </c>
      <c r="J638" s="36">
        <v>6225.7253488738024</v>
      </c>
      <c r="K638" s="36">
        <v>5902.0295339261993</v>
      </c>
    </row>
    <row r="639" spans="1:11" x14ac:dyDescent="0.25">
      <c r="A639" s="39">
        <v>41430</v>
      </c>
      <c r="B639" s="36">
        <v>5923.8500979999999</v>
      </c>
      <c r="C639" s="36">
        <f t="shared" si="36"/>
        <v>6056.6049560500005</v>
      </c>
      <c r="D639" s="36">
        <f t="shared" si="37"/>
        <v>86.737812275713281</v>
      </c>
      <c r="E639" s="40">
        <v>5923.8500979999999</v>
      </c>
      <c r="F639" s="36">
        <f t="shared" si="38"/>
        <v>6230.0805806014268</v>
      </c>
      <c r="G639" s="36">
        <f t="shared" si="39"/>
        <v>5883.1293314985742</v>
      </c>
      <c r="I639" s="40">
        <v>5923.8500979999999</v>
      </c>
      <c r="J639" s="36">
        <v>6230.0805806014268</v>
      </c>
      <c r="K639" s="36">
        <v>5883.1293314985742</v>
      </c>
    </row>
    <row r="640" spans="1:11" x14ac:dyDescent="0.25">
      <c r="A640" s="39">
        <v>41431</v>
      </c>
      <c r="B640" s="36">
        <v>5921.3999020000001</v>
      </c>
      <c r="C640" s="36">
        <f t="shared" si="36"/>
        <v>6050.1674560500005</v>
      </c>
      <c r="D640" s="36">
        <f t="shared" si="37"/>
        <v>91.868161910091132</v>
      </c>
      <c r="E640" s="40">
        <v>5921.3999020000001</v>
      </c>
      <c r="F640" s="36">
        <f t="shared" si="38"/>
        <v>6233.9037798701829</v>
      </c>
      <c r="G640" s="36">
        <f t="shared" si="39"/>
        <v>5866.4311322298181</v>
      </c>
      <c r="I640" s="40">
        <v>5921.3999020000001</v>
      </c>
      <c r="J640" s="36">
        <v>6233.9037798701829</v>
      </c>
      <c r="K640" s="36">
        <v>5866.4311322298181</v>
      </c>
    </row>
    <row r="641" spans="1:11" x14ac:dyDescent="0.25">
      <c r="A641" s="39">
        <v>41432</v>
      </c>
      <c r="B641" s="36">
        <v>5881</v>
      </c>
      <c r="C641" s="36">
        <f t="shared" si="36"/>
        <v>6039.4799560500005</v>
      </c>
      <c r="D641" s="36">
        <f t="shared" si="37"/>
        <v>98.595664503383304</v>
      </c>
      <c r="E641" s="40">
        <v>5881</v>
      </c>
      <c r="F641" s="36">
        <f t="shared" si="38"/>
        <v>6236.6712850567674</v>
      </c>
      <c r="G641" s="36">
        <f t="shared" si="39"/>
        <v>5842.2886270432336</v>
      </c>
      <c r="I641" s="40">
        <v>5881</v>
      </c>
      <c r="J641" s="36">
        <v>6236.6712850567674</v>
      </c>
      <c r="K641" s="36">
        <v>5842.2886270432336</v>
      </c>
    </row>
    <row r="642" spans="1:11" x14ac:dyDescent="0.25">
      <c r="A642" s="39">
        <v>41435</v>
      </c>
      <c r="B642" s="36">
        <v>5878</v>
      </c>
      <c r="C642" s="36">
        <f t="shared" si="36"/>
        <v>6034.3574463000004</v>
      </c>
      <c r="D642" s="36">
        <f t="shared" si="37"/>
        <v>104.31921090472959</v>
      </c>
      <c r="E642" s="40">
        <v>5878</v>
      </c>
      <c r="F642" s="36">
        <f t="shared" si="38"/>
        <v>6242.9958681094595</v>
      </c>
      <c r="G642" s="36">
        <f t="shared" si="39"/>
        <v>5825.7190244905414</v>
      </c>
      <c r="I642" s="40">
        <v>5878</v>
      </c>
      <c r="J642" s="36">
        <v>6242.9958681094595</v>
      </c>
      <c r="K642" s="36">
        <v>5825.7190244905414</v>
      </c>
    </row>
    <row r="643" spans="1:11" x14ac:dyDescent="0.25">
      <c r="A643" s="39">
        <v>41436</v>
      </c>
      <c r="B643" s="36">
        <v>5788.7998049999997</v>
      </c>
      <c r="C643" s="36">
        <f t="shared" si="36"/>
        <v>6024.02744145</v>
      </c>
      <c r="D643" s="36">
        <f t="shared" si="37"/>
        <v>117.74507307847126</v>
      </c>
      <c r="E643" s="40">
        <v>5788.7998049999997</v>
      </c>
      <c r="F643" s="36">
        <f t="shared" si="38"/>
        <v>6259.5175876069425</v>
      </c>
      <c r="G643" s="36">
        <f t="shared" si="39"/>
        <v>5788.5372952930575</v>
      </c>
      <c r="I643" s="40">
        <v>5788.7998049999997</v>
      </c>
      <c r="J643" s="36">
        <v>6259.5175876069425</v>
      </c>
      <c r="K643" s="36">
        <v>5788.5372952930575</v>
      </c>
    </row>
    <row r="644" spans="1:11" x14ac:dyDescent="0.25">
      <c r="A644" s="39">
        <v>41437</v>
      </c>
      <c r="B644" s="36">
        <v>5760.2001950000003</v>
      </c>
      <c r="C644" s="36">
        <f t="shared" si="36"/>
        <v>6004.6999512000002</v>
      </c>
      <c r="D644" s="36">
        <f t="shared" si="37"/>
        <v>127.83358722962527</v>
      </c>
      <c r="E644" s="40">
        <v>5760.2001950000003</v>
      </c>
      <c r="F644" s="36">
        <f t="shared" si="38"/>
        <v>6260.3671256592506</v>
      </c>
      <c r="G644" s="36">
        <f t="shared" si="39"/>
        <v>5749.0327767407498</v>
      </c>
      <c r="I644" s="40">
        <v>5760.2001950000003</v>
      </c>
      <c r="J644" s="36">
        <v>6260.3671256592506</v>
      </c>
      <c r="K644" s="36">
        <v>5749.0327767407498</v>
      </c>
    </row>
    <row r="645" spans="1:11" x14ac:dyDescent="0.25">
      <c r="A645" s="39">
        <v>41438</v>
      </c>
      <c r="B645" s="36">
        <v>5699.1000979999999</v>
      </c>
      <c r="C645" s="36">
        <f t="shared" si="36"/>
        <v>5981.1599609999994</v>
      </c>
      <c r="D645" s="36">
        <f t="shared" si="37"/>
        <v>138.697838600225</v>
      </c>
      <c r="E645" s="40">
        <v>5699.1000979999999</v>
      </c>
      <c r="F645" s="36">
        <f t="shared" si="38"/>
        <v>6258.5556382004497</v>
      </c>
      <c r="G645" s="36">
        <f t="shared" si="39"/>
        <v>5703.764283799549</v>
      </c>
      <c r="I645" s="40">
        <v>5699.1000979999999</v>
      </c>
      <c r="J645" s="36">
        <v>6258.5556382004497</v>
      </c>
      <c r="K645" s="36">
        <v>5703.764283799549</v>
      </c>
    </row>
    <row r="646" spans="1:11" x14ac:dyDescent="0.25">
      <c r="A646" s="39">
        <v>41439</v>
      </c>
      <c r="B646" s="36">
        <v>5808.3999020000001</v>
      </c>
      <c r="C646" s="36">
        <f t="shared" si="36"/>
        <v>5962.2149658500002</v>
      </c>
      <c r="D646" s="36">
        <f t="shared" si="37"/>
        <v>134.88374411278383</v>
      </c>
      <c r="E646" s="40">
        <v>5808.3999020000001</v>
      </c>
      <c r="F646" s="36">
        <f t="shared" si="38"/>
        <v>6231.9824540755681</v>
      </c>
      <c r="G646" s="36">
        <f t="shared" si="39"/>
        <v>5692.4474776244324</v>
      </c>
      <c r="I646" s="40">
        <v>5808.3999020000001</v>
      </c>
      <c r="J646" s="36">
        <v>6231.9824540755681</v>
      </c>
      <c r="K646" s="36">
        <v>5692.4474776244324</v>
      </c>
    </row>
    <row r="647" spans="1:11" x14ac:dyDescent="0.25">
      <c r="A647" s="39">
        <v>41442</v>
      </c>
      <c r="B647" s="36">
        <v>5850.0498049999997</v>
      </c>
      <c r="C647" s="36">
        <f t="shared" si="36"/>
        <v>5946.8724610000008</v>
      </c>
      <c r="D647" s="36">
        <f t="shared" si="37"/>
        <v>128.89200169850631</v>
      </c>
      <c r="E647" s="40">
        <v>5850.0498049999997</v>
      </c>
      <c r="F647" s="36">
        <f t="shared" si="38"/>
        <v>6204.6564643970132</v>
      </c>
      <c r="G647" s="36">
        <f t="shared" si="39"/>
        <v>5689.0884576029885</v>
      </c>
      <c r="I647" s="40">
        <v>5850.0498049999997</v>
      </c>
      <c r="J647" s="36">
        <v>6204.6564643970132</v>
      </c>
      <c r="K647" s="36">
        <v>5689.0884576029885</v>
      </c>
    </row>
    <row r="648" spans="1:11" x14ac:dyDescent="0.25">
      <c r="A648" s="39">
        <v>41443</v>
      </c>
      <c r="B648" s="36">
        <v>5813.6000979999999</v>
      </c>
      <c r="C648" s="36">
        <f t="shared" si="36"/>
        <v>5931.8474609999994</v>
      </c>
      <c r="D648" s="36">
        <f t="shared" si="37"/>
        <v>125.85104846563807</v>
      </c>
      <c r="E648" s="40">
        <v>5813.6000979999999</v>
      </c>
      <c r="F648" s="36">
        <f t="shared" si="38"/>
        <v>6183.5495579312756</v>
      </c>
      <c r="G648" s="36">
        <f t="shared" si="39"/>
        <v>5680.1453640687232</v>
      </c>
      <c r="I648" s="40">
        <v>5813.6000979999999</v>
      </c>
      <c r="J648" s="36">
        <v>6183.5495579312756</v>
      </c>
      <c r="K648" s="36">
        <v>5680.1453640687232</v>
      </c>
    </row>
    <row r="649" spans="1:11" x14ac:dyDescent="0.25">
      <c r="A649" s="39">
        <v>41444</v>
      </c>
      <c r="B649" s="36">
        <v>5822.25</v>
      </c>
      <c r="C649" s="36">
        <f t="shared" si="36"/>
        <v>5918.2349610000001</v>
      </c>
      <c r="D649" s="36">
        <f t="shared" si="37"/>
        <v>121.99676300442678</v>
      </c>
      <c r="E649" s="40">
        <v>5822.25</v>
      </c>
      <c r="F649" s="36">
        <f t="shared" si="38"/>
        <v>6162.2284870088533</v>
      </c>
      <c r="G649" s="36">
        <f t="shared" si="39"/>
        <v>5674.2414349911469</v>
      </c>
      <c r="I649" s="40">
        <v>5822.25</v>
      </c>
      <c r="J649" s="36">
        <v>6162.2284870088533</v>
      </c>
      <c r="K649" s="36">
        <v>5674.2414349911469</v>
      </c>
    </row>
    <row r="650" spans="1:11" x14ac:dyDescent="0.25">
      <c r="A650" s="39">
        <v>41445</v>
      </c>
      <c r="B650" s="36">
        <v>5655.8999020000001</v>
      </c>
      <c r="C650" s="36">
        <f t="shared" si="36"/>
        <v>5902.6774658499999</v>
      </c>
      <c r="D650" s="36">
        <f t="shared" si="37"/>
        <v>134.62952569073846</v>
      </c>
      <c r="E650" s="40">
        <v>5655.8999020000001</v>
      </c>
      <c r="F650" s="36">
        <f t="shared" si="38"/>
        <v>6171.9365172314765</v>
      </c>
      <c r="G650" s="36">
        <f t="shared" si="39"/>
        <v>5633.4184144685232</v>
      </c>
      <c r="I650" s="40">
        <v>5655.8999020000001</v>
      </c>
      <c r="J650" s="36">
        <v>6171.9365172314765</v>
      </c>
      <c r="K650" s="36">
        <v>5633.4184144685232</v>
      </c>
    </row>
    <row r="651" spans="1:11" x14ac:dyDescent="0.25">
      <c r="A651" s="39">
        <v>41446</v>
      </c>
      <c r="B651" s="36">
        <v>5667.6499020000001</v>
      </c>
      <c r="C651" s="36">
        <f t="shared" si="36"/>
        <v>5886.8824707000003</v>
      </c>
      <c r="D651" s="36">
        <f t="shared" si="37"/>
        <v>142.91791123071383</v>
      </c>
      <c r="E651" s="40">
        <v>5667.6499020000001</v>
      </c>
      <c r="F651" s="36">
        <f t="shared" si="38"/>
        <v>6172.7182931614279</v>
      </c>
      <c r="G651" s="36">
        <f t="shared" si="39"/>
        <v>5601.0466482385727</v>
      </c>
      <c r="I651" s="40">
        <v>5667.6499020000001</v>
      </c>
      <c r="J651" s="36">
        <v>6172.7182931614279</v>
      </c>
      <c r="K651" s="36">
        <v>5601.0466482385727</v>
      </c>
    </row>
    <row r="652" spans="1:11" x14ac:dyDescent="0.25">
      <c r="A652" s="39">
        <v>41449</v>
      </c>
      <c r="B652" s="36">
        <v>5590.25</v>
      </c>
      <c r="C652" s="36">
        <f t="shared" si="36"/>
        <v>5862.2374755999999</v>
      </c>
      <c r="D652" s="36">
        <f t="shared" si="37"/>
        <v>149.63243739161555</v>
      </c>
      <c r="E652" s="40">
        <v>5590.25</v>
      </c>
      <c r="F652" s="36">
        <f t="shared" si="38"/>
        <v>6161.5023503832308</v>
      </c>
      <c r="G652" s="36">
        <f t="shared" si="39"/>
        <v>5562.972600816769</v>
      </c>
      <c r="I652" s="40">
        <v>5590.25</v>
      </c>
      <c r="J652" s="36">
        <v>6161.5023503832308</v>
      </c>
      <c r="K652" s="36">
        <v>5562.972600816769</v>
      </c>
    </row>
    <row r="653" spans="1:11" x14ac:dyDescent="0.25">
      <c r="A653" s="39">
        <v>41450</v>
      </c>
      <c r="B653" s="36">
        <v>5609.1000979999999</v>
      </c>
      <c r="C653" s="36">
        <f t="shared" si="36"/>
        <v>5837.1299804999999</v>
      </c>
      <c r="D653" s="36">
        <f t="shared" si="37"/>
        <v>147.76778163576958</v>
      </c>
      <c r="E653" s="40">
        <v>5609.1000979999999</v>
      </c>
      <c r="F653" s="36">
        <f t="shared" si="38"/>
        <v>6132.665543771539</v>
      </c>
      <c r="G653" s="36">
        <f t="shared" si="39"/>
        <v>5541.5944172284608</v>
      </c>
      <c r="I653" s="40">
        <v>5609.1000979999999</v>
      </c>
      <c r="J653" s="36">
        <v>6132.665543771539</v>
      </c>
      <c r="K653" s="36">
        <v>5541.5944172284608</v>
      </c>
    </row>
    <row r="654" spans="1:11" x14ac:dyDescent="0.25">
      <c r="A654" s="39">
        <v>41451</v>
      </c>
      <c r="B654" s="36">
        <v>5588.7001950000003</v>
      </c>
      <c r="C654" s="36">
        <f t="shared" si="36"/>
        <v>5811.35</v>
      </c>
      <c r="D654" s="36">
        <f t="shared" si="37"/>
        <v>143.6216747698401</v>
      </c>
      <c r="E654" s="40">
        <v>5588.7001950000003</v>
      </c>
      <c r="F654" s="36">
        <f t="shared" si="38"/>
        <v>6098.5933495396803</v>
      </c>
      <c r="G654" s="36">
        <f t="shared" si="39"/>
        <v>5524.1066504603205</v>
      </c>
      <c r="I654" s="40">
        <v>5588.7001950000003</v>
      </c>
      <c r="J654" s="36">
        <v>6098.5933495396803</v>
      </c>
      <c r="K654" s="36">
        <v>5524.1066504603205</v>
      </c>
    </row>
    <row r="655" spans="1:11" x14ac:dyDescent="0.25">
      <c r="A655" s="39">
        <v>41452</v>
      </c>
      <c r="B655" s="36">
        <v>5682.3500979999999</v>
      </c>
      <c r="C655" s="36">
        <f t="shared" si="36"/>
        <v>5789.26501465</v>
      </c>
      <c r="D655" s="36">
        <f t="shared" si="37"/>
        <v>125.86989919021822</v>
      </c>
      <c r="E655" s="40">
        <v>5682.3500979999999</v>
      </c>
      <c r="F655" s="36">
        <f t="shared" si="38"/>
        <v>6041.0048130304367</v>
      </c>
      <c r="G655" s="36">
        <f t="shared" si="39"/>
        <v>5537.5252162695633</v>
      </c>
      <c r="I655" s="40">
        <v>5682.3500979999999</v>
      </c>
      <c r="J655" s="36">
        <v>6041.0048130304367</v>
      </c>
      <c r="K655" s="36">
        <v>5537.5252162695633</v>
      </c>
    </row>
    <row r="656" spans="1:11" x14ac:dyDescent="0.25">
      <c r="A656" s="39">
        <v>41453</v>
      </c>
      <c r="B656" s="36">
        <v>5842.2001950000003</v>
      </c>
      <c r="C656" s="36">
        <f t="shared" si="36"/>
        <v>5782.07751465</v>
      </c>
      <c r="D656" s="36">
        <f t="shared" si="37"/>
        <v>117.89943728836145</v>
      </c>
      <c r="E656" s="40">
        <v>5842.2001950000003</v>
      </c>
      <c r="F656" s="36">
        <f t="shared" si="38"/>
        <v>6017.8763892267225</v>
      </c>
      <c r="G656" s="36">
        <f t="shared" si="39"/>
        <v>5546.2786400732775</v>
      </c>
      <c r="I656" s="40">
        <v>5842.2001950000003</v>
      </c>
      <c r="J656" s="36">
        <v>6017.8763892267225</v>
      </c>
      <c r="K656" s="36">
        <v>5546.2786400732775</v>
      </c>
    </row>
    <row r="657" spans="1:11" x14ac:dyDescent="0.25">
      <c r="A657" s="39">
        <v>41456</v>
      </c>
      <c r="B657" s="36">
        <v>5898.8500979999999</v>
      </c>
      <c r="C657" s="36">
        <f t="shared" si="36"/>
        <v>5780.0550292999997</v>
      </c>
      <c r="D657" s="36">
        <f t="shared" si="37"/>
        <v>115.38047988807497</v>
      </c>
      <c r="E657" s="40">
        <v>5898.8500979999999</v>
      </c>
      <c r="F657" s="36">
        <f t="shared" si="38"/>
        <v>6010.8159890761499</v>
      </c>
      <c r="G657" s="36">
        <f t="shared" si="39"/>
        <v>5549.2940695238494</v>
      </c>
      <c r="I657" s="40">
        <v>5898.8500979999999</v>
      </c>
      <c r="J657" s="36">
        <v>6010.8159890761499</v>
      </c>
      <c r="K657" s="36">
        <v>5549.2940695238494</v>
      </c>
    </row>
    <row r="658" spans="1:11" x14ac:dyDescent="0.25">
      <c r="A658" s="39">
        <v>41457</v>
      </c>
      <c r="B658" s="36">
        <v>5857.5498049999997</v>
      </c>
      <c r="C658" s="36">
        <f t="shared" si="36"/>
        <v>5776.9600097999992</v>
      </c>
      <c r="D658" s="36">
        <f t="shared" si="37"/>
        <v>112.23173694379483</v>
      </c>
      <c r="E658" s="40">
        <v>5857.5498049999997</v>
      </c>
      <c r="F658" s="36">
        <f t="shared" si="38"/>
        <v>6001.4234836875885</v>
      </c>
      <c r="G658" s="36">
        <f t="shared" si="39"/>
        <v>5552.4965359124099</v>
      </c>
      <c r="I658" s="40">
        <v>5857.5498049999997</v>
      </c>
      <c r="J658" s="36">
        <v>6001.4234836875885</v>
      </c>
      <c r="K658" s="36">
        <v>5552.4965359124099</v>
      </c>
    </row>
    <row r="659" spans="1:11" x14ac:dyDescent="0.25">
      <c r="A659" s="39">
        <v>41458</v>
      </c>
      <c r="B659" s="36">
        <v>5770.8999020000001</v>
      </c>
      <c r="C659" s="36">
        <f t="shared" si="36"/>
        <v>5769.3124999999991</v>
      </c>
      <c r="D659" s="36">
        <f t="shared" si="37"/>
        <v>106.77414223326092</v>
      </c>
      <c r="E659" s="40">
        <v>5770.8999020000001</v>
      </c>
      <c r="F659" s="36">
        <f t="shared" si="38"/>
        <v>5982.8607844665212</v>
      </c>
      <c r="G659" s="36">
        <f t="shared" si="39"/>
        <v>5555.764215533477</v>
      </c>
      <c r="I659" s="40">
        <v>5770.8999020000001</v>
      </c>
      <c r="J659" s="36">
        <v>5982.8607844665212</v>
      </c>
      <c r="K659" s="36">
        <v>5555.764215533477</v>
      </c>
    </row>
    <row r="660" spans="1:11" x14ac:dyDescent="0.25">
      <c r="A660" s="39">
        <v>41459</v>
      </c>
      <c r="B660" s="36">
        <v>5836.9501950000003</v>
      </c>
      <c r="C660" s="36">
        <f t="shared" si="36"/>
        <v>5765.0900146499989</v>
      </c>
      <c r="D660" s="36">
        <f t="shared" si="37"/>
        <v>102.00653328676864</v>
      </c>
      <c r="E660" s="40">
        <v>5836.9501950000003</v>
      </c>
      <c r="F660" s="36">
        <f t="shared" si="38"/>
        <v>5969.1030812235358</v>
      </c>
      <c r="G660" s="36">
        <f t="shared" si="39"/>
        <v>5561.076948076462</v>
      </c>
      <c r="I660" s="40">
        <v>5836.9501950000003</v>
      </c>
      <c r="J660" s="36">
        <v>5969.1030812235358</v>
      </c>
      <c r="K660" s="36">
        <v>5561.076948076462</v>
      </c>
    </row>
    <row r="661" spans="1:11" x14ac:dyDescent="0.25">
      <c r="A661" s="39">
        <v>41460</v>
      </c>
      <c r="B661" s="36">
        <v>5867.8999020000001</v>
      </c>
      <c r="C661" s="36">
        <f t="shared" si="36"/>
        <v>5764.4350097500001</v>
      </c>
      <c r="D661" s="36">
        <f t="shared" si="37"/>
        <v>101.26242391227858</v>
      </c>
      <c r="E661" s="40">
        <v>5867.8999020000001</v>
      </c>
      <c r="F661" s="36">
        <f t="shared" si="38"/>
        <v>5966.9598575745576</v>
      </c>
      <c r="G661" s="36">
        <f t="shared" si="39"/>
        <v>5561.9101619254425</v>
      </c>
      <c r="I661" s="40">
        <v>5867.8999020000001</v>
      </c>
      <c r="J661" s="36">
        <v>5966.9598575745576</v>
      </c>
      <c r="K661" s="36">
        <v>5561.9101619254425</v>
      </c>
    </row>
    <row r="662" spans="1:11" x14ac:dyDescent="0.25">
      <c r="A662" s="39">
        <v>41463</v>
      </c>
      <c r="B662" s="36">
        <v>5811.5498049999997</v>
      </c>
      <c r="C662" s="36">
        <f t="shared" ref="C662:C725" si="40">AVERAGE(B643:B662)</f>
        <v>5761.1125000000002</v>
      </c>
      <c r="D662" s="36">
        <f t="shared" ref="D662:D725" si="41">_xlfn.STDEV.S(B643:B662)</f>
        <v>98.389533818496446</v>
      </c>
      <c r="E662" s="40">
        <v>5811.5498049999997</v>
      </c>
      <c r="F662" s="36">
        <f t="shared" ref="F662:F725" si="42">C662+2*D662</f>
        <v>5957.8915676369934</v>
      </c>
      <c r="G662" s="36">
        <f t="shared" ref="G662:G725" si="43">C662-2*D662</f>
        <v>5564.333432363007</v>
      </c>
      <c r="I662" s="40">
        <v>5811.5498049999997</v>
      </c>
      <c r="J662" s="36">
        <v>5957.8915676369934</v>
      </c>
      <c r="K662" s="36">
        <v>5564.333432363007</v>
      </c>
    </row>
    <row r="663" spans="1:11" x14ac:dyDescent="0.25">
      <c r="A663" s="39">
        <v>41464</v>
      </c>
      <c r="B663" s="36">
        <v>5859</v>
      </c>
      <c r="C663" s="36">
        <f t="shared" si="40"/>
        <v>5764.6225097500001</v>
      </c>
      <c r="D663" s="36">
        <f t="shared" si="41"/>
        <v>100.65534717006113</v>
      </c>
      <c r="E663" s="40">
        <v>5859</v>
      </c>
      <c r="F663" s="36">
        <f t="shared" si="42"/>
        <v>5965.9332040901227</v>
      </c>
      <c r="G663" s="36">
        <f t="shared" si="43"/>
        <v>5563.3118154098775</v>
      </c>
      <c r="I663" s="40">
        <v>5859</v>
      </c>
      <c r="J663" s="36">
        <v>5965.9332040901227</v>
      </c>
      <c r="K663" s="36">
        <v>5563.3118154098775</v>
      </c>
    </row>
    <row r="664" spans="1:11" x14ac:dyDescent="0.25">
      <c r="A664" s="39">
        <v>41465</v>
      </c>
      <c r="B664" s="36">
        <v>5816.7001950000003</v>
      </c>
      <c r="C664" s="36">
        <f t="shared" si="40"/>
        <v>5767.4475097499999</v>
      </c>
      <c r="D664" s="36">
        <f t="shared" si="41"/>
        <v>101.31540000825851</v>
      </c>
      <c r="E664" s="40">
        <v>5816.7001950000003</v>
      </c>
      <c r="F664" s="36">
        <f t="shared" si="42"/>
        <v>5970.0783097665171</v>
      </c>
      <c r="G664" s="36">
        <f t="shared" si="43"/>
        <v>5564.8167097334826</v>
      </c>
      <c r="I664" s="40">
        <v>5816.7001950000003</v>
      </c>
      <c r="J664" s="36">
        <v>5970.0783097665171</v>
      </c>
      <c r="K664" s="36">
        <v>5564.8167097334826</v>
      </c>
    </row>
    <row r="665" spans="1:11" x14ac:dyDescent="0.25">
      <c r="A665" s="39">
        <v>41466</v>
      </c>
      <c r="B665" s="36">
        <v>5935.1000979999999</v>
      </c>
      <c r="C665" s="36">
        <f t="shared" si="40"/>
        <v>5779.2475097500001</v>
      </c>
      <c r="D665" s="36">
        <f t="shared" si="41"/>
        <v>106.54443524499781</v>
      </c>
      <c r="E665" s="40">
        <v>5935.1000979999999</v>
      </c>
      <c r="F665" s="36">
        <f t="shared" si="42"/>
        <v>5992.3363802399954</v>
      </c>
      <c r="G665" s="36">
        <f t="shared" si="43"/>
        <v>5566.1586392600047</v>
      </c>
      <c r="I665" s="40">
        <v>5935.1000979999999</v>
      </c>
      <c r="J665" s="36">
        <v>5992.3363802399954</v>
      </c>
      <c r="K665" s="36">
        <v>5566.1586392600047</v>
      </c>
    </row>
    <row r="666" spans="1:11" x14ac:dyDescent="0.25">
      <c r="A666" s="39">
        <v>41467</v>
      </c>
      <c r="B666" s="36">
        <v>6009</v>
      </c>
      <c r="C666" s="36">
        <f t="shared" si="40"/>
        <v>5789.2775146500007</v>
      </c>
      <c r="D666" s="36">
        <f t="shared" si="41"/>
        <v>118.23414365440813</v>
      </c>
      <c r="E666" s="40">
        <v>6009</v>
      </c>
      <c r="F666" s="36">
        <f t="shared" si="42"/>
        <v>6025.7458019588166</v>
      </c>
      <c r="G666" s="36">
        <f t="shared" si="43"/>
        <v>5552.8092273411849</v>
      </c>
      <c r="I666" s="40">
        <v>6009</v>
      </c>
      <c r="J666" s="36">
        <v>6025.7458019588166</v>
      </c>
      <c r="K666" s="36">
        <v>5552.8092273411849</v>
      </c>
    </row>
    <row r="667" spans="1:11" x14ac:dyDescent="0.25">
      <c r="A667" s="39">
        <v>41470</v>
      </c>
      <c r="B667" s="36">
        <v>6030.7998049999997</v>
      </c>
      <c r="C667" s="36">
        <f t="shared" si="40"/>
        <v>5798.3150146500002</v>
      </c>
      <c r="D667" s="36">
        <f t="shared" si="41"/>
        <v>129.49561242814329</v>
      </c>
      <c r="E667" s="40">
        <v>6030.7998049999997</v>
      </c>
      <c r="F667" s="36">
        <f t="shared" si="42"/>
        <v>6057.3062395062871</v>
      </c>
      <c r="G667" s="36">
        <f t="shared" si="43"/>
        <v>5539.3237897937133</v>
      </c>
      <c r="I667" s="40">
        <v>6030.7998049999997</v>
      </c>
      <c r="J667" s="36">
        <v>6057.3062395062871</v>
      </c>
      <c r="K667" s="36">
        <v>5539.3237897937133</v>
      </c>
    </row>
    <row r="668" spans="1:11" x14ac:dyDescent="0.25">
      <c r="A668" s="39">
        <v>41471</v>
      </c>
      <c r="B668" s="36">
        <v>5955.25</v>
      </c>
      <c r="C668" s="36">
        <f t="shared" si="40"/>
        <v>5805.3975097500006</v>
      </c>
      <c r="D668" s="36">
        <f t="shared" si="41"/>
        <v>134.16503588797596</v>
      </c>
      <c r="E668" s="40">
        <v>5955.25</v>
      </c>
      <c r="F668" s="36">
        <f t="shared" si="42"/>
        <v>6073.7275815259527</v>
      </c>
      <c r="G668" s="36">
        <f t="shared" si="43"/>
        <v>5537.0674379740485</v>
      </c>
      <c r="I668" s="40">
        <v>5955.25</v>
      </c>
      <c r="J668" s="36">
        <v>6073.7275815259527</v>
      </c>
      <c r="K668" s="36">
        <v>5537.0674379740485</v>
      </c>
    </row>
    <row r="669" spans="1:11" x14ac:dyDescent="0.25">
      <c r="A669" s="39">
        <v>41472</v>
      </c>
      <c r="B669" s="36">
        <v>5973.2998049999997</v>
      </c>
      <c r="C669" s="36">
        <f t="shared" si="40"/>
        <v>5812.95</v>
      </c>
      <c r="D669" s="36">
        <f t="shared" si="41"/>
        <v>139.31623481634952</v>
      </c>
      <c r="E669" s="40">
        <v>5973.2998049999997</v>
      </c>
      <c r="F669" s="36">
        <f t="shared" si="42"/>
        <v>6091.582469632699</v>
      </c>
      <c r="G669" s="36">
        <f t="shared" si="43"/>
        <v>5534.3175303673006</v>
      </c>
      <c r="I669" s="40">
        <v>5973.2998049999997</v>
      </c>
      <c r="J669" s="36">
        <v>6091.582469632699</v>
      </c>
      <c r="K669" s="36">
        <v>5534.3175303673006</v>
      </c>
    </row>
    <row r="670" spans="1:11" x14ac:dyDescent="0.25">
      <c r="A670" s="39">
        <v>41473</v>
      </c>
      <c r="B670" s="36">
        <v>6038.0498049999997</v>
      </c>
      <c r="C670" s="36">
        <f t="shared" si="40"/>
        <v>5832.0574951500002</v>
      </c>
      <c r="D670" s="36">
        <f t="shared" si="41"/>
        <v>142.80544621336426</v>
      </c>
      <c r="E670" s="40">
        <v>6038.0498049999997</v>
      </c>
      <c r="F670" s="36">
        <f t="shared" si="42"/>
        <v>6117.6683875767285</v>
      </c>
      <c r="G670" s="36">
        <f t="shared" si="43"/>
        <v>5546.446602723272</v>
      </c>
      <c r="I670" s="40">
        <v>6038.0498049999997</v>
      </c>
      <c r="J670" s="36">
        <v>6117.6683875767285</v>
      </c>
      <c r="K670" s="36">
        <v>5546.446602723272</v>
      </c>
    </row>
    <row r="671" spans="1:11" x14ac:dyDescent="0.25">
      <c r="A671" s="39">
        <v>41474</v>
      </c>
      <c r="B671" s="36">
        <v>6029.2001950000003</v>
      </c>
      <c r="C671" s="36">
        <f t="shared" si="40"/>
        <v>5850.1350098000003</v>
      </c>
      <c r="D671" s="36">
        <f t="shared" si="41"/>
        <v>143.77869884618104</v>
      </c>
      <c r="E671" s="40">
        <v>6029.2001950000003</v>
      </c>
      <c r="F671" s="36">
        <f t="shared" si="42"/>
        <v>6137.6924074923627</v>
      </c>
      <c r="G671" s="36">
        <f t="shared" si="43"/>
        <v>5562.5776121076378</v>
      </c>
      <c r="I671" s="40">
        <v>6029.2001950000003</v>
      </c>
      <c r="J671" s="36">
        <v>6137.6924074923627</v>
      </c>
      <c r="K671" s="36">
        <v>5562.5776121076378</v>
      </c>
    </row>
    <row r="672" spans="1:11" x14ac:dyDescent="0.25">
      <c r="A672" s="39">
        <v>41477</v>
      </c>
      <c r="B672" s="36">
        <v>6031.7998049999997</v>
      </c>
      <c r="C672" s="36">
        <f t="shared" si="40"/>
        <v>5872.21250005</v>
      </c>
      <c r="D672" s="36">
        <f t="shared" si="41"/>
        <v>135.43060731911274</v>
      </c>
      <c r="E672" s="40">
        <v>6031.7998049999997</v>
      </c>
      <c r="F672" s="36">
        <f t="shared" si="42"/>
        <v>6143.0737146882257</v>
      </c>
      <c r="G672" s="36">
        <f t="shared" si="43"/>
        <v>5601.3512854117744</v>
      </c>
      <c r="I672" s="40">
        <v>6031.7998049999997</v>
      </c>
      <c r="J672" s="36">
        <v>6143.0737146882257</v>
      </c>
      <c r="K672" s="36">
        <v>5601.3512854117744</v>
      </c>
    </row>
    <row r="673" spans="1:11" x14ac:dyDescent="0.25">
      <c r="A673" s="39">
        <v>41478</v>
      </c>
      <c r="B673" s="36">
        <v>6077.7998049999997</v>
      </c>
      <c r="C673" s="36">
        <f t="shared" si="40"/>
        <v>5895.6474853999998</v>
      </c>
      <c r="D673" s="36">
        <f t="shared" si="41"/>
        <v>127.8448013999045</v>
      </c>
      <c r="E673" s="40">
        <v>6077.7998049999997</v>
      </c>
      <c r="F673" s="36">
        <f t="shared" si="42"/>
        <v>6151.3370881998089</v>
      </c>
      <c r="G673" s="36">
        <f t="shared" si="43"/>
        <v>5639.9578826001907</v>
      </c>
      <c r="I673" s="40">
        <v>6077.7998049999997</v>
      </c>
      <c r="J673" s="36">
        <v>6151.3370881998089</v>
      </c>
      <c r="K673" s="36">
        <v>5639.9578826001907</v>
      </c>
    </row>
    <row r="674" spans="1:11" x14ac:dyDescent="0.25">
      <c r="A674" s="39">
        <v>41479</v>
      </c>
      <c r="B674" s="36">
        <v>5990.5</v>
      </c>
      <c r="C674" s="36">
        <f t="shared" si="40"/>
        <v>5915.7374756500012</v>
      </c>
      <c r="D674" s="36">
        <f t="shared" si="41"/>
        <v>106.93081332578879</v>
      </c>
      <c r="E674" s="40">
        <v>5990.5</v>
      </c>
      <c r="F674" s="36">
        <f t="shared" si="42"/>
        <v>6129.5991023015786</v>
      </c>
      <c r="G674" s="36">
        <f t="shared" si="43"/>
        <v>5701.8758489984239</v>
      </c>
      <c r="I674" s="40">
        <v>5990.5</v>
      </c>
      <c r="J674" s="36">
        <v>6129.5991023015786</v>
      </c>
      <c r="K674" s="36">
        <v>5701.8758489984239</v>
      </c>
    </row>
    <row r="675" spans="1:11" x14ac:dyDescent="0.25">
      <c r="A675" s="39">
        <v>41480</v>
      </c>
      <c r="B675" s="36">
        <v>5907.5</v>
      </c>
      <c r="C675" s="36">
        <f t="shared" si="40"/>
        <v>5926.99497075</v>
      </c>
      <c r="D675" s="36">
        <f t="shared" si="41"/>
        <v>91.856106570631553</v>
      </c>
      <c r="E675" s="40">
        <v>5907.5</v>
      </c>
      <c r="F675" s="36">
        <f t="shared" si="42"/>
        <v>6110.7071838912634</v>
      </c>
      <c r="G675" s="36">
        <f t="shared" si="43"/>
        <v>5743.2827576087366</v>
      </c>
      <c r="I675" s="40">
        <v>5907.5</v>
      </c>
      <c r="J675" s="36">
        <v>6110.7071838912634</v>
      </c>
      <c r="K675" s="36">
        <v>5743.2827576087366</v>
      </c>
    </row>
    <row r="676" spans="1:11" x14ac:dyDescent="0.25">
      <c r="A676" s="39">
        <v>41481</v>
      </c>
      <c r="B676" s="36">
        <v>5886.2001950000003</v>
      </c>
      <c r="C676" s="36">
        <f t="shared" si="40"/>
        <v>5929.1949707500007</v>
      </c>
      <c r="D676" s="36">
        <f t="shared" si="41"/>
        <v>90.230873962877553</v>
      </c>
      <c r="E676" s="40">
        <v>5886.2001950000003</v>
      </c>
      <c r="F676" s="36">
        <f t="shared" si="42"/>
        <v>6109.6567186757557</v>
      </c>
      <c r="G676" s="36">
        <f t="shared" si="43"/>
        <v>5748.7332228242458</v>
      </c>
      <c r="I676" s="40">
        <v>5886.2001950000003</v>
      </c>
      <c r="J676" s="36">
        <v>6109.6567186757557</v>
      </c>
      <c r="K676" s="36">
        <v>5748.7332228242458</v>
      </c>
    </row>
    <row r="677" spans="1:11" x14ac:dyDescent="0.25">
      <c r="A677" s="39">
        <v>41484</v>
      </c>
      <c r="B677" s="36">
        <v>5831.6499020000001</v>
      </c>
      <c r="C677" s="36">
        <f t="shared" si="40"/>
        <v>5925.8349609500001</v>
      </c>
      <c r="D677" s="36">
        <f t="shared" si="41"/>
        <v>92.639379350961519</v>
      </c>
      <c r="E677" s="40">
        <v>5831.6499020000001</v>
      </c>
      <c r="F677" s="36">
        <f t="shared" si="42"/>
        <v>6111.113719651923</v>
      </c>
      <c r="G677" s="36">
        <f t="shared" si="43"/>
        <v>5740.5562022480772</v>
      </c>
      <c r="I677" s="40">
        <v>5831.6499020000001</v>
      </c>
      <c r="J677" s="36">
        <v>6111.113719651923</v>
      </c>
      <c r="K677" s="36">
        <v>5740.5562022480772</v>
      </c>
    </row>
    <row r="678" spans="1:11" x14ac:dyDescent="0.25">
      <c r="A678" s="39">
        <v>41485</v>
      </c>
      <c r="B678" s="36">
        <v>5755.0498049999997</v>
      </c>
      <c r="C678" s="36">
        <f t="shared" si="40"/>
        <v>5920.709960950001</v>
      </c>
      <c r="D678" s="36">
        <f t="shared" si="41"/>
        <v>99.217579085946738</v>
      </c>
      <c r="E678" s="40">
        <v>5755.0498049999997</v>
      </c>
      <c r="F678" s="36">
        <f t="shared" si="42"/>
        <v>6119.1451191218948</v>
      </c>
      <c r="G678" s="36">
        <f t="shared" si="43"/>
        <v>5722.2748027781072</v>
      </c>
      <c r="I678" s="40">
        <v>5755.0498049999997</v>
      </c>
      <c r="J678" s="36">
        <v>6119.1451191218948</v>
      </c>
      <c r="K678" s="36">
        <v>5722.2748027781072</v>
      </c>
    </row>
    <row r="679" spans="1:11" x14ac:dyDescent="0.25">
      <c r="A679" s="39">
        <v>41486</v>
      </c>
      <c r="B679" s="36">
        <v>5742</v>
      </c>
      <c r="C679" s="36">
        <f t="shared" si="40"/>
        <v>5919.2649658500013</v>
      </c>
      <c r="D679" s="36">
        <f t="shared" si="41"/>
        <v>101.69377876671383</v>
      </c>
      <c r="E679" s="40">
        <v>5742</v>
      </c>
      <c r="F679" s="36">
        <f t="shared" si="42"/>
        <v>6122.6525233834291</v>
      </c>
      <c r="G679" s="36">
        <f t="shared" si="43"/>
        <v>5715.8774083165736</v>
      </c>
      <c r="I679" s="40">
        <v>5742</v>
      </c>
      <c r="J679" s="36">
        <v>6122.6525233834291</v>
      </c>
      <c r="K679" s="36">
        <v>5715.8774083165736</v>
      </c>
    </row>
    <row r="680" spans="1:11" x14ac:dyDescent="0.25">
      <c r="A680" s="39">
        <v>41487</v>
      </c>
      <c r="B680" s="36">
        <v>5727.8500979999999</v>
      </c>
      <c r="C680" s="36">
        <f t="shared" si="40"/>
        <v>5913.8099610000008</v>
      </c>
      <c r="D680" s="36">
        <f t="shared" si="41"/>
        <v>109.00498702567599</v>
      </c>
      <c r="E680" s="40">
        <v>5727.8500979999999</v>
      </c>
      <c r="F680" s="36">
        <f t="shared" si="42"/>
        <v>6131.8199350513532</v>
      </c>
      <c r="G680" s="36">
        <f t="shared" si="43"/>
        <v>5695.7999869486484</v>
      </c>
      <c r="I680" s="40">
        <v>5727.8500979999999</v>
      </c>
      <c r="J680" s="36">
        <v>6131.8199350513532</v>
      </c>
      <c r="K680" s="36">
        <v>5695.7999869486484</v>
      </c>
    </row>
    <row r="681" spans="1:11" x14ac:dyDescent="0.25">
      <c r="A681" s="39">
        <v>41488</v>
      </c>
      <c r="B681" s="36">
        <v>5677.8999020000001</v>
      </c>
      <c r="C681" s="36">
        <f t="shared" si="40"/>
        <v>5904.3099610000008</v>
      </c>
      <c r="D681" s="36">
        <f t="shared" si="41"/>
        <v>120.85234121219078</v>
      </c>
      <c r="E681" s="40">
        <v>5677.8999020000001</v>
      </c>
      <c r="F681" s="36">
        <f t="shared" si="42"/>
        <v>6146.0146434243825</v>
      </c>
      <c r="G681" s="36">
        <f t="shared" si="43"/>
        <v>5662.6052785756192</v>
      </c>
      <c r="I681" s="40">
        <v>5677.8999020000001</v>
      </c>
      <c r="J681" s="36">
        <v>6146.0146434243825</v>
      </c>
      <c r="K681" s="36">
        <v>5662.6052785756192</v>
      </c>
    </row>
    <row r="682" spans="1:11" x14ac:dyDescent="0.25">
      <c r="A682" s="39">
        <v>41491</v>
      </c>
      <c r="B682" s="36">
        <v>5685.3999020000001</v>
      </c>
      <c r="C682" s="36">
        <f t="shared" si="40"/>
        <v>5898.0024658500006</v>
      </c>
      <c r="D682" s="36">
        <f t="shared" si="41"/>
        <v>128.96795943215417</v>
      </c>
      <c r="E682" s="40">
        <v>5685.3999020000001</v>
      </c>
      <c r="F682" s="36">
        <f t="shared" si="42"/>
        <v>6155.938384714309</v>
      </c>
      <c r="G682" s="36">
        <f t="shared" si="43"/>
        <v>5640.0665469856922</v>
      </c>
      <c r="I682" s="40">
        <v>5685.3999020000001</v>
      </c>
      <c r="J682" s="36">
        <v>6155.938384714309</v>
      </c>
      <c r="K682" s="36">
        <v>5640.0665469856922</v>
      </c>
    </row>
    <row r="683" spans="1:11" x14ac:dyDescent="0.25">
      <c r="A683" s="39">
        <v>41492</v>
      </c>
      <c r="B683" s="36">
        <v>5542.25</v>
      </c>
      <c r="C683" s="36">
        <f t="shared" si="40"/>
        <v>5882.164965850001</v>
      </c>
      <c r="D683" s="36">
        <f t="shared" si="41"/>
        <v>151.49154104103366</v>
      </c>
      <c r="E683" s="40">
        <v>5542.25</v>
      </c>
      <c r="F683" s="36">
        <f t="shared" si="42"/>
        <v>6185.148047932068</v>
      </c>
      <c r="G683" s="36">
        <f t="shared" si="43"/>
        <v>5579.1818837679339</v>
      </c>
      <c r="I683" s="40">
        <v>5542.25</v>
      </c>
      <c r="J683" s="36">
        <v>6185.148047932068</v>
      </c>
      <c r="K683" s="36">
        <v>5579.1818837679339</v>
      </c>
    </row>
    <row r="684" spans="1:11" x14ac:dyDescent="0.25">
      <c r="A684" s="39">
        <v>41493</v>
      </c>
      <c r="B684" s="36">
        <v>5519.1000979999999</v>
      </c>
      <c r="C684" s="36">
        <f t="shared" si="40"/>
        <v>5867.2849610000003</v>
      </c>
      <c r="D684" s="36">
        <f t="shared" si="41"/>
        <v>171.54809426767193</v>
      </c>
      <c r="E684" s="40">
        <v>5519.1000979999999</v>
      </c>
      <c r="F684" s="36">
        <f t="shared" si="42"/>
        <v>6210.3811495353439</v>
      </c>
      <c r="G684" s="36">
        <f t="shared" si="43"/>
        <v>5524.1887724646567</v>
      </c>
      <c r="I684" s="40">
        <v>5519.1000979999999</v>
      </c>
      <c r="J684" s="36">
        <v>6210.3811495353439</v>
      </c>
      <c r="K684" s="36">
        <v>5524.1887724646567</v>
      </c>
    </row>
    <row r="685" spans="1:11" x14ac:dyDescent="0.25">
      <c r="A685" s="39">
        <v>41494</v>
      </c>
      <c r="B685" s="36">
        <v>5565.6499020000001</v>
      </c>
      <c r="C685" s="36">
        <f t="shared" si="40"/>
        <v>5848.8124512000013</v>
      </c>
      <c r="D685" s="36">
        <f t="shared" si="41"/>
        <v>183.34700605192873</v>
      </c>
      <c r="E685" s="40">
        <v>5565.6499020000001</v>
      </c>
      <c r="F685" s="36">
        <f t="shared" si="42"/>
        <v>6215.5064633038592</v>
      </c>
      <c r="G685" s="36">
        <f t="shared" si="43"/>
        <v>5482.1184390961434</v>
      </c>
      <c r="I685" s="40">
        <v>5565.6499020000001</v>
      </c>
      <c r="J685" s="36">
        <v>6215.5064633038592</v>
      </c>
      <c r="K685" s="36">
        <v>5482.1184390961434</v>
      </c>
    </row>
    <row r="686" spans="1:11" x14ac:dyDescent="0.25">
      <c r="A686" s="39">
        <v>41498</v>
      </c>
      <c r="B686" s="36">
        <v>5612.3999020000001</v>
      </c>
      <c r="C686" s="36">
        <f t="shared" si="40"/>
        <v>5828.9824463000004</v>
      </c>
      <c r="D686" s="36">
        <f t="shared" si="41"/>
        <v>186.52961225019067</v>
      </c>
      <c r="E686" s="40">
        <v>5612.3999020000001</v>
      </c>
      <c r="F686" s="36">
        <f t="shared" si="42"/>
        <v>6202.0416708003813</v>
      </c>
      <c r="G686" s="36">
        <f t="shared" si="43"/>
        <v>5455.9232217996196</v>
      </c>
      <c r="I686" s="40">
        <v>5612.3999020000001</v>
      </c>
      <c r="J686" s="36">
        <v>6202.0416708003813</v>
      </c>
      <c r="K686" s="36">
        <v>5455.9232217996196</v>
      </c>
    </row>
    <row r="687" spans="1:11" x14ac:dyDescent="0.25">
      <c r="A687" s="39">
        <v>41499</v>
      </c>
      <c r="B687" s="36">
        <v>5699.2998049999997</v>
      </c>
      <c r="C687" s="36">
        <f t="shared" si="40"/>
        <v>5812.4074463000006</v>
      </c>
      <c r="D687" s="36">
        <f t="shared" si="41"/>
        <v>182.33360942020875</v>
      </c>
      <c r="E687" s="40">
        <v>5699.2998049999997</v>
      </c>
      <c r="F687" s="36">
        <f t="shared" si="42"/>
        <v>6177.0746651404179</v>
      </c>
      <c r="G687" s="36">
        <f t="shared" si="43"/>
        <v>5447.7402274595834</v>
      </c>
      <c r="I687" s="40">
        <v>5699.2998049999997</v>
      </c>
      <c r="J687" s="36">
        <v>6177.0746651404179</v>
      </c>
      <c r="K687" s="36">
        <v>5447.7402274595834</v>
      </c>
    </row>
    <row r="688" spans="1:11" x14ac:dyDescent="0.25">
      <c r="A688" s="39">
        <v>41500</v>
      </c>
      <c r="B688" s="36">
        <v>5742.2998049999997</v>
      </c>
      <c r="C688" s="36">
        <f t="shared" si="40"/>
        <v>5801.7599365500009</v>
      </c>
      <c r="D688" s="36">
        <f t="shared" si="41"/>
        <v>179.75261571969997</v>
      </c>
      <c r="E688" s="40">
        <v>5742.2998049999997</v>
      </c>
      <c r="F688" s="36">
        <f t="shared" si="42"/>
        <v>6161.2651679894007</v>
      </c>
      <c r="G688" s="36">
        <f t="shared" si="43"/>
        <v>5442.2547051106012</v>
      </c>
      <c r="I688" s="40">
        <v>5742.2998049999997</v>
      </c>
      <c r="J688" s="36">
        <v>6161.2651679894007</v>
      </c>
      <c r="K688" s="36">
        <v>5442.2547051106012</v>
      </c>
    </row>
    <row r="689" spans="1:11" x14ac:dyDescent="0.25">
      <c r="A689" s="39">
        <v>41502</v>
      </c>
      <c r="B689" s="36">
        <v>5507.8500979999999</v>
      </c>
      <c r="C689" s="36">
        <f t="shared" si="40"/>
        <v>5778.4874512000006</v>
      </c>
      <c r="D689" s="36">
        <f t="shared" si="41"/>
        <v>186.38301672471934</v>
      </c>
      <c r="E689" s="40">
        <v>5507.8500979999999</v>
      </c>
      <c r="F689" s="36">
        <f t="shared" si="42"/>
        <v>6151.2534846494391</v>
      </c>
      <c r="G689" s="36">
        <f t="shared" si="43"/>
        <v>5405.7214177505621</v>
      </c>
      <c r="I689" s="40">
        <v>5507.8500979999999</v>
      </c>
      <c r="J689" s="36">
        <v>6151.2534846494391</v>
      </c>
      <c r="K689" s="36">
        <v>5405.7214177505621</v>
      </c>
    </row>
    <row r="690" spans="1:11" x14ac:dyDescent="0.25">
      <c r="A690" s="39">
        <v>41505</v>
      </c>
      <c r="B690" s="36">
        <v>5414.75</v>
      </c>
      <c r="C690" s="36">
        <f t="shared" si="40"/>
        <v>5747.3224609500003</v>
      </c>
      <c r="D690" s="36">
        <f t="shared" si="41"/>
        <v>192.70117786960878</v>
      </c>
      <c r="E690" s="40">
        <v>5414.75</v>
      </c>
      <c r="F690" s="36">
        <f t="shared" si="42"/>
        <v>6132.7248166892177</v>
      </c>
      <c r="G690" s="36">
        <f t="shared" si="43"/>
        <v>5361.9201052107828</v>
      </c>
      <c r="I690" s="40">
        <v>5414.75</v>
      </c>
      <c r="J690" s="36">
        <v>6132.7248166892177</v>
      </c>
      <c r="K690" s="36">
        <v>5361.9201052107828</v>
      </c>
    </row>
    <row r="691" spans="1:11" x14ac:dyDescent="0.25">
      <c r="A691" s="39">
        <v>41506</v>
      </c>
      <c r="B691" s="36">
        <v>5401.4501950000003</v>
      </c>
      <c r="C691" s="36">
        <f t="shared" si="40"/>
        <v>5715.9349609500005</v>
      </c>
      <c r="D691" s="36">
        <f t="shared" si="41"/>
        <v>195.47650274320654</v>
      </c>
      <c r="E691" s="40">
        <v>5401.4501950000003</v>
      </c>
      <c r="F691" s="36">
        <f t="shared" si="42"/>
        <v>6106.887966436414</v>
      </c>
      <c r="G691" s="36">
        <f t="shared" si="43"/>
        <v>5324.9819554635869</v>
      </c>
      <c r="I691" s="40">
        <v>5401.4501950000003</v>
      </c>
      <c r="J691" s="36">
        <v>6106.887966436414</v>
      </c>
      <c r="K691" s="36">
        <v>5324.9819554635869</v>
      </c>
    </row>
    <row r="692" spans="1:11" x14ac:dyDescent="0.25">
      <c r="A692" s="39">
        <v>41507</v>
      </c>
      <c r="B692" s="36">
        <v>5302.5498049999997</v>
      </c>
      <c r="C692" s="36">
        <f t="shared" si="40"/>
        <v>5679.4724609499999</v>
      </c>
      <c r="D692" s="36">
        <f t="shared" si="41"/>
        <v>201.38162367134765</v>
      </c>
      <c r="E692" s="40">
        <v>5302.5498049999997</v>
      </c>
      <c r="F692" s="36">
        <f t="shared" si="42"/>
        <v>6082.2357082926956</v>
      </c>
      <c r="G692" s="36">
        <f t="shared" si="43"/>
        <v>5276.7092136073043</v>
      </c>
      <c r="I692" s="40">
        <v>5302.5498049999997</v>
      </c>
      <c r="J692" s="36">
        <v>6082.2357082926956</v>
      </c>
      <c r="K692" s="36">
        <v>5276.7092136073043</v>
      </c>
    </row>
    <row r="693" spans="1:11" x14ac:dyDescent="0.25">
      <c r="A693" s="39">
        <v>41508</v>
      </c>
      <c r="B693" s="36">
        <v>5408.4501950000003</v>
      </c>
      <c r="C693" s="36">
        <f t="shared" si="40"/>
        <v>5646.0049804500004</v>
      </c>
      <c r="D693" s="36">
        <f t="shared" si="41"/>
        <v>186.79056091615232</v>
      </c>
      <c r="E693" s="40">
        <v>5408.4501950000003</v>
      </c>
      <c r="F693" s="36">
        <f t="shared" si="42"/>
        <v>6019.5861022823046</v>
      </c>
      <c r="G693" s="36">
        <f t="shared" si="43"/>
        <v>5272.4238586176962</v>
      </c>
      <c r="I693" s="40">
        <v>5408.4501950000003</v>
      </c>
      <c r="J693" s="36">
        <v>6019.5861022823046</v>
      </c>
      <c r="K693" s="36">
        <v>5272.4238586176962</v>
      </c>
    </row>
    <row r="694" spans="1:11" x14ac:dyDescent="0.25">
      <c r="A694" s="39">
        <v>41509</v>
      </c>
      <c r="B694" s="36">
        <v>5471.75</v>
      </c>
      <c r="C694" s="36">
        <f t="shared" si="40"/>
        <v>5620.0674804499995</v>
      </c>
      <c r="D694" s="36">
        <f t="shared" si="41"/>
        <v>171.85619154763953</v>
      </c>
      <c r="E694" s="40">
        <v>5471.75</v>
      </c>
      <c r="F694" s="36">
        <f t="shared" si="42"/>
        <v>5963.7798635452782</v>
      </c>
      <c r="G694" s="36">
        <f t="shared" si="43"/>
        <v>5276.3550973547208</v>
      </c>
      <c r="I694" s="40">
        <v>5471.75</v>
      </c>
      <c r="J694" s="36">
        <v>5963.7798635452782</v>
      </c>
      <c r="K694" s="36">
        <v>5276.3550973547208</v>
      </c>
    </row>
    <row r="695" spans="1:11" x14ac:dyDescent="0.25">
      <c r="A695" s="39">
        <v>41512</v>
      </c>
      <c r="B695" s="36">
        <v>5476.5</v>
      </c>
      <c r="C695" s="36">
        <f t="shared" si="40"/>
        <v>5598.5174804499993</v>
      </c>
      <c r="D695" s="36">
        <f t="shared" si="41"/>
        <v>160.5684931800003</v>
      </c>
      <c r="E695" s="40">
        <v>5476.5</v>
      </c>
      <c r="F695" s="36">
        <f t="shared" si="42"/>
        <v>5919.6544668099996</v>
      </c>
      <c r="G695" s="36">
        <f t="shared" si="43"/>
        <v>5277.380494089999</v>
      </c>
      <c r="I695" s="40">
        <v>5476.5</v>
      </c>
      <c r="J695" s="36">
        <v>5919.6544668099996</v>
      </c>
      <c r="K695" s="36">
        <v>5277.380494089999</v>
      </c>
    </row>
    <row r="696" spans="1:11" x14ac:dyDescent="0.25">
      <c r="A696" s="39">
        <v>41513</v>
      </c>
      <c r="B696" s="36">
        <v>5287.4501950000003</v>
      </c>
      <c r="C696" s="36">
        <f t="shared" si="40"/>
        <v>5568.5799804499993</v>
      </c>
      <c r="D696" s="36">
        <f t="shared" si="41"/>
        <v>159.92416175392157</v>
      </c>
      <c r="E696" s="40">
        <v>5287.4501950000003</v>
      </c>
      <c r="F696" s="36">
        <f t="shared" si="42"/>
        <v>5888.4283039578422</v>
      </c>
      <c r="G696" s="36">
        <f t="shared" si="43"/>
        <v>5248.7316569421564</v>
      </c>
      <c r="I696" s="40">
        <v>5287.4501950000003</v>
      </c>
      <c r="J696" s="36">
        <v>5888.4283039578422</v>
      </c>
      <c r="K696" s="36">
        <v>5248.7316569421564</v>
      </c>
    </row>
    <row r="697" spans="1:11" x14ac:dyDescent="0.25">
      <c r="A697" s="39">
        <v>41514</v>
      </c>
      <c r="B697" s="36">
        <v>5285</v>
      </c>
      <c r="C697" s="36">
        <f t="shared" si="40"/>
        <v>5541.2474853499998</v>
      </c>
      <c r="D697" s="36">
        <f t="shared" si="41"/>
        <v>159.30928685076111</v>
      </c>
      <c r="E697" s="40">
        <v>5285</v>
      </c>
      <c r="F697" s="36">
        <f t="shared" si="42"/>
        <v>5859.8660590515219</v>
      </c>
      <c r="G697" s="36">
        <f t="shared" si="43"/>
        <v>5222.6289116484777</v>
      </c>
      <c r="I697" s="40">
        <v>5285</v>
      </c>
      <c r="J697" s="36">
        <v>5859.8660590515219</v>
      </c>
      <c r="K697" s="36">
        <v>5222.6289116484777</v>
      </c>
    </row>
    <row r="698" spans="1:11" x14ac:dyDescent="0.25">
      <c r="A698" s="39">
        <v>41515</v>
      </c>
      <c r="B698" s="36">
        <v>5409.0498049999997</v>
      </c>
      <c r="C698" s="36">
        <f t="shared" si="40"/>
        <v>5523.9474853500005</v>
      </c>
      <c r="D698" s="36">
        <f t="shared" si="41"/>
        <v>153.55241235542923</v>
      </c>
      <c r="E698" s="40">
        <v>5409.0498049999997</v>
      </c>
      <c r="F698" s="36">
        <f t="shared" si="42"/>
        <v>5831.0523100608589</v>
      </c>
      <c r="G698" s="36">
        <f t="shared" si="43"/>
        <v>5216.8426606391422</v>
      </c>
      <c r="I698" s="40">
        <v>5409.0498049999997</v>
      </c>
      <c r="J698" s="36">
        <v>5831.0523100608589</v>
      </c>
      <c r="K698" s="36">
        <v>5216.8426606391422</v>
      </c>
    </row>
    <row r="699" spans="1:11" x14ac:dyDescent="0.25">
      <c r="A699" s="39">
        <v>41516</v>
      </c>
      <c r="B699" s="36">
        <v>5471.7998049999997</v>
      </c>
      <c r="C699" s="36">
        <f t="shared" si="40"/>
        <v>5510.4374756000007</v>
      </c>
      <c r="D699" s="36">
        <f t="shared" si="41"/>
        <v>145.00646040327763</v>
      </c>
      <c r="E699" s="40">
        <v>5471.7998049999997</v>
      </c>
      <c r="F699" s="36">
        <f t="shared" si="42"/>
        <v>5800.4503964065561</v>
      </c>
      <c r="G699" s="36">
        <f t="shared" si="43"/>
        <v>5220.4245547934452</v>
      </c>
      <c r="I699" s="40">
        <v>5471.7998049999997</v>
      </c>
      <c r="J699" s="36">
        <v>5800.4503964065561</v>
      </c>
      <c r="K699" s="36">
        <v>5220.4245547934452</v>
      </c>
    </row>
    <row r="700" spans="1:11" x14ac:dyDescent="0.25">
      <c r="A700" s="39">
        <v>41519</v>
      </c>
      <c r="B700" s="36">
        <v>5550.75</v>
      </c>
      <c r="C700" s="36">
        <f t="shared" si="40"/>
        <v>5501.5824707000002</v>
      </c>
      <c r="D700" s="36">
        <f t="shared" si="41"/>
        <v>136.16924968275683</v>
      </c>
      <c r="E700" s="40">
        <v>5550.75</v>
      </c>
      <c r="F700" s="36">
        <f t="shared" si="42"/>
        <v>5773.9209700655138</v>
      </c>
      <c r="G700" s="36">
        <f t="shared" si="43"/>
        <v>5229.2439713344866</v>
      </c>
      <c r="I700" s="40">
        <v>5550.75</v>
      </c>
      <c r="J700" s="36">
        <v>5773.9209700655138</v>
      </c>
      <c r="K700" s="36">
        <v>5229.2439713344866</v>
      </c>
    </row>
    <row r="701" spans="1:11" x14ac:dyDescent="0.25">
      <c r="A701" s="39">
        <v>41520</v>
      </c>
      <c r="B701" s="36">
        <v>5341.4501950000003</v>
      </c>
      <c r="C701" s="36">
        <f t="shared" si="40"/>
        <v>5484.7599853500005</v>
      </c>
      <c r="D701" s="36">
        <f t="shared" si="41"/>
        <v>134.00585523298395</v>
      </c>
      <c r="E701" s="40">
        <v>5341.4501950000003</v>
      </c>
      <c r="F701" s="36">
        <f t="shared" si="42"/>
        <v>5752.7716958159681</v>
      </c>
      <c r="G701" s="36">
        <f t="shared" si="43"/>
        <v>5216.748274884033</v>
      </c>
      <c r="I701" s="40">
        <v>5341.4501950000003</v>
      </c>
      <c r="J701" s="36">
        <v>5752.7716958159681</v>
      </c>
      <c r="K701" s="36">
        <v>5216.748274884033</v>
      </c>
    </row>
    <row r="702" spans="1:11" x14ac:dyDescent="0.25">
      <c r="A702" s="39">
        <v>41521</v>
      </c>
      <c r="B702" s="36">
        <v>5448.1000979999999</v>
      </c>
      <c r="C702" s="36">
        <f t="shared" si="40"/>
        <v>5472.8949951499999</v>
      </c>
      <c r="D702" s="36">
        <f t="shared" si="41"/>
        <v>125.54425238599698</v>
      </c>
      <c r="E702" s="40">
        <v>5448.1000979999999</v>
      </c>
      <c r="F702" s="36">
        <f t="shared" si="42"/>
        <v>5723.9834999219938</v>
      </c>
      <c r="G702" s="36">
        <f t="shared" si="43"/>
        <v>5221.8064903780059</v>
      </c>
      <c r="I702" s="40">
        <v>5448.1000979999999</v>
      </c>
      <c r="J702" s="36">
        <v>5723.9834999219938</v>
      </c>
      <c r="K702" s="36">
        <v>5221.8064903780059</v>
      </c>
    </row>
    <row r="703" spans="1:11" x14ac:dyDescent="0.25">
      <c r="A703" s="39">
        <v>41522</v>
      </c>
      <c r="B703" s="36">
        <v>5592.9501950000003</v>
      </c>
      <c r="C703" s="36">
        <f t="shared" si="40"/>
        <v>5475.4300048999994</v>
      </c>
      <c r="D703" s="36">
        <f t="shared" si="41"/>
        <v>127.51479494359766</v>
      </c>
      <c r="E703" s="40">
        <v>5592.9501950000003</v>
      </c>
      <c r="F703" s="36">
        <f t="shared" si="42"/>
        <v>5730.4595947871949</v>
      </c>
      <c r="G703" s="36">
        <f t="shared" si="43"/>
        <v>5220.4004150128039</v>
      </c>
      <c r="I703" s="40">
        <v>5592.9501950000003</v>
      </c>
      <c r="J703" s="36">
        <v>5730.4595947871949</v>
      </c>
      <c r="K703" s="36">
        <v>5220.4004150128039</v>
      </c>
    </row>
    <row r="704" spans="1:11" x14ac:dyDescent="0.25">
      <c r="A704" s="39">
        <v>41523</v>
      </c>
      <c r="B704" s="36">
        <v>5680.3999020000001</v>
      </c>
      <c r="C704" s="36">
        <f t="shared" si="40"/>
        <v>5483.4949950999999</v>
      </c>
      <c r="D704" s="36">
        <f t="shared" si="41"/>
        <v>135.28627269374249</v>
      </c>
      <c r="E704" s="40">
        <v>5680.3999020000001</v>
      </c>
      <c r="F704" s="36">
        <f t="shared" si="42"/>
        <v>5754.0675404874846</v>
      </c>
      <c r="G704" s="36">
        <f t="shared" si="43"/>
        <v>5212.9224497125151</v>
      </c>
      <c r="I704" s="40">
        <v>5680.3999020000001</v>
      </c>
      <c r="J704" s="36">
        <v>5754.0675404874846</v>
      </c>
      <c r="K704" s="36">
        <v>5212.9224497125151</v>
      </c>
    </row>
    <row r="705" spans="1:11" x14ac:dyDescent="0.25">
      <c r="A705" s="39">
        <v>41527</v>
      </c>
      <c r="B705" s="36">
        <v>5896.75</v>
      </c>
      <c r="C705" s="36">
        <f t="shared" si="40"/>
        <v>5500.05</v>
      </c>
      <c r="D705" s="36">
        <f t="shared" si="41"/>
        <v>163.23925653539129</v>
      </c>
      <c r="E705" s="40">
        <v>5896.75</v>
      </c>
      <c r="F705" s="36">
        <f t="shared" si="42"/>
        <v>5826.5285130707825</v>
      </c>
      <c r="G705" s="36">
        <f t="shared" si="43"/>
        <v>5173.5714869292178</v>
      </c>
      <c r="I705" s="40">
        <v>5896.75</v>
      </c>
      <c r="J705" s="36">
        <v>5826.5285130707825</v>
      </c>
      <c r="K705" s="36">
        <v>5173.5714869292178</v>
      </c>
    </row>
    <row r="706" spans="1:11" x14ac:dyDescent="0.25">
      <c r="A706" s="39">
        <v>41528</v>
      </c>
      <c r="B706" s="36">
        <v>5913.1499020000001</v>
      </c>
      <c r="C706" s="36">
        <f t="shared" si="40"/>
        <v>5515.0874999999996</v>
      </c>
      <c r="D706" s="36">
        <f t="shared" si="41"/>
        <v>186.35005868106887</v>
      </c>
      <c r="E706" s="40">
        <v>5913.1499020000001</v>
      </c>
      <c r="F706" s="36">
        <f t="shared" si="42"/>
        <v>5887.7876173621371</v>
      </c>
      <c r="G706" s="36">
        <f t="shared" si="43"/>
        <v>5142.3873826378622</v>
      </c>
      <c r="I706" s="40">
        <v>5913.1499020000001</v>
      </c>
      <c r="J706" s="36">
        <v>5887.7876173621371</v>
      </c>
      <c r="K706" s="36">
        <v>5142.3873826378622</v>
      </c>
    </row>
    <row r="707" spans="1:11" x14ac:dyDescent="0.25">
      <c r="A707" s="39">
        <v>41529</v>
      </c>
      <c r="B707" s="36">
        <v>5850.7001950000003</v>
      </c>
      <c r="C707" s="36">
        <f t="shared" si="40"/>
        <v>5522.6575194999996</v>
      </c>
      <c r="D707" s="36">
        <f t="shared" si="41"/>
        <v>196.99801586837594</v>
      </c>
      <c r="E707" s="40">
        <v>5850.7001950000003</v>
      </c>
      <c r="F707" s="36">
        <f t="shared" si="42"/>
        <v>5916.6535512367518</v>
      </c>
      <c r="G707" s="36">
        <f t="shared" si="43"/>
        <v>5128.6614877632474</v>
      </c>
      <c r="I707" s="40">
        <v>5850.7001950000003</v>
      </c>
      <c r="J707" s="36">
        <v>5916.6535512367518</v>
      </c>
      <c r="K707" s="36">
        <v>5128.6614877632474</v>
      </c>
    </row>
    <row r="708" spans="1:11" x14ac:dyDescent="0.25">
      <c r="A708" s="39">
        <v>41530</v>
      </c>
      <c r="B708" s="36">
        <v>5850.6000979999999</v>
      </c>
      <c r="C708" s="36">
        <f t="shared" si="40"/>
        <v>5528.0725341500001</v>
      </c>
      <c r="D708" s="36">
        <f t="shared" si="41"/>
        <v>204.69146234809523</v>
      </c>
      <c r="E708" s="40">
        <v>5850.6000979999999</v>
      </c>
      <c r="F708" s="36">
        <f t="shared" si="42"/>
        <v>5937.4554588461906</v>
      </c>
      <c r="G708" s="36">
        <f t="shared" si="43"/>
        <v>5118.6896094538097</v>
      </c>
      <c r="I708" s="40">
        <v>5850.6000979999999</v>
      </c>
      <c r="J708" s="36">
        <v>5937.4554588461906</v>
      </c>
      <c r="K708" s="36">
        <v>5118.6896094538097</v>
      </c>
    </row>
    <row r="709" spans="1:11" x14ac:dyDescent="0.25">
      <c r="A709" s="39">
        <v>41533</v>
      </c>
      <c r="B709" s="36">
        <v>5840.5498049999997</v>
      </c>
      <c r="C709" s="36">
        <f t="shared" si="40"/>
        <v>5544.7075195000007</v>
      </c>
      <c r="D709" s="36">
        <f t="shared" si="41"/>
        <v>216.15929110970589</v>
      </c>
      <c r="E709" s="40">
        <v>5840.5498049999997</v>
      </c>
      <c r="F709" s="36">
        <f t="shared" si="42"/>
        <v>5977.0261017194125</v>
      </c>
      <c r="G709" s="36">
        <f t="shared" si="43"/>
        <v>5112.3889372805888</v>
      </c>
      <c r="I709" s="40">
        <v>5840.5498049999997</v>
      </c>
      <c r="J709" s="36">
        <v>5977.0261017194125</v>
      </c>
      <c r="K709" s="36">
        <v>5112.3889372805888</v>
      </c>
    </row>
    <row r="710" spans="1:11" x14ac:dyDescent="0.25">
      <c r="A710" s="39">
        <v>41534</v>
      </c>
      <c r="B710" s="36">
        <v>5850.2001950000003</v>
      </c>
      <c r="C710" s="36">
        <f t="shared" si="40"/>
        <v>5566.4800292500004</v>
      </c>
      <c r="D710" s="36">
        <f t="shared" si="41"/>
        <v>224.16252536957475</v>
      </c>
      <c r="E710" s="40">
        <v>5850.2001950000003</v>
      </c>
      <c r="F710" s="36">
        <f t="shared" si="42"/>
        <v>6014.8050799891498</v>
      </c>
      <c r="G710" s="36">
        <f t="shared" si="43"/>
        <v>5118.1549785108509</v>
      </c>
      <c r="I710" s="40">
        <v>5850.2001950000003</v>
      </c>
      <c r="J710" s="36">
        <v>6014.8050799891498</v>
      </c>
      <c r="K710" s="36">
        <v>5118.1549785108509</v>
      </c>
    </row>
    <row r="711" spans="1:11" x14ac:dyDescent="0.25">
      <c r="A711" s="39">
        <v>41535</v>
      </c>
      <c r="B711" s="36">
        <v>5899.4501950000003</v>
      </c>
      <c r="C711" s="36">
        <f t="shared" si="40"/>
        <v>5591.38002925</v>
      </c>
      <c r="D711" s="36">
        <f t="shared" si="41"/>
        <v>232.37469774711977</v>
      </c>
      <c r="E711" s="40">
        <v>5899.4501950000003</v>
      </c>
      <c r="F711" s="36">
        <f t="shared" si="42"/>
        <v>6056.1294247442393</v>
      </c>
      <c r="G711" s="36">
        <f t="shared" si="43"/>
        <v>5126.6306337557608</v>
      </c>
      <c r="I711" s="40">
        <v>5899.4501950000003</v>
      </c>
      <c r="J711" s="36">
        <v>6056.1294247442393</v>
      </c>
      <c r="K711" s="36">
        <v>5126.6306337557608</v>
      </c>
    </row>
    <row r="712" spans="1:11" x14ac:dyDescent="0.25">
      <c r="A712" s="39">
        <v>41536</v>
      </c>
      <c r="B712" s="36">
        <v>6115.5498049999997</v>
      </c>
      <c r="C712" s="36">
        <f t="shared" si="40"/>
        <v>5632.0300292499996</v>
      </c>
      <c r="D712" s="36">
        <f t="shared" si="41"/>
        <v>249.65709201535859</v>
      </c>
      <c r="E712" s="40">
        <v>6115.5498049999997</v>
      </c>
      <c r="F712" s="36">
        <f t="shared" si="42"/>
        <v>6131.3442132807168</v>
      </c>
      <c r="G712" s="36">
        <f t="shared" si="43"/>
        <v>5132.7158452192825</v>
      </c>
      <c r="I712" s="40">
        <v>6115.5498049999997</v>
      </c>
      <c r="J712" s="36">
        <v>6131.3442132807168</v>
      </c>
      <c r="K712" s="36">
        <v>5132.7158452192825</v>
      </c>
    </row>
    <row r="713" spans="1:11" x14ac:dyDescent="0.25">
      <c r="A713" s="39">
        <v>41537</v>
      </c>
      <c r="B713" s="36">
        <v>6012.1000979999999</v>
      </c>
      <c r="C713" s="36">
        <f t="shared" si="40"/>
        <v>5662.2125243999999</v>
      </c>
      <c r="D713" s="36">
        <f t="shared" si="41"/>
        <v>257.56861762139346</v>
      </c>
      <c r="E713" s="40">
        <v>6012.1000979999999</v>
      </c>
      <c r="F713" s="36">
        <f t="shared" si="42"/>
        <v>6177.3497596427869</v>
      </c>
      <c r="G713" s="36">
        <f t="shared" si="43"/>
        <v>5147.0752891572129</v>
      </c>
      <c r="I713" s="40">
        <v>6012.1000979999999</v>
      </c>
      <c r="J713" s="36">
        <v>6177.3497596427869</v>
      </c>
      <c r="K713" s="36">
        <v>5147.0752891572129</v>
      </c>
    </row>
    <row r="714" spans="1:11" x14ac:dyDescent="0.25">
      <c r="A714" s="39">
        <v>41540</v>
      </c>
      <c r="B714" s="36">
        <v>5889.75</v>
      </c>
      <c r="C714" s="36">
        <f t="shared" si="40"/>
        <v>5683.1125243999995</v>
      </c>
      <c r="D714" s="36">
        <f t="shared" si="41"/>
        <v>258.25847848579065</v>
      </c>
      <c r="E714" s="40">
        <v>5889.75</v>
      </c>
      <c r="F714" s="36">
        <f t="shared" si="42"/>
        <v>6199.6294813715813</v>
      </c>
      <c r="G714" s="36">
        <f t="shared" si="43"/>
        <v>5166.5955674284178</v>
      </c>
      <c r="I714" s="40">
        <v>5889.75</v>
      </c>
      <c r="J714" s="36">
        <v>6199.6294813715813</v>
      </c>
      <c r="K714" s="36">
        <v>5166.5955674284178</v>
      </c>
    </row>
    <row r="715" spans="1:11" x14ac:dyDescent="0.25">
      <c r="A715" s="39">
        <v>41541</v>
      </c>
      <c r="B715" s="36">
        <v>5892.4501950000003</v>
      </c>
      <c r="C715" s="36">
        <f t="shared" si="40"/>
        <v>5703.9100341499998</v>
      </c>
      <c r="D715" s="36">
        <f t="shared" si="41"/>
        <v>257.49135798920588</v>
      </c>
      <c r="E715" s="40">
        <v>5892.4501950000003</v>
      </c>
      <c r="F715" s="36">
        <f t="shared" si="42"/>
        <v>6218.8927501284115</v>
      </c>
      <c r="G715" s="36">
        <f t="shared" si="43"/>
        <v>5188.927318171588</v>
      </c>
      <c r="I715" s="40">
        <v>5892.4501950000003</v>
      </c>
      <c r="J715" s="36">
        <v>6218.8927501284115</v>
      </c>
      <c r="K715" s="36">
        <v>5188.927318171588</v>
      </c>
    </row>
    <row r="716" spans="1:11" x14ac:dyDescent="0.25">
      <c r="A716" s="39">
        <v>41542</v>
      </c>
      <c r="B716" s="36">
        <v>5873.8500979999999</v>
      </c>
      <c r="C716" s="36">
        <f t="shared" si="40"/>
        <v>5733.2300292999989</v>
      </c>
      <c r="D716" s="36">
        <f t="shared" si="41"/>
        <v>240.39241763897988</v>
      </c>
      <c r="E716" s="40">
        <v>5873.8500979999999</v>
      </c>
      <c r="F716" s="36">
        <f t="shared" si="42"/>
        <v>6214.0148645779591</v>
      </c>
      <c r="G716" s="36">
        <f t="shared" si="43"/>
        <v>5252.4451940220388</v>
      </c>
      <c r="I716" s="40">
        <v>5873.8500979999999</v>
      </c>
      <c r="J716" s="36">
        <v>6214.0148645779591</v>
      </c>
      <c r="K716" s="36">
        <v>5252.4451940220388</v>
      </c>
    </row>
    <row r="717" spans="1:11" x14ac:dyDescent="0.25">
      <c r="A717" s="39">
        <v>41543</v>
      </c>
      <c r="B717" s="36">
        <v>5882.25</v>
      </c>
      <c r="C717" s="36">
        <f t="shared" si="40"/>
        <v>5763.0925292999982</v>
      </c>
      <c r="D717" s="36">
        <f t="shared" si="41"/>
        <v>217.81730503531611</v>
      </c>
      <c r="E717" s="40">
        <v>5882.25</v>
      </c>
      <c r="F717" s="36">
        <f t="shared" si="42"/>
        <v>6198.7271393706305</v>
      </c>
      <c r="G717" s="36">
        <f t="shared" si="43"/>
        <v>5327.4579192293659</v>
      </c>
      <c r="I717" s="40">
        <v>5882.25</v>
      </c>
      <c r="J717" s="36">
        <v>6198.7271393706305</v>
      </c>
      <c r="K717" s="36">
        <v>5327.4579192293659</v>
      </c>
    </row>
    <row r="718" spans="1:11" x14ac:dyDescent="0.25">
      <c r="A718" s="39">
        <v>41544</v>
      </c>
      <c r="B718" s="36">
        <v>5833.2001950000003</v>
      </c>
      <c r="C718" s="36">
        <f t="shared" si="40"/>
        <v>5784.3000487999989</v>
      </c>
      <c r="D718" s="36">
        <f t="shared" si="41"/>
        <v>201.57496262359751</v>
      </c>
      <c r="E718" s="40">
        <v>5833.2001950000003</v>
      </c>
      <c r="F718" s="36">
        <f t="shared" si="42"/>
        <v>6187.4499740471938</v>
      </c>
      <c r="G718" s="36">
        <f t="shared" si="43"/>
        <v>5381.150123552804</v>
      </c>
      <c r="I718" s="40">
        <v>5833.2001950000003</v>
      </c>
      <c r="J718" s="36">
        <v>6187.4499740471938</v>
      </c>
      <c r="K718" s="36">
        <v>5381.150123552804</v>
      </c>
    </row>
    <row r="719" spans="1:11" x14ac:dyDescent="0.25">
      <c r="A719" s="39">
        <v>41547</v>
      </c>
      <c r="B719" s="36">
        <v>5735.2998049999997</v>
      </c>
      <c r="C719" s="36">
        <f t="shared" si="40"/>
        <v>5797.4750488</v>
      </c>
      <c r="D719" s="36">
        <f t="shared" si="41"/>
        <v>188.24534027849901</v>
      </c>
      <c r="E719" s="40">
        <v>5735.2998049999997</v>
      </c>
      <c r="F719" s="36">
        <f t="shared" si="42"/>
        <v>6173.9657293569981</v>
      </c>
      <c r="G719" s="36">
        <f t="shared" si="43"/>
        <v>5420.9843682430019</v>
      </c>
      <c r="I719" s="40">
        <v>5735.2998049999997</v>
      </c>
      <c r="J719" s="36">
        <v>6173.9657293569981</v>
      </c>
      <c r="K719" s="36">
        <v>5420.9843682430019</v>
      </c>
    </row>
    <row r="720" spans="1:11" x14ac:dyDescent="0.25">
      <c r="A720" s="39">
        <v>41548</v>
      </c>
      <c r="B720" s="36">
        <v>5780.0498049999997</v>
      </c>
      <c r="C720" s="36">
        <f t="shared" si="40"/>
        <v>5808.9400390499995</v>
      </c>
      <c r="D720" s="36">
        <f t="shared" si="41"/>
        <v>179.19282821384652</v>
      </c>
      <c r="E720" s="40">
        <v>5780.0498049999997</v>
      </c>
      <c r="F720" s="36">
        <f t="shared" si="42"/>
        <v>6167.3256954776925</v>
      </c>
      <c r="G720" s="36">
        <f t="shared" si="43"/>
        <v>5450.5543826223065</v>
      </c>
      <c r="I720" s="40">
        <v>5780.0498049999997</v>
      </c>
      <c r="J720" s="36">
        <v>6167.3256954776925</v>
      </c>
      <c r="K720" s="36">
        <v>5450.5543826223065</v>
      </c>
    </row>
    <row r="721" spans="1:11" x14ac:dyDescent="0.25">
      <c r="A721" s="39">
        <v>41550</v>
      </c>
      <c r="B721" s="36">
        <v>5909.7001950000003</v>
      </c>
      <c r="C721" s="36">
        <f t="shared" si="40"/>
        <v>5837.3525390499999</v>
      </c>
      <c r="D721" s="36">
        <f t="shared" si="41"/>
        <v>142.45068871541778</v>
      </c>
      <c r="E721" s="40">
        <v>5909.7001950000003</v>
      </c>
      <c r="F721" s="36">
        <f t="shared" si="42"/>
        <v>6122.2539164808359</v>
      </c>
      <c r="G721" s="36">
        <f t="shared" si="43"/>
        <v>5552.4511616191639</v>
      </c>
      <c r="I721" s="40">
        <v>5909.7001950000003</v>
      </c>
      <c r="J721" s="36">
        <v>6122.2539164808359</v>
      </c>
      <c r="K721" s="36">
        <v>5552.4511616191639</v>
      </c>
    </row>
    <row r="722" spans="1:11" x14ac:dyDescent="0.25">
      <c r="A722" s="39">
        <v>41551</v>
      </c>
      <c r="B722" s="36">
        <v>5907.2998049999997</v>
      </c>
      <c r="C722" s="36">
        <f t="shared" si="40"/>
        <v>5860.3125244000003</v>
      </c>
      <c r="D722" s="36">
        <f t="shared" si="41"/>
        <v>109.63665210222264</v>
      </c>
      <c r="E722" s="40">
        <v>5907.2998049999997</v>
      </c>
      <c r="F722" s="36">
        <f t="shared" si="42"/>
        <v>6079.5858286044459</v>
      </c>
      <c r="G722" s="36">
        <f t="shared" si="43"/>
        <v>5641.0392201955547</v>
      </c>
      <c r="I722" s="40">
        <v>5907.2998049999997</v>
      </c>
      <c r="J722" s="36">
        <v>6079.5858286044459</v>
      </c>
      <c r="K722" s="36">
        <v>5641.0392201955547</v>
      </c>
    </row>
    <row r="723" spans="1:11" x14ac:dyDescent="0.25">
      <c r="A723" s="39">
        <v>41554</v>
      </c>
      <c r="B723" s="36">
        <v>5906.1499020000001</v>
      </c>
      <c r="C723" s="36">
        <f t="shared" si="40"/>
        <v>5875.9725097500004</v>
      </c>
      <c r="D723" s="36">
        <f t="shared" si="41"/>
        <v>90.057718737338817</v>
      </c>
      <c r="E723" s="40">
        <v>5906.1499020000001</v>
      </c>
      <c r="F723" s="36">
        <f t="shared" si="42"/>
        <v>6056.0879472246779</v>
      </c>
      <c r="G723" s="36">
        <f t="shared" si="43"/>
        <v>5695.8570722753229</v>
      </c>
      <c r="I723" s="40">
        <v>5906.1499020000001</v>
      </c>
      <c r="J723" s="36">
        <v>6056.0879472246779</v>
      </c>
      <c r="K723" s="36">
        <v>5695.8570722753229</v>
      </c>
    </row>
    <row r="724" spans="1:11" x14ac:dyDescent="0.25">
      <c r="A724" s="39">
        <v>41555</v>
      </c>
      <c r="B724" s="36">
        <v>5928.3999020000001</v>
      </c>
      <c r="C724" s="36">
        <f t="shared" si="40"/>
        <v>5888.372509750001</v>
      </c>
      <c r="D724" s="36">
        <f t="shared" si="41"/>
        <v>77.975113416936807</v>
      </c>
      <c r="E724" s="40">
        <v>5928.3999020000001</v>
      </c>
      <c r="F724" s="36">
        <f t="shared" si="42"/>
        <v>6044.3227365838748</v>
      </c>
      <c r="G724" s="36">
        <f t="shared" si="43"/>
        <v>5732.4222829161272</v>
      </c>
      <c r="I724" s="40">
        <v>5928.3999020000001</v>
      </c>
      <c r="J724" s="36">
        <v>6044.3227365838748</v>
      </c>
      <c r="K724" s="36">
        <v>5732.4222829161272</v>
      </c>
    </row>
    <row r="725" spans="1:11" x14ac:dyDescent="0.25">
      <c r="A725" s="39">
        <v>41556</v>
      </c>
      <c r="B725" s="36">
        <v>6007.4501950000003</v>
      </c>
      <c r="C725" s="36">
        <f t="shared" si="40"/>
        <v>5893.9075195000014</v>
      </c>
      <c r="D725" s="36">
        <f t="shared" si="41"/>
        <v>82.404277500834539</v>
      </c>
      <c r="E725" s="40">
        <v>6007.4501950000003</v>
      </c>
      <c r="F725" s="36">
        <f t="shared" si="42"/>
        <v>6058.7160745016708</v>
      </c>
      <c r="G725" s="36">
        <f t="shared" si="43"/>
        <v>5729.098964498332</v>
      </c>
      <c r="I725" s="40">
        <v>6007.4501950000003</v>
      </c>
      <c r="J725" s="36">
        <v>6058.7160745016708</v>
      </c>
      <c r="K725" s="36">
        <v>5729.098964498332</v>
      </c>
    </row>
    <row r="726" spans="1:11" x14ac:dyDescent="0.25">
      <c r="A726" s="39">
        <v>41557</v>
      </c>
      <c r="B726" s="36">
        <v>6020.9501950000003</v>
      </c>
      <c r="C726" s="36">
        <f t="shared" ref="C726:C789" si="44">AVERAGE(B707:B726)</f>
        <v>5899.2975341500005</v>
      </c>
      <c r="D726" s="36">
        <f t="shared" ref="D726:D789" si="45">_xlfn.STDEV.S(B707:B726)</f>
        <v>87.119808918412716</v>
      </c>
      <c r="E726" s="40">
        <v>6020.9501950000003</v>
      </c>
      <c r="F726" s="36">
        <f t="shared" ref="F726:F789" si="46">C726+2*D726</f>
        <v>6073.5371519868258</v>
      </c>
      <c r="G726" s="36">
        <f t="shared" ref="G726:G789" si="47">C726-2*D726</f>
        <v>5725.0579163131752</v>
      </c>
      <c r="I726" s="40">
        <v>6020.9501950000003</v>
      </c>
      <c r="J726" s="36">
        <v>6073.5371519868258</v>
      </c>
      <c r="K726" s="36">
        <v>5725.0579163131752</v>
      </c>
    </row>
    <row r="727" spans="1:11" x14ac:dyDescent="0.25">
      <c r="A727" s="39">
        <v>41558</v>
      </c>
      <c r="B727" s="36">
        <v>6096.2001950000003</v>
      </c>
      <c r="C727" s="36">
        <f t="shared" si="44"/>
        <v>5911.5725341500001</v>
      </c>
      <c r="D727" s="36">
        <f t="shared" si="45"/>
        <v>96.682552987377562</v>
      </c>
      <c r="E727" s="40">
        <v>6096.2001950000003</v>
      </c>
      <c r="F727" s="36">
        <f t="shared" si="46"/>
        <v>6104.9376401247555</v>
      </c>
      <c r="G727" s="36">
        <f t="shared" si="47"/>
        <v>5718.2074281752448</v>
      </c>
      <c r="I727" s="40">
        <v>6096.2001950000003</v>
      </c>
      <c r="J727" s="36">
        <v>6104.9376401247555</v>
      </c>
      <c r="K727" s="36">
        <v>5718.2074281752448</v>
      </c>
    </row>
    <row r="728" spans="1:11" x14ac:dyDescent="0.25">
      <c r="A728" s="39">
        <v>41561</v>
      </c>
      <c r="B728" s="36">
        <v>6112.7001950000003</v>
      </c>
      <c r="C728" s="36">
        <f t="shared" si="44"/>
        <v>5924.6775389999993</v>
      </c>
      <c r="D728" s="36">
        <f t="shared" si="45"/>
        <v>105.35720691696532</v>
      </c>
      <c r="E728" s="40">
        <v>6112.7001950000003</v>
      </c>
      <c r="F728" s="36">
        <f t="shared" si="46"/>
        <v>6135.3919528339302</v>
      </c>
      <c r="G728" s="36">
        <f t="shared" si="47"/>
        <v>5713.9631251660685</v>
      </c>
      <c r="I728" s="40">
        <v>6112.7001950000003</v>
      </c>
      <c r="J728" s="36">
        <v>6135.3919528339302</v>
      </c>
      <c r="K728" s="36">
        <v>5713.9631251660685</v>
      </c>
    </row>
    <row r="729" spans="1:11" x14ac:dyDescent="0.25">
      <c r="A729" s="39">
        <v>41562</v>
      </c>
      <c r="B729" s="36">
        <v>6089.0498049999997</v>
      </c>
      <c r="C729" s="36">
        <f t="shared" si="44"/>
        <v>5937.1025390000004</v>
      </c>
      <c r="D729" s="36">
        <f t="shared" si="45"/>
        <v>109.4858399014374</v>
      </c>
      <c r="E729" s="40">
        <v>6089.0498049999997</v>
      </c>
      <c r="F729" s="36">
        <f t="shared" si="46"/>
        <v>6156.0742188028753</v>
      </c>
      <c r="G729" s="36">
        <f t="shared" si="47"/>
        <v>5718.1308591971256</v>
      </c>
      <c r="I729" s="40">
        <v>6089.0498049999997</v>
      </c>
      <c r="J729" s="36">
        <v>6156.0742188028753</v>
      </c>
      <c r="K729" s="36">
        <v>5718.1308591971256</v>
      </c>
    </row>
    <row r="730" spans="1:11" x14ac:dyDescent="0.25">
      <c r="A730" s="39">
        <v>41564</v>
      </c>
      <c r="B730" s="36">
        <v>6045.8500979999999</v>
      </c>
      <c r="C730" s="36">
        <f t="shared" si="44"/>
        <v>5946.8850341500001</v>
      </c>
      <c r="D730" s="36">
        <f t="shared" si="45"/>
        <v>110.0516394598246</v>
      </c>
      <c r="E730" s="40">
        <v>6045.8500979999999</v>
      </c>
      <c r="F730" s="36">
        <f t="shared" si="46"/>
        <v>6166.9883130696489</v>
      </c>
      <c r="G730" s="36">
        <f t="shared" si="47"/>
        <v>5726.7817552303513</v>
      </c>
      <c r="I730" s="40">
        <v>6045.8500979999999</v>
      </c>
      <c r="J730" s="36">
        <v>6166.9883130696489</v>
      </c>
      <c r="K730" s="36">
        <v>5726.7817552303513</v>
      </c>
    </row>
    <row r="731" spans="1:11" x14ac:dyDescent="0.25">
      <c r="A731" s="39">
        <v>41565</v>
      </c>
      <c r="B731" s="36">
        <v>6189.3500979999999</v>
      </c>
      <c r="C731" s="36">
        <f t="shared" si="44"/>
        <v>5961.3800292999995</v>
      </c>
      <c r="D731" s="36">
        <f t="shared" si="45"/>
        <v>121.92600196381774</v>
      </c>
      <c r="E731" s="40">
        <v>6189.3500979999999</v>
      </c>
      <c r="F731" s="36">
        <f t="shared" si="46"/>
        <v>6205.2320332276349</v>
      </c>
      <c r="G731" s="36">
        <f t="shared" si="47"/>
        <v>5717.528025372364</v>
      </c>
      <c r="I731" s="40">
        <v>6189.3500979999999</v>
      </c>
      <c r="J731" s="36">
        <v>6205.2320332276349</v>
      </c>
      <c r="K731" s="36">
        <v>5717.528025372364</v>
      </c>
    </row>
    <row r="732" spans="1:11" x14ac:dyDescent="0.25">
      <c r="A732" s="39">
        <v>41568</v>
      </c>
      <c r="B732" s="36">
        <v>6204.9501950000003</v>
      </c>
      <c r="C732" s="36">
        <f t="shared" si="44"/>
        <v>5965.8500487999991</v>
      </c>
      <c r="D732" s="36">
        <f t="shared" si="45"/>
        <v>129.29190423954518</v>
      </c>
      <c r="E732" s="40">
        <v>6204.9501950000003</v>
      </c>
      <c r="F732" s="36">
        <f t="shared" si="46"/>
        <v>6224.4338572790894</v>
      </c>
      <c r="G732" s="36">
        <f t="shared" si="47"/>
        <v>5707.2662403209088</v>
      </c>
      <c r="I732" s="40">
        <v>6204.9501950000003</v>
      </c>
      <c r="J732" s="36">
        <v>6224.4338572790894</v>
      </c>
      <c r="K732" s="36">
        <v>5707.2662403209088</v>
      </c>
    </row>
    <row r="733" spans="1:11" x14ac:dyDescent="0.25">
      <c r="A733" s="39">
        <v>41569</v>
      </c>
      <c r="B733" s="36">
        <v>6202.7998049999997</v>
      </c>
      <c r="C733" s="36">
        <f t="shared" si="44"/>
        <v>5975.3850341499992</v>
      </c>
      <c r="D733" s="36">
        <f t="shared" si="45"/>
        <v>139.51029664614447</v>
      </c>
      <c r="E733" s="40">
        <v>6202.7998049999997</v>
      </c>
      <c r="F733" s="36">
        <f t="shared" si="46"/>
        <v>6254.4056274422883</v>
      </c>
      <c r="G733" s="36">
        <f t="shared" si="47"/>
        <v>5696.3644408577102</v>
      </c>
      <c r="I733" s="40">
        <v>6202.7998049999997</v>
      </c>
      <c r="J733" s="36">
        <v>6254.4056274422883</v>
      </c>
      <c r="K733" s="36">
        <v>5696.3644408577102</v>
      </c>
    </row>
    <row r="734" spans="1:11" x14ac:dyDescent="0.25">
      <c r="A734" s="39">
        <v>41570</v>
      </c>
      <c r="B734" s="36">
        <v>6178.3500979999999</v>
      </c>
      <c r="C734" s="36">
        <f t="shared" si="44"/>
        <v>5989.8150390499995</v>
      </c>
      <c r="D734" s="36">
        <f t="shared" si="45"/>
        <v>145.00386415488012</v>
      </c>
      <c r="E734" s="40">
        <v>6178.3500979999999</v>
      </c>
      <c r="F734" s="36">
        <f t="shared" si="46"/>
        <v>6279.8227673597594</v>
      </c>
      <c r="G734" s="36">
        <f t="shared" si="47"/>
        <v>5699.8073107402397</v>
      </c>
      <c r="I734" s="40">
        <v>6178.3500979999999</v>
      </c>
      <c r="J734" s="36">
        <v>6279.8227673597594</v>
      </c>
      <c r="K734" s="36">
        <v>5699.8073107402397</v>
      </c>
    </row>
    <row r="735" spans="1:11" x14ac:dyDescent="0.25">
      <c r="A735" s="39">
        <v>41571</v>
      </c>
      <c r="B735" s="36">
        <v>6164.3500979999999</v>
      </c>
      <c r="C735" s="36">
        <f t="shared" si="44"/>
        <v>6003.4100341999983</v>
      </c>
      <c r="D735" s="36">
        <f t="shared" si="45"/>
        <v>148.10778220790149</v>
      </c>
      <c r="E735" s="40">
        <v>6164.3500979999999</v>
      </c>
      <c r="F735" s="36">
        <f t="shared" si="46"/>
        <v>6299.6255986158012</v>
      </c>
      <c r="G735" s="36">
        <f t="shared" si="47"/>
        <v>5707.1944697841955</v>
      </c>
      <c r="I735" s="40">
        <v>6164.3500979999999</v>
      </c>
      <c r="J735" s="36">
        <v>6299.6255986158012</v>
      </c>
      <c r="K735" s="36">
        <v>5707.1944697841955</v>
      </c>
    </row>
    <row r="736" spans="1:11" x14ac:dyDescent="0.25">
      <c r="A736" s="39">
        <v>41572</v>
      </c>
      <c r="B736" s="36">
        <v>6144.8999020000001</v>
      </c>
      <c r="C736" s="36">
        <f t="shared" si="44"/>
        <v>6016.962524399999</v>
      </c>
      <c r="D736" s="36">
        <f t="shared" si="45"/>
        <v>148.02961895473766</v>
      </c>
      <c r="E736" s="40">
        <v>6144.8999020000001</v>
      </c>
      <c r="F736" s="36">
        <f t="shared" si="46"/>
        <v>6313.0217623094741</v>
      </c>
      <c r="G736" s="36">
        <f t="shared" si="47"/>
        <v>5720.9032864905239</v>
      </c>
      <c r="I736" s="40">
        <v>6144.8999020000001</v>
      </c>
      <c r="J736" s="36">
        <v>6313.0217623094741</v>
      </c>
      <c r="K736" s="36">
        <v>5720.9032864905239</v>
      </c>
    </row>
    <row r="737" spans="1:11" x14ac:dyDescent="0.25">
      <c r="A737" s="39">
        <v>41575</v>
      </c>
      <c r="B737" s="36">
        <v>6101.1000979999999</v>
      </c>
      <c r="C737" s="36">
        <f t="shared" si="44"/>
        <v>6027.9050292999982</v>
      </c>
      <c r="D737" s="36">
        <f t="shared" si="45"/>
        <v>145.61656435222284</v>
      </c>
      <c r="E737" s="40">
        <v>6101.1000979999999</v>
      </c>
      <c r="F737" s="36">
        <f t="shared" si="46"/>
        <v>6319.1381580044435</v>
      </c>
      <c r="G737" s="36">
        <f t="shared" si="47"/>
        <v>5736.6719005955529</v>
      </c>
      <c r="I737" s="40">
        <v>6101.1000979999999</v>
      </c>
      <c r="J737" s="36">
        <v>6319.1381580044435</v>
      </c>
      <c r="K737" s="36">
        <v>5736.6719005955529</v>
      </c>
    </row>
    <row r="738" spans="1:11" x14ac:dyDescent="0.25">
      <c r="A738" s="39">
        <v>41576</v>
      </c>
      <c r="B738" s="36">
        <v>6220.8999020000001</v>
      </c>
      <c r="C738" s="36">
        <f t="shared" si="44"/>
        <v>6047.2900146499987</v>
      </c>
      <c r="D738" s="36">
        <f t="shared" si="45"/>
        <v>144.13096889716232</v>
      </c>
      <c r="E738" s="40">
        <v>6220.8999020000001</v>
      </c>
      <c r="F738" s="36">
        <f t="shared" si="46"/>
        <v>6335.5519524443234</v>
      </c>
      <c r="G738" s="36">
        <f t="shared" si="47"/>
        <v>5759.028076855674</v>
      </c>
      <c r="I738" s="40">
        <v>6220.8999020000001</v>
      </c>
      <c r="J738" s="36">
        <v>6335.5519524443234</v>
      </c>
      <c r="K738" s="36">
        <v>5759.028076855674</v>
      </c>
    </row>
    <row r="739" spans="1:11" x14ac:dyDescent="0.25">
      <c r="A739" s="39">
        <v>41577</v>
      </c>
      <c r="B739" s="36">
        <v>6251.7001950000003</v>
      </c>
      <c r="C739" s="36">
        <f t="shared" si="44"/>
        <v>6073.1100341499996</v>
      </c>
      <c r="D739" s="36">
        <f t="shared" si="45"/>
        <v>130.95060347987419</v>
      </c>
      <c r="E739" s="40">
        <v>6251.7001950000003</v>
      </c>
      <c r="F739" s="36">
        <f t="shared" si="46"/>
        <v>6335.011241109748</v>
      </c>
      <c r="G739" s="36">
        <f t="shared" si="47"/>
        <v>5811.2088271902512</v>
      </c>
      <c r="I739" s="40">
        <v>6251.7001950000003</v>
      </c>
      <c r="J739" s="36">
        <v>6335.011241109748</v>
      </c>
      <c r="K739" s="36">
        <v>5811.2088271902512</v>
      </c>
    </row>
    <row r="740" spans="1:11" x14ac:dyDescent="0.25">
      <c r="A740" s="39">
        <v>41578</v>
      </c>
      <c r="B740" s="36">
        <v>6299.1499020000001</v>
      </c>
      <c r="C740" s="36">
        <f t="shared" si="44"/>
        <v>6099.0650390000001</v>
      </c>
      <c r="D740" s="36">
        <f t="shared" si="45"/>
        <v>120.8630431730686</v>
      </c>
      <c r="E740" s="40">
        <v>6299.1499020000001</v>
      </c>
      <c r="F740" s="36">
        <f t="shared" si="46"/>
        <v>6340.7911253461371</v>
      </c>
      <c r="G740" s="36">
        <f t="shared" si="47"/>
        <v>5857.3389526538631</v>
      </c>
      <c r="I740" s="40">
        <v>6299.1499020000001</v>
      </c>
      <c r="J740" s="36">
        <v>6340.7911253461371</v>
      </c>
      <c r="K740" s="36">
        <v>5857.3389526538631</v>
      </c>
    </row>
    <row r="741" spans="1:11" x14ac:dyDescent="0.25">
      <c r="A741" s="39">
        <v>41579</v>
      </c>
      <c r="B741" s="36">
        <v>6307.2001950000003</v>
      </c>
      <c r="C741" s="36">
        <f t="shared" si="44"/>
        <v>6118.9400390000001</v>
      </c>
      <c r="D741" s="36">
        <f t="shared" si="45"/>
        <v>120.76739613515556</v>
      </c>
      <c r="E741" s="40">
        <v>6307.2001950000003</v>
      </c>
      <c r="F741" s="36">
        <f t="shared" si="46"/>
        <v>6360.4748312703114</v>
      </c>
      <c r="G741" s="36">
        <f t="shared" si="47"/>
        <v>5877.4052467296888</v>
      </c>
      <c r="I741" s="40">
        <v>6307.2001950000003</v>
      </c>
      <c r="J741" s="36">
        <v>6360.4748312703114</v>
      </c>
      <c r="K741" s="36">
        <v>5877.4052467296888</v>
      </c>
    </row>
    <row r="742" spans="1:11" x14ac:dyDescent="0.25">
      <c r="A742" s="39">
        <v>41583</v>
      </c>
      <c r="B742" s="36">
        <v>6253.1499020000001</v>
      </c>
      <c r="C742" s="36">
        <f t="shared" si="44"/>
        <v>6136.2325438500002</v>
      </c>
      <c r="D742" s="36">
        <f t="shared" si="45"/>
        <v>113.40439971396367</v>
      </c>
      <c r="E742" s="40">
        <v>6253.1499020000001</v>
      </c>
      <c r="F742" s="36">
        <f t="shared" si="46"/>
        <v>6363.0413432779278</v>
      </c>
      <c r="G742" s="36">
        <f t="shared" si="47"/>
        <v>5909.4237444220726</v>
      </c>
      <c r="I742" s="40">
        <v>6253.1499020000001</v>
      </c>
      <c r="J742" s="36">
        <v>6363.0413432779278</v>
      </c>
      <c r="K742" s="36">
        <v>5909.4237444220726</v>
      </c>
    </row>
    <row r="743" spans="1:11" x14ac:dyDescent="0.25">
      <c r="A743" s="39">
        <v>41584</v>
      </c>
      <c r="B743" s="36">
        <v>6215.1499020000001</v>
      </c>
      <c r="C743" s="36">
        <f t="shared" si="44"/>
        <v>6151.6825438500009</v>
      </c>
      <c r="D743" s="36">
        <f t="shared" si="45"/>
        <v>100.75151218713776</v>
      </c>
      <c r="E743" s="40">
        <v>6215.1499020000001</v>
      </c>
      <c r="F743" s="36">
        <f t="shared" si="46"/>
        <v>6353.1855682242767</v>
      </c>
      <c r="G743" s="36">
        <f t="shared" si="47"/>
        <v>5950.1795194757251</v>
      </c>
      <c r="I743" s="40">
        <v>6215.1499020000001</v>
      </c>
      <c r="J743" s="36">
        <v>6353.1855682242767</v>
      </c>
      <c r="K743" s="36">
        <v>5950.1795194757251</v>
      </c>
    </row>
    <row r="744" spans="1:11" x14ac:dyDescent="0.25">
      <c r="A744" s="39">
        <v>41585</v>
      </c>
      <c r="B744" s="36">
        <v>6187.25</v>
      </c>
      <c r="C744" s="36">
        <f t="shared" si="44"/>
        <v>6164.625048750001</v>
      </c>
      <c r="D744" s="36">
        <f t="shared" si="45"/>
        <v>86.122988579564691</v>
      </c>
      <c r="E744" s="40">
        <v>6187.25</v>
      </c>
      <c r="F744" s="36">
        <f t="shared" si="46"/>
        <v>6336.8710259091304</v>
      </c>
      <c r="G744" s="36">
        <f t="shared" si="47"/>
        <v>5992.3790715908717</v>
      </c>
      <c r="I744" s="40">
        <v>6187.25</v>
      </c>
      <c r="J744" s="36">
        <v>6336.8710259091304</v>
      </c>
      <c r="K744" s="36">
        <v>5992.3790715908717</v>
      </c>
    </row>
    <row r="745" spans="1:11" x14ac:dyDescent="0.25">
      <c r="A745" s="39">
        <v>41586</v>
      </c>
      <c r="B745" s="36">
        <v>6140.75</v>
      </c>
      <c r="C745" s="36">
        <f t="shared" si="44"/>
        <v>6171.2900390000013</v>
      </c>
      <c r="D745" s="36">
        <f t="shared" si="45"/>
        <v>78.103795809257605</v>
      </c>
      <c r="E745" s="40">
        <v>6140.75</v>
      </c>
      <c r="F745" s="36">
        <f t="shared" si="46"/>
        <v>6327.4976306185163</v>
      </c>
      <c r="G745" s="36">
        <f t="shared" si="47"/>
        <v>6015.0824473814864</v>
      </c>
      <c r="I745" s="40">
        <v>6140.75</v>
      </c>
      <c r="J745" s="36">
        <v>6327.4976306185163</v>
      </c>
      <c r="K745" s="36">
        <v>6015.0824473814864</v>
      </c>
    </row>
    <row r="746" spans="1:11" x14ac:dyDescent="0.25">
      <c r="A746" s="39">
        <v>41589</v>
      </c>
      <c r="B746" s="36">
        <v>6078.7998049999997</v>
      </c>
      <c r="C746" s="36">
        <f t="shared" si="44"/>
        <v>6174.182519500001</v>
      </c>
      <c r="D746" s="36">
        <f t="shared" si="45"/>
        <v>73.157688842607186</v>
      </c>
      <c r="E746" s="40">
        <v>6078.7998049999997</v>
      </c>
      <c r="F746" s="36">
        <f t="shared" si="46"/>
        <v>6320.4978971852152</v>
      </c>
      <c r="G746" s="36">
        <f t="shared" si="47"/>
        <v>6027.8671418147869</v>
      </c>
      <c r="I746" s="40">
        <v>6078.7998049999997</v>
      </c>
      <c r="J746" s="36">
        <v>6320.4978971852152</v>
      </c>
      <c r="K746" s="36">
        <v>6027.8671418147869</v>
      </c>
    </row>
    <row r="747" spans="1:11" x14ac:dyDescent="0.25">
      <c r="A747" s="39">
        <v>41590</v>
      </c>
      <c r="B747" s="36">
        <v>6018.0498049999997</v>
      </c>
      <c r="C747" s="36">
        <f t="shared" si="44"/>
        <v>6170.2750000000005</v>
      </c>
      <c r="D747" s="36">
        <f t="shared" si="45"/>
        <v>79.36581152085067</v>
      </c>
      <c r="E747" s="40">
        <v>6018.0498049999997</v>
      </c>
      <c r="F747" s="36">
        <f t="shared" si="46"/>
        <v>6329.0066230417015</v>
      </c>
      <c r="G747" s="36">
        <f t="shared" si="47"/>
        <v>6011.5433769582996</v>
      </c>
      <c r="I747" s="40">
        <v>6018.0498049999997</v>
      </c>
      <c r="J747" s="36">
        <v>6329.0066230417015</v>
      </c>
      <c r="K747" s="36">
        <v>6011.5433769582996</v>
      </c>
    </row>
    <row r="748" spans="1:11" x14ac:dyDescent="0.25">
      <c r="A748" s="39">
        <v>41591</v>
      </c>
      <c r="B748" s="36">
        <v>5989.6000979999999</v>
      </c>
      <c r="C748" s="36">
        <f t="shared" si="44"/>
        <v>6164.1199951500002</v>
      </c>
      <c r="D748" s="36">
        <f t="shared" si="45"/>
        <v>88.332681284940861</v>
      </c>
      <c r="E748" s="40">
        <v>5989.6000979999999</v>
      </c>
      <c r="F748" s="36">
        <f t="shared" si="46"/>
        <v>6340.7853577198821</v>
      </c>
      <c r="G748" s="36">
        <f t="shared" si="47"/>
        <v>5987.4546325801184</v>
      </c>
      <c r="I748" s="40">
        <v>5989.6000979999999</v>
      </c>
      <c r="J748" s="36">
        <v>6340.7853577198821</v>
      </c>
      <c r="K748" s="36">
        <v>5987.4546325801184</v>
      </c>
    </row>
    <row r="749" spans="1:11" x14ac:dyDescent="0.25">
      <c r="A749" s="39">
        <v>41592</v>
      </c>
      <c r="B749" s="36">
        <v>6056.1499020000001</v>
      </c>
      <c r="C749" s="36">
        <f t="shared" si="44"/>
        <v>6162.4750000000004</v>
      </c>
      <c r="D749" s="36">
        <f t="shared" si="45"/>
        <v>90.093073646249977</v>
      </c>
      <c r="E749" s="40">
        <v>6056.1499020000001</v>
      </c>
      <c r="F749" s="36">
        <f t="shared" si="46"/>
        <v>6342.6611472925006</v>
      </c>
      <c r="G749" s="36">
        <f t="shared" si="47"/>
        <v>5982.2888527075002</v>
      </c>
      <c r="I749" s="40">
        <v>6056.1499020000001</v>
      </c>
      <c r="J749" s="36">
        <v>6342.6611472925006</v>
      </c>
      <c r="K749" s="36">
        <v>5982.2888527075002</v>
      </c>
    </row>
    <row r="750" spans="1:11" x14ac:dyDescent="0.25">
      <c r="A750" s="39">
        <v>41596</v>
      </c>
      <c r="B750" s="36">
        <v>6189</v>
      </c>
      <c r="C750" s="36">
        <f t="shared" si="44"/>
        <v>6169.6324951000006</v>
      </c>
      <c r="D750" s="36">
        <f t="shared" si="45"/>
        <v>85.930231674767086</v>
      </c>
      <c r="E750" s="40">
        <v>6189</v>
      </c>
      <c r="F750" s="36">
        <f t="shared" si="46"/>
        <v>6341.4929584495349</v>
      </c>
      <c r="G750" s="36">
        <f t="shared" si="47"/>
        <v>5997.7720317504663</v>
      </c>
      <c r="I750" s="40">
        <v>6189</v>
      </c>
      <c r="J750" s="36">
        <v>6341.4929584495349</v>
      </c>
      <c r="K750" s="36">
        <v>5997.7720317504663</v>
      </c>
    </row>
    <row r="751" spans="1:11" x14ac:dyDescent="0.25">
      <c r="A751" s="39">
        <v>41597</v>
      </c>
      <c r="B751" s="36">
        <v>6203.3500979999999</v>
      </c>
      <c r="C751" s="36">
        <f t="shared" si="44"/>
        <v>6170.3324950999995</v>
      </c>
      <c r="D751" s="36">
        <f t="shared" si="45"/>
        <v>86.156034238713076</v>
      </c>
      <c r="E751" s="40">
        <v>6203.3500979999999</v>
      </c>
      <c r="F751" s="36">
        <f t="shared" si="46"/>
        <v>6342.6445635774253</v>
      </c>
      <c r="G751" s="36">
        <f t="shared" si="47"/>
        <v>5998.0204266225737</v>
      </c>
      <c r="I751" s="40">
        <v>6203.3500979999999</v>
      </c>
      <c r="J751" s="36">
        <v>6342.6445635774253</v>
      </c>
      <c r="K751" s="36">
        <v>5998.0204266225737</v>
      </c>
    </row>
    <row r="752" spans="1:11" x14ac:dyDescent="0.25">
      <c r="A752" s="39">
        <v>41598</v>
      </c>
      <c r="B752" s="36">
        <v>6122.8999020000001</v>
      </c>
      <c r="C752" s="36">
        <f t="shared" si="44"/>
        <v>6166.2299804499999</v>
      </c>
      <c r="D752" s="36">
        <f t="shared" si="45"/>
        <v>86.37410543122958</v>
      </c>
      <c r="E752" s="40">
        <v>6122.8999020000001</v>
      </c>
      <c r="F752" s="36">
        <f t="shared" si="46"/>
        <v>6338.9781913124589</v>
      </c>
      <c r="G752" s="36">
        <f t="shared" si="47"/>
        <v>5993.4817695875408</v>
      </c>
      <c r="I752" s="40">
        <v>6122.8999020000001</v>
      </c>
      <c r="J752" s="36">
        <v>6338.9781913124589</v>
      </c>
      <c r="K752" s="36">
        <v>5993.4817695875408</v>
      </c>
    </row>
    <row r="753" spans="1:11" x14ac:dyDescent="0.25">
      <c r="A753" s="39">
        <v>41599</v>
      </c>
      <c r="B753" s="36">
        <v>5999.0498049999997</v>
      </c>
      <c r="C753" s="36">
        <f t="shared" si="44"/>
        <v>6156.0424804499999</v>
      </c>
      <c r="D753" s="36">
        <f t="shared" si="45"/>
        <v>93.551390763729785</v>
      </c>
      <c r="E753" s="40">
        <v>5999.0498049999997</v>
      </c>
      <c r="F753" s="36">
        <f t="shared" si="46"/>
        <v>6343.1452619774591</v>
      </c>
      <c r="G753" s="36">
        <f t="shared" si="47"/>
        <v>5968.9396989225406</v>
      </c>
      <c r="I753" s="40">
        <v>5999.0498049999997</v>
      </c>
      <c r="J753" s="36">
        <v>6343.1452619774591</v>
      </c>
      <c r="K753" s="36">
        <v>5968.9396989225406</v>
      </c>
    </row>
    <row r="754" spans="1:11" x14ac:dyDescent="0.25">
      <c r="A754" s="39">
        <v>41600</v>
      </c>
      <c r="B754" s="36">
        <v>5995.4501950000003</v>
      </c>
      <c r="C754" s="36">
        <f t="shared" si="44"/>
        <v>6146.8974853</v>
      </c>
      <c r="D754" s="36">
        <f t="shared" si="45"/>
        <v>99.975003502759805</v>
      </c>
      <c r="E754" s="40">
        <v>5995.4501950000003</v>
      </c>
      <c r="F754" s="36">
        <f t="shared" si="46"/>
        <v>6346.8474923055192</v>
      </c>
      <c r="G754" s="36">
        <f t="shared" si="47"/>
        <v>5946.9474782944808</v>
      </c>
      <c r="I754" s="40">
        <v>5995.4501950000003</v>
      </c>
      <c r="J754" s="36">
        <v>6346.8474923055192</v>
      </c>
      <c r="K754" s="36">
        <v>5946.9474782944808</v>
      </c>
    </row>
    <row r="755" spans="1:11" x14ac:dyDescent="0.25">
      <c r="A755" s="39">
        <v>41603</v>
      </c>
      <c r="B755" s="36">
        <v>6115.3500979999999</v>
      </c>
      <c r="C755" s="36">
        <f t="shared" si="44"/>
        <v>6144.4474853000002</v>
      </c>
      <c r="D755" s="36">
        <f t="shared" si="45"/>
        <v>100.12508470002591</v>
      </c>
      <c r="E755" s="40">
        <v>6115.3500979999999</v>
      </c>
      <c r="F755" s="36">
        <f t="shared" si="46"/>
        <v>6344.6976547000522</v>
      </c>
      <c r="G755" s="36">
        <f t="shared" si="47"/>
        <v>5944.1973158999481</v>
      </c>
      <c r="I755" s="40">
        <v>6115.3500979999999</v>
      </c>
      <c r="J755" s="36">
        <v>6344.6976547000522</v>
      </c>
      <c r="K755" s="36">
        <v>5944.1973158999481</v>
      </c>
    </row>
    <row r="756" spans="1:11" x14ac:dyDescent="0.25">
      <c r="A756" s="39">
        <v>41604</v>
      </c>
      <c r="B756" s="36">
        <v>6059.1000979999999</v>
      </c>
      <c r="C756" s="36">
        <f t="shared" si="44"/>
        <v>6140.1574950999993</v>
      </c>
      <c r="D756" s="36">
        <f t="shared" si="45"/>
        <v>101.92657590981949</v>
      </c>
      <c r="E756" s="40">
        <v>6059.1000979999999</v>
      </c>
      <c r="F756" s="36">
        <f t="shared" si="46"/>
        <v>6344.010646919638</v>
      </c>
      <c r="G756" s="36">
        <f t="shared" si="47"/>
        <v>5936.3043432803606</v>
      </c>
      <c r="I756" s="40">
        <v>6059.1000979999999</v>
      </c>
      <c r="J756" s="36">
        <v>6344.010646919638</v>
      </c>
      <c r="K756" s="36">
        <v>5936.3043432803606</v>
      </c>
    </row>
    <row r="757" spans="1:11" x14ac:dyDescent="0.25">
      <c r="A757" s="39">
        <v>41605</v>
      </c>
      <c r="B757" s="36">
        <v>6057.1000979999999</v>
      </c>
      <c r="C757" s="36">
        <f t="shared" si="44"/>
        <v>6137.9574950999995</v>
      </c>
      <c r="D757" s="36">
        <f t="shared" si="45"/>
        <v>103.27983488971876</v>
      </c>
      <c r="E757" s="40">
        <v>6057.1000979999999</v>
      </c>
      <c r="F757" s="36">
        <f t="shared" si="46"/>
        <v>6344.5171648794367</v>
      </c>
      <c r="G757" s="36">
        <f t="shared" si="47"/>
        <v>5931.3978253205623</v>
      </c>
      <c r="I757" s="40">
        <v>6057.1000979999999</v>
      </c>
      <c r="J757" s="36">
        <v>6344.5171648794367</v>
      </c>
      <c r="K757" s="36">
        <v>5931.3978253205623</v>
      </c>
    </row>
    <row r="758" spans="1:11" x14ac:dyDescent="0.25">
      <c r="A758" s="39">
        <v>41606</v>
      </c>
      <c r="B758" s="36">
        <v>6091.8500979999999</v>
      </c>
      <c r="C758" s="36">
        <f t="shared" si="44"/>
        <v>6131.5050049000001</v>
      </c>
      <c r="D758" s="36">
        <f t="shared" si="45"/>
        <v>101.84650943853381</v>
      </c>
      <c r="E758" s="40">
        <v>6091.8500979999999</v>
      </c>
      <c r="F758" s="36">
        <f t="shared" si="46"/>
        <v>6335.1980237770676</v>
      </c>
      <c r="G758" s="36">
        <f t="shared" si="47"/>
        <v>5927.8119860229326</v>
      </c>
      <c r="I758" s="40">
        <v>6091.8500979999999</v>
      </c>
      <c r="J758" s="36">
        <v>6335.1980237770676</v>
      </c>
      <c r="K758" s="36">
        <v>5927.8119860229326</v>
      </c>
    </row>
    <row r="759" spans="1:11" x14ac:dyDescent="0.25">
      <c r="A759" s="39">
        <v>41607</v>
      </c>
      <c r="B759" s="36">
        <v>6176.1000979999999</v>
      </c>
      <c r="C759" s="36">
        <f t="shared" si="44"/>
        <v>6127.7250000499989</v>
      </c>
      <c r="D759" s="36">
        <f t="shared" si="45"/>
        <v>98.498620905001232</v>
      </c>
      <c r="E759" s="40">
        <v>6176.1000979999999</v>
      </c>
      <c r="F759" s="36">
        <f t="shared" si="46"/>
        <v>6324.7222418600013</v>
      </c>
      <c r="G759" s="36">
        <f t="shared" si="47"/>
        <v>5930.7277582399965</v>
      </c>
      <c r="I759" s="40">
        <v>6176.1000979999999</v>
      </c>
      <c r="J759" s="36">
        <v>6324.7222418600013</v>
      </c>
      <c r="K759" s="36">
        <v>5930.7277582399965</v>
      </c>
    </row>
    <row r="760" spans="1:11" x14ac:dyDescent="0.25">
      <c r="A760" s="39">
        <v>41610</v>
      </c>
      <c r="B760" s="36">
        <v>6217.8500979999999</v>
      </c>
      <c r="C760" s="36">
        <f t="shared" si="44"/>
        <v>6123.6600098499994</v>
      </c>
      <c r="D760" s="36">
        <f t="shared" si="45"/>
        <v>92.549600200724143</v>
      </c>
      <c r="E760" s="40">
        <v>6217.8500979999999</v>
      </c>
      <c r="F760" s="36">
        <f t="shared" si="46"/>
        <v>6308.7592102514473</v>
      </c>
      <c r="G760" s="36">
        <f t="shared" si="47"/>
        <v>5938.5608094485515</v>
      </c>
      <c r="I760" s="40">
        <v>6217.8500979999999</v>
      </c>
      <c r="J760" s="36">
        <v>6308.7592102514473</v>
      </c>
      <c r="K760" s="36">
        <v>5938.5608094485515</v>
      </c>
    </row>
    <row r="761" spans="1:11" x14ac:dyDescent="0.25">
      <c r="A761" s="39">
        <v>41611</v>
      </c>
      <c r="B761" s="36">
        <v>6201.8500979999999</v>
      </c>
      <c r="C761" s="36">
        <f t="shared" si="44"/>
        <v>6118.392504999998</v>
      </c>
      <c r="D761" s="36">
        <f t="shared" si="45"/>
        <v>84.17241066377629</v>
      </c>
      <c r="E761" s="40">
        <v>6201.8500979999999</v>
      </c>
      <c r="F761" s="36">
        <f t="shared" si="46"/>
        <v>6286.7373263275504</v>
      </c>
      <c r="G761" s="36">
        <f t="shared" si="47"/>
        <v>5950.0476836724456</v>
      </c>
      <c r="I761" s="40">
        <v>6201.8500979999999</v>
      </c>
      <c r="J761" s="36">
        <v>6286.7373263275504</v>
      </c>
      <c r="K761" s="36">
        <v>5950.0476836724456</v>
      </c>
    </row>
    <row r="762" spans="1:11" x14ac:dyDescent="0.25">
      <c r="A762" s="39">
        <v>41612</v>
      </c>
      <c r="B762" s="36">
        <v>6160.9501950000003</v>
      </c>
      <c r="C762" s="36">
        <f t="shared" si="44"/>
        <v>6113.782519649998</v>
      </c>
      <c r="D762" s="36">
        <f t="shared" si="45"/>
        <v>78.753934322925218</v>
      </c>
      <c r="E762" s="40">
        <v>6160.9501950000003</v>
      </c>
      <c r="F762" s="36">
        <f t="shared" si="46"/>
        <v>6271.2903882958481</v>
      </c>
      <c r="G762" s="36">
        <f t="shared" si="47"/>
        <v>5956.2746510041479</v>
      </c>
      <c r="I762" s="40">
        <v>6160.9501950000003</v>
      </c>
      <c r="J762" s="36">
        <v>6271.2903882958481</v>
      </c>
      <c r="K762" s="36">
        <v>5956.2746510041479</v>
      </c>
    </row>
    <row r="763" spans="1:11" x14ac:dyDescent="0.25">
      <c r="A763" s="39">
        <v>41613</v>
      </c>
      <c r="B763" s="36">
        <v>6241.1000979999999</v>
      </c>
      <c r="C763" s="36">
        <f t="shared" si="44"/>
        <v>6115.0800294499986</v>
      </c>
      <c r="D763" s="36">
        <f t="shared" si="45"/>
        <v>80.701597901824684</v>
      </c>
      <c r="E763" s="40">
        <v>6241.1000979999999</v>
      </c>
      <c r="F763" s="36">
        <f t="shared" si="46"/>
        <v>6276.483225253648</v>
      </c>
      <c r="G763" s="36">
        <f t="shared" si="47"/>
        <v>5953.6768336463492</v>
      </c>
      <c r="I763" s="40">
        <v>6241.1000979999999</v>
      </c>
      <c r="J763" s="36">
        <v>6276.483225253648</v>
      </c>
      <c r="K763" s="36">
        <v>5953.6768336463492</v>
      </c>
    </row>
    <row r="764" spans="1:11" x14ac:dyDescent="0.25">
      <c r="A764" s="39">
        <v>41614</v>
      </c>
      <c r="B764" s="36">
        <v>6259.8999020000001</v>
      </c>
      <c r="C764" s="36">
        <f t="shared" si="44"/>
        <v>6118.7125245499983</v>
      </c>
      <c r="D764" s="36">
        <f t="shared" si="45"/>
        <v>85.60699694639699</v>
      </c>
      <c r="E764" s="40">
        <v>6259.8999020000001</v>
      </c>
      <c r="F764" s="36">
        <f t="shared" si="46"/>
        <v>6289.9265184427923</v>
      </c>
      <c r="G764" s="36">
        <f t="shared" si="47"/>
        <v>5947.4985306572044</v>
      </c>
      <c r="I764" s="40">
        <v>6259.8999020000001</v>
      </c>
      <c r="J764" s="36">
        <v>6289.9265184427923</v>
      </c>
      <c r="K764" s="36">
        <v>5947.4985306572044</v>
      </c>
    </row>
    <row r="765" spans="1:11" x14ac:dyDescent="0.25">
      <c r="A765" s="39">
        <v>41617</v>
      </c>
      <c r="B765" s="36">
        <v>6363.8999020000001</v>
      </c>
      <c r="C765" s="36">
        <f t="shared" si="44"/>
        <v>6129.8700196499985</v>
      </c>
      <c r="D765" s="36">
        <f t="shared" si="45"/>
        <v>101.66612187265805</v>
      </c>
      <c r="E765" s="40">
        <v>6363.8999020000001</v>
      </c>
      <c r="F765" s="36">
        <f t="shared" si="46"/>
        <v>6333.2022633953147</v>
      </c>
      <c r="G765" s="36">
        <f t="shared" si="47"/>
        <v>5926.5377759046823</v>
      </c>
      <c r="I765" s="40">
        <v>6363.8999020000001</v>
      </c>
      <c r="J765" s="36">
        <v>6333.2022633953147</v>
      </c>
      <c r="K765" s="36">
        <v>5926.5377759046823</v>
      </c>
    </row>
    <row r="766" spans="1:11" x14ac:dyDescent="0.25">
      <c r="A766" s="39">
        <v>41618</v>
      </c>
      <c r="B766" s="36">
        <v>6332.8500979999999</v>
      </c>
      <c r="C766" s="36">
        <f t="shared" si="44"/>
        <v>6142.5725342999995</v>
      </c>
      <c r="D766" s="36">
        <f t="shared" si="45"/>
        <v>110.44161930268926</v>
      </c>
      <c r="E766" s="40">
        <v>6332.8500979999999</v>
      </c>
      <c r="F766" s="36">
        <f t="shared" si="46"/>
        <v>6363.4557729053777</v>
      </c>
      <c r="G766" s="36">
        <f t="shared" si="47"/>
        <v>5921.6892956946213</v>
      </c>
      <c r="I766" s="40">
        <v>6332.8500979999999</v>
      </c>
      <c r="J766" s="36">
        <v>6363.4557729053777</v>
      </c>
      <c r="K766" s="36">
        <v>5921.6892956946213</v>
      </c>
    </row>
    <row r="767" spans="1:11" x14ac:dyDescent="0.25">
      <c r="A767" s="39">
        <v>41619</v>
      </c>
      <c r="B767" s="36">
        <v>6307.8999020000001</v>
      </c>
      <c r="C767" s="36">
        <f t="shared" si="44"/>
        <v>6157.0650391500003</v>
      </c>
      <c r="D767" s="36">
        <f t="shared" si="45"/>
        <v>112.24415321112022</v>
      </c>
      <c r="E767" s="40">
        <v>6307.8999020000001</v>
      </c>
      <c r="F767" s="36">
        <f t="shared" si="46"/>
        <v>6381.5533455722407</v>
      </c>
      <c r="G767" s="36">
        <f t="shared" si="47"/>
        <v>5932.5767327277599</v>
      </c>
      <c r="I767" s="40">
        <v>6307.8999020000001</v>
      </c>
      <c r="J767" s="36">
        <v>6381.5533455722407</v>
      </c>
      <c r="K767" s="36">
        <v>5932.5767327277599</v>
      </c>
    </row>
    <row r="768" spans="1:11" x14ac:dyDescent="0.25">
      <c r="A768" s="39">
        <v>41620</v>
      </c>
      <c r="B768" s="36">
        <v>6237.0498049999997</v>
      </c>
      <c r="C768" s="36">
        <f t="shared" si="44"/>
        <v>6169.4375245000001</v>
      </c>
      <c r="D768" s="36">
        <f t="shared" si="45"/>
        <v>106.29347087205363</v>
      </c>
      <c r="E768" s="40">
        <v>6237.0498049999997</v>
      </c>
      <c r="F768" s="36">
        <f t="shared" si="46"/>
        <v>6382.0244662441073</v>
      </c>
      <c r="G768" s="36">
        <f t="shared" si="47"/>
        <v>5956.8505827558929</v>
      </c>
      <c r="I768" s="40">
        <v>6237.0498049999997</v>
      </c>
      <c r="J768" s="36">
        <v>6382.0244662441073</v>
      </c>
      <c r="K768" s="36">
        <v>5956.8505827558929</v>
      </c>
    </row>
    <row r="769" spans="1:11" x14ac:dyDescent="0.25">
      <c r="A769" s="39">
        <v>41621</v>
      </c>
      <c r="B769" s="36">
        <v>6168.3999020000001</v>
      </c>
      <c r="C769" s="36">
        <f t="shared" si="44"/>
        <v>6175.0500245000012</v>
      </c>
      <c r="D769" s="36">
        <f t="shared" si="45"/>
        <v>102.90637675865332</v>
      </c>
      <c r="E769" s="40">
        <v>6168.3999020000001</v>
      </c>
      <c r="F769" s="36">
        <f t="shared" si="46"/>
        <v>6380.8627780173083</v>
      </c>
      <c r="G769" s="36">
        <f t="shared" si="47"/>
        <v>5969.2372709826941</v>
      </c>
      <c r="I769" s="40">
        <v>6168.3999020000001</v>
      </c>
      <c r="J769" s="36">
        <v>6380.8627780173083</v>
      </c>
      <c r="K769" s="36">
        <v>5969.2372709826941</v>
      </c>
    </row>
    <row r="770" spans="1:11" x14ac:dyDescent="0.25">
      <c r="A770" s="39">
        <v>41624</v>
      </c>
      <c r="B770" s="36">
        <v>6154.7001950000003</v>
      </c>
      <c r="C770" s="36">
        <f t="shared" si="44"/>
        <v>6173.3350342500007</v>
      </c>
      <c r="D770" s="36">
        <f t="shared" si="45"/>
        <v>102.9474610733069</v>
      </c>
      <c r="E770" s="40">
        <v>6154.7001950000003</v>
      </c>
      <c r="F770" s="36">
        <f t="shared" si="46"/>
        <v>6379.2299563966144</v>
      </c>
      <c r="G770" s="36">
        <f t="shared" si="47"/>
        <v>5967.440112103387</v>
      </c>
      <c r="I770" s="40">
        <v>6154.7001950000003</v>
      </c>
      <c r="J770" s="36">
        <v>6379.2299563966144</v>
      </c>
      <c r="K770" s="36">
        <v>5967.440112103387</v>
      </c>
    </row>
    <row r="771" spans="1:11" x14ac:dyDescent="0.25">
      <c r="A771" s="39">
        <v>41625</v>
      </c>
      <c r="B771" s="36">
        <v>6139.0498049999997</v>
      </c>
      <c r="C771" s="36">
        <f t="shared" si="44"/>
        <v>6170.1200196000009</v>
      </c>
      <c r="D771" s="36">
        <f t="shared" si="45"/>
        <v>102.96480277417616</v>
      </c>
      <c r="E771" s="40">
        <v>6139.0498049999997</v>
      </c>
      <c r="F771" s="36">
        <f t="shared" si="46"/>
        <v>6376.0496251483528</v>
      </c>
      <c r="G771" s="36">
        <f t="shared" si="47"/>
        <v>5964.190414051649</v>
      </c>
      <c r="I771" s="40">
        <v>6139.0498049999997</v>
      </c>
      <c r="J771" s="36">
        <v>6376.0496251483528</v>
      </c>
      <c r="K771" s="36">
        <v>5964.190414051649</v>
      </c>
    </row>
    <row r="772" spans="1:11" x14ac:dyDescent="0.25">
      <c r="A772" s="39">
        <v>41626</v>
      </c>
      <c r="B772" s="36">
        <v>6217.1499020000001</v>
      </c>
      <c r="C772" s="36">
        <f t="shared" si="44"/>
        <v>6174.8325196000014</v>
      </c>
      <c r="D772" s="36">
        <f t="shared" si="45"/>
        <v>102.846635644274</v>
      </c>
      <c r="E772" s="40">
        <v>6217.1499020000001</v>
      </c>
      <c r="F772" s="36">
        <f t="shared" si="46"/>
        <v>6380.5257908885496</v>
      </c>
      <c r="G772" s="36">
        <f t="shared" si="47"/>
        <v>5969.1392483114532</v>
      </c>
      <c r="I772" s="40">
        <v>6217.1499020000001</v>
      </c>
      <c r="J772" s="36">
        <v>6380.5257908885496</v>
      </c>
      <c r="K772" s="36">
        <v>5969.1392483114532</v>
      </c>
    </row>
    <row r="773" spans="1:11" x14ac:dyDescent="0.25">
      <c r="A773" s="39">
        <v>41627</v>
      </c>
      <c r="B773" s="36">
        <v>6166.6499020000001</v>
      </c>
      <c r="C773" s="36">
        <f t="shared" si="44"/>
        <v>6183.2125244500012</v>
      </c>
      <c r="D773" s="36">
        <f t="shared" si="45"/>
        <v>94.237684287208793</v>
      </c>
      <c r="E773" s="40">
        <v>6166.6499020000001</v>
      </c>
      <c r="F773" s="36">
        <f t="shared" si="46"/>
        <v>6371.6878930244184</v>
      </c>
      <c r="G773" s="36">
        <f t="shared" si="47"/>
        <v>5994.737155875584</v>
      </c>
      <c r="I773" s="40">
        <v>6166.6499020000001</v>
      </c>
      <c r="J773" s="36">
        <v>6371.6878930244184</v>
      </c>
      <c r="K773" s="36">
        <v>5994.737155875584</v>
      </c>
    </row>
    <row r="774" spans="1:11" x14ac:dyDescent="0.25">
      <c r="A774" s="39">
        <v>41628</v>
      </c>
      <c r="B774" s="36">
        <v>6274.25</v>
      </c>
      <c r="C774" s="36">
        <f t="shared" si="44"/>
        <v>6197.1525147000011</v>
      </c>
      <c r="D774" s="36">
        <f t="shared" si="45"/>
        <v>85.187330626814486</v>
      </c>
      <c r="E774" s="40">
        <v>6274.25</v>
      </c>
      <c r="F774" s="36">
        <f t="shared" si="46"/>
        <v>6367.5271759536299</v>
      </c>
      <c r="G774" s="36">
        <f t="shared" si="47"/>
        <v>6026.7778534463723</v>
      </c>
      <c r="I774" s="40">
        <v>6274.25</v>
      </c>
      <c r="J774" s="36">
        <v>6367.5271759536299</v>
      </c>
      <c r="K774" s="36">
        <v>6026.7778534463723</v>
      </c>
    </row>
    <row r="775" spans="1:11" x14ac:dyDescent="0.25">
      <c r="A775" s="39">
        <v>41631</v>
      </c>
      <c r="B775" s="36">
        <v>6284.5</v>
      </c>
      <c r="C775" s="36">
        <f t="shared" si="44"/>
        <v>6205.6100098000006</v>
      </c>
      <c r="D775" s="36">
        <f t="shared" si="45"/>
        <v>85.035010755652479</v>
      </c>
      <c r="E775" s="40">
        <v>6284.5</v>
      </c>
      <c r="F775" s="36">
        <f t="shared" si="46"/>
        <v>6375.6800313113054</v>
      </c>
      <c r="G775" s="36">
        <f t="shared" si="47"/>
        <v>6035.5399882886959</v>
      </c>
      <c r="I775" s="40">
        <v>6284.5</v>
      </c>
      <c r="J775" s="36">
        <v>6375.6800313113054</v>
      </c>
      <c r="K775" s="36">
        <v>6035.5399882886959</v>
      </c>
    </row>
    <row r="776" spans="1:11" x14ac:dyDescent="0.25">
      <c r="A776" s="39">
        <v>41632</v>
      </c>
      <c r="B776" s="36">
        <v>6268.3999020000001</v>
      </c>
      <c r="C776" s="36">
        <f t="shared" si="44"/>
        <v>6216.0750000000007</v>
      </c>
      <c r="D776" s="36">
        <f t="shared" si="45"/>
        <v>78.698359489083245</v>
      </c>
      <c r="E776" s="40">
        <v>6268.3999020000001</v>
      </c>
      <c r="F776" s="36">
        <f t="shared" si="46"/>
        <v>6373.4717189781668</v>
      </c>
      <c r="G776" s="36">
        <f t="shared" si="47"/>
        <v>6058.6782810218347</v>
      </c>
      <c r="I776" s="40">
        <v>6268.3999020000001</v>
      </c>
      <c r="J776" s="36">
        <v>6373.4717189781668</v>
      </c>
      <c r="K776" s="36">
        <v>6058.6782810218347</v>
      </c>
    </row>
    <row r="777" spans="1:11" x14ac:dyDescent="0.25">
      <c r="A777" s="39">
        <v>41634</v>
      </c>
      <c r="B777" s="36">
        <v>6278.8999020000001</v>
      </c>
      <c r="C777" s="36">
        <f t="shared" si="44"/>
        <v>6227.1649902000008</v>
      </c>
      <c r="D777" s="36">
        <f t="shared" si="45"/>
        <v>70.29613867207361</v>
      </c>
      <c r="E777" s="40">
        <v>6278.8999020000001</v>
      </c>
      <c r="F777" s="36">
        <f t="shared" si="46"/>
        <v>6367.7572675441479</v>
      </c>
      <c r="G777" s="36">
        <f t="shared" si="47"/>
        <v>6086.5727128558538</v>
      </c>
      <c r="I777" s="40">
        <v>6278.8999020000001</v>
      </c>
      <c r="J777" s="36">
        <v>6367.7572675441479</v>
      </c>
      <c r="K777" s="36">
        <v>6086.5727128558538</v>
      </c>
    </row>
    <row r="778" spans="1:11" x14ac:dyDescent="0.25">
      <c r="A778" s="39">
        <v>41635</v>
      </c>
      <c r="B778" s="36">
        <v>6313.7998049999997</v>
      </c>
      <c r="C778" s="36">
        <f t="shared" si="44"/>
        <v>6238.262475550001</v>
      </c>
      <c r="D778" s="36">
        <f t="shared" si="45"/>
        <v>65.140246510824213</v>
      </c>
      <c r="E778" s="40">
        <v>6313.7998049999997</v>
      </c>
      <c r="F778" s="36">
        <f t="shared" si="46"/>
        <v>6368.542968571649</v>
      </c>
      <c r="G778" s="36">
        <f t="shared" si="47"/>
        <v>6107.981982528353</v>
      </c>
      <c r="I778" s="40">
        <v>6313.7998049999997</v>
      </c>
      <c r="J778" s="36">
        <v>6368.542968571649</v>
      </c>
      <c r="K778" s="36">
        <v>6107.981982528353</v>
      </c>
    </row>
    <row r="779" spans="1:11" x14ac:dyDescent="0.25">
      <c r="A779" s="39">
        <v>41638</v>
      </c>
      <c r="B779" s="36">
        <v>6291.1000979999999</v>
      </c>
      <c r="C779" s="36">
        <f t="shared" si="44"/>
        <v>6244.012475550001</v>
      </c>
      <c r="D779" s="36">
        <f t="shared" si="45"/>
        <v>64.436090638149238</v>
      </c>
      <c r="E779" s="40">
        <v>6291.1000979999999</v>
      </c>
      <c r="F779" s="36">
        <f t="shared" si="46"/>
        <v>6372.8846568262998</v>
      </c>
      <c r="G779" s="36">
        <f t="shared" si="47"/>
        <v>6115.1402942737022</v>
      </c>
      <c r="I779" s="40">
        <v>6291.1000979999999</v>
      </c>
      <c r="J779" s="36">
        <v>6372.8846568262998</v>
      </c>
      <c r="K779" s="36">
        <v>6115.1402942737022</v>
      </c>
    </row>
    <row r="780" spans="1:11" x14ac:dyDescent="0.25">
      <c r="A780" s="39">
        <v>41639</v>
      </c>
      <c r="B780" s="36">
        <v>6304</v>
      </c>
      <c r="C780" s="36">
        <f t="shared" si="44"/>
        <v>6248.31997065</v>
      </c>
      <c r="D780" s="36">
        <f t="shared" si="45"/>
        <v>65.466394982330655</v>
      </c>
      <c r="E780" s="40">
        <v>6304</v>
      </c>
      <c r="F780" s="36">
        <f t="shared" si="46"/>
        <v>6379.2527606146614</v>
      </c>
      <c r="G780" s="36">
        <f t="shared" si="47"/>
        <v>6117.3871806853385</v>
      </c>
      <c r="I780" s="40">
        <v>6304</v>
      </c>
      <c r="J780" s="36">
        <v>6379.2527606146614</v>
      </c>
      <c r="K780" s="36">
        <v>6117.3871806853385</v>
      </c>
    </row>
    <row r="781" spans="1:11" x14ac:dyDescent="0.25">
      <c r="A781" s="39">
        <v>41641</v>
      </c>
      <c r="B781" s="36">
        <v>6221.1499020000001</v>
      </c>
      <c r="C781" s="36">
        <f t="shared" si="44"/>
        <v>6249.284960850001</v>
      </c>
      <c r="D781" s="36">
        <f t="shared" si="45"/>
        <v>64.885027067025746</v>
      </c>
      <c r="E781" s="40">
        <v>6221.1499020000001</v>
      </c>
      <c r="F781" s="36">
        <f t="shared" si="46"/>
        <v>6379.0550149840528</v>
      </c>
      <c r="G781" s="36">
        <f t="shared" si="47"/>
        <v>6119.5149067159491</v>
      </c>
      <c r="I781" s="40">
        <v>6221.1499020000001</v>
      </c>
      <c r="J781" s="36">
        <v>6379.0550149840528</v>
      </c>
      <c r="K781" s="36">
        <v>6119.5149067159491</v>
      </c>
    </row>
    <row r="782" spans="1:11" x14ac:dyDescent="0.25">
      <c r="A782" s="39">
        <v>41642</v>
      </c>
      <c r="B782" s="36">
        <v>6211.1499020000001</v>
      </c>
      <c r="C782" s="36">
        <f t="shared" si="44"/>
        <v>6251.7949462000006</v>
      </c>
      <c r="D782" s="36">
        <f t="shared" si="45"/>
        <v>62.203621209049352</v>
      </c>
      <c r="E782" s="40">
        <v>6211.1499020000001</v>
      </c>
      <c r="F782" s="36">
        <f t="shared" si="46"/>
        <v>6376.2021886180992</v>
      </c>
      <c r="G782" s="36">
        <f t="shared" si="47"/>
        <v>6127.387703781902</v>
      </c>
      <c r="I782" s="40">
        <v>6211.1499020000001</v>
      </c>
      <c r="J782" s="36">
        <v>6376.2021886180992</v>
      </c>
      <c r="K782" s="36">
        <v>6127.387703781902</v>
      </c>
    </row>
    <row r="783" spans="1:11" x14ac:dyDescent="0.25">
      <c r="A783" s="39">
        <v>41645</v>
      </c>
      <c r="B783" s="36">
        <v>6191.4501950000003</v>
      </c>
      <c r="C783" s="36">
        <f t="shared" si="44"/>
        <v>6249.3124510500002</v>
      </c>
      <c r="D783" s="36">
        <f t="shared" si="45"/>
        <v>63.627357950240381</v>
      </c>
      <c r="E783" s="40">
        <v>6191.4501950000003</v>
      </c>
      <c r="F783" s="36">
        <f t="shared" si="46"/>
        <v>6376.5671669504809</v>
      </c>
      <c r="G783" s="36">
        <f t="shared" si="47"/>
        <v>6122.0577351495194</v>
      </c>
      <c r="I783" s="40">
        <v>6191.4501950000003</v>
      </c>
      <c r="J783" s="36">
        <v>6376.5671669504809</v>
      </c>
      <c r="K783" s="36">
        <v>6122.0577351495194</v>
      </c>
    </row>
    <row r="784" spans="1:11" x14ac:dyDescent="0.25">
      <c r="A784" s="39">
        <v>41646</v>
      </c>
      <c r="B784" s="36">
        <v>6162.25</v>
      </c>
      <c r="C784" s="36">
        <f t="shared" si="44"/>
        <v>6244.4299559500014</v>
      </c>
      <c r="D784" s="36">
        <f t="shared" si="45"/>
        <v>66.455910992895312</v>
      </c>
      <c r="E784" s="40">
        <v>6162.25</v>
      </c>
      <c r="F784" s="36">
        <f t="shared" si="46"/>
        <v>6377.3417779357924</v>
      </c>
      <c r="G784" s="36">
        <f t="shared" si="47"/>
        <v>6111.5181339642104</v>
      </c>
      <c r="I784" s="40">
        <v>6162.25</v>
      </c>
      <c r="J784" s="36">
        <v>6377.3417779357924</v>
      </c>
      <c r="K784" s="36">
        <v>6111.5181339642104</v>
      </c>
    </row>
    <row r="785" spans="1:11" x14ac:dyDescent="0.25">
      <c r="A785" s="39">
        <v>41647</v>
      </c>
      <c r="B785" s="36">
        <v>6174.6000979999999</v>
      </c>
      <c r="C785" s="36">
        <f t="shared" si="44"/>
        <v>6234.9649657499995</v>
      </c>
      <c r="D785" s="36">
        <f t="shared" si="45"/>
        <v>61.866917557992849</v>
      </c>
      <c r="E785" s="40">
        <v>6174.6000979999999</v>
      </c>
      <c r="F785" s="36">
        <f t="shared" si="46"/>
        <v>6358.6988008659855</v>
      </c>
      <c r="G785" s="36">
        <f t="shared" si="47"/>
        <v>6111.2311306340134</v>
      </c>
      <c r="I785" s="40">
        <v>6174.6000979999999</v>
      </c>
      <c r="J785" s="36">
        <v>6358.6988008659855</v>
      </c>
      <c r="K785" s="36">
        <v>6111.2311306340134</v>
      </c>
    </row>
    <row r="786" spans="1:11" x14ac:dyDescent="0.25">
      <c r="A786" s="39">
        <v>41648</v>
      </c>
      <c r="B786" s="36">
        <v>6168.3500979999999</v>
      </c>
      <c r="C786" s="36">
        <f t="shared" si="44"/>
        <v>6226.73996575</v>
      </c>
      <c r="D786" s="36">
        <f t="shared" si="45"/>
        <v>59.038713108288107</v>
      </c>
      <c r="E786" s="40">
        <v>6168.3500979999999</v>
      </c>
      <c r="F786" s="36">
        <f t="shared" si="46"/>
        <v>6344.817391966576</v>
      </c>
      <c r="G786" s="36">
        <f t="shared" si="47"/>
        <v>6108.662539533424</v>
      </c>
      <c r="I786" s="40">
        <v>6168.3500979999999</v>
      </c>
      <c r="J786" s="36">
        <v>6344.817391966576</v>
      </c>
      <c r="K786" s="36">
        <v>6108.662539533424</v>
      </c>
    </row>
    <row r="787" spans="1:11" x14ac:dyDescent="0.25">
      <c r="A787" s="39">
        <v>41649</v>
      </c>
      <c r="B787" s="36">
        <v>6171.4501950000003</v>
      </c>
      <c r="C787" s="36">
        <f t="shared" si="44"/>
        <v>6219.9174803999995</v>
      </c>
      <c r="D787" s="36">
        <f t="shared" si="45"/>
        <v>57.015658345403772</v>
      </c>
      <c r="E787" s="40">
        <v>6171.4501950000003</v>
      </c>
      <c r="F787" s="36">
        <f t="shared" si="46"/>
        <v>6333.9487970908067</v>
      </c>
      <c r="G787" s="36">
        <f t="shared" si="47"/>
        <v>6105.8861637091923</v>
      </c>
      <c r="I787" s="40">
        <v>6171.4501950000003</v>
      </c>
      <c r="J787" s="36">
        <v>6333.9487970908067</v>
      </c>
      <c r="K787" s="36">
        <v>6105.8861637091923</v>
      </c>
    </row>
    <row r="788" spans="1:11" x14ac:dyDescent="0.25">
      <c r="A788" s="39">
        <v>41652</v>
      </c>
      <c r="B788" s="36">
        <v>6272.75</v>
      </c>
      <c r="C788" s="36">
        <f t="shared" si="44"/>
        <v>6221.702490149999</v>
      </c>
      <c r="D788" s="36">
        <f t="shared" si="45"/>
        <v>58.128240269420054</v>
      </c>
      <c r="E788" s="40">
        <v>6272.75</v>
      </c>
      <c r="F788" s="36">
        <f t="shared" si="46"/>
        <v>6337.9589706888391</v>
      </c>
      <c r="G788" s="36">
        <f t="shared" si="47"/>
        <v>6105.4460096111588</v>
      </c>
      <c r="I788" s="40">
        <v>6272.75</v>
      </c>
      <c r="J788" s="36">
        <v>6337.9589706888391</v>
      </c>
      <c r="K788" s="36">
        <v>6105.4460096111588</v>
      </c>
    </row>
    <row r="789" spans="1:11" x14ac:dyDescent="0.25">
      <c r="A789" s="39">
        <v>41653</v>
      </c>
      <c r="B789" s="36">
        <v>6241.8500979999999</v>
      </c>
      <c r="C789" s="36">
        <f t="shared" si="44"/>
        <v>6225.3749999499996</v>
      </c>
      <c r="D789" s="36">
        <f t="shared" si="45"/>
        <v>56.890461532176047</v>
      </c>
      <c r="E789" s="40">
        <v>6241.8500979999999</v>
      </c>
      <c r="F789" s="36">
        <f t="shared" si="46"/>
        <v>6339.1559230143521</v>
      </c>
      <c r="G789" s="36">
        <f t="shared" si="47"/>
        <v>6111.5940768856472</v>
      </c>
      <c r="I789" s="40">
        <v>6241.8500979999999</v>
      </c>
      <c r="J789" s="36">
        <v>6339.1559230143521</v>
      </c>
      <c r="K789" s="36">
        <v>6111.5940768856472</v>
      </c>
    </row>
    <row r="790" spans="1:11" x14ac:dyDescent="0.25">
      <c r="A790" s="39">
        <v>41654</v>
      </c>
      <c r="B790" s="36">
        <v>6320.8999020000001</v>
      </c>
      <c r="C790" s="36">
        <f t="shared" ref="C790:C853" si="48">AVERAGE(B771:B790)</f>
        <v>6233.6849853000003</v>
      </c>
      <c r="D790" s="36">
        <f t="shared" ref="D790:D853" si="49">_xlfn.STDEV.S(B771:B790)</f>
        <v>58.148145365787066</v>
      </c>
      <c r="E790" s="40">
        <v>6320.8999020000001</v>
      </c>
      <c r="F790" s="36">
        <f t="shared" ref="F790:F853" si="50">C790+2*D790</f>
        <v>6349.9812760315745</v>
      </c>
      <c r="G790" s="36">
        <f t="shared" ref="G790:G853" si="51">C790-2*D790</f>
        <v>6117.3886945684262</v>
      </c>
      <c r="I790" s="40">
        <v>6320.8999020000001</v>
      </c>
      <c r="J790" s="36">
        <v>6349.9812760315745</v>
      </c>
      <c r="K790" s="36">
        <v>6117.3886945684262</v>
      </c>
    </row>
    <row r="791" spans="1:11" x14ac:dyDescent="0.25">
      <c r="A791" s="39">
        <v>41655</v>
      </c>
      <c r="B791" s="36">
        <v>6318.8999020000001</v>
      </c>
      <c r="C791" s="36">
        <f t="shared" si="48"/>
        <v>6242.6774901500003</v>
      </c>
      <c r="D791" s="36">
        <f t="shared" si="49"/>
        <v>56.629632929264851</v>
      </c>
      <c r="E791" s="40">
        <v>6318.8999020000001</v>
      </c>
      <c r="F791" s="36">
        <f t="shared" si="50"/>
        <v>6355.9367560085302</v>
      </c>
      <c r="G791" s="36">
        <f t="shared" si="51"/>
        <v>6129.4182242914703</v>
      </c>
      <c r="I791" s="40">
        <v>6318.8999020000001</v>
      </c>
      <c r="J791" s="36">
        <v>6355.9367560085302</v>
      </c>
      <c r="K791" s="36">
        <v>6129.4182242914703</v>
      </c>
    </row>
    <row r="792" spans="1:11" x14ac:dyDescent="0.25">
      <c r="A792" s="39">
        <v>41656</v>
      </c>
      <c r="B792" s="36">
        <v>6261.6499020000001</v>
      </c>
      <c r="C792" s="36">
        <f t="shared" si="48"/>
        <v>6244.9024901499997</v>
      </c>
      <c r="D792" s="36">
        <f t="shared" si="49"/>
        <v>56.447774345669245</v>
      </c>
      <c r="E792" s="40">
        <v>6261.6499020000001</v>
      </c>
      <c r="F792" s="36">
        <f t="shared" si="50"/>
        <v>6357.798038841338</v>
      </c>
      <c r="G792" s="36">
        <f t="shared" si="51"/>
        <v>6132.0069414586615</v>
      </c>
      <c r="I792" s="40">
        <v>6261.6499020000001</v>
      </c>
      <c r="J792" s="36">
        <v>6357.798038841338</v>
      </c>
      <c r="K792" s="36">
        <v>6132.0069414586615</v>
      </c>
    </row>
    <row r="793" spans="1:11" x14ac:dyDescent="0.25">
      <c r="A793" s="39">
        <v>41659</v>
      </c>
      <c r="B793" s="36">
        <v>6303.9501950000003</v>
      </c>
      <c r="C793" s="36">
        <f t="shared" si="48"/>
        <v>6251.7675047999992</v>
      </c>
      <c r="D793" s="36">
        <f t="shared" si="49"/>
        <v>54.753643818181409</v>
      </c>
      <c r="E793" s="40">
        <v>6303.9501950000003</v>
      </c>
      <c r="F793" s="36">
        <f t="shared" si="50"/>
        <v>6361.2747924363621</v>
      </c>
      <c r="G793" s="36">
        <f t="shared" si="51"/>
        <v>6142.2602171636363</v>
      </c>
      <c r="I793" s="40">
        <v>6303.9501950000003</v>
      </c>
      <c r="J793" s="36">
        <v>6361.2747924363621</v>
      </c>
      <c r="K793" s="36">
        <v>6142.2602171636363</v>
      </c>
    </row>
    <row r="794" spans="1:11" x14ac:dyDescent="0.25">
      <c r="A794" s="39">
        <v>41660</v>
      </c>
      <c r="B794" s="36">
        <v>6313.7998049999997</v>
      </c>
      <c r="C794" s="36">
        <f t="shared" si="48"/>
        <v>6253.7449950499995</v>
      </c>
      <c r="D794" s="36">
        <f t="shared" si="49"/>
        <v>56.300697873540081</v>
      </c>
      <c r="E794" s="40">
        <v>6313.7998049999997</v>
      </c>
      <c r="F794" s="36">
        <f t="shared" si="50"/>
        <v>6366.3463907970799</v>
      </c>
      <c r="G794" s="36">
        <f t="shared" si="51"/>
        <v>6141.143599302919</v>
      </c>
      <c r="I794" s="40">
        <v>6313.7998049999997</v>
      </c>
      <c r="J794" s="36">
        <v>6366.3463907970799</v>
      </c>
      <c r="K794" s="36">
        <v>6141.143599302919</v>
      </c>
    </row>
    <row r="795" spans="1:11" x14ac:dyDescent="0.25">
      <c r="A795" s="39">
        <v>41661</v>
      </c>
      <c r="B795" s="36">
        <v>6338.9501950000003</v>
      </c>
      <c r="C795" s="36">
        <f t="shared" si="48"/>
        <v>6256.4675047999999</v>
      </c>
      <c r="D795" s="36">
        <f t="shared" si="49"/>
        <v>59.112478699586944</v>
      </c>
      <c r="E795" s="40">
        <v>6338.9501950000003</v>
      </c>
      <c r="F795" s="36">
        <f t="shared" si="50"/>
        <v>6374.6924621991739</v>
      </c>
      <c r="G795" s="36">
        <f t="shared" si="51"/>
        <v>6138.242547400826</v>
      </c>
      <c r="I795" s="40">
        <v>6338.9501950000003</v>
      </c>
      <c r="J795" s="36">
        <v>6374.6924621991739</v>
      </c>
      <c r="K795" s="36">
        <v>6138.242547400826</v>
      </c>
    </row>
    <row r="796" spans="1:11" x14ac:dyDescent="0.25">
      <c r="A796" s="39">
        <v>41662</v>
      </c>
      <c r="B796" s="36">
        <v>6345.6499020000001</v>
      </c>
      <c r="C796" s="36">
        <f t="shared" si="48"/>
        <v>6260.3300048000001</v>
      </c>
      <c r="D796" s="36">
        <f t="shared" si="49"/>
        <v>62.367399279369337</v>
      </c>
      <c r="E796" s="40">
        <v>6345.6499020000001</v>
      </c>
      <c r="F796" s="36">
        <f t="shared" si="50"/>
        <v>6385.0648033587386</v>
      </c>
      <c r="G796" s="36">
        <f t="shared" si="51"/>
        <v>6135.5952062412616</v>
      </c>
      <c r="I796" s="40">
        <v>6345.6499020000001</v>
      </c>
      <c r="J796" s="36">
        <v>6385.0648033587386</v>
      </c>
      <c r="K796" s="36">
        <v>6135.5952062412616</v>
      </c>
    </row>
    <row r="797" spans="1:11" x14ac:dyDescent="0.25">
      <c r="A797" s="39">
        <v>41663</v>
      </c>
      <c r="B797" s="36">
        <v>6266.75</v>
      </c>
      <c r="C797" s="36">
        <f t="shared" si="48"/>
        <v>6259.722509700001</v>
      </c>
      <c r="D797" s="36">
        <f t="shared" si="49"/>
        <v>62.236032723898141</v>
      </c>
      <c r="E797" s="40">
        <v>6266.75</v>
      </c>
      <c r="F797" s="36">
        <f t="shared" si="50"/>
        <v>6384.194575147797</v>
      </c>
      <c r="G797" s="36">
        <f t="shared" si="51"/>
        <v>6135.2504442522049</v>
      </c>
      <c r="I797" s="40">
        <v>6266.75</v>
      </c>
      <c r="J797" s="36">
        <v>6384.194575147797</v>
      </c>
      <c r="K797" s="36">
        <v>6135.2504442522049</v>
      </c>
    </row>
    <row r="798" spans="1:11" x14ac:dyDescent="0.25">
      <c r="A798" s="39">
        <v>41666</v>
      </c>
      <c r="B798" s="36">
        <v>6135.8500979999999</v>
      </c>
      <c r="C798" s="36">
        <f t="shared" si="48"/>
        <v>6250.8250243500006</v>
      </c>
      <c r="D798" s="36">
        <f t="shared" si="49"/>
        <v>66.660912249720568</v>
      </c>
      <c r="E798" s="40">
        <v>6135.8500979999999</v>
      </c>
      <c r="F798" s="36">
        <f t="shared" si="50"/>
        <v>6384.146848849442</v>
      </c>
      <c r="G798" s="36">
        <f t="shared" si="51"/>
        <v>6117.5031998505592</v>
      </c>
      <c r="I798" s="40">
        <v>6135.8500979999999</v>
      </c>
      <c r="J798" s="36">
        <v>6384.146848849442</v>
      </c>
      <c r="K798" s="36">
        <v>6117.5031998505592</v>
      </c>
    </row>
    <row r="799" spans="1:11" x14ac:dyDescent="0.25">
      <c r="A799" s="39">
        <v>41667</v>
      </c>
      <c r="B799" s="36">
        <v>6126.25</v>
      </c>
      <c r="C799" s="36">
        <f t="shared" si="48"/>
        <v>6242.5825194500012</v>
      </c>
      <c r="D799" s="36">
        <f t="shared" si="49"/>
        <v>71.439317131134629</v>
      </c>
      <c r="E799" s="40">
        <v>6126.25</v>
      </c>
      <c r="F799" s="36">
        <f t="shared" si="50"/>
        <v>6385.4611537122701</v>
      </c>
      <c r="G799" s="36">
        <f t="shared" si="51"/>
        <v>6099.7038851877323</v>
      </c>
      <c r="I799" s="40">
        <v>6126.25</v>
      </c>
      <c r="J799" s="36">
        <v>6385.4611537122701</v>
      </c>
      <c r="K799" s="36">
        <v>6099.7038851877323</v>
      </c>
    </row>
    <row r="800" spans="1:11" x14ac:dyDescent="0.25">
      <c r="A800" s="39">
        <v>41668</v>
      </c>
      <c r="B800" s="36">
        <v>6120.25</v>
      </c>
      <c r="C800" s="36">
        <f t="shared" si="48"/>
        <v>6233.3950194500003</v>
      </c>
      <c r="D800" s="36">
        <f t="shared" si="49"/>
        <v>74.858772253936777</v>
      </c>
      <c r="E800" s="40">
        <v>6120.25</v>
      </c>
      <c r="F800" s="36">
        <f t="shared" si="50"/>
        <v>6383.112563957874</v>
      </c>
      <c r="G800" s="36">
        <f t="shared" si="51"/>
        <v>6083.6774749421265</v>
      </c>
      <c r="I800" s="40">
        <v>6120.25</v>
      </c>
      <c r="J800" s="36">
        <v>6383.112563957874</v>
      </c>
      <c r="K800" s="36">
        <v>6083.6774749421265</v>
      </c>
    </row>
    <row r="801" spans="1:11" x14ac:dyDescent="0.25">
      <c r="A801" s="39">
        <v>41669</v>
      </c>
      <c r="B801" s="36">
        <v>6073.7001950000003</v>
      </c>
      <c r="C801" s="36">
        <f t="shared" si="48"/>
        <v>6226.0225340999996</v>
      </c>
      <c r="D801" s="36">
        <f t="shared" si="49"/>
        <v>82.951572154132052</v>
      </c>
      <c r="E801" s="40">
        <v>6073.7001950000003</v>
      </c>
      <c r="F801" s="36">
        <f t="shared" si="50"/>
        <v>6391.9256784082636</v>
      </c>
      <c r="G801" s="36">
        <f t="shared" si="51"/>
        <v>6060.1193897917356</v>
      </c>
      <c r="I801" s="40">
        <v>6073.7001950000003</v>
      </c>
      <c r="J801" s="36">
        <v>6391.9256784082636</v>
      </c>
      <c r="K801" s="36">
        <v>6060.1193897917356</v>
      </c>
    </row>
    <row r="802" spans="1:11" x14ac:dyDescent="0.25">
      <c r="A802" s="39">
        <v>41670</v>
      </c>
      <c r="B802" s="36">
        <v>6089.5</v>
      </c>
      <c r="C802" s="36">
        <f t="shared" si="48"/>
        <v>6219.9400389999992</v>
      </c>
      <c r="D802" s="36">
        <f t="shared" si="49"/>
        <v>88.381819794235781</v>
      </c>
      <c r="E802" s="40">
        <v>6089.5</v>
      </c>
      <c r="F802" s="36">
        <f t="shared" si="50"/>
        <v>6396.7036785884711</v>
      </c>
      <c r="G802" s="36">
        <f t="shared" si="51"/>
        <v>6043.1763994115272</v>
      </c>
      <c r="I802" s="40">
        <v>6089.5</v>
      </c>
      <c r="J802" s="36">
        <v>6396.7036785884711</v>
      </c>
      <c r="K802" s="36">
        <v>6043.1763994115272</v>
      </c>
    </row>
    <row r="803" spans="1:11" x14ac:dyDescent="0.25">
      <c r="A803" s="39">
        <v>41673</v>
      </c>
      <c r="B803" s="36">
        <v>6001.7998049999997</v>
      </c>
      <c r="C803" s="36">
        <f t="shared" si="48"/>
        <v>6210.4575194999989</v>
      </c>
      <c r="D803" s="36">
        <f t="shared" si="49"/>
        <v>100.88834429828786</v>
      </c>
      <c r="E803" s="40">
        <v>6001.7998049999997</v>
      </c>
      <c r="F803" s="36">
        <f t="shared" si="50"/>
        <v>6412.2342080965745</v>
      </c>
      <c r="G803" s="36">
        <f t="shared" si="51"/>
        <v>6008.6808309034232</v>
      </c>
      <c r="I803" s="40">
        <v>6001.7998049999997</v>
      </c>
      <c r="J803" s="36">
        <v>6412.2342080965745</v>
      </c>
      <c r="K803" s="36">
        <v>6008.6808309034232</v>
      </c>
    </row>
    <row r="804" spans="1:11" x14ac:dyDescent="0.25">
      <c r="A804" s="39">
        <v>41674</v>
      </c>
      <c r="B804" s="36">
        <v>6000.8999020000001</v>
      </c>
      <c r="C804" s="36">
        <f t="shared" si="48"/>
        <v>6202.3900145999996</v>
      </c>
      <c r="D804" s="36">
        <f t="shared" si="49"/>
        <v>110.90048637818704</v>
      </c>
      <c r="E804" s="40">
        <v>6000.8999020000001</v>
      </c>
      <c r="F804" s="36">
        <f t="shared" si="50"/>
        <v>6424.1909873563736</v>
      </c>
      <c r="G804" s="36">
        <f t="shared" si="51"/>
        <v>5980.5890418436256</v>
      </c>
      <c r="I804" s="40">
        <v>6000.8999020000001</v>
      </c>
      <c r="J804" s="36">
        <v>6424.1909873563736</v>
      </c>
      <c r="K804" s="36">
        <v>5980.5890418436256</v>
      </c>
    </row>
    <row r="805" spans="1:11" x14ac:dyDescent="0.25">
      <c r="A805" s="39">
        <v>41675</v>
      </c>
      <c r="B805" s="36">
        <v>6022.3999020000001</v>
      </c>
      <c r="C805" s="36">
        <f t="shared" si="48"/>
        <v>6194.7800047999999</v>
      </c>
      <c r="D805" s="36">
        <f t="shared" si="49"/>
        <v>117.90838456982614</v>
      </c>
      <c r="E805" s="40">
        <v>6022.3999020000001</v>
      </c>
      <c r="F805" s="36">
        <f t="shared" si="50"/>
        <v>6430.5967739396519</v>
      </c>
      <c r="G805" s="36">
        <f t="shared" si="51"/>
        <v>5958.9632356603479</v>
      </c>
      <c r="I805" s="40">
        <v>6022.3999020000001</v>
      </c>
      <c r="J805" s="36">
        <v>6430.5967739396519</v>
      </c>
      <c r="K805" s="36">
        <v>5958.9632356603479</v>
      </c>
    </row>
    <row r="806" spans="1:11" x14ac:dyDescent="0.25">
      <c r="A806" s="39">
        <v>41676</v>
      </c>
      <c r="B806" s="36">
        <v>6036.2998049999997</v>
      </c>
      <c r="C806" s="36">
        <f t="shared" si="48"/>
        <v>6188.1774901500003</v>
      </c>
      <c r="D806" s="36">
        <f t="shared" si="49"/>
        <v>123.05132126722282</v>
      </c>
      <c r="E806" s="40">
        <v>6036.2998049999997</v>
      </c>
      <c r="F806" s="36">
        <f t="shared" si="50"/>
        <v>6434.2801326844456</v>
      </c>
      <c r="G806" s="36">
        <f t="shared" si="51"/>
        <v>5942.074847615555</v>
      </c>
      <c r="I806" s="40">
        <v>6036.2998049999997</v>
      </c>
      <c r="J806" s="36">
        <v>6434.2801326844456</v>
      </c>
      <c r="K806" s="36">
        <v>5942.074847615555</v>
      </c>
    </row>
    <row r="807" spans="1:11" x14ac:dyDescent="0.25">
      <c r="A807" s="39">
        <v>41677</v>
      </c>
      <c r="B807" s="36">
        <v>6063.2001950000003</v>
      </c>
      <c r="C807" s="36">
        <f t="shared" si="48"/>
        <v>6182.7649901499999</v>
      </c>
      <c r="D807" s="36">
        <f t="shared" si="49"/>
        <v>126.16708729666288</v>
      </c>
      <c r="E807" s="40">
        <v>6063.2001950000003</v>
      </c>
      <c r="F807" s="36">
        <f t="shared" si="50"/>
        <v>6435.0991647433257</v>
      </c>
      <c r="G807" s="36">
        <f t="shared" si="51"/>
        <v>5930.4308155566741</v>
      </c>
      <c r="I807" s="40">
        <v>6063.2001950000003</v>
      </c>
      <c r="J807" s="36">
        <v>6435.0991647433257</v>
      </c>
      <c r="K807" s="36">
        <v>5930.4308155566741</v>
      </c>
    </row>
    <row r="808" spans="1:11" x14ac:dyDescent="0.25">
      <c r="A808" s="39">
        <v>41680</v>
      </c>
      <c r="B808" s="36">
        <v>6053.4501950000003</v>
      </c>
      <c r="C808" s="36">
        <f t="shared" si="48"/>
        <v>6171.7999999000003</v>
      </c>
      <c r="D808" s="36">
        <f t="shared" si="49"/>
        <v>127.45792668973701</v>
      </c>
      <c r="E808" s="40">
        <v>6053.4501950000003</v>
      </c>
      <c r="F808" s="36">
        <f t="shared" si="50"/>
        <v>6426.7158532794747</v>
      </c>
      <c r="G808" s="36">
        <f t="shared" si="51"/>
        <v>5916.884146520526</v>
      </c>
      <c r="I808" s="40">
        <v>6053.4501950000003</v>
      </c>
      <c r="J808" s="36">
        <v>6426.7158532794747</v>
      </c>
      <c r="K808" s="36">
        <v>5916.884146520526</v>
      </c>
    </row>
    <row r="809" spans="1:11" x14ac:dyDescent="0.25">
      <c r="A809" s="39">
        <v>41681</v>
      </c>
      <c r="B809" s="36">
        <v>6062.7001950000003</v>
      </c>
      <c r="C809" s="36">
        <f t="shared" si="48"/>
        <v>6162.8425047500004</v>
      </c>
      <c r="D809" s="36">
        <f t="shared" si="49"/>
        <v>128.56617285376799</v>
      </c>
      <c r="E809" s="40">
        <v>6062.7001950000003</v>
      </c>
      <c r="F809" s="36">
        <f t="shared" si="50"/>
        <v>6419.9748504575364</v>
      </c>
      <c r="G809" s="36">
        <f t="shared" si="51"/>
        <v>5905.7101590424645</v>
      </c>
      <c r="I809" s="40">
        <v>6062.7001950000003</v>
      </c>
      <c r="J809" s="36">
        <v>6419.9748504575364</v>
      </c>
      <c r="K809" s="36">
        <v>5905.7101590424645</v>
      </c>
    </row>
    <row r="810" spans="1:11" x14ac:dyDescent="0.25">
      <c r="A810" s="39">
        <v>41682</v>
      </c>
      <c r="B810" s="36">
        <v>6084</v>
      </c>
      <c r="C810" s="36">
        <f t="shared" si="48"/>
        <v>6150.9975096500002</v>
      </c>
      <c r="D810" s="36">
        <f t="shared" si="49"/>
        <v>124.07210908314636</v>
      </c>
      <c r="E810" s="40">
        <v>6084</v>
      </c>
      <c r="F810" s="36">
        <f t="shared" si="50"/>
        <v>6399.1417278162926</v>
      </c>
      <c r="G810" s="36">
        <f t="shared" si="51"/>
        <v>5902.8532914837078</v>
      </c>
      <c r="I810" s="40">
        <v>6084</v>
      </c>
      <c r="J810" s="36">
        <v>6399.1417278162926</v>
      </c>
      <c r="K810" s="36">
        <v>5902.8532914837078</v>
      </c>
    </row>
    <row r="811" spans="1:11" x14ac:dyDescent="0.25">
      <c r="A811" s="39">
        <v>41683</v>
      </c>
      <c r="B811" s="36">
        <v>6001.1000979999999</v>
      </c>
      <c r="C811" s="36">
        <f t="shared" si="48"/>
        <v>6135.1075194499999</v>
      </c>
      <c r="D811" s="36">
        <f t="shared" si="49"/>
        <v>121.76596657130894</v>
      </c>
      <c r="E811" s="40">
        <v>6001.1000979999999</v>
      </c>
      <c r="F811" s="36">
        <f t="shared" si="50"/>
        <v>6378.639452592618</v>
      </c>
      <c r="G811" s="36">
        <f t="shared" si="51"/>
        <v>5891.5755863073819</v>
      </c>
      <c r="I811" s="40">
        <v>6001.1000979999999</v>
      </c>
      <c r="J811" s="36">
        <v>6378.639452592618</v>
      </c>
      <c r="K811" s="36">
        <v>5891.5755863073819</v>
      </c>
    </row>
    <row r="812" spans="1:11" x14ac:dyDescent="0.25">
      <c r="A812" s="39">
        <v>41684</v>
      </c>
      <c r="B812" s="36">
        <v>6048.3500979999999</v>
      </c>
      <c r="C812" s="36">
        <f t="shared" si="48"/>
        <v>6124.44252925</v>
      </c>
      <c r="D812" s="36">
        <f t="shared" si="49"/>
        <v>119.41768734412349</v>
      </c>
      <c r="E812" s="40">
        <v>6048.3500979999999</v>
      </c>
      <c r="F812" s="36">
        <f t="shared" si="50"/>
        <v>6363.2779039382467</v>
      </c>
      <c r="G812" s="36">
        <f t="shared" si="51"/>
        <v>5885.6071545617533</v>
      </c>
      <c r="I812" s="40">
        <v>6048.3500979999999</v>
      </c>
      <c r="J812" s="36">
        <v>6363.2779039382467</v>
      </c>
      <c r="K812" s="36">
        <v>5885.6071545617533</v>
      </c>
    </row>
    <row r="813" spans="1:11" x14ac:dyDescent="0.25">
      <c r="A813" s="39">
        <v>41687</v>
      </c>
      <c r="B813" s="36">
        <v>6073.2998049999997</v>
      </c>
      <c r="C813" s="36">
        <f t="shared" si="48"/>
        <v>6112.9100097499995</v>
      </c>
      <c r="D813" s="36">
        <f t="shared" si="49"/>
        <v>112.0816650159249</v>
      </c>
      <c r="E813" s="40">
        <v>6073.2998049999997</v>
      </c>
      <c r="F813" s="36">
        <f t="shared" si="50"/>
        <v>6337.0733397818494</v>
      </c>
      <c r="G813" s="36">
        <f t="shared" si="51"/>
        <v>5888.7466797181496</v>
      </c>
      <c r="I813" s="40">
        <v>6073.2998049999997</v>
      </c>
      <c r="J813" s="36">
        <v>6337.0733397818494</v>
      </c>
      <c r="K813" s="36">
        <v>5888.7466797181496</v>
      </c>
    </row>
    <row r="814" spans="1:11" x14ac:dyDescent="0.25">
      <c r="A814" s="39">
        <v>41688</v>
      </c>
      <c r="B814" s="36">
        <v>6127.1000979999999</v>
      </c>
      <c r="C814" s="36">
        <f t="shared" si="48"/>
        <v>6103.5750243999992</v>
      </c>
      <c r="D814" s="36">
        <f t="shared" si="49"/>
        <v>101.76999422365166</v>
      </c>
      <c r="E814" s="40">
        <v>6127.1000979999999</v>
      </c>
      <c r="F814" s="36">
        <f t="shared" si="50"/>
        <v>6307.1150128473028</v>
      </c>
      <c r="G814" s="36">
        <f t="shared" si="51"/>
        <v>5900.0350359526956</v>
      </c>
      <c r="I814" s="40">
        <v>6127.1000979999999</v>
      </c>
      <c r="J814" s="36">
        <v>6307.1150128473028</v>
      </c>
      <c r="K814" s="36">
        <v>5900.0350359526956</v>
      </c>
    </row>
    <row r="815" spans="1:11" x14ac:dyDescent="0.25">
      <c r="A815" s="39">
        <v>41689</v>
      </c>
      <c r="B815" s="36">
        <v>6152.75</v>
      </c>
      <c r="C815" s="36">
        <f t="shared" si="48"/>
        <v>6094.2650146499991</v>
      </c>
      <c r="D815" s="36">
        <f t="shared" si="49"/>
        <v>86.471377808144723</v>
      </c>
      <c r="E815" s="40">
        <v>6152.75</v>
      </c>
      <c r="F815" s="36">
        <f t="shared" si="50"/>
        <v>6267.2077702662882</v>
      </c>
      <c r="G815" s="36">
        <f t="shared" si="51"/>
        <v>5921.32225903371</v>
      </c>
      <c r="I815" s="40">
        <v>6152.75</v>
      </c>
      <c r="J815" s="36">
        <v>6267.2077702662882</v>
      </c>
      <c r="K815" s="36">
        <v>5921.32225903371</v>
      </c>
    </row>
    <row r="816" spans="1:11" x14ac:dyDescent="0.25">
      <c r="A816" s="39">
        <v>41690</v>
      </c>
      <c r="B816" s="36">
        <v>6091.4501950000003</v>
      </c>
      <c r="C816" s="36">
        <f t="shared" si="48"/>
        <v>6081.5550292999997</v>
      </c>
      <c r="D816" s="36">
        <f t="shared" si="49"/>
        <v>63.100325918953388</v>
      </c>
      <c r="E816" s="40">
        <v>6091.4501950000003</v>
      </c>
      <c r="F816" s="36">
        <f t="shared" si="50"/>
        <v>6207.7556811379063</v>
      </c>
      <c r="G816" s="36">
        <f t="shared" si="51"/>
        <v>5955.354377462093</v>
      </c>
      <c r="I816" s="40">
        <v>6091.4501950000003</v>
      </c>
      <c r="J816" s="36">
        <v>6207.7556811379063</v>
      </c>
      <c r="K816" s="36">
        <v>5955.354377462093</v>
      </c>
    </row>
    <row r="817" spans="1:11" x14ac:dyDescent="0.25">
      <c r="A817" s="39">
        <v>41691</v>
      </c>
      <c r="B817" s="36">
        <v>6155.4501950000003</v>
      </c>
      <c r="C817" s="36">
        <f t="shared" si="48"/>
        <v>6075.9900390499988</v>
      </c>
      <c r="D817" s="36">
        <f t="shared" si="49"/>
        <v>49.30853854855345</v>
      </c>
      <c r="E817" s="40">
        <v>6155.4501950000003</v>
      </c>
      <c r="F817" s="36">
        <f t="shared" si="50"/>
        <v>6174.6071161471054</v>
      </c>
      <c r="G817" s="36">
        <f t="shared" si="51"/>
        <v>5977.3729619528922</v>
      </c>
      <c r="I817" s="40">
        <v>6155.4501950000003</v>
      </c>
      <c r="J817" s="36">
        <v>6174.6071161471054</v>
      </c>
      <c r="K817" s="36">
        <v>5977.3729619528922</v>
      </c>
    </row>
    <row r="818" spans="1:11" x14ac:dyDescent="0.25">
      <c r="A818" s="39">
        <v>41694</v>
      </c>
      <c r="B818" s="36">
        <v>6186.1000979999999</v>
      </c>
      <c r="C818" s="36">
        <f t="shared" si="48"/>
        <v>6078.5025390499986</v>
      </c>
      <c r="D818" s="36">
        <f t="shared" si="49"/>
        <v>53.611690006429527</v>
      </c>
      <c r="E818" s="40">
        <v>6186.1000979999999</v>
      </c>
      <c r="F818" s="36">
        <f t="shared" si="50"/>
        <v>6185.7259190628574</v>
      </c>
      <c r="G818" s="36">
        <f t="shared" si="51"/>
        <v>5971.2791590371398</v>
      </c>
      <c r="I818" s="40">
        <v>6186.1000979999999</v>
      </c>
      <c r="J818" s="36">
        <v>6185.7259190628574</v>
      </c>
      <c r="K818" s="36">
        <v>5971.2791590371398</v>
      </c>
    </row>
    <row r="819" spans="1:11" x14ac:dyDescent="0.25">
      <c r="A819" s="39">
        <v>41695</v>
      </c>
      <c r="B819" s="36">
        <v>6200.0498049999997</v>
      </c>
      <c r="C819" s="36">
        <f t="shared" si="48"/>
        <v>6082.1925292999995</v>
      </c>
      <c r="D819" s="36">
        <f t="shared" si="49"/>
        <v>59.308138286592801</v>
      </c>
      <c r="E819" s="40">
        <v>6200.0498049999997</v>
      </c>
      <c r="F819" s="36">
        <f t="shared" si="50"/>
        <v>6200.8088058731855</v>
      </c>
      <c r="G819" s="36">
        <f t="shared" si="51"/>
        <v>5963.5762527268134</v>
      </c>
      <c r="I819" s="40">
        <v>6200.0498049999997</v>
      </c>
      <c r="J819" s="36">
        <v>6200.8088058731855</v>
      </c>
      <c r="K819" s="36">
        <v>5963.5762527268134</v>
      </c>
    </row>
    <row r="820" spans="1:11" x14ac:dyDescent="0.25">
      <c r="A820" s="39">
        <v>41696</v>
      </c>
      <c r="B820" s="36">
        <v>6238.7998049999997</v>
      </c>
      <c r="C820" s="36">
        <f t="shared" si="48"/>
        <v>6088.1200195499996</v>
      </c>
      <c r="D820" s="36">
        <f t="shared" si="49"/>
        <v>68.520613489368102</v>
      </c>
      <c r="E820" s="40">
        <v>6238.7998049999997</v>
      </c>
      <c r="F820" s="36">
        <f t="shared" si="50"/>
        <v>6225.1612465287362</v>
      </c>
      <c r="G820" s="36">
        <f t="shared" si="51"/>
        <v>5951.078792571263</v>
      </c>
      <c r="I820" s="40">
        <v>6238.7998049999997</v>
      </c>
      <c r="J820" s="36">
        <v>6225.1612465287362</v>
      </c>
      <c r="K820" s="36">
        <v>5951.078792571263</v>
      </c>
    </row>
    <row r="821" spans="1:11" x14ac:dyDescent="0.25">
      <c r="A821" s="39">
        <v>41698</v>
      </c>
      <c r="B821" s="36">
        <v>6276.9501950000003</v>
      </c>
      <c r="C821" s="36">
        <f t="shared" si="48"/>
        <v>6098.2825195499991</v>
      </c>
      <c r="D821" s="36">
        <f t="shared" si="49"/>
        <v>80.324929171477038</v>
      </c>
      <c r="E821" s="40">
        <v>6276.9501950000003</v>
      </c>
      <c r="F821" s="36">
        <f t="shared" si="50"/>
        <v>6258.9323778929529</v>
      </c>
      <c r="G821" s="36">
        <f t="shared" si="51"/>
        <v>5937.6326612070452</v>
      </c>
      <c r="I821" s="40">
        <v>6276.9501950000003</v>
      </c>
      <c r="J821" s="36">
        <v>6258.9323778929529</v>
      </c>
      <c r="K821" s="36">
        <v>5937.6326612070452</v>
      </c>
    </row>
    <row r="822" spans="1:11" x14ac:dyDescent="0.25">
      <c r="A822" s="39">
        <v>41701</v>
      </c>
      <c r="B822" s="36">
        <v>6221.4501950000003</v>
      </c>
      <c r="C822" s="36">
        <f t="shared" si="48"/>
        <v>6104.8800292999995</v>
      </c>
      <c r="D822" s="36">
        <f t="shared" si="49"/>
        <v>84.85665672171011</v>
      </c>
      <c r="E822" s="40">
        <v>6221.4501950000003</v>
      </c>
      <c r="F822" s="36">
        <f t="shared" si="50"/>
        <v>6274.5933427434193</v>
      </c>
      <c r="G822" s="36">
        <f t="shared" si="51"/>
        <v>5935.1667158565797</v>
      </c>
      <c r="I822" s="40">
        <v>6221.4501950000003</v>
      </c>
      <c r="J822" s="36">
        <v>6274.5933427434193</v>
      </c>
      <c r="K822" s="36">
        <v>5935.1667158565797</v>
      </c>
    </row>
    <row r="823" spans="1:11" x14ac:dyDescent="0.25">
      <c r="A823" s="39">
        <v>41702</v>
      </c>
      <c r="B823" s="36">
        <v>6297.9501950000003</v>
      </c>
      <c r="C823" s="36">
        <f t="shared" si="48"/>
        <v>6119.6875487999996</v>
      </c>
      <c r="D823" s="36">
        <f t="shared" si="49"/>
        <v>91.501422242776442</v>
      </c>
      <c r="E823" s="40">
        <v>6297.9501950000003</v>
      </c>
      <c r="F823" s="36">
        <f t="shared" si="50"/>
        <v>6302.6903932855521</v>
      </c>
      <c r="G823" s="36">
        <f t="shared" si="51"/>
        <v>5936.6847043144471</v>
      </c>
      <c r="I823" s="40">
        <v>6297.9501950000003</v>
      </c>
      <c r="J823" s="36">
        <v>6302.6903932855521</v>
      </c>
      <c r="K823" s="36">
        <v>5936.6847043144471</v>
      </c>
    </row>
    <row r="824" spans="1:11" x14ac:dyDescent="0.25">
      <c r="A824" s="39">
        <v>41703</v>
      </c>
      <c r="B824" s="36">
        <v>6328.6499020000001</v>
      </c>
      <c r="C824" s="36">
        <f t="shared" si="48"/>
        <v>6136.0750487999994</v>
      </c>
      <c r="D824" s="36">
        <f t="shared" si="49"/>
        <v>98.210689758553599</v>
      </c>
      <c r="E824" s="40">
        <v>6328.6499020000001</v>
      </c>
      <c r="F824" s="36">
        <f t="shared" si="50"/>
        <v>6332.4964283171066</v>
      </c>
      <c r="G824" s="36">
        <f t="shared" si="51"/>
        <v>5939.6536692828922</v>
      </c>
      <c r="I824" s="40">
        <v>6328.6499020000001</v>
      </c>
      <c r="J824" s="36">
        <v>6332.4964283171066</v>
      </c>
      <c r="K824" s="36">
        <v>5939.6536692828922</v>
      </c>
    </row>
    <row r="825" spans="1:11" x14ac:dyDescent="0.25">
      <c r="A825" s="39">
        <v>41704</v>
      </c>
      <c r="B825" s="36">
        <v>6401.1499020000001</v>
      </c>
      <c r="C825" s="36">
        <f t="shared" si="48"/>
        <v>6155.0125488000003</v>
      </c>
      <c r="D825" s="36">
        <f t="shared" si="49"/>
        <v>110.84163970281548</v>
      </c>
      <c r="E825" s="40">
        <v>6401.1499020000001</v>
      </c>
      <c r="F825" s="36">
        <f t="shared" si="50"/>
        <v>6376.6958282056312</v>
      </c>
      <c r="G825" s="36">
        <f t="shared" si="51"/>
        <v>5933.3292693943695</v>
      </c>
      <c r="I825" s="40">
        <v>6401.1499020000001</v>
      </c>
      <c r="J825" s="36">
        <v>6376.6958282056312</v>
      </c>
      <c r="K825" s="36">
        <v>5933.3292693943695</v>
      </c>
    </row>
    <row r="826" spans="1:11" x14ac:dyDescent="0.25">
      <c r="A826" s="39">
        <v>41705</v>
      </c>
      <c r="B826" s="36">
        <v>6526.6499020000001</v>
      </c>
      <c r="C826" s="36">
        <f t="shared" si="48"/>
        <v>6179.5300536500008</v>
      </c>
      <c r="D826" s="36">
        <f t="shared" si="49"/>
        <v>134.83536913384566</v>
      </c>
      <c r="E826" s="40">
        <v>6526.6499020000001</v>
      </c>
      <c r="F826" s="36">
        <f t="shared" si="50"/>
        <v>6449.2007919176922</v>
      </c>
      <c r="G826" s="36">
        <f t="shared" si="51"/>
        <v>5909.8593153823094</v>
      </c>
      <c r="I826" s="40">
        <v>6526.6499020000001</v>
      </c>
      <c r="J826" s="36">
        <v>6449.2007919176922</v>
      </c>
      <c r="K826" s="36">
        <v>5909.8593153823094</v>
      </c>
    </row>
    <row r="827" spans="1:11" x14ac:dyDescent="0.25">
      <c r="A827" s="39">
        <v>41708</v>
      </c>
      <c r="B827" s="36">
        <v>6537.25</v>
      </c>
      <c r="C827" s="36">
        <f t="shared" si="48"/>
        <v>6203.2325439000006</v>
      </c>
      <c r="D827" s="36">
        <f t="shared" si="49"/>
        <v>153.66157649743067</v>
      </c>
      <c r="E827" s="40">
        <v>6537.25</v>
      </c>
      <c r="F827" s="36">
        <f t="shared" si="50"/>
        <v>6510.5556968948622</v>
      </c>
      <c r="G827" s="36">
        <f t="shared" si="51"/>
        <v>5895.9093909051389</v>
      </c>
      <c r="I827" s="40">
        <v>6537.25</v>
      </c>
      <c r="J827" s="36">
        <v>6510.5556968948622</v>
      </c>
      <c r="K827" s="36">
        <v>5895.9093909051389</v>
      </c>
    </row>
    <row r="828" spans="1:11" x14ac:dyDescent="0.25">
      <c r="A828" s="39">
        <v>41709</v>
      </c>
      <c r="B828" s="36">
        <v>6511.8999020000001</v>
      </c>
      <c r="C828" s="36">
        <f t="shared" si="48"/>
        <v>6226.1550292500006</v>
      </c>
      <c r="D828" s="36">
        <f t="shared" si="49"/>
        <v>163.98936117030536</v>
      </c>
      <c r="E828" s="40">
        <v>6511.8999020000001</v>
      </c>
      <c r="F828" s="36">
        <f t="shared" si="50"/>
        <v>6554.1337515906116</v>
      </c>
      <c r="G828" s="36">
        <f t="shared" si="51"/>
        <v>5898.1763069093895</v>
      </c>
      <c r="I828" s="40">
        <v>6511.8999020000001</v>
      </c>
      <c r="J828" s="36">
        <v>6554.1337515906116</v>
      </c>
      <c r="K828" s="36">
        <v>5898.1763069093895</v>
      </c>
    </row>
    <row r="829" spans="1:11" x14ac:dyDescent="0.25">
      <c r="A829" s="39">
        <v>41710</v>
      </c>
      <c r="B829" s="36">
        <v>6516.8999020000001</v>
      </c>
      <c r="C829" s="36">
        <f t="shared" si="48"/>
        <v>6248.8650146000009</v>
      </c>
      <c r="D829" s="36">
        <f t="shared" si="49"/>
        <v>171.44247623015633</v>
      </c>
      <c r="E829" s="40">
        <v>6516.8999020000001</v>
      </c>
      <c r="F829" s="36">
        <f t="shared" si="50"/>
        <v>6591.7499670603138</v>
      </c>
      <c r="G829" s="36">
        <f t="shared" si="51"/>
        <v>5905.980062139688</v>
      </c>
      <c r="I829" s="40">
        <v>6516.8999020000001</v>
      </c>
      <c r="J829" s="36">
        <v>6591.7499670603138</v>
      </c>
      <c r="K829" s="36">
        <v>5905.980062139688</v>
      </c>
    </row>
    <row r="830" spans="1:11" x14ac:dyDescent="0.25">
      <c r="A830" s="39">
        <v>41711</v>
      </c>
      <c r="B830" s="36">
        <v>6493.1000979999999</v>
      </c>
      <c r="C830" s="36">
        <f t="shared" si="48"/>
        <v>6269.3200195000009</v>
      </c>
      <c r="D830" s="36">
        <f t="shared" si="49"/>
        <v>175.10299057799531</v>
      </c>
      <c r="E830" s="40">
        <v>6493.1000979999999</v>
      </c>
      <c r="F830" s="36">
        <f t="shared" si="50"/>
        <v>6619.5260006559911</v>
      </c>
      <c r="G830" s="36">
        <f t="shared" si="51"/>
        <v>5919.1140383440106</v>
      </c>
      <c r="I830" s="40">
        <v>6493.1000979999999</v>
      </c>
      <c r="J830" s="36">
        <v>6619.5260006559911</v>
      </c>
      <c r="K830" s="36">
        <v>5919.1140383440106</v>
      </c>
    </row>
    <row r="831" spans="1:11" x14ac:dyDescent="0.25">
      <c r="A831" s="39">
        <v>41712</v>
      </c>
      <c r="B831" s="36">
        <v>6504.2001950000003</v>
      </c>
      <c r="C831" s="36">
        <f t="shared" si="48"/>
        <v>6294.4750243500011</v>
      </c>
      <c r="D831" s="36">
        <f t="shared" si="49"/>
        <v>170.62291048285508</v>
      </c>
      <c r="E831" s="40">
        <v>6504.2001950000003</v>
      </c>
      <c r="F831" s="36">
        <f t="shared" si="50"/>
        <v>6635.7208453157109</v>
      </c>
      <c r="G831" s="36">
        <f t="shared" si="51"/>
        <v>5953.2292033842914</v>
      </c>
      <c r="I831" s="40">
        <v>6504.2001950000003</v>
      </c>
      <c r="J831" s="36">
        <v>6635.7208453157109</v>
      </c>
      <c r="K831" s="36">
        <v>5953.2292033842914</v>
      </c>
    </row>
    <row r="832" spans="1:11" x14ac:dyDescent="0.25">
      <c r="A832" s="39">
        <v>41716</v>
      </c>
      <c r="B832" s="36">
        <v>6516.6499020000001</v>
      </c>
      <c r="C832" s="36">
        <f t="shared" si="48"/>
        <v>6317.8900145500011</v>
      </c>
      <c r="D832" s="36">
        <f t="shared" si="49"/>
        <v>167.16684631290485</v>
      </c>
      <c r="E832" s="40">
        <v>6516.6499020000001</v>
      </c>
      <c r="F832" s="36">
        <f t="shared" si="50"/>
        <v>6652.2237071758109</v>
      </c>
      <c r="G832" s="36">
        <f t="shared" si="51"/>
        <v>5983.5563219241913</v>
      </c>
      <c r="I832" s="40">
        <v>6516.6499020000001</v>
      </c>
      <c r="J832" s="36">
        <v>6652.2237071758109</v>
      </c>
      <c r="K832" s="36">
        <v>5983.5563219241913</v>
      </c>
    </row>
    <row r="833" spans="1:11" x14ac:dyDescent="0.25">
      <c r="A833" s="39">
        <v>41717</v>
      </c>
      <c r="B833" s="36">
        <v>6524.0498049999997</v>
      </c>
      <c r="C833" s="36">
        <f t="shared" si="48"/>
        <v>6340.4275145500014</v>
      </c>
      <c r="D833" s="36">
        <f t="shared" si="49"/>
        <v>162.78320197889283</v>
      </c>
      <c r="E833" s="40">
        <v>6524.0498049999997</v>
      </c>
      <c r="F833" s="36">
        <f t="shared" si="50"/>
        <v>6665.9939185077874</v>
      </c>
      <c r="G833" s="36">
        <f t="shared" si="51"/>
        <v>6014.8611105922155</v>
      </c>
      <c r="I833" s="40">
        <v>6524.0498049999997</v>
      </c>
      <c r="J833" s="36">
        <v>6665.9939185077874</v>
      </c>
      <c r="K833" s="36">
        <v>6014.8611105922155</v>
      </c>
    </row>
    <row r="834" spans="1:11" x14ac:dyDescent="0.25">
      <c r="A834" s="39">
        <v>41718</v>
      </c>
      <c r="B834" s="36">
        <v>6483.1000979999999</v>
      </c>
      <c r="C834" s="36">
        <f t="shared" si="48"/>
        <v>6358.2275145500007</v>
      </c>
      <c r="D834" s="36">
        <f t="shared" si="49"/>
        <v>157.61029980702054</v>
      </c>
      <c r="E834" s="40">
        <v>6483.1000979999999</v>
      </c>
      <c r="F834" s="36">
        <f t="shared" si="50"/>
        <v>6673.4481141640417</v>
      </c>
      <c r="G834" s="36">
        <f t="shared" si="51"/>
        <v>6043.0069149359597</v>
      </c>
      <c r="I834" s="40">
        <v>6483.1000979999999</v>
      </c>
      <c r="J834" s="36">
        <v>6673.4481141640417</v>
      </c>
      <c r="K834" s="36">
        <v>6043.0069149359597</v>
      </c>
    </row>
    <row r="835" spans="1:11" x14ac:dyDescent="0.25">
      <c r="A835" s="39">
        <v>41719</v>
      </c>
      <c r="B835" s="36">
        <v>6493.2001950000003</v>
      </c>
      <c r="C835" s="36">
        <f t="shared" si="48"/>
        <v>6375.2500242999995</v>
      </c>
      <c r="D835" s="36">
        <f t="shared" si="49"/>
        <v>152.5537738183792</v>
      </c>
      <c r="E835" s="40">
        <v>6493.2001950000003</v>
      </c>
      <c r="F835" s="36">
        <f t="shared" si="50"/>
        <v>6680.3575719367582</v>
      </c>
      <c r="G835" s="36">
        <f t="shared" si="51"/>
        <v>6070.1424766632408</v>
      </c>
      <c r="I835" s="40">
        <v>6493.2001950000003</v>
      </c>
      <c r="J835" s="36">
        <v>6680.3575719367582</v>
      </c>
      <c r="K835" s="36">
        <v>6070.1424766632408</v>
      </c>
    </row>
    <row r="836" spans="1:11" x14ac:dyDescent="0.25">
      <c r="A836" s="39">
        <v>41722</v>
      </c>
      <c r="B836" s="36">
        <v>6583.5</v>
      </c>
      <c r="C836" s="36">
        <f t="shared" si="48"/>
        <v>6399.8525145499998</v>
      </c>
      <c r="D836" s="36">
        <f t="shared" si="49"/>
        <v>143.8018525165553</v>
      </c>
      <c r="E836" s="40">
        <v>6583.5</v>
      </c>
      <c r="F836" s="36">
        <f t="shared" si="50"/>
        <v>6687.4562195831104</v>
      </c>
      <c r="G836" s="36">
        <f t="shared" si="51"/>
        <v>6112.2488095168892</v>
      </c>
      <c r="I836" s="40">
        <v>6583.5</v>
      </c>
      <c r="J836" s="36">
        <v>6687.4562195831104</v>
      </c>
      <c r="K836" s="36">
        <v>6112.2488095168892</v>
      </c>
    </row>
    <row r="837" spans="1:11" x14ac:dyDescent="0.25">
      <c r="A837" s="39">
        <v>41723</v>
      </c>
      <c r="B837" s="36">
        <v>6589.75</v>
      </c>
      <c r="C837" s="36">
        <f t="shared" si="48"/>
        <v>6421.5675047999994</v>
      </c>
      <c r="D837" s="36">
        <f t="shared" si="49"/>
        <v>137.61086020949193</v>
      </c>
      <c r="E837" s="40">
        <v>6589.75</v>
      </c>
      <c r="F837" s="36">
        <f t="shared" si="50"/>
        <v>6696.7892252189831</v>
      </c>
      <c r="G837" s="36">
        <f t="shared" si="51"/>
        <v>6146.3457843810156</v>
      </c>
      <c r="I837" s="40">
        <v>6589.75</v>
      </c>
      <c r="J837" s="36">
        <v>6696.7892252189831</v>
      </c>
      <c r="K837" s="36">
        <v>6146.3457843810156</v>
      </c>
    </row>
    <row r="838" spans="1:11" x14ac:dyDescent="0.25">
      <c r="A838" s="39">
        <v>41724</v>
      </c>
      <c r="B838" s="36">
        <v>6601.3999020000001</v>
      </c>
      <c r="C838" s="36">
        <f t="shared" si="48"/>
        <v>6442.3324949999997</v>
      </c>
      <c r="D838" s="36">
        <f t="shared" si="49"/>
        <v>131.40322097345819</v>
      </c>
      <c r="E838" s="40">
        <v>6601.3999020000001</v>
      </c>
      <c r="F838" s="36">
        <f t="shared" si="50"/>
        <v>6705.1389369469161</v>
      </c>
      <c r="G838" s="36">
        <f t="shared" si="51"/>
        <v>6179.5260530530832</v>
      </c>
      <c r="I838" s="40">
        <v>6601.3999020000001</v>
      </c>
      <c r="J838" s="36">
        <v>6705.1389369469161</v>
      </c>
      <c r="K838" s="36">
        <v>6179.5260530530832</v>
      </c>
    </row>
    <row r="839" spans="1:11" x14ac:dyDescent="0.25">
      <c r="A839" s="39">
        <v>41725</v>
      </c>
      <c r="B839" s="36">
        <v>6641.75</v>
      </c>
      <c r="C839" s="36">
        <f t="shared" si="48"/>
        <v>6464.4175047500003</v>
      </c>
      <c r="D839" s="36">
        <f t="shared" si="49"/>
        <v>125.52643032139883</v>
      </c>
      <c r="E839" s="40">
        <v>6641.75</v>
      </c>
      <c r="F839" s="36">
        <f t="shared" si="50"/>
        <v>6715.4703653927982</v>
      </c>
      <c r="G839" s="36">
        <f t="shared" si="51"/>
        <v>6213.3646441072024</v>
      </c>
      <c r="I839" s="40">
        <v>6641.75</v>
      </c>
      <c r="J839" s="36">
        <v>6715.4703653927982</v>
      </c>
      <c r="K839" s="36">
        <v>6213.3646441072024</v>
      </c>
    </row>
    <row r="840" spans="1:11" x14ac:dyDescent="0.25">
      <c r="A840" s="39">
        <v>41726</v>
      </c>
      <c r="B840" s="36">
        <v>6695.8999020000001</v>
      </c>
      <c r="C840" s="36">
        <f t="shared" si="48"/>
        <v>6487.2725096000004</v>
      </c>
      <c r="D840" s="36">
        <f t="shared" si="49"/>
        <v>123.88758451402667</v>
      </c>
      <c r="E840" s="40">
        <v>6695.8999020000001</v>
      </c>
      <c r="F840" s="36">
        <f t="shared" si="50"/>
        <v>6735.0476786280533</v>
      </c>
      <c r="G840" s="36">
        <f t="shared" si="51"/>
        <v>6239.4973405719475</v>
      </c>
      <c r="I840" s="40">
        <v>6695.8999020000001</v>
      </c>
      <c r="J840" s="36">
        <v>6735.0476786280533</v>
      </c>
      <c r="K840" s="36">
        <v>6239.4973405719475</v>
      </c>
    </row>
    <row r="841" spans="1:11" x14ac:dyDescent="0.25">
      <c r="A841" s="39">
        <v>41729</v>
      </c>
      <c r="B841" s="36">
        <v>6704.2001950000003</v>
      </c>
      <c r="C841" s="36">
        <f t="shared" si="48"/>
        <v>6508.6350096000006</v>
      </c>
      <c r="D841" s="36">
        <f t="shared" si="49"/>
        <v>122.54098237925442</v>
      </c>
      <c r="E841" s="40">
        <v>6704.2001950000003</v>
      </c>
      <c r="F841" s="36">
        <f t="shared" si="50"/>
        <v>6753.7169743585091</v>
      </c>
      <c r="G841" s="36">
        <f t="shared" si="51"/>
        <v>6263.553044841492</v>
      </c>
      <c r="I841" s="40">
        <v>6704.2001950000003</v>
      </c>
      <c r="J841" s="36">
        <v>6753.7169743585091</v>
      </c>
      <c r="K841" s="36">
        <v>6263.553044841492</v>
      </c>
    </row>
    <row r="842" spans="1:11" x14ac:dyDescent="0.25">
      <c r="A842" s="39">
        <v>41730</v>
      </c>
      <c r="B842" s="36">
        <v>6721.0498049999997</v>
      </c>
      <c r="C842" s="36">
        <f t="shared" si="48"/>
        <v>6533.6149900999999</v>
      </c>
      <c r="D842" s="36">
        <f t="shared" si="49"/>
        <v>111.32562336614674</v>
      </c>
      <c r="E842" s="40">
        <v>6721.0498049999997</v>
      </c>
      <c r="F842" s="36">
        <f t="shared" si="50"/>
        <v>6756.2662368322935</v>
      </c>
      <c r="G842" s="36">
        <f t="shared" si="51"/>
        <v>6310.9637433677062</v>
      </c>
      <c r="I842" s="40">
        <v>6721.0498049999997</v>
      </c>
      <c r="J842" s="36">
        <v>6756.2662368322935</v>
      </c>
      <c r="K842" s="36">
        <v>6310.9637433677062</v>
      </c>
    </row>
    <row r="843" spans="1:11" x14ac:dyDescent="0.25">
      <c r="A843" s="39">
        <v>41731</v>
      </c>
      <c r="B843" s="36">
        <v>6752.5498049999997</v>
      </c>
      <c r="C843" s="36">
        <f t="shared" si="48"/>
        <v>6556.3449706000001</v>
      </c>
      <c r="D843" s="36">
        <f t="shared" si="49"/>
        <v>107.00123245589441</v>
      </c>
      <c r="E843" s="40">
        <v>6752.5498049999997</v>
      </c>
      <c r="F843" s="36">
        <f t="shared" si="50"/>
        <v>6770.3474355117887</v>
      </c>
      <c r="G843" s="36">
        <f t="shared" si="51"/>
        <v>6342.3425056882115</v>
      </c>
      <c r="I843" s="40">
        <v>6752.5498049999997</v>
      </c>
      <c r="J843" s="36">
        <v>6770.3474355117887</v>
      </c>
      <c r="K843" s="36">
        <v>6342.3425056882115</v>
      </c>
    </row>
    <row r="844" spans="1:11" x14ac:dyDescent="0.25">
      <c r="A844" s="39">
        <v>41732</v>
      </c>
      <c r="B844" s="36">
        <v>6736.1000979999999</v>
      </c>
      <c r="C844" s="36">
        <f t="shared" si="48"/>
        <v>6576.7174804000006</v>
      </c>
      <c r="D844" s="36">
        <f t="shared" si="49"/>
        <v>99.92157178332053</v>
      </c>
      <c r="E844" s="40">
        <v>6736.1000979999999</v>
      </c>
      <c r="F844" s="36">
        <f t="shared" si="50"/>
        <v>6776.5606239666413</v>
      </c>
      <c r="G844" s="36">
        <f t="shared" si="51"/>
        <v>6376.8743368333598</v>
      </c>
      <c r="I844" s="40">
        <v>6736.1000979999999</v>
      </c>
      <c r="J844" s="36">
        <v>6776.5606239666413</v>
      </c>
      <c r="K844" s="36">
        <v>6376.8743368333598</v>
      </c>
    </row>
    <row r="845" spans="1:11" x14ac:dyDescent="0.25">
      <c r="A845" s="39">
        <v>41733</v>
      </c>
      <c r="B845" s="36">
        <v>6694.3500979999999</v>
      </c>
      <c r="C845" s="36">
        <f t="shared" si="48"/>
        <v>6591.3774902000005</v>
      </c>
      <c r="D845" s="36">
        <f t="shared" si="49"/>
        <v>94.149162177786039</v>
      </c>
      <c r="E845" s="40">
        <v>6694.3500979999999</v>
      </c>
      <c r="F845" s="36">
        <f t="shared" si="50"/>
        <v>6779.6758145555723</v>
      </c>
      <c r="G845" s="36">
        <f t="shared" si="51"/>
        <v>6403.0791658444286</v>
      </c>
      <c r="I845" s="40">
        <v>6694.3500979999999</v>
      </c>
      <c r="J845" s="36">
        <v>6779.6758145555723</v>
      </c>
      <c r="K845" s="36">
        <v>6403.0791658444286</v>
      </c>
    </row>
    <row r="846" spans="1:11" x14ac:dyDescent="0.25">
      <c r="A846" s="39">
        <v>41736</v>
      </c>
      <c r="B846" s="36">
        <v>6695.0498049999997</v>
      </c>
      <c r="C846" s="36">
        <f t="shared" si="48"/>
        <v>6599.79748535</v>
      </c>
      <c r="D846" s="36">
        <f t="shared" si="49"/>
        <v>95.575154184955679</v>
      </c>
      <c r="E846" s="40">
        <v>6695.0498049999997</v>
      </c>
      <c r="F846" s="36">
        <f t="shared" si="50"/>
        <v>6790.9477937199117</v>
      </c>
      <c r="G846" s="36">
        <f t="shared" si="51"/>
        <v>6408.6471769800883</v>
      </c>
      <c r="I846" s="40">
        <v>6695.0498049999997</v>
      </c>
      <c r="J846" s="36">
        <v>6790.9477937199117</v>
      </c>
      <c r="K846" s="36">
        <v>6408.6471769800883</v>
      </c>
    </row>
    <row r="847" spans="1:11" x14ac:dyDescent="0.25">
      <c r="A847" s="39">
        <v>41738</v>
      </c>
      <c r="B847" s="36">
        <v>6796.2001950000003</v>
      </c>
      <c r="C847" s="36">
        <f t="shared" si="48"/>
        <v>6612.7449950999999</v>
      </c>
      <c r="D847" s="36">
        <f t="shared" si="49"/>
        <v>103.83860657968717</v>
      </c>
      <c r="E847" s="40">
        <v>6796.2001950000003</v>
      </c>
      <c r="F847" s="36">
        <f t="shared" si="50"/>
        <v>6820.4222082593742</v>
      </c>
      <c r="G847" s="36">
        <f t="shared" si="51"/>
        <v>6405.0677819406255</v>
      </c>
      <c r="I847" s="40">
        <v>6796.2001950000003</v>
      </c>
      <c r="J847" s="36">
        <v>6820.4222082593742</v>
      </c>
      <c r="K847" s="36">
        <v>6405.0677819406255</v>
      </c>
    </row>
    <row r="848" spans="1:11" x14ac:dyDescent="0.25">
      <c r="A848" s="39">
        <v>41739</v>
      </c>
      <c r="B848" s="36">
        <v>6796.3999020000001</v>
      </c>
      <c r="C848" s="36">
        <f t="shared" si="48"/>
        <v>6626.9699950999984</v>
      </c>
      <c r="D848" s="36">
        <f t="shared" si="49"/>
        <v>108.67117170570123</v>
      </c>
      <c r="E848" s="40">
        <v>6796.3999020000001</v>
      </c>
      <c r="F848" s="36">
        <f t="shared" si="50"/>
        <v>6844.3123385114013</v>
      </c>
      <c r="G848" s="36">
        <f t="shared" si="51"/>
        <v>6409.6276516885955</v>
      </c>
      <c r="I848" s="40">
        <v>6796.3999020000001</v>
      </c>
      <c r="J848" s="36">
        <v>6844.3123385114013</v>
      </c>
      <c r="K848" s="36">
        <v>6409.6276516885955</v>
      </c>
    </row>
    <row r="849" spans="1:11" x14ac:dyDescent="0.25">
      <c r="A849" s="39">
        <v>41740</v>
      </c>
      <c r="B849" s="36">
        <v>6776.2998049999997</v>
      </c>
      <c r="C849" s="36">
        <f t="shared" si="48"/>
        <v>6639.939990249999</v>
      </c>
      <c r="D849" s="36">
        <f t="shared" si="49"/>
        <v>110.31023211685567</v>
      </c>
      <c r="E849" s="40">
        <v>6776.2998049999997</v>
      </c>
      <c r="F849" s="36">
        <f t="shared" si="50"/>
        <v>6860.5604544837106</v>
      </c>
      <c r="G849" s="36">
        <f t="shared" si="51"/>
        <v>6419.3195260162875</v>
      </c>
      <c r="I849" s="40">
        <v>6776.2998049999997</v>
      </c>
      <c r="J849" s="36">
        <v>6860.5604544837106</v>
      </c>
      <c r="K849" s="36">
        <v>6419.3195260162875</v>
      </c>
    </row>
    <row r="850" spans="1:11" x14ac:dyDescent="0.25">
      <c r="A850" s="39">
        <v>41744</v>
      </c>
      <c r="B850" s="36">
        <v>6733.1000979999999</v>
      </c>
      <c r="C850" s="36">
        <f t="shared" si="48"/>
        <v>6651.939990249999</v>
      </c>
      <c r="D850" s="36">
        <f t="shared" si="49"/>
        <v>106.48336924852012</v>
      </c>
      <c r="E850" s="40">
        <v>6733.1000979999999</v>
      </c>
      <c r="F850" s="36">
        <f t="shared" si="50"/>
        <v>6864.9067287470389</v>
      </c>
      <c r="G850" s="36">
        <f t="shared" si="51"/>
        <v>6438.9732517529592</v>
      </c>
      <c r="I850" s="40">
        <v>6733.1000979999999</v>
      </c>
      <c r="J850" s="36">
        <v>6864.9067287470389</v>
      </c>
      <c r="K850" s="36">
        <v>6438.9732517529592</v>
      </c>
    </row>
    <row r="851" spans="1:11" x14ac:dyDescent="0.25">
      <c r="A851" s="39">
        <v>41745</v>
      </c>
      <c r="B851" s="36">
        <v>6675.2998049999997</v>
      </c>
      <c r="C851" s="36">
        <f t="shared" si="48"/>
        <v>6660.49497075</v>
      </c>
      <c r="D851" s="36">
        <f t="shared" si="49"/>
        <v>100.70549313961082</v>
      </c>
      <c r="E851" s="40">
        <v>6675.2998049999997</v>
      </c>
      <c r="F851" s="36">
        <f t="shared" si="50"/>
        <v>6861.905957029222</v>
      </c>
      <c r="G851" s="36">
        <f t="shared" si="51"/>
        <v>6459.083984470778</v>
      </c>
      <c r="I851" s="40">
        <v>6675.2998049999997</v>
      </c>
      <c r="J851" s="36">
        <v>6861.905957029222</v>
      </c>
      <c r="K851" s="36">
        <v>6459.083984470778</v>
      </c>
    </row>
    <row r="852" spans="1:11" x14ac:dyDescent="0.25">
      <c r="A852" s="39">
        <v>41746</v>
      </c>
      <c r="B852" s="36">
        <v>6779.3999020000001</v>
      </c>
      <c r="C852" s="36">
        <f t="shared" si="48"/>
        <v>6673.6324707499998</v>
      </c>
      <c r="D852" s="36">
        <f t="shared" si="49"/>
        <v>98.056222156428646</v>
      </c>
      <c r="E852" s="40">
        <v>6779.3999020000001</v>
      </c>
      <c r="F852" s="36">
        <f t="shared" si="50"/>
        <v>6869.7449150628572</v>
      </c>
      <c r="G852" s="36">
        <f t="shared" si="51"/>
        <v>6477.5200264371424</v>
      </c>
      <c r="I852" s="40">
        <v>6779.3999020000001</v>
      </c>
      <c r="J852" s="36">
        <v>6869.7449150628572</v>
      </c>
      <c r="K852" s="36">
        <v>6477.5200264371424</v>
      </c>
    </row>
    <row r="853" spans="1:11" x14ac:dyDescent="0.25">
      <c r="A853" s="39">
        <v>41750</v>
      </c>
      <c r="B853" s="36">
        <v>6817.6499020000001</v>
      </c>
      <c r="C853" s="36">
        <f t="shared" si="48"/>
        <v>6688.3124755999988</v>
      </c>
      <c r="D853" s="36">
        <f t="shared" si="49"/>
        <v>96.4478116668826</v>
      </c>
      <c r="E853" s="40">
        <v>6817.6499020000001</v>
      </c>
      <c r="F853" s="36">
        <f t="shared" si="50"/>
        <v>6881.2080989337637</v>
      </c>
      <c r="G853" s="36">
        <f t="shared" si="51"/>
        <v>6495.4168522662339</v>
      </c>
      <c r="I853" s="40">
        <v>6817.6499020000001</v>
      </c>
      <c r="J853" s="36">
        <v>6881.2080989337637</v>
      </c>
      <c r="K853" s="36">
        <v>6495.4168522662339</v>
      </c>
    </row>
    <row r="854" spans="1:11" x14ac:dyDescent="0.25">
      <c r="A854" s="39">
        <v>41751</v>
      </c>
      <c r="B854" s="36">
        <v>6815.3500979999999</v>
      </c>
      <c r="C854" s="36">
        <f t="shared" ref="C854:C917" si="52">AVERAGE(B835:B854)</f>
        <v>6704.9249756000008</v>
      </c>
      <c r="D854" s="36">
        <f t="shared" ref="D854:D917" si="53">_xlfn.STDEV.S(B835:B854)</f>
        <v>87.433692647953322</v>
      </c>
      <c r="E854" s="40">
        <v>6815.3500979999999</v>
      </c>
      <c r="F854" s="36">
        <f t="shared" ref="F854:F917" si="54">C854+2*D854</f>
        <v>6879.7923608959072</v>
      </c>
      <c r="G854" s="36">
        <f t="shared" ref="G854:G917" si="55">C854-2*D854</f>
        <v>6530.0575903040944</v>
      </c>
      <c r="I854" s="40">
        <v>6815.3500979999999</v>
      </c>
      <c r="J854" s="36">
        <v>6879.7923608959072</v>
      </c>
      <c r="K854" s="36">
        <v>6530.0575903040944</v>
      </c>
    </row>
    <row r="855" spans="1:11" x14ac:dyDescent="0.25">
      <c r="A855" s="39">
        <v>41752</v>
      </c>
      <c r="B855" s="36">
        <v>6840.7998049999997</v>
      </c>
      <c r="C855" s="36">
        <f t="shared" si="52"/>
        <v>6722.3049561000007</v>
      </c>
      <c r="D855" s="36">
        <f t="shared" si="53"/>
        <v>77.065137756736959</v>
      </c>
      <c r="E855" s="40">
        <v>6840.7998049999997</v>
      </c>
      <c r="F855" s="36">
        <f t="shared" si="54"/>
        <v>6876.4352316134746</v>
      </c>
      <c r="G855" s="36">
        <f t="shared" si="55"/>
        <v>6568.1746805865268</v>
      </c>
      <c r="I855" s="40">
        <v>6840.7998049999997</v>
      </c>
      <c r="J855" s="36">
        <v>6876.4352316134746</v>
      </c>
      <c r="K855" s="36">
        <v>6568.1746805865268</v>
      </c>
    </row>
    <row r="856" spans="1:11" x14ac:dyDescent="0.25">
      <c r="A856" s="39">
        <v>41754</v>
      </c>
      <c r="B856" s="36">
        <v>6782.75</v>
      </c>
      <c r="C856" s="36">
        <f t="shared" si="52"/>
        <v>6732.2674561000003</v>
      </c>
      <c r="D856" s="36">
        <f t="shared" si="53"/>
        <v>70.801216559939675</v>
      </c>
      <c r="E856" s="40">
        <v>6782.75</v>
      </c>
      <c r="F856" s="36">
        <f t="shared" si="54"/>
        <v>6873.86988921988</v>
      </c>
      <c r="G856" s="36">
        <f t="shared" si="55"/>
        <v>6590.6650229801207</v>
      </c>
      <c r="I856" s="40">
        <v>6782.75</v>
      </c>
      <c r="J856" s="36">
        <v>6873.86988921988</v>
      </c>
      <c r="K856" s="36">
        <v>6590.6650229801207</v>
      </c>
    </row>
    <row r="857" spans="1:11" x14ac:dyDescent="0.25">
      <c r="A857" s="39">
        <v>41757</v>
      </c>
      <c r="B857" s="36">
        <v>6761.25</v>
      </c>
      <c r="C857" s="36">
        <f t="shared" si="52"/>
        <v>6740.842456100002</v>
      </c>
      <c r="D857" s="36">
        <f t="shared" si="53"/>
        <v>62.534867376731299</v>
      </c>
      <c r="E857" s="40">
        <v>6761.25</v>
      </c>
      <c r="F857" s="36">
        <f t="shared" si="54"/>
        <v>6865.9121908534644</v>
      </c>
      <c r="G857" s="36">
        <f t="shared" si="55"/>
        <v>6615.7727213465396</v>
      </c>
      <c r="I857" s="40">
        <v>6761.25</v>
      </c>
      <c r="J857" s="36">
        <v>6865.9121908534644</v>
      </c>
      <c r="K857" s="36">
        <v>6615.7727213465396</v>
      </c>
    </row>
    <row r="858" spans="1:11" x14ac:dyDescent="0.25">
      <c r="A858" s="39">
        <v>41758</v>
      </c>
      <c r="B858" s="36">
        <v>6715.25</v>
      </c>
      <c r="C858" s="36">
        <f t="shared" si="52"/>
        <v>6746.5349610000003</v>
      </c>
      <c r="D858" s="36">
        <f t="shared" si="53"/>
        <v>53.736314680430453</v>
      </c>
      <c r="E858" s="40">
        <v>6715.25</v>
      </c>
      <c r="F858" s="36">
        <f t="shared" si="54"/>
        <v>6854.0075903608613</v>
      </c>
      <c r="G858" s="36">
        <f t="shared" si="55"/>
        <v>6639.0623316391393</v>
      </c>
      <c r="I858" s="40">
        <v>6715.25</v>
      </c>
      <c r="J858" s="36">
        <v>6854.0075903608613</v>
      </c>
      <c r="K858" s="36">
        <v>6639.0623316391393</v>
      </c>
    </row>
    <row r="859" spans="1:11" x14ac:dyDescent="0.25">
      <c r="A859" s="39">
        <v>41759</v>
      </c>
      <c r="B859" s="36">
        <v>6696.3999020000001</v>
      </c>
      <c r="C859" s="36">
        <f t="shared" si="52"/>
        <v>6749.2674561000003</v>
      </c>
      <c r="D859" s="36">
        <f t="shared" si="53"/>
        <v>49.336942651090105</v>
      </c>
      <c r="E859" s="40">
        <v>6696.3999020000001</v>
      </c>
      <c r="F859" s="36">
        <f t="shared" si="54"/>
        <v>6847.9413414021801</v>
      </c>
      <c r="G859" s="36">
        <f t="shared" si="55"/>
        <v>6650.5935707978206</v>
      </c>
      <c r="I859" s="40">
        <v>6696.3999020000001</v>
      </c>
      <c r="J859" s="36">
        <v>6847.9413414021801</v>
      </c>
      <c r="K859" s="36">
        <v>6650.5935707978206</v>
      </c>
    </row>
    <row r="860" spans="1:11" x14ac:dyDescent="0.25">
      <c r="A860" s="39">
        <v>41761</v>
      </c>
      <c r="B860" s="36">
        <v>6694.7998049999997</v>
      </c>
      <c r="C860" s="36">
        <f t="shared" si="52"/>
        <v>6749.2124512499995</v>
      </c>
      <c r="D860" s="36">
        <f t="shared" si="53"/>
        <v>49.400145412127031</v>
      </c>
      <c r="E860" s="40">
        <v>6694.7998049999997</v>
      </c>
      <c r="F860" s="36">
        <f t="shared" si="54"/>
        <v>6848.0127420742538</v>
      </c>
      <c r="G860" s="36">
        <f t="shared" si="55"/>
        <v>6650.4121604257452</v>
      </c>
      <c r="I860" s="40">
        <v>6694.7998049999997</v>
      </c>
      <c r="J860" s="36">
        <v>6848.0127420742538</v>
      </c>
      <c r="K860" s="36">
        <v>6650.4121604257452</v>
      </c>
    </row>
    <row r="861" spans="1:11" x14ac:dyDescent="0.25">
      <c r="A861" s="39">
        <v>41764</v>
      </c>
      <c r="B861" s="36">
        <v>6699.3500979999999</v>
      </c>
      <c r="C861" s="36">
        <f t="shared" si="52"/>
        <v>6748.9699464000005</v>
      </c>
      <c r="D861" s="36">
        <f t="shared" si="53"/>
        <v>49.644042338756819</v>
      </c>
      <c r="E861" s="40">
        <v>6699.3500979999999</v>
      </c>
      <c r="F861" s="36">
        <f t="shared" si="54"/>
        <v>6848.2580310775138</v>
      </c>
      <c r="G861" s="36">
        <f t="shared" si="55"/>
        <v>6649.6818617224872</v>
      </c>
      <c r="I861" s="40">
        <v>6699.3500979999999</v>
      </c>
      <c r="J861" s="36">
        <v>6848.2580310775138</v>
      </c>
      <c r="K861" s="36">
        <v>6649.6818617224872</v>
      </c>
    </row>
    <row r="862" spans="1:11" x14ac:dyDescent="0.25">
      <c r="A862" s="39">
        <v>41765</v>
      </c>
      <c r="B862" s="36">
        <v>6715.2998049999997</v>
      </c>
      <c r="C862" s="36">
        <f t="shared" si="52"/>
        <v>6748.6824464000001</v>
      </c>
      <c r="D862" s="36">
        <f t="shared" si="53"/>
        <v>49.830543822889503</v>
      </c>
      <c r="E862" s="40">
        <v>6715.2998049999997</v>
      </c>
      <c r="F862" s="36">
        <f t="shared" si="54"/>
        <v>6848.3435340457791</v>
      </c>
      <c r="G862" s="36">
        <f t="shared" si="55"/>
        <v>6649.0213587542212</v>
      </c>
      <c r="I862" s="40">
        <v>6715.2998049999997</v>
      </c>
      <c r="J862" s="36">
        <v>6848.3435340457791</v>
      </c>
      <c r="K862" s="36">
        <v>6649.0213587542212</v>
      </c>
    </row>
    <row r="863" spans="1:11" x14ac:dyDescent="0.25">
      <c r="A863" s="39">
        <v>41766</v>
      </c>
      <c r="B863" s="36">
        <v>6652.5498049999997</v>
      </c>
      <c r="C863" s="36">
        <f t="shared" si="52"/>
        <v>6743.6824464000001</v>
      </c>
      <c r="D863" s="36">
        <f t="shared" si="53"/>
        <v>54.243654557839086</v>
      </c>
      <c r="E863" s="40">
        <v>6652.5498049999997</v>
      </c>
      <c r="F863" s="36">
        <f t="shared" si="54"/>
        <v>6852.1697555156779</v>
      </c>
      <c r="G863" s="36">
        <f t="shared" si="55"/>
        <v>6635.1951372843223</v>
      </c>
      <c r="I863" s="40">
        <v>6652.5498049999997</v>
      </c>
      <c r="J863" s="36">
        <v>6852.1697555156779</v>
      </c>
      <c r="K863" s="36">
        <v>6635.1951372843223</v>
      </c>
    </row>
    <row r="864" spans="1:11" x14ac:dyDescent="0.25">
      <c r="A864" s="39">
        <v>41767</v>
      </c>
      <c r="B864" s="36">
        <v>6659.8500979999999</v>
      </c>
      <c r="C864" s="36">
        <f t="shared" si="52"/>
        <v>6739.8699464000001</v>
      </c>
      <c r="D864" s="36">
        <f t="shared" si="53"/>
        <v>57.392817559990796</v>
      </c>
      <c r="E864" s="40">
        <v>6659.8500979999999</v>
      </c>
      <c r="F864" s="36">
        <f t="shared" si="54"/>
        <v>6854.6555815199818</v>
      </c>
      <c r="G864" s="36">
        <f t="shared" si="55"/>
        <v>6625.0843112800185</v>
      </c>
      <c r="I864" s="40">
        <v>6659.8500979999999</v>
      </c>
      <c r="J864" s="36">
        <v>6854.6555815199818</v>
      </c>
      <c r="K864" s="36">
        <v>6625.0843112800185</v>
      </c>
    </row>
    <row r="865" spans="1:11" x14ac:dyDescent="0.25">
      <c r="A865" s="39">
        <v>41768</v>
      </c>
      <c r="B865" s="36">
        <v>6858.7998049999997</v>
      </c>
      <c r="C865" s="36">
        <f t="shared" si="52"/>
        <v>6748.0924317500003</v>
      </c>
      <c r="D865" s="36">
        <f t="shared" si="53"/>
        <v>62.114005541445202</v>
      </c>
      <c r="E865" s="40">
        <v>6858.7998049999997</v>
      </c>
      <c r="F865" s="36">
        <f t="shared" si="54"/>
        <v>6872.3204428328909</v>
      </c>
      <c r="G865" s="36">
        <f t="shared" si="55"/>
        <v>6623.8644206671097</v>
      </c>
      <c r="I865" s="40">
        <v>6858.7998049999997</v>
      </c>
      <c r="J865" s="36">
        <v>6872.3204428328909</v>
      </c>
      <c r="K865" s="36">
        <v>6623.8644206671097</v>
      </c>
    </row>
    <row r="866" spans="1:11" x14ac:dyDescent="0.25">
      <c r="A866" s="39">
        <v>41771</v>
      </c>
      <c r="B866" s="36">
        <v>7014.25</v>
      </c>
      <c r="C866" s="36">
        <f t="shared" si="52"/>
        <v>6764.0524415000009</v>
      </c>
      <c r="D866" s="36">
        <f t="shared" si="53"/>
        <v>84.677946132596304</v>
      </c>
      <c r="E866" s="40">
        <v>7014.25</v>
      </c>
      <c r="F866" s="36">
        <f t="shared" si="54"/>
        <v>6933.4083337651937</v>
      </c>
      <c r="G866" s="36">
        <f t="shared" si="55"/>
        <v>6594.6965492348081</v>
      </c>
      <c r="I866" s="40">
        <v>7014.25</v>
      </c>
      <c r="J866" s="36">
        <v>6933.4083337651937</v>
      </c>
      <c r="K866" s="36">
        <v>6594.6965492348081</v>
      </c>
    </row>
    <row r="867" spans="1:11" x14ac:dyDescent="0.25">
      <c r="A867" s="39">
        <v>41772</v>
      </c>
      <c r="B867" s="36">
        <v>7108.75</v>
      </c>
      <c r="C867" s="36">
        <f t="shared" si="52"/>
        <v>6779.6799317499999</v>
      </c>
      <c r="D867" s="36">
        <f t="shared" si="53"/>
        <v>114.50931849324247</v>
      </c>
      <c r="E867" s="40">
        <v>7108.75</v>
      </c>
      <c r="F867" s="36">
        <f t="shared" si="54"/>
        <v>7008.698568736485</v>
      </c>
      <c r="G867" s="36">
        <f t="shared" si="55"/>
        <v>6550.6612947635149</v>
      </c>
      <c r="I867" s="40">
        <v>7108.75</v>
      </c>
      <c r="J867" s="36">
        <v>7008.698568736485</v>
      </c>
      <c r="K867" s="36">
        <v>6550.6612947635149</v>
      </c>
    </row>
    <row r="868" spans="1:11" x14ac:dyDescent="0.25">
      <c r="A868" s="39">
        <v>41773</v>
      </c>
      <c r="B868" s="36">
        <v>7108.75</v>
      </c>
      <c r="C868" s="36">
        <f t="shared" si="52"/>
        <v>6795.2974366500011</v>
      </c>
      <c r="D868" s="36">
        <f t="shared" si="53"/>
        <v>136.16258077074016</v>
      </c>
      <c r="E868" s="40">
        <v>7108.75</v>
      </c>
      <c r="F868" s="36">
        <f t="shared" si="54"/>
        <v>7067.6225981914813</v>
      </c>
      <c r="G868" s="36">
        <f t="shared" si="55"/>
        <v>6522.972275108521</v>
      </c>
      <c r="I868" s="40">
        <v>7108.75</v>
      </c>
      <c r="J868" s="36">
        <v>7067.6225981914813</v>
      </c>
      <c r="K868" s="36">
        <v>6522.972275108521</v>
      </c>
    </row>
    <row r="869" spans="1:11" x14ac:dyDescent="0.25">
      <c r="A869" s="39">
        <v>41774</v>
      </c>
      <c r="B869" s="36">
        <v>7123.1499020000001</v>
      </c>
      <c r="C869" s="36">
        <f t="shared" si="52"/>
        <v>6812.6399415000005</v>
      </c>
      <c r="D869" s="36">
        <f t="shared" si="53"/>
        <v>154.47292373527148</v>
      </c>
      <c r="E869" s="40">
        <v>7123.1499020000001</v>
      </c>
      <c r="F869" s="36">
        <f t="shared" si="54"/>
        <v>7121.5857889705439</v>
      </c>
      <c r="G869" s="36">
        <f t="shared" si="55"/>
        <v>6503.6940940294571</v>
      </c>
      <c r="I869" s="40">
        <v>7123.1499020000001</v>
      </c>
      <c r="J869" s="36">
        <v>7121.5857889705439</v>
      </c>
      <c r="K869" s="36">
        <v>6503.6940940294571</v>
      </c>
    </row>
    <row r="870" spans="1:11" x14ac:dyDescent="0.25">
      <c r="A870" s="39">
        <v>41775</v>
      </c>
      <c r="B870" s="36">
        <v>7203</v>
      </c>
      <c r="C870" s="36">
        <f t="shared" si="52"/>
        <v>6836.1349366000013</v>
      </c>
      <c r="D870" s="36">
        <f t="shared" si="53"/>
        <v>175.97695600520146</v>
      </c>
      <c r="E870" s="40">
        <v>7203</v>
      </c>
      <c r="F870" s="36">
        <f t="shared" si="54"/>
        <v>7188.0888486104041</v>
      </c>
      <c r="G870" s="36">
        <f t="shared" si="55"/>
        <v>6484.1810245895986</v>
      </c>
      <c r="I870" s="40">
        <v>7203</v>
      </c>
      <c r="J870" s="36">
        <v>7188.0888486104041</v>
      </c>
      <c r="K870" s="36">
        <v>6484.1810245895986</v>
      </c>
    </row>
    <row r="871" spans="1:11" x14ac:dyDescent="0.25">
      <c r="A871" s="39">
        <v>41778</v>
      </c>
      <c r="B871" s="36">
        <v>7263.5498049999997</v>
      </c>
      <c r="C871" s="36">
        <f t="shared" si="52"/>
        <v>6865.5474365999999</v>
      </c>
      <c r="D871" s="36">
        <f t="shared" si="53"/>
        <v>195.73122265250902</v>
      </c>
      <c r="E871" s="40">
        <v>7263.5498049999997</v>
      </c>
      <c r="F871" s="36">
        <f t="shared" si="54"/>
        <v>7257.0098819050181</v>
      </c>
      <c r="G871" s="36">
        <f t="shared" si="55"/>
        <v>6474.0849912949816</v>
      </c>
      <c r="I871" s="40">
        <v>7263.5498049999997</v>
      </c>
      <c r="J871" s="36">
        <v>7257.0098819050181</v>
      </c>
      <c r="K871" s="36">
        <v>6474.0849912949816</v>
      </c>
    </row>
    <row r="872" spans="1:11" x14ac:dyDescent="0.25">
      <c r="A872" s="39">
        <v>41779</v>
      </c>
      <c r="B872" s="36">
        <v>7275.5</v>
      </c>
      <c r="C872" s="36">
        <f t="shared" si="52"/>
        <v>6890.3524415000011</v>
      </c>
      <c r="D872" s="36">
        <f t="shared" si="53"/>
        <v>214.75046229454165</v>
      </c>
      <c r="E872" s="40">
        <v>7275.5</v>
      </c>
      <c r="F872" s="36">
        <f t="shared" si="54"/>
        <v>7319.8533660890844</v>
      </c>
      <c r="G872" s="36">
        <f t="shared" si="55"/>
        <v>6460.8515169109178</v>
      </c>
      <c r="I872" s="40">
        <v>7275.5</v>
      </c>
      <c r="J872" s="36">
        <v>7319.8533660890844</v>
      </c>
      <c r="K872" s="36">
        <v>6460.8515169109178</v>
      </c>
    </row>
    <row r="873" spans="1:11" x14ac:dyDescent="0.25">
      <c r="A873" s="39">
        <v>41780</v>
      </c>
      <c r="B873" s="36">
        <v>7252.8999020000001</v>
      </c>
      <c r="C873" s="36">
        <f t="shared" si="52"/>
        <v>6912.1149415000009</v>
      </c>
      <c r="D873" s="36">
        <f t="shared" si="53"/>
        <v>228.60219801389738</v>
      </c>
      <c r="E873" s="40">
        <v>7252.8999020000001</v>
      </c>
      <c r="F873" s="36">
        <f t="shared" si="54"/>
        <v>7369.3193375277961</v>
      </c>
      <c r="G873" s="36">
        <f t="shared" si="55"/>
        <v>6454.9105454722057</v>
      </c>
      <c r="I873" s="40">
        <v>7252.8999020000001</v>
      </c>
      <c r="J873" s="36">
        <v>7369.3193375277961</v>
      </c>
      <c r="K873" s="36">
        <v>6454.9105454722057</v>
      </c>
    </row>
    <row r="874" spans="1:11" x14ac:dyDescent="0.25">
      <c r="A874" s="39">
        <v>41781</v>
      </c>
      <c r="B874" s="36">
        <v>7276.3999020000001</v>
      </c>
      <c r="C874" s="36">
        <f t="shared" si="52"/>
        <v>6935.1674317000015</v>
      </c>
      <c r="D874" s="36">
        <f t="shared" si="53"/>
        <v>241.22844438409123</v>
      </c>
      <c r="E874" s="40">
        <v>7276.3999020000001</v>
      </c>
      <c r="F874" s="36">
        <f t="shared" si="54"/>
        <v>7417.6243204681841</v>
      </c>
      <c r="G874" s="36">
        <f t="shared" si="55"/>
        <v>6452.710542931819</v>
      </c>
      <c r="I874" s="40">
        <v>7276.3999020000001</v>
      </c>
      <c r="J874" s="36">
        <v>7417.6243204681841</v>
      </c>
      <c r="K874" s="36">
        <v>6452.710542931819</v>
      </c>
    </row>
    <row r="875" spans="1:11" x14ac:dyDescent="0.25">
      <c r="A875" s="39">
        <v>41782</v>
      </c>
      <c r="B875" s="36">
        <v>7367.1000979999999</v>
      </c>
      <c r="C875" s="36">
        <f t="shared" si="52"/>
        <v>6961.4824463499999</v>
      </c>
      <c r="D875" s="36">
        <f t="shared" si="53"/>
        <v>258.48170703337325</v>
      </c>
      <c r="E875" s="40">
        <v>7367.1000979999999</v>
      </c>
      <c r="F875" s="36">
        <f t="shared" si="54"/>
        <v>7478.4458604167467</v>
      </c>
      <c r="G875" s="36">
        <f t="shared" si="55"/>
        <v>6444.5190322832532</v>
      </c>
      <c r="I875" s="40">
        <v>7367.1000979999999</v>
      </c>
      <c r="J875" s="36">
        <v>7478.4458604167467</v>
      </c>
      <c r="K875" s="36">
        <v>6444.5190322832532</v>
      </c>
    </row>
    <row r="876" spans="1:11" x14ac:dyDescent="0.25">
      <c r="A876" s="39">
        <v>41785</v>
      </c>
      <c r="B876" s="36">
        <v>7359.0498049999997</v>
      </c>
      <c r="C876" s="36">
        <f t="shared" si="52"/>
        <v>6990.2974366000008</v>
      </c>
      <c r="D876" s="36">
        <f t="shared" si="53"/>
        <v>269.40006530792544</v>
      </c>
      <c r="E876" s="40">
        <v>7359.0498049999997</v>
      </c>
      <c r="F876" s="36">
        <f t="shared" si="54"/>
        <v>7529.097567215852</v>
      </c>
      <c r="G876" s="36">
        <f t="shared" si="55"/>
        <v>6451.4973059841495</v>
      </c>
      <c r="I876" s="40">
        <v>7359.0498049999997</v>
      </c>
      <c r="J876" s="36">
        <v>7529.097567215852</v>
      </c>
      <c r="K876" s="36">
        <v>6451.4973059841495</v>
      </c>
    </row>
    <row r="877" spans="1:11" x14ac:dyDescent="0.25">
      <c r="A877" s="39">
        <v>41786</v>
      </c>
      <c r="B877" s="36">
        <v>7318</v>
      </c>
      <c r="C877" s="36">
        <f t="shared" si="52"/>
        <v>7018.1349366000013</v>
      </c>
      <c r="D877" s="36">
        <f t="shared" si="53"/>
        <v>273.22433642582115</v>
      </c>
      <c r="E877" s="40">
        <v>7318</v>
      </c>
      <c r="F877" s="36">
        <f t="shared" si="54"/>
        <v>7564.5836094516435</v>
      </c>
      <c r="G877" s="36">
        <f t="shared" si="55"/>
        <v>6471.6862637483591</v>
      </c>
      <c r="I877" s="40">
        <v>7318</v>
      </c>
      <c r="J877" s="36">
        <v>7564.5836094516435</v>
      </c>
      <c r="K877" s="36">
        <v>6471.6862637483591</v>
      </c>
    </row>
    <row r="878" spans="1:11" x14ac:dyDescent="0.25">
      <c r="A878" s="39">
        <v>41787</v>
      </c>
      <c r="B878" s="36">
        <v>7329.6499020000001</v>
      </c>
      <c r="C878" s="36">
        <f t="shared" si="52"/>
        <v>7048.8549317000015</v>
      </c>
      <c r="D878" s="36">
        <f t="shared" si="53"/>
        <v>271.91399077082144</v>
      </c>
      <c r="E878" s="40">
        <v>7329.6499020000001</v>
      </c>
      <c r="F878" s="36">
        <f t="shared" si="54"/>
        <v>7592.6829132416442</v>
      </c>
      <c r="G878" s="36">
        <f t="shared" si="55"/>
        <v>6505.0269501583589</v>
      </c>
      <c r="I878" s="40">
        <v>7329.6499020000001</v>
      </c>
      <c r="J878" s="36">
        <v>7592.6829132416442</v>
      </c>
      <c r="K878" s="36">
        <v>6505.0269501583589</v>
      </c>
    </row>
    <row r="879" spans="1:11" x14ac:dyDescent="0.25">
      <c r="A879" s="39">
        <v>41788</v>
      </c>
      <c r="B879" s="36">
        <v>7235.6499020000001</v>
      </c>
      <c r="C879" s="36">
        <f t="shared" si="52"/>
        <v>7075.8174317000012</v>
      </c>
      <c r="D879" s="36">
        <f t="shared" si="53"/>
        <v>261.66827473016116</v>
      </c>
      <c r="E879" s="40">
        <v>7235.6499020000001</v>
      </c>
      <c r="F879" s="36">
        <f t="shared" si="54"/>
        <v>7599.1539811603234</v>
      </c>
      <c r="G879" s="36">
        <f t="shared" si="55"/>
        <v>6552.480882239679</v>
      </c>
      <c r="I879" s="40">
        <v>7235.6499020000001</v>
      </c>
      <c r="J879" s="36">
        <v>7599.1539811603234</v>
      </c>
      <c r="K879" s="36">
        <v>6552.480882239679</v>
      </c>
    </row>
    <row r="880" spans="1:11" x14ac:dyDescent="0.25">
      <c r="A880" s="39">
        <v>41789</v>
      </c>
      <c r="B880" s="36">
        <v>7229.9501950000003</v>
      </c>
      <c r="C880" s="36">
        <f t="shared" si="52"/>
        <v>7102.5749512000011</v>
      </c>
      <c r="D880" s="36">
        <f t="shared" si="53"/>
        <v>247.64135929918982</v>
      </c>
      <c r="E880" s="40">
        <v>7229.9501950000003</v>
      </c>
      <c r="F880" s="36">
        <f t="shared" si="54"/>
        <v>7597.8576697983808</v>
      </c>
      <c r="G880" s="36">
        <f t="shared" si="55"/>
        <v>6607.2922326016214</v>
      </c>
      <c r="I880" s="40">
        <v>7229.9501950000003</v>
      </c>
      <c r="J880" s="36">
        <v>7597.8576697983808</v>
      </c>
      <c r="K880" s="36">
        <v>6607.2922326016214</v>
      </c>
    </row>
    <row r="881" spans="1:11" x14ac:dyDescent="0.25">
      <c r="A881" s="39">
        <v>41792</v>
      </c>
      <c r="B881" s="36">
        <v>7362.5</v>
      </c>
      <c r="C881" s="36">
        <f t="shared" si="52"/>
        <v>7135.7324463000014</v>
      </c>
      <c r="D881" s="36">
        <f t="shared" si="53"/>
        <v>234.87745662756598</v>
      </c>
      <c r="E881" s="40">
        <v>7362.5</v>
      </c>
      <c r="F881" s="36">
        <f t="shared" si="54"/>
        <v>7605.4873595551335</v>
      </c>
      <c r="G881" s="36">
        <f t="shared" si="55"/>
        <v>6665.9775330448692</v>
      </c>
      <c r="I881" s="40">
        <v>7362.5</v>
      </c>
      <c r="J881" s="36">
        <v>7605.4873595551335</v>
      </c>
      <c r="K881" s="36">
        <v>6665.9775330448692</v>
      </c>
    </row>
    <row r="882" spans="1:11" x14ac:dyDescent="0.25">
      <c r="A882" s="39">
        <v>41793</v>
      </c>
      <c r="B882" s="36">
        <v>7415.8500979999999</v>
      </c>
      <c r="C882" s="36">
        <f t="shared" si="52"/>
        <v>7170.7599609500003</v>
      </c>
      <c r="D882" s="36">
        <f t="shared" si="53"/>
        <v>220.68609884882537</v>
      </c>
      <c r="E882" s="40">
        <v>7415.8500979999999</v>
      </c>
      <c r="F882" s="36">
        <f t="shared" si="54"/>
        <v>7612.1321586476506</v>
      </c>
      <c r="G882" s="36">
        <f t="shared" si="55"/>
        <v>6729.3877632523499</v>
      </c>
      <c r="I882" s="40">
        <v>7415.8500979999999</v>
      </c>
      <c r="J882" s="36">
        <v>7612.1321586476506</v>
      </c>
      <c r="K882" s="36">
        <v>6729.3877632523499</v>
      </c>
    </row>
    <row r="883" spans="1:11" x14ac:dyDescent="0.25">
      <c r="A883" s="39">
        <v>41794</v>
      </c>
      <c r="B883" s="36">
        <v>7402.25</v>
      </c>
      <c r="C883" s="36">
        <f t="shared" si="52"/>
        <v>7208.2449707000005</v>
      </c>
      <c r="D883" s="36">
        <f t="shared" si="53"/>
        <v>189.49907423849027</v>
      </c>
      <c r="E883" s="40">
        <v>7402.25</v>
      </c>
      <c r="F883" s="36">
        <f t="shared" si="54"/>
        <v>7587.2431191769811</v>
      </c>
      <c r="G883" s="36">
        <f t="shared" si="55"/>
        <v>6829.24682222302</v>
      </c>
      <c r="I883" s="40">
        <v>7402.25</v>
      </c>
      <c r="J883" s="36">
        <v>7587.2431191769811</v>
      </c>
      <c r="K883" s="36">
        <v>6829.24682222302</v>
      </c>
    </row>
    <row r="884" spans="1:11" x14ac:dyDescent="0.25">
      <c r="A884" s="39">
        <v>41795</v>
      </c>
      <c r="B884" s="36">
        <v>7474.1000979999999</v>
      </c>
      <c r="C884" s="36">
        <f t="shared" si="52"/>
        <v>7248.9574707000011</v>
      </c>
      <c r="D884" s="36">
        <f t="shared" si="53"/>
        <v>148.51545069199858</v>
      </c>
      <c r="E884" s="40">
        <v>7474.1000979999999</v>
      </c>
      <c r="F884" s="36">
        <f t="shared" si="54"/>
        <v>7545.988372083998</v>
      </c>
      <c r="G884" s="36">
        <f t="shared" si="55"/>
        <v>6951.9265693160041</v>
      </c>
      <c r="I884" s="40">
        <v>7474.1000979999999</v>
      </c>
      <c r="J884" s="36">
        <v>7545.988372083998</v>
      </c>
      <c r="K884" s="36">
        <v>6951.9265693160041</v>
      </c>
    </row>
    <row r="885" spans="1:11" x14ac:dyDescent="0.25">
      <c r="A885" s="39">
        <v>41796</v>
      </c>
      <c r="B885" s="36">
        <v>7583.3999020000001</v>
      </c>
      <c r="C885" s="36">
        <f t="shared" si="52"/>
        <v>7285.1874755500003</v>
      </c>
      <c r="D885" s="36">
        <f t="shared" si="53"/>
        <v>136.19962391003477</v>
      </c>
      <c r="E885" s="40">
        <v>7583.3999020000001</v>
      </c>
      <c r="F885" s="36">
        <f t="shared" si="54"/>
        <v>7557.5867233700701</v>
      </c>
      <c r="G885" s="36">
        <f t="shared" si="55"/>
        <v>7012.7882277299304</v>
      </c>
      <c r="I885" s="40">
        <v>7583.3999020000001</v>
      </c>
      <c r="J885" s="36">
        <v>7557.5867233700701</v>
      </c>
      <c r="K885" s="36">
        <v>7012.7882277299304</v>
      </c>
    </row>
    <row r="886" spans="1:11" x14ac:dyDescent="0.25">
      <c r="A886" s="39">
        <v>41799</v>
      </c>
      <c r="B886" s="36">
        <v>7654.6000979999999</v>
      </c>
      <c r="C886" s="36">
        <f t="shared" si="52"/>
        <v>7317.2049804500002</v>
      </c>
      <c r="D886" s="36">
        <f t="shared" si="53"/>
        <v>144.18784733793626</v>
      </c>
      <c r="E886" s="40">
        <v>7654.6000979999999</v>
      </c>
      <c r="F886" s="36">
        <f t="shared" si="54"/>
        <v>7605.5806751258724</v>
      </c>
      <c r="G886" s="36">
        <f t="shared" si="55"/>
        <v>7028.829285774128</v>
      </c>
      <c r="I886" s="40">
        <v>7654.6000979999999</v>
      </c>
      <c r="J886" s="36">
        <v>7605.5806751258724</v>
      </c>
      <c r="K886" s="36">
        <v>7028.829285774128</v>
      </c>
    </row>
    <row r="887" spans="1:11" x14ac:dyDescent="0.25">
      <c r="A887" s="39">
        <v>41800</v>
      </c>
      <c r="B887" s="36">
        <v>7656.3999020000001</v>
      </c>
      <c r="C887" s="36">
        <f t="shared" si="52"/>
        <v>7344.5874755499999</v>
      </c>
      <c r="D887" s="36">
        <f t="shared" si="53"/>
        <v>154.1728807902081</v>
      </c>
      <c r="E887" s="40">
        <v>7656.3999020000001</v>
      </c>
      <c r="F887" s="36">
        <f t="shared" si="54"/>
        <v>7652.9332371304163</v>
      </c>
      <c r="G887" s="36">
        <f t="shared" si="55"/>
        <v>7036.2417139695835</v>
      </c>
      <c r="I887" s="40">
        <v>7656.3999020000001</v>
      </c>
      <c r="J887" s="36">
        <v>7652.9332371304163</v>
      </c>
      <c r="K887" s="36">
        <v>7036.2417139695835</v>
      </c>
    </row>
    <row r="888" spans="1:11" x14ac:dyDescent="0.25">
      <c r="A888" s="39">
        <v>41801</v>
      </c>
      <c r="B888" s="36">
        <v>7626.8500979999999</v>
      </c>
      <c r="C888" s="36">
        <f t="shared" si="52"/>
        <v>7370.4924804499997</v>
      </c>
      <c r="D888" s="36">
        <f t="shared" si="53"/>
        <v>155.97701481022207</v>
      </c>
      <c r="E888" s="40">
        <v>7626.8500979999999</v>
      </c>
      <c r="F888" s="36">
        <f t="shared" si="54"/>
        <v>7682.4465100704438</v>
      </c>
      <c r="G888" s="36">
        <f t="shared" si="55"/>
        <v>7058.5384508295556</v>
      </c>
      <c r="I888" s="40">
        <v>7626.8500979999999</v>
      </c>
      <c r="J888" s="36">
        <v>7682.4465100704438</v>
      </c>
      <c r="K888" s="36">
        <v>7058.5384508295556</v>
      </c>
    </row>
    <row r="889" spans="1:11" x14ac:dyDescent="0.25">
      <c r="A889" s="39">
        <v>41802</v>
      </c>
      <c r="B889" s="36">
        <v>7649.8999020000001</v>
      </c>
      <c r="C889" s="36">
        <f t="shared" si="52"/>
        <v>7396.8299804500002</v>
      </c>
      <c r="D889" s="36">
        <f t="shared" si="53"/>
        <v>156.48518204794334</v>
      </c>
      <c r="E889" s="40">
        <v>7649.8999020000001</v>
      </c>
      <c r="F889" s="36">
        <f t="shared" si="54"/>
        <v>7709.8003445458871</v>
      </c>
      <c r="G889" s="36">
        <f t="shared" si="55"/>
        <v>7083.8596163541133</v>
      </c>
      <c r="I889" s="40">
        <v>7649.8999020000001</v>
      </c>
      <c r="J889" s="36">
        <v>7709.8003445458871</v>
      </c>
      <c r="K889" s="36">
        <v>7083.8596163541133</v>
      </c>
    </row>
    <row r="890" spans="1:11" x14ac:dyDescent="0.25">
      <c r="A890" s="39">
        <v>41803</v>
      </c>
      <c r="B890" s="36">
        <v>7542.1000979999999</v>
      </c>
      <c r="C890" s="36">
        <f t="shared" si="52"/>
        <v>7413.7849853499993</v>
      </c>
      <c r="D890" s="36">
        <f t="shared" si="53"/>
        <v>152.70345077952899</v>
      </c>
      <c r="E890" s="40">
        <v>7542.1000979999999</v>
      </c>
      <c r="F890" s="36">
        <f t="shared" si="54"/>
        <v>7719.1918869090568</v>
      </c>
      <c r="G890" s="36">
        <f t="shared" si="55"/>
        <v>7108.3780837909417</v>
      </c>
      <c r="I890" s="40">
        <v>7542.1000979999999</v>
      </c>
      <c r="J890" s="36">
        <v>7719.1918869090568</v>
      </c>
      <c r="K890" s="36">
        <v>7108.3780837909417</v>
      </c>
    </row>
    <row r="891" spans="1:11" x14ac:dyDescent="0.25">
      <c r="A891" s="39">
        <v>41806</v>
      </c>
      <c r="B891" s="36">
        <v>7533.5498049999997</v>
      </c>
      <c r="C891" s="36">
        <f t="shared" si="52"/>
        <v>7427.2849853499984</v>
      </c>
      <c r="D891" s="36">
        <f t="shared" si="53"/>
        <v>150.64362552771331</v>
      </c>
      <c r="E891" s="40">
        <v>7533.5498049999997</v>
      </c>
      <c r="F891" s="36">
        <f t="shared" si="54"/>
        <v>7728.5722364054254</v>
      </c>
      <c r="G891" s="36">
        <f t="shared" si="55"/>
        <v>7125.9977342945713</v>
      </c>
      <c r="I891" s="40">
        <v>7533.5498049999997</v>
      </c>
      <c r="J891" s="36">
        <v>7728.5722364054254</v>
      </c>
      <c r="K891" s="36">
        <v>7125.9977342945713</v>
      </c>
    </row>
    <row r="892" spans="1:11" x14ac:dyDescent="0.25">
      <c r="A892" s="39">
        <v>41807</v>
      </c>
      <c r="B892" s="36">
        <v>7631.7001950000003</v>
      </c>
      <c r="C892" s="36">
        <f t="shared" si="52"/>
        <v>7445.0949950999984</v>
      </c>
      <c r="D892" s="36">
        <f t="shared" si="53"/>
        <v>152.79492681423764</v>
      </c>
      <c r="E892" s="40">
        <v>7631.7001950000003</v>
      </c>
      <c r="F892" s="36">
        <f t="shared" si="54"/>
        <v>7750.6848487284733</v>
      </c>
      <c r="G892" s="36">
        <f t="shared" si="55"/>
        <v>7139.5051414715235</v>
      </c>
      <c r="I892" s="40">
        <v>7631.7001950000003</v>
      </c>
      <c r="J892" s="36">
        <v>7750.6848487284733</v>
      </c>
      <c r="K892" s="36">
        <v>7139.5051414715235</v>
      </c>
    </row>
    <row r="893" spans="1:11" x14ac:dyDescent="0.25">
      <c r="A893" s="39">
        <v>41808</v>
      </c>
      <c r="B893" s="36">
        <v>7558.2001950000003</v>
      </c>
      <c r="C893" s="36">
        <f t="shared" si="52"/>
        <v>7460.3600097500002</v>
      </c>
      <c r="D893" s="36">
        <f t="shared" si="53"/>
        <v>147.75030902641177</v>
      </c>
      <c r="E893" s="40">
        <v>7558.2001950000003</v>
      </c>
      <c r="F893" s="36">
        <f t="shared" si="54"/>
        <v>7755.8606278028237</v>
      </c>
      <c r="G893" s="36">
        <f t="shared" si="55"/>
        <v>7164.8593916971768</v>
      </c>
      <c r="I893" s="40">
        <v>7558.2001950000003</v>
      </c>
      <c r="J893" s="36">
        <v>7755.8606278028237</v>
      </c>
      <c r="K893" s="36">
        <v>7164.8593916971768</v>
      </c>
    </row>
    <row r="894" spans="1:11" x14ac:dyDescent="0.25">
      <c r="A894" s="39">
        <v>41809</v>
      </c>
      <c r="B894" s="36">
        <v>7540.7001950000003</v>
      </c>
      <c r="C894" s="36">
        <f t="shared" si="52"/>
        <v>7473.575024400001</v>
      </c>
      <c r="D894" s="36">
        <f t="shared" si="53"/>
        <v>142.14399933818447</v>
      </c>
      <c r="E894" s="40">
        <v>7540.7001950000003</v>
      </c>
      <c r="F894" s="36">
        <f t="shared" si="54"/>
        <v>7757.8630230763702</v>
      </c>
      <c r="G894" s="36">
        <f t="shared" si="55"/>
        <v>7189.2870257236318</v>
      </c>
      <c r="I894" s="40">
        <v>7540.7001950000003</v>
      </c>
      <c r="J894" s="36">
        <v>7757.8630230763702</v>
      </c>
      <c r="K894" s="36">
        <v>7189.2870257236318</v>
      </c>
    </row>
    <row r="895" spans="1:11" x14ac:dyDescent="0.25">
      <c r="A895" s="39">
        <v>41810</v>
      </c>
      <c r="B895" s="36">
        <v>7511.4501950000003</v>
      </c>
      <c r="C895" s="36">
        <f t="shared" si="52"/>
        <v>7480.7925292500022</v>
      </c>
      <c r="D895" s="36">
        <f t="shared" si="53"/>
        <v>140.10319232249381</v>
      </c>
      <c r="E895" s="40">
        <v>7511.4501950000003</v>
      </c>
      <c r="F895" s="36">
        <f t="shared" si="54"/>
        <v>7760.9989138949895</v>
      </c>
      <c r="G895" s="36">
        <f t="shared" si="55"/>
        <v>7200.5861446050149</v>
      </c>
      <c r="I895" s="40">
        <v>7511.4501950000003</v>
      </c>
      <c r="J895" s="36">
        <v>7760.9989138949895</v>
      </c>
      <c r="K895" s="36">
        <v>7200.5861446050149</v>
      </c>
    </row>
    <row r="896" spans="1:11" x14ac:dyDescent="0.25">
      <c r="A896" s="39">
        <v>41813</v>
      </c>
      <c r="B896" s="36">
        <v>7493.3500979999999</v>
      </c>
      <c r="C896" s="36">
        <f t="shared" si="52"/>
        <v>7487.5075439000011</v>
      </c>
      <c r="D896" s="36">
        <f t="shared" si="53"/>
        <v>137.14835583760831</v>
      </c>
      <c r="E896" s="40">
        <v>7493.3500979999999</v>
      </c>
      <c r="F896" s="36">
        <f t="shared" si="54"/>
        <v>7761.8042555752181</v>
      </c>
      <c r="G896" s="36">
        <f t="shared" si="55"/>
        <v>7213.2108322247841</v>
      </c>
      <c r="I896" s="40">
        <v>7493.3500979999999</v>
      </c>
      <c r="J896" s="36">
        <v>7761.8042555752181</v>
      </c>
      <c r="K896" s="36">
        <v>7213.2108322247841</v>
      </c>
    </row>
    <row r="897" spans="1:11" x14ac:dyDescent="0.25">
      <c r="A897" s="39">
        <v>41814</v>
      </c>
      <c r="B897" s="36">
        <v>7580.2001950000003</v>
      </c>
      <c r="C897" s="36">
        <f t="shared" si="52"/>
        <v>7500.6175536499995</v>
      </c>
      <c r="D897" s="36">
        <f t="shared" si="53"/>
        <v>132.54699895077121</v>
      </c>
      <c r="E897" s="40">
        <v>7580.2001950000003</v>
      </c>
      <c r="F897" s="36">
        <f t="shared" si="54"/>
        <v>7765.7115515515416</v>
      </c>
      <c r="G897" s="36">
        <f t="shared" si="55"/>
        <v>7235.5235557484575</v>
      </c>
      <c r="I897" s="40">
        <v>7580.2001950000003</v>
      </c>
      <c r="J897" s="36">
        <v>7765.7115515515416</v>
      </c>
      <c r="K897" s="36">
        <v>7235.5235557484575</v>
      </c>
    </row>
    <row r="898" spans="1:11" x14ac:dyDescent="0.25">
      <c r="A898" s="39">
        <v>41815</v>
      </c>
      <c r="B898" s="36">
        <v>7569.25</v>
      </c>
      <c r="C898" s="36">
        <f t="shared" si="52"/>
        <v>7512.59755855</v>
      </c>
      <c r="D898" s="36">
        <f t="shared" si="53"/>
        <v>126.9926429944185</v>
      </c>
      <c r="E898" s="40">
        <v>7569.25</v>
      </c>
      <c r="F898" s="36">
        <f t="shared" si="54"/>
        <v>7766.582844538837</v>
      </c>
      <c r="G898" s="36">
        <f t="shared" si="55"/>
        <v>7258.6122725611631</v>
      </c>
      <c r="I898" s="40">
        <v>7569.25</v>
      </c>
      <c r="J898" s="36">
        <v>7766.582844538837</v>
      </c>
      <c r="K898" s="36">
        <v>7258.6122725611631</v>
      </c>
    </row>
    <row r="899" spans="1:11" x14ac:dyDescent="0.25">
      <c r="A899" s="39">
        <v>41816</v>
      </c>
      <c r="B899" s="36">
        <v>7493.2001950000003</v>
      </c>
      <c r="C899" s="36">
        <f t="shared" si="52"/>
        <v>7525.4750732000002</v>
      </c>
      <c r="D899" s="36">
        <f t="shared" si="53"/>
        <v>109.24986852753344</v>
      </c>
      <c r="E899" s="40">
        <v>7493.2001950000003</v>
      </c>
      <c r="F899" s="36">
        <f t="shared" si="54"/>
        <v>7743.9748102550675</v>
      </c>
      <c r="G899" s="36">
        <f t="shared" si="55"/>
        <v>7306.975336144933</v>
      </c>
      <c r="I899" s="40">
        <v>7493.2001950000003</v>
      </c>
      <c r="J899" s="36">
        <v>7743.9748102550675</v>
      </c>
      <c r="K899" s="36">
        <v>7306.975336144933</v>
      </c>
    </row>
    <row r="900" spans="1:11" x14ac:dyDescent="0.25">
      <c r="A900" s="39">
        <v>41817</v>
      </c>
      <c r="B900" s="36">
        <v>7508.7998049999997</v>
      </c>
      <c r="C900" s="36">
        <f t="shared" si="52"/>
        <v>7539.4175536999992</v>
      </c>
      <c r="D900" s="36">
        <f t="shared" si="53"/>
        <v>84.551571735816992</v>
      </c>
      <c r="E900" s="40">
        <v>7508.7998049999997</v>
      </c>
      <c r="F900" s="36">
        <f t="shared" si="54"/>
        <v>7708.5206971716334</v>
      </c>
      <c r="G900" s="36">
        <f t="shared" si="55"/>
        <v>7370.314410228365</v>
      </c>
      <c r="I900" s="40">
        <v>7508.7998049999997</v>
      </c>
      <c r="J900" s="36">
        <v>7708.5206971716334</v>
      </c>
      <c r="K900" s="36">
        <v>7370.314410228365</v>
      </c>
    </row>
    <row r="901" spans="1:11" x14ac:dyDescent="0.25">
      <c r="A901" s="39">
        <v>41820</v>
      </c>
      <c r="B901" s="36">
        <v>7611.3500979999999</v>
      </c>
      <c r="C901" s="36">
        <f t="shared" si="52"/>
        <v>7551.8600585999984</v>
      </c>
      <c r="D901" s="36">
        <f t="shared" si="53"/>
        <v>74.906450054469389</v>
      </c>
      <c r="E901" s="40">
        <v>7611.3500979999999</v>
      </c>
      <c r="F901" s="36">
        <f t="shared" si="54"/>
        <v>7701.6729587089376</v>
      </c>
      <c r="G901" s="36">
        <f t="shared" si="55"/>
        <v>7402.0471584910592</v>
      </c>
      <c r="I901" s="40">
        <v>7611.3500979999999</v>
      </c>
      <c r="J901" s="36">
        <v>7701.6729587089376</v>
      </c>
      <c r="K901" s="36">
        <v>7402.0471584910592</v>
      </c>
    </row>
    <row r="902" spans="1:11" x14ac:dyDescent="0.25">
      <c r="A902" s="39">
        <v>41821</v>
      </c>
      <c r="B902" s="36">
        <v>7634.7001950000003</v>
      </c>
      <c r="C902" s="36">
        <f t="shared" si="52"/>
        <v>7562.8025634499991</v>
      </c>
      <c r="D902" s="36">
        <f t="shared" si="53"/>
        <v>69.803317484125671</v>
      </c>
      <c r="E902" s="40">
        <v>7634.7001950000003</v>
      </c>
      <c r="F902" s="36">
        <f t="shared" si="54"/>
        <v>7702.4091984182505</v>
      </c>
      <c r="G902" s="36">
        <f t="shared" si="55"/>
        <v>7423.1959284817476</v>
      </c>
      <c r="I902" s="40">
        <v>7634.7001950000003</v>
      </c>
      <c r="J902" s="36">
        <v>7702.4091984182505</v>
      </c>
      <c r="K902" s="36">
        <v>7423.1959284817476</v>
      </c>
    </row>
    <row r="903" spans="1:11" x14ac:dyDescent="0.25">
      <c r="A903" s="39">
        <v>41822</v>
      </c>
      <c r="B903" s="36">
        <v>7725.1499020000001</v>
      </c>
      <c r="C903" s="36">
        <f t="shared" si="52"/>
        <v>7578.9475585500013</v>
      </c>
      <c r="D903" s="36">
        <f t="shared" si="53"/>
        <v>68.033998804129197</v>
      </c>
      <c r="E903" s="40">
        <v>7725.1499020000001</v>
      </c>
      <c r="F903" s="36">
        <f t="shared" si="54"/>
        <v>7715.0155561582596</v>
      </c>
      <c r="G903" s="36">
        <f t="shared" si="55"/>
        <v>7442.879560941743</v>
      </c>
      <c r="I903" s="40">
        <v>7725.1499020000001</v>
      </c>
      <c r="J903" s="36">
        <v>7715.0155561582596</v>
      </c>
      <c r="K903" s="36">
        <v>7442.879560941743</v>
      </c>
    </row>
    <row r="904" spans="1:11" x14ac:dyDescent="0.25">
      <c r="A904" s="39">
        <v>41823</v>
      </c>
      <c r="B904" s="36">
        <v>7714.7998049999997</v>
      </c>
      <c r="C904" s="36">
        <f t="shared" si="52"/>
        <v>7590.9825438999997</v>
      </c>
      <c r="D904" s="36">
        <f t="shared" si="53"/>
        <v>69.777805363867628</v>
      </c>
      <c r="E904" s="40">
        <v>7714.7998049999997</v>
      </c>
      <c r="F904" s="36">
        <f t="shared" si="54"/>
        <v>7730.5381546277349</v>
      </c>
      <c r="G904" s="36">
        <f t="shared" si="55"/>
        <v>7451.4269331722644</v>
      </c>
      <c r="I904" s="40">
        <v>7714.7998049999997</v>
      </c>
      <c r="J904" s="36">
        <v>7730.5381546277349</v>
      </c>
      <c r="K904" s="36">
        <v>7451.4269331722644</v>
      </c>
    </row>
    <row r="905" spans="1:11" x14ac:dyDescent="0.25">
      <c r="A905" s="39">
        <v>41824</v>
      </c>
      <c r="B905" s="36">
        <v>7751.6000979999999</v>
      </c>
      <c r="C905" s="36">
        <f t="shared" si="52"/>
        <v>7599.3925536999986</v>
      </c>
      <c r="D905" s="36">
        <f t="shared" si="53"/>
        <v>78.417183011163175</v>
      </c>
      <c r="E905" s="40">
        <v>7751.6000979999999</v>
      </c>
      <c r="F905" s="36">
        <f t="shared" si="54"/>
        <v>7756.226919722325</v>
      </c>
      <c r="G905" s="36">
        <f t="shared" si="55"/>
        <v>7442.5581876776723</v>
      </c>
      <c r="I905" s="40">
        <v>7751.6000979999999</v>
      </c>
      <c r="J905" s="36">
        <v>7756.226919722325</v>
      </c>
      <c r="K905" s="36">
        <v>7442.5581876776723</v>
      </c>
    </row>
    <row r="906" spans="1:11" x14ac:dyDescent="0.25">
      <c r="A906" s="39">
        <v>41827</v>
      </c>
      <c r="B906" s="36">
        <v>7787.1499020000001</v>
      </c>
      <c r="C906" s="36">
        <f t="shared" si="52"/>
        <v>7606.0200438999991</v>
      </c>
      <c r="D906" s="36">
        <f t="shared" si="53"/>
        <v>88.306378622417114</v>
      </c>
      <c r="E906" s="40">
        <v>7787.1499020000001</v>
      </c>
      <c r="F906" s="36">
        <f t="shared" si="54"/>
        <v>7782.6328011448331</v>
      </c>
      <c r="G906" s="36">
        <f t="shared" si="55"/>
        <v>7429.4072866551651</v>
      </c>
      <c r="I906" s="40">
        <v>7787.1499020000001</v>
      </c>
      <c r="J906" s="36">
        <v>7782.6328011448331</v>
      </c>
      <c r="K906" s="36">
        <v>7429.4072866551651</v>
      </c>
    </row>
    <row r="907" spans="1:11" x14ac:dyDescent="0.25">
      <c r="A907" s="39">
        <v>41828</v>
      </c>
      <c r="B907" s="36">
        <v>7623.2001950000003</v>
      </c>
      <c r="C907" s="36">
        <f t="shared" si="52"/>
        <v>7604.3600585499998</v>
      </c>
      <c r="D907" s="36">
        <f t="shared" si="53"/>
        <v>87.618860642379744</v>
      </c>
      <c r="E907" s="40">
        <v>7623.2001950000003</v>
      </c>
      <c r="F907" s="36">
        <f t="shared" si="54"/>
        <v>7779.5977798347594</v>
      </c>
      <c r="G907" s="36">
        <f t="shared" si="55"/>
        <v>7429.1223372652403</v>
      </c>
      <c r="I907" s="40">
        <v>7623.2001950000003</v>
      </c>
      <c r="J907" s="36">
        <v>7779.5977798347594</v>
      </c>
      <c r="K907" s="36">
        <v>7429.1223372652403</v>
      </c>
    </row>
    <row r="908" spans="1:11" x14ac:dyDescent="0.25">
      <c r="A908" s="39">
        <v>41829</v>
      </c>
      <c r="B908" s="36">
        <v>7585</v>
      </c>
      <c r="C908" s="36">
        <f t="shared" si="52"/>
        <v>7602.2675536500001</v>
      </c>
      <c r="D908" s="36">
        <f t="shared" si="53"/>
        <v>87.553192410031784</v>
      </c>
      <c r="E908" s="40">
        <v>7585</v>
      </c>
      <c r="F908" s="36">
        <f t="shared" si="54"/>
        <v>7777.3739384700639</v>
      </c>
      <c r="G908" s="36">
        <f t="shared" si="55"/>
        <v>7427.1611688299363</v>
      </c>
      <c r="I908" s="40">
        <v>7585</v>
      </c>
      <c r="J908" s="36">
        <v>7777.3739384700639</v>
      </c>
      <c r="K908" s="36">
        <v>7427.1611688299363</v>
      </c>
    </row>
    <row r="909" spans="1:11" x14ac:dyDescent="0.25">
      <c r="A909" s="39">
        <v>41830</v>
      </c>
      <c r="B909" s="36">
        <v>7567.75</v>
      </c>
      <c r="C909" s="36">
        <f t="shared" si="52"/>
        <v>7598.16005855</v>
      </c>
      <c r="D909" s="36">
        <f t="shared" si="53"/>
        <v>87.126906564742882</v>
      </c>
      <c r="E909" s="40">
        <v>7567.75</v>
      </c>
      <c r="F909" s="36">
        <f t="shared" si="54"/>
        <v>7772.413871679486</v>
      </c>
      <c r="G909" s="36">
        <f t="shared" si="55"/>
        <v>7423.9062454205141</v>
      </c>
      <c r="I909" s="40">
        <v>7567.75</v>
      </c>
      <c r="J909" s="36">
        <v>7772.413871679486</v>
      </c>
      <c r="K909" s="36">
        <v>7423.9062454205141</v>
      </c>
    </row>
    <row r="910" spans="1:11" x14ac:dyDescent="0.25">
      <c r="A910" s="39">
        <v>41831</v>
      </c>
      <c r="B910" s="36">
        <v>7459.6000979999999</v>
      </c>
      <c r="C910" s="36">
        <f t="shared" si="52"/>
        <v>7594.03505855</v>
      </c>
      <c r="D910" s="36">
        <f t="shared" si="53"/>
        <v>91.751004610601385</v>
      </c>
      <c r="E910" s="40">
        <v>7459.6000979999999</v>
      </c>
      <c r="F910" s="36">
        <f t="shared" si="54"/>
        <v>7777.5370677712026</v>
      </c>
      <c r="G910" s="36">
        <f t="shared" si="55"/>
        <v>7410.5330493287975</v>
      </c>
      <c r="I910" s="40">
        <v>7459.6000979999999</v>
      </c>
      <c r="J910" s="36">
        <v>7777.5370677712026</v>
      </c>
      <c r="K910" s="36">
        <v>7410.5330493287975</v>
      </c>
    </row>
    <row r="911" spans="1:11" x14ac:dyDescent="0.25">
      <c r="A911" s="39">
        <v>41834</v>
      </c>
      <c r="B911" s="36">
        <v>7454.1499020000001</v>
      </c>
      <c r="C911" s="36">
        <f t="shared" si="52"/>
        <v>7590.0650633999994</v>
      </c>
      <c r="D911" s="36">
        <f t="shared" si="53"/>
        <v>96.119679783023088</v>
      </c>
      <c r="E911" s="40">
        <v>7454.1499020000001</v>
      </c>
      <c r="F911" s="36">
        <f t="shared" si="54"/>
        <v>7782.3044229660454</v>
      </c>
      <c r="G911" s="36">
        <f t="shared" si="55"/>
        <v>7397.8257038339534</v>
      </c>
      <c r="I911" s="40">
        <v>7454.1499020000001</v>
      </c>
      <c r="J911" s="36">
        <v>7782.3044229660454</v>
      </c>
      <c r="K911" s="36">
        <v>7397.8257038339534</v>
      </c>
    </row>
    <row r="912" spans="1:11" x14ac:dyDescent="0.25">
      <c r="A912" s="39">
        <v>41835</v>
      </c>
      <c r="B912" s="36">
        <v>7526.6499020000001</v>
      </c>
      <c r="C912" s="36">
        <f t="shared" si="52"/>
        <v>7584.8125487500001</v>
      </c>
      <c r="D912" s="36">
        <f t="shared" si="53"/>
        <v>96.593855176495083</v>
      </c>
      <c r="E912" s="40">
        <v>7526.6499020000001</v>
      </c>
      <c r="F912" s="36">
        <f t="shared" si="54"/>
        <v>7778.0002591029906</v>
      </c>
      <c r="G912" s="36">
        <f t="shared" si="55"/>
        <v>7391.6248383970096</v>
      </c>
      <c r="I912" s="40">
        <v>7526.6499020000001</v>
      </c>
      <c r="J912" s="36">
        <v>7778.0002591029906</v>
      </c>
      <c r="K912" s="36">
        <v>7391.6248383970096</v>
      </c>
    </row>
    <row r="913" spans="1:11" x14ac:dyDescent="0.25">
      <c r="A913" s="39">
        <v>41836</v>
      </c>
      <c r="B913" s="36">
        <v>7624.3999020000001</v>
      </c>
      <c r="C913" s="36">
        <f t="shared" si="52"/>
        <v>7588.1225341000008</v>
      </c>
      <c r="D913" s="36">
        <f t="shared" si="53"/>
        <v>96.76800944967006</v>
      </c>
      <c r="E913" s="40">
        <v>7624.3999020000001</v>
      </c>
      <c r="F913" s="36">
        <f t="shared" si="54"/>
        <v>7781.6585529993408</v>
      </c>
      <c r="G913" s="36">
        <f t="shared" si="55"/>
        <v>7394.5865152006609</v>
      </c>
      <c r="I913" s="40">
        <v>7624.3999020000001</v>
      </c>
      <c r="J913" s="36">
        <v>7781.6585529993408</v>
      </c>
      <c r="K913" s="36">
        <v>7394.5865152006609</v>
      </c>
    </row>
    <row r="914" spans="1:11" x14ac:dyDescent="0.25">
      <c r="A914" s="39">
        <v>41837</v>
      </c>
      <c r="B914" s="36">
        <v>7640.4501950000003</v>
      </c>
      <c r="C914" s="36">
        <f t="shared" si="52"/>
        <v>7593.110034100001</v>
      </c>
      <c r="D914" s="36">
        <f t="shared" si="53"/>
        <v>96.765780197864558</v>
      </c>
      <c r="E914" s="40">
        <v>7640.4501950000003</v>
      </c>
      <c r="F914" s="36">
        <f t="shared" si="54"/>
        <v>7786.6415944957298</v>
      </c>
      <c r="G914" s="36">
        <f t="shared" si="55"/>
        <v>7399.5784737042723</v>
      </c>
      <c r="I914" s="40">
        <v>7640.4501950000003</v>
      </c>
      <c r="J914" s="36">
        <v>7786.6415944957298</v>
      </c>
      <c r="K914" s="36">
        <v>7399.5784737042723</v>
      </c>
    </row>
    <row r="915" spans="1:11" x14ac:dyDescent="0.25">
      <c r="A915" s="39">
        <v>41838</v>
      </c>
      <c r="B915" s="36">
        <v>7663.8999020000001</v>
      </c>
      <c r="C915" s="36">
        <f t="shared" si="52"/>
        <v>7600.7325194500008</v>
      </c>
      <c r="D915" s="36">
        <f t="shared" si="53"/>
        <v>95.99603570377532</v>
      </c>
      <c r="E915" s="40">
        <v>7663.8999020000001</v>
      </c>
      <c r="F915" s="36">
        <f t="shared" si="54"/>
        <v>7792.7245908575514</v>
      </c>
      <c r="G915" s="36">
        <f t="shared" si="55"/>
        <v>7408.7404480424502</v>
      </c>
      <c r="I915" s="40">
        <v>7663.8999020000001</v>
      </c>
      <c r="J915" s="36">
        <v>7792.7245908575514</v>
      </c>
      <c r="K915" s="36">
        <v>7408.7404480424502</v>
      </c>
    </row>
    <row r="916" spans="1:11" x14ac:dyDescent="0.25">
      <c r="A916" s="39">
        <v>41841</v>
      </c>
      <c r="B916" s="36">
        <v>7684.2001950000003</v>
      </c>
      <c r="C916" s="36">
        <f t="shared" si="52"/>
        <v>7610.2750243000019</v>
      </c>
      <c r="D916" s="36">
        <f t="shared" si="53"/>
        <v>94.229344796556674</v>
      </c>
      <c r="E916" s="40">
        <v>7684.2001950000003</v>
      </c>
      <c r="F916" s="36">
        <f t="shared" si="54"/>
        <v>7798.7337138931152</v>
      </c>
      <c r="G916" s="36">
        <f t="shared" si="55"/>
        <v>7421.8163347068885</v>
      </c>
      <c r="I916" s="40">
        <v>7684.2001950000003</v>
      </c>
      <c r="J916" s="36">
        <v>7798.7337138931152</v>
      </c>
      <c r="K916" s="36">
        <v>7421.8163347068885</v>
      </c>
    </row>
    <row r="917" spans="1:11" x14ac:dyDescent="0.25">
      <c r="A917" s="39">
        <v>41842</v>
      </c>
      <c r="B917" s="36">
        <v>7767.8500979999999</v>
      </c>
      <c r="C917" s="36">
        <f t="shared" si="52"/>
        <v>7619.657519450001</v>
      </c>
      <c r="D917" s="36">
        <f t="shared" si="53"/>
        <v>100.22842416051961</v>
      </c>
      <c r="E917" s="40">
        <v>7767.8500979999999</v>
      </c>
      <c r="F917" s="36">
        <f t="shared" si="54"/>
        <v>7820.1143677710406</v>
      </c>
      <c r="G917" s="36">
        <f t="shared" si="55"/>
        <v>7419.2006711289614</v>
      </c>
      <c r="I917" s="40">
        <v>7767.8500979999999</v>
      </c>
      <c r="J917" s="36">
        <v>7820.1143677710406</v>
      </c>
      <c r="K917" s="36">
        <v>7419.2006711289614</v>
      </c>
    </row>
    <row r="918" spans="1:11" x14ac:dyDescent="0.25">
      <c r="A918" s="39">
        <v>41843</v>
      </c>
      <c r="B918" s="36">
        <v>7795.75</v>
      </c>
      <c r="C918" s="36">
        <f t="shared" ref="C918:C981" si="56">AVERAGE(B899:B918)</f>
        <v>7630.9825194500008</v>
      </c>
      <c r="D918" s="36">
        <f t="shared" ref="D918:D981" si="57">_xlfn.STDEV.S(B899:B918)</f>
        <v>106.81305222171798</v>
      </c>
      <c r="E918" s="40">
        <v>7795.75</v>
      </c>
      <c r="F918" s="36">
        <f t="shared" ref="F918:F981" si="58">C918+2*D918</f>
        <v>7844.6086238934367</v>
      </c>
      <c r="G918" s="36">
        <f t="shared" ref="G918:G981" si="59">C918-2*D918</f>
        <v>7417.3564150065649</v>
      </c>
      <c r="I918" s="40">
        <v>7795.75</v>
      </c>
      <c r="J918" s="36">
        <v>7844.6086238934367</v>
      </c>
      <c r="K918" s="36">
        <v>7417.3564150065649</v>
      </c>
    </row>
    <row r="919" spans="1:11" x14ac:dyDescent="0.25">
      <c r="A919" s="39">
        <v>41844</v>
      </c>
      <c r="B919" s="36">
        <v>7830.6000979999999</v>
      </c>
      <c r="C919" s="36">
        <f t="shared" si="56"/>
        <v>7647.8525146000002</v>
      </c>
      <c r="D919" s="36">
        <f t="shared" si="57"/>
        <v>110.48762931029393</v>
      </c>
      <c r="E919" s="40">
        <v>7830.6000979999999</v>
      </c>
      <c r="F919" s="36">
        <f t="shared" si="58"/>
        <v>7868.8277732205879</v>
      </c>
      <c r="G919" s="36">
        <f t="shared" si="59"/>
        <v>7426.8772559794124</v>
      </c>
      <c r="I919" s="40">
        <v>7830.6000979999999</v>
      </c>
      <c r="J919" s="36">
        <v>7868.8277732205879</v>
      </c>
      <c r="K919" s="36">
        <v>7426.8772559794124</v>
      </c>
    </row>
    <row r="920" spans="1:11" x14ac:dyDescent="0.25">
      <c r="A920" s="39">
        <v>41845</v>
      </c>
      <c r="B920" s="36">
        <v>7790.4501950000003</v>
      </c>
      <c r="C920" s="36">
        <f t="shared" si="56"/>
        <v>7661.9350341000008</v>
      </c>
      <c r="D920" s="36">
        <f t="shared" si="57"/>
        <v>109.77846200430221</v>
      </c>
      <c r="E920" s="40">
        <v>7790.4501950000003</v>
      </c>
      <c r="F920" s="36">
        <f t="shared" si="58"/>
        <v>7881.4919581086051</v>
      </c>
      <c r="G920" s="36">
        <f t="shared" si="59"/>
        <v>7442.3781100913966</v>
      </c>
      <c r="I920" s="40">
        <v>7790.4501950000003</v>
      </c>
      <c r="J920" s="36">
        <v>7881.4919581086051</v>
      </c>
      <c r="K920" s="36">
        <v>7442.3781100913966</v>
      </c>
    </row>
    <row r="921" spans="1:11" x14ac:dyDescent="0.25">
      <c r="A921" s="39">
        <v>41848</v>
      </c>
      <c r="B921" s="36">
        <v>7748.7001950000003</v>
      </c>
      <c r="C921" s="36">
        <f t="shared" si="56"/>
        <v>7668.8025389500017</v>
      </c>
      <c r="D921" s="36">
        <f t="shared" si="57"/>
        <v>110.73938314539677</v>
      </c>
      <c r="E921" s="40">
        <v>7748.7001950000003</v>
      </c>
      <c r="F921" s="36">
        <f t="shared" si="58"/>
        <v>7890.2813052407955</v>
      </c>
      <c r="G921" s="36">
        <f t="shared" si="59"/>
        <v>7447.3237726592079</v>
      </c>
      <c r="I921" s="40">
        <v>7748.7001950000003</v>
      </c>
      <c r="J921" s="36">
        <v>7890.2813052407955</v>
      </c>
      <c r="K921" s="36">
        <v>7447.3237726592079</v>
      </c>
    </row>
    <row r="922" spans="1:11" x14ac:dyDescent="0.25">
      <c r="A922" s="39">
        <v>41850</v>
      </c>
      <c r="B922" s="36">
        <v>7791.3999020000001</v>
      </c>
      <c r="C922" s="36">
        <f t="shared" si="56"/>
        <v>7676.637524300002</v>
      </c>
      <c r="D922" s="36">
        <f t="shared" si="57"/>
        <v>113.70331020137962</v>
      </c>
      <c r="E922" s="40">
        <v>7791.3999020000001</v>
      </c>
      <c r="F922" s="36">
        <f t="shared" si="58"/>
        <v>7904.0441447027615</v>
      </c>
      <c r="G922" s="36">
        <f t="shared" si="59"/>
        <v>7449.2309038972426</v>
      </c>
      <c r="I922" s="40">
        <v>7791.3999020000001</v>
      </c>
      <c r="J922" s="36">
        <v>7904.0441447027615</v>
      </c>
      <c r="K922" s="36">
        <v>7449.2309038972426</v>
      </c>
    </row>
    <row r="923" spans="1:11" x14ac:dyDescent="0.25">
      <c r="A923" s="39">
        <v>41851</v>
      </c>
      <c r="B923" s="36">
        <v>7721.2998049999997</v>
      </c>
      <c r="C923" s="36">
        <f t="shared" si="56"/>
        <v>7676.4450194499996</v>
      </c>
      <c r="D923" s="36">
        <f t="shared" si="57"/>
        <v>113.62008246069895</v>
      </c>
      <c r="E923" s="40">
        <v>7721.2998049999997</v>
      </c>
      <c r="F923" s="36">
        <f t="shared" si="58"/>
        <v>7903.6851843713976</v>
      </c>
      <c r="G923" s="36">
        <f t="shared" si="59"/>
        <v>7449.2048545286016</v>
      </c>
      <c r="I923" s="40">
        <v>7721.2998049999997</v>
      </c>
      <c r="J923" s="36">
        <v>7903.6851843713976</v>
      </c>
      <c r="K923" s="36">
        <v>7449.2048545286016</v>
      </c>
    </row>
    <row r="924" spans="1:11" x14ac:dyDescent="0.25">
      <c r="A924" s="39">
        <v>41852</v>
      </c>
      <c r="B924" s="36">
        <v>7602.6000979999999</v>
      </c>
      <c r="C924" s="36">
        <f t="shared" si="56"/>
        <v>7670.8350340999987</v>
      </c>
      <c r="D924" s="36">
        <f t="shared" si="57"/>
        <v>114.39393703246655</v>
      </c>
      <c r="E924" s="40">
        <v>7602.6000979999999</v>
      </c>
      <c r="F924" s="36">
        <f t="shared" si="58"/>
        <v>7899.6229081649317</v>
      </c>
      <c r="G924" s="36">
        <f t="shared" si="59"/>
        <v>7442.0471600350656</v>
      </c>
      <c r="I924" s="40">
        <v>7602.6000979999999</v>
      </c>
      <c r="J924" s="36">
        <v>7899.6229081649317</v>
      </c>
      <c r="K924" s="36">
        <v>7442.0471600350656</v>
      </c>
    </row>
    <row r="925" spans="1:11" x14ac:dyDescent="0.25">
      <c r="A925" s="39">
        <v>41855</v>
      </c>
      <c r="B925" s="36">
        <v>7683.6499020000001</v>
      </c>
      <c r="C925" s="36">
        <f t="shared" si="56"/>
        <v>7667.4375242999986</v>
      </c>
      <c r="D925" s="36">
        <f t="shared" si="57"/>
        <v>112.86784251403148</v>
      </c>
      <c r="E925" s="40">
        <v>7683.6499020000001</v>
      </c>
      <c r="F925" s="36">
        <f t="shared" si="58"/>
        <v>7893.1732093280616</v>
      </c>
      <c r="G925" s="36">
        <f t="shared" si="59"/>
        <v>7441.7018392719356</v>
      </c>
      <c r="I925" s="40">
        <v>7683.6499020000001</v>
      </c>
      <c r="J925" s="36">
        <v>7893.1732093280616</v>
      </c>
      <c r="K925" s="36">
        <v>7441.7018392719356</v>
      </c>
    </row>
    <row r="926" spans="1:11" x14ac:dyDescent="0.25">
      <c r="A926" s="39">
        <v>41856</v>
      </c>
      <c r="B926" s="36">
        <v>7746.5498049999997</v>
      </c>
      <c r="C926" s="36">
        <f t="shared" si="56"/>
        <v>7665.4075194499992</v>
      </c>
      <c r="D926" s="36">
        <f t="shared" si="57"/>
        <v>110.95023274822474</v>
      </c>
      <c r="E926" s="40">
        <v>7746.5498049999997</v>
      </c>
      <c r="F926" s="36">
        <f t="shared" si="58"/>
        <v>7887.3079849464484</v>
      </c>
      <c r="G926" s="36">
        <f t="shared" si="59"/>
        <v>7443.50705395355</v>
      </c>
      <c r="I926" s="40">
        <v>7746.5498049999997</v>
      </c>
      <c r="J926" s="36">
        <v>7887.3079849464484</v>
      </c>
      <c r="K926" s="36">
        <v>7443.50705395355</v>
      </c>
    </row>
    <row r="927" spans="1:11" x14ac:dyDescent="0.25">
      <c r="A927" s="39">
        <v>41857</v>
      </c>
      <c r="B927" s="36">
        <v>7672.0498049999997</v>
      </c>
      <c r="C927" s="36">
        <f t="shared" si="56"/>
        <v>7667.8499999499982</v>
      </c>
      <c r="D927" s="36">
        <f t="shared" si="57"/>
        <v>110.5089842242088</v>
      </c>
      <c r="E927" s="40">
        <v>7672.0498049999997</v>
      </c>
      <c r="F927" s="36">
        <f t="shared" si="58"/>
        <v>7888.8679683984155</v>
      </c>
      <c r="G927" s="36">
        <f t="shared" si="59"/>
        <v>7446.8320315015808</v>
      </c>
      <c r="I927" s="40">
        <v>7672.0498049999997</v>
      </c>
      <c r="J927" s="36">
        <v>7888.8679683984155</v>
      </c>
      <c r="K927" s="36">
        <v>7446.8320315015808</v>
      </c>
    </row>
    <row r="928" spans="1:11" x14ac:dyDescent="0.25">
      <c r="A928" s="39">
        <v>41858</v>
      </c>
      <c r="B928" s="36">
        <v>7649.25</v>
      </c>
      <c r="C928" s="36">
        <f t="shared" si="56"/>
        <v>7671.0624999499978</v>
      </c>
      <c r="D928" s="36">
        <f t="shared" si="57"/>
        <v>108.89587268590873</v>
      </c>
      <c r="E928" s="40">
        <v>7649.25</v>
      </c>
      <c r="F928" s="36">
        <f t="shared" si="58"/>
        <v>7888.8542453218151</v>
      </c>
      <c r="G928" s="36">
        <f t="shared" si="59"/>
        <v>7453.2707545781805</v>
      </c>
      <c r="I928" s="40">
        <v>7649.25</v>
      </c>
      <c r="J928" s="36">
        <v>7888.8542453218151</v>
      </c>
      <c r="K928" s="36">
        <v>7453.2707545781805</v>
      </c>
    </row>
    <row r="929" spans="1:11" x14ac:dyDescent="0.25">
      <c r="A929" s="39">
        <v>41859</v>
      </c>
      <c r="B929" s="36">
        <v>7568.5498049999997</v>
      </c>
      <c r="C929" s="36">
        <f t="shared" si="56"/>
        <v>7671.102490199999</v>
      </c>
      <c r="D929" s="36">
        <f t="shared" si="57"/>
        <v>108.85607559092307</v>
      </c>
      <c r="E929" s="40">
        <v>7568.5498049999997</v>
      </c>
      <c r="F929" s="36">
        <f t="shared" si="58"/>
        <v>7888.8146413818449</v>
      </c>
      <c r="G929" s="36">
        <f t="shared" si="59"/>
        <v>7453.3903390181531</v>
      </c>
      <c r="I929" s="40">
        <v>7568.5498049999997</v>
      </c>
      <c r="J929" s="36">
        <v>7888.8146413818449</v>
      </c>
      <c r="K929" s="36">
        <v>7453.3903390181531</v>
      </c>
    </row>
    <row r="930" spans="1:11" x14ac:dyDescent="0.25">
      <c r="A930" s="39">
        <v>41862</v>
      </c>
      <c r="B930" s="36">
        <v>7625.9501950000003</v>
      </c>
      <c r="C930" s="36">
        <f t="shared" si="56"/>
        <v>7679.4199950500015</v>
      </c>
      <c r="D930" s="36">
        <f t="shared" si="57"/>
        <v>97.620400366065681</v>
      </c>
      <c r="E930" s="40">
        <v>7625.9501950000003</v>
      </c>
      <c r="F930" s="36">
        <f t="shared" si="58"/>
        <v>7874.6607957821325</v>
      </c>
      <c r="G930" s="36">
        <f t="shared" si="59"/>
        <v>7484.1791943178705</v>
      </c>
      <c r="I930" s="40">
        <v>7625.9501950000003</v>
      </c>
      <c r="J930" s="36">
        <v>7874.6607957821325</v>
      </c>
      <c r="K930" s="36">
        <v>7484.1791943178705</v>
      </c>
    </row>
    <row r="931" spans="1:11" x14ac:dyDescent="0.25">
      <c r="A931" s="39">
        <v>41863</v>
      </c>
      <c r="B931" s="36">
        <v>7727.0498049999997</v>
      </c>
      <c r="C931" s="36">
        <f t="shared" si="56"/>
        <v>7693.0649902000005</v>
      </c>
      <c r="D931" s="36">
        <f t="shared" si="57"/>
        <v>82.354616687525279</v>
      </c>
      <c r="E931" s="40">
        <v>7727.0498049999997</v>
      </c>
      <c r="F931" s="36">
        <f t="shared" si="58"/>
        <v>7857.7742235750511</v>
      </c>
      <c r="G931" s="36">
        <f t="shared" si="59"/>
        <v>7528.3557568249498</v>
      </c>
      <c r="I931" s="40">
        <v>7727.0498049999997</v>
      </c>
      <c r="J931" s="36">
        <v>7857.7742235750511</v>
      </c>
      <c r="K931" s="36">
        <v>7528.3557568249498</v>
      </c>
    </row>
    <row r="932" spans="1:11" x14ac:dyDescent="0.25">
      <c r="A932" s="39">
        <v>41864</v>
      </c>
      <c r="B932" s="36">
        <v>7739.5498049999997</v>
      </c>
      <c r="C932" s="36">
        <f t="shared" si="56"/>
        <v>7703.7099853499994</v>
      </c>
      <c r="D932" s="36">
        <f t="shared" si="57"/>
        <v>72.932525736839793</v>
      </c>
      <c r="E932" s="40">
        <v>7739.5498049999997</v>
      </c>
      <c r="F932" s="36">
        <f t="shared" si="58"/>
        <v>7849.5750368236786</v>
      </c>
      <c r="G932" s="36">
        <f t="shared" si="59"/>
        <v>7557.8449338763203</v>
      </c>
      <c r="I932" s="40">
        <v>7739.5498049999997</v>
      </c>
      <c r="J932" s="36">
        <v>7849.5750368236786</v>
      </c>
      <c r="K932" s="36">
        <v>7557.8449338763203</v>
      </c>
    </row>
    <row r="933" spans="1:11" x14ac:dyDescent="0.25">
      <c r="A933" s="39">
        <v>41865</v>
      </c>
      <c r="B933" s="36">
        <v>7791.7001950000003</v>
      </c>
      <c r="C933" s="36">
        <f t="shared" si="56"/>
        <v>7712.0749999999998</v>
      </c>
      <c r="D933" s="36">
        <f t="shared" si="57"/>
        <v>72.95154526270521</v>
      </c>
      <c r="E933" s="40">
        <v>7791.7001950000003</v>
      </c>
      <c r="F933" s="36">
        <f t="shared" si="58"/>
        <v>7857.9780905254102</v>
      </c>
      <c r="G933" s="36">
        <f t="shared" si="59"/>
        <v>7566.1719094745895</v>
      </c>
      <c r="I933" s="40">
        <v>7791.7001950000003</v>
      </c>
      <c r="J933" s="36">
        <v>7857.9780905254102</v>
      </c>
      <c r="K933" s="36">
        <v>7566.1719094745895</v>
      </c>
    </row>
    <row r="934" spans="1:11" x14ac:dyDescent="0.25">
      <c r="A934" s="39">
        <v>41869</v>
      </c>
      <c r="B934" s="36">
        <v>7874.25</v>
      </c>
      <c r="C934" s="36">
        <f t="shared" si="56"/>
        <v>7723.7649902500007</v>
      </c>
      <c r="D934" s="36">
        <f t="shared" si="57"/>
        <v>79.324162264697179</v>
      </c>
      <c r="E934" s="40">
        <v>7874.25</v>
      </c>
      <c r="F934" s="36">
        <f t="shared" si="58"/>
        <v>7882.4133147793946</v>
      </c>
      <c r="G934" s="36">
        <f t="shared" si="59"/>
        <v>7565.1166657206068</v>
      </c>
      <c r="I934" s="40">
        <v>7874.25</v>
      </c>
      <c r="J934" s="36">
        <v>7882.4133147793946</v>
      </c>
      <c r="K934" s="36">
        <v>7565.1166657206068</v>
      </c>
    </row>
    <row r="935" spans="1:11" x14ac:dyDescent="0.25">
      <c r="A935" s="39">
        <v>41870</v>
      </c>
      <c r="B935" s="36">
        <v>7897.5</v>
      </c>
      <c r="C935" s="36">
        <f t="shared" si="56"/>
        <v>7735.444995150001</v>
      </c>
      <c r="D935" s="36">
        <f t="shared" si="57"/>
        <v>86.883378033974509</v>
      </c>
      <c r="E935" s="40">
        <v>7897.5</v>
      </c>
      <c r="F935" s="36">
        <f t="shared" si="58"/>
        <v>7909.2117512179502</v>
      </c>
      <c r="G935" s="36">
        <f t="shared" si="59"/>
        <v>7561.6782390820517</v>
      </c>
      <c r="I935" s="40">
        <v>7897.5</v>
      </c>
      <c r="J935" s="36">
        <v>7909.2117512179502</v>
      </c>
      <c r="K935" s="36">
        <v>7561.6782390820517</v>
      </c>
    </row>
    <row r="936" spans="1:11" x14ac:dyDescent="0.25">
      <c r="A936" s="39">
        <v>41871</v>
      </c>
      <c r="B936" s="36">
        <v>7875.2998049999997</v>
      </c>
      <c r="C936" s="36">
        <f t="shared" si="56"/>
        <v>7744.999975650001</v>
      </c>
      <c r="D936" s="36">
        <f t="shared" si="57"/>
        <v>91.344660040954821</v>
      </c>
      <c r="E936" s="40">
        <v>7875.2998049999997</v>
      </c>
      <c r="F936" s="36">
        <f t="shared" si="58"/>
        <v>7927.6892957319105</v>
      </c>
      <c r="G936" s="36">
        <f t="shared" si="59"/>
        <v>7562.3106555680915</v>
      </c>
      <c r="I936" s="40">
        <v>7875.2998049999997</v>
      </c>
      <c r="J936" s="36">
        <v>7927.6892957319105</v>
      </c>
      <c r="K936" s="36">
        <v>7562.3106555680915</v>
      </c>
    </row>
    <row r="937" spans="1:11" x14ac:dyDescent="0.25">
      <c r="A937" s="39">
        <v>41872</v>
      </c>
      <c r="B937" s="36">
        <v>7891.1000979999999</v>
      </c>
      <c r="C937" s="36">
        <f t="shared" si="56"/>
        <v>7751.1624756499996</v>
      </c>
      <c r="D937" s="36">
        <f t="shared" si="57"/>
        <v>96.952696272658642</v>
      </c>
      <c r="E937" s="40">
        <v>7891.1000979999999</v>
      </c>
      <c r="F937" s="36">
        <f t="shared" si="58"/>
        <v>7945.0678681953168</v>
      </c>
      <c r="G937" s="36">
        <f t="shared" si="59"/>
        <v>7557.2570831046824</v>
      </c>
      <c r="I937" s="40">
        <v>7891.1000979999999</v>
      </c>
      <c r="J937" s="36">
        <v>7945.0678681953168</v>
      </c>
      <c r="K937" s="36">
        <v>7557.2570831046824</v>
      </c>
    </row>
    <row r="938" spans="1:11" x14ac:dyDescent="0.25">
      <c r="A938" s="39">
        <v>41873</v>
      </c>
      <c r="B938" s="36">
        <v>7913.2001950000003</v>
      </c>
      <c r="C938" s="36">
        <f t="shared" si="56"/>
        <v>7757.0349853999996</v>
      </c>
      <c r="D938" s="36">
        <f t="shared" si="57"/>
        <v>103.15423524367471</v>
      </c>
      <c r="E938" s="40">
        <v>7913.2001950000003</v>
      </c>
      <c r="F938" s="36">
        <f t="shared" si="58"/>
        <v>7963.3434558873487</v>
      </c>
      <c r="G938" s="36">
        <f t="shared" si="59"/>
        <v>7550.7265149126506</v>
      </c>
      <c r="I938" s="40">
        <v>7913.2001950000003</v>
      </c>
      <c r="J938" s="36">
        <v>7963.3434558873487</v>
      </c>
      <c r="K938" s="36">
        <v>7550.7265149126506</v>
      </c>
    </row>
    <row r="939" spans="1:11" x14ac:dyDescent="0.25">
      <c r="A939" s="39">
        <v>41876</v>
      </c>
      <c r="B939" s="36">
        <v>7906.2998049999997</v>
      </c>
      <c r="C939" s="36">
        <f t="shared" si="56"/>
        <v>7760.8199707499998</v>
      </c>
      <c r="D939" s="36">
        <f t="shared" si="57"/>
        <v>107.30104404794847</v>
      </c>
      <c r="E939" s="40">
        <v>7906.2998049999997</v>
      </c>
      <c r="F939" s="36">
        <f t="shared" si="58"/>
        <v>7975.4220588458966</v>
      </c>
      <c r="G939" s="36">
        <f t="shared" si="59"/>
        <v>7546.2178826541031</v>
      </c>
      <c r="I939" s="40">
        <v>7906.2998049999997</v>
      </c>
      <c r="J939" s="36">
        <v>7975.4220588458966</v>
      </c>
      <c r="K939" s="36">
        <v>7546.2178826541031</v>
      </c>
    </row>
    <row r="940" spans="1:11" x14ac:dyDescent="0.25">
      <c r="A940" s="39">
        <v>41877</v>
      </c>
      <c r="B940" s="36">
        <v>7904.75</v>
      </c>
      <c r="C940" s="36">
        <f t="shared" si="56"/>
        <v>7766.5349610000003</v>
      </c>
      <c r="D940" s="36">
        <f t="shared" si="57"/>
        <v>111.90725668617047</v>
      </c>
      <c r="E940" s="40">
        <v>7904.75</v>
      </c>
      <c r="F940" s="36">
        <f t="shared" si="58"/>
        <v>7990.3494743723413</v>
      </c>
      <c r="G940" s="36">
        <f t="shared" si="59"/>
        <v>7542.7204476276593</v>
      </c>
      <c r="I940" s="40">
        <v>7904.75</v>
      </c>
      <c r="J940" s="36">
        <v>7990.3494743723413</v>
      </c>
      <c r="K940" s="36">
        <v>7542.7204476276593</v>
      </c>
    </row>
    <row r="941" spans="1:11" x14ac:dyDescent="0.25">
      <c r="A941" s="39">
        <v>41878</v>
      </c>
      <c r="B941" s="36">
        <v>7936.0498049999997</v>
      </c>
      <c r="C941" s="36">
        <f t="shared" si="56"/>
        <v>7775.9024414999994</v>
      </c>
      <c r="D941" s="36">
        <f t="shared" si="57"/>
        <v>118.01062787134144</v>
      </c>
      <c r="E941" s="40">
        <v>7936.0498049999997</v>
      </c>
      <c r="F941" s="36">
        <f t="shared" si="58"/>
        <v>8011.9236972426825</v>
      </c>
      <c r="G941" s="36">
        <f t="shared" si="59"/>
        <v>7539.8811857573164</v>
      </c>
      <c r="I941" s="40">
        <v>7936.0498049999997</v>
      </c>
      <c r="J941" s="36">
        <v>8011.9236972426825</v>
      </c>
      <c r="K941" s="36">
        <v>7539.8811857573164</v>
      </c>
    </row>
    <row r="942" spans="1:11" x14ac:dyDescent="0.25">
      <c r="A942" s="39">
        <v>41879</v>
      </c>
      <c r="B942" s="36">
        <v>7954.3500979999999</v>
      </c>
      <c r="C942" s="36">
        <f t="shared" si="56"/>
        <v>7784.0499512999986</v>
      </c>
      <c r="D942" s="36">
        <f t="shared" si="57"/>
        <v>124.5791682405731</v>
      </c>
      <c r="E942" s="40">
        <v>7954.3500979999999</v>
      </c>
      <c r="F942" s="36">
        <f t="shared" si="58"/>
        <v>8033.2082877811445</v>
      </c>
      <c r="G942" s="36">
        <f t="shared" si="59"/>
        <v>7534.8916148188528</v>
      </c>
      <c r="I942" s="40">
        <v>7954.3500979999999</v>
      </c>
      <c r="J942" s="36">
        <v>8033.2082877811445</v>
      </c>
      <c r="K942" s="36">
        <v>7534.8916148188528</v>
      </c>
    </row>
    <row r="943" spans="1:11" x14ac:dyDescent="0.25">
      <c r="A943" s="39">
        <v>41883</v>
      </c>
      <c r="B943" s="36">
        <v>8027.7001950000003</v>
      </c>
      <c r="C943" s="36">
        <f t="shared" si="56"/>
        <v>7799.3699707999986</v>
      </c>
      <c r="D943" s="36">
        <f t="shared" si="57"/>
        <v>134.87093527859531</v>
      </c>
      <c r="E943" s="40">
        <v>8027.7001950000003</v>
      </c>
      <c r="F943" s="36">
        <f t="shared" si="58"/>
        <v>8069.1118413571894</v>
      </c>
      <c r="G943" s="36">
        <f t="shared" si="59"/>
        <v>7529.6281002428077</v>
      </c>
      <c r="I943" s="40">
        <v>8027.7001950000003</v>
      </c>
      <c r="J943" s="36">
        <v>8069.1118413571894</v>
      </c>
      <c r="K943" s="36">
        <v>7529.6281002428077</v>
      </c>
    </row>
    <row r="944" spans="1:11" x14ac:dyDescent="0.25">
      <c r="A944" s="39">
        <v>41884</v>
      </c>
      <c r="B944" s="36">
        <v>8083.0498049999997</v>
      </c>
      <c r="C944" s="36">
        <f t="shared" si="56"/>
        <v>7823.3924561499998</v>
      </c>
      <c r="D944" s="36">
        <f t="shared" si="57"/>
        <v>140.6427882630561</v>
      </c>
      <c r="E944" s="40">
        <v>8083.0498049999997</v>
      </c>
      <c r="F944" s="36">
        <f t="shared" si="58"/>
        <v>8104.6780326761118</v>
      </c>
      <c r="G944" s="36">
        <f t="shared" si="59"/>
        <v>7542.1068796238878</v>
      </c>
      <c r="I944" s="40">
        <v>8083.0498049999997</v>
      </c>
      <c r="J944" s="36">
        <v>8104.6780326761118</v>
      </c>
      <c r="K944" s="36">
        <v>7542.1068796238878</v>
      </c>
    </row>
    <row r="945" spans="1:11" x14ac:dyDescent="0.25">
      <c r="A945" s="39">
        <v>41885</v>
      </c>
      <c r="B945" s="36">
        <v>8114.6000979999999</v>
      </c>
      <c r="C945" s="36">
        <f t="shared" si="56"/>
        <v>7844.9399659499995</v>
      </c>
      <c r="D945" s="36">
        <f t="shared" si="57"/>
        <v>150.75520233278502</v>
      </c>
      <c r="E945" s="40">
        <v>8114.6000979999999</v>
      </c>
      <c r="F945" s="36">
        <f t="shared" si="58"/>
        <v>8146.4503706155692</v>
      </c>
      <c r="G945" s="36">
        <f t="shared" si="59"/>
        <v>7543.4295612844298</v>
      </c>
      <c r="I945" s="40">
        <v>8114.6000979999999</v>
      </c>
      <c r="J945" s="36">
        <v>8146.4503706155692</v>
      </c>
      <c r="K945" s="36">
        <v>7543.4295612844298</v>
      </c>
    </row>
    <row r="946" spans="1:11" x14ac:dyDescent="0.25">
      <c r="A946" s="39">
        <v>41886</v>
      </c>
      <c r="B946" s="36">
        <v>8095.9501950000003</v>
      </c>
      <c r="C946" s="36">
        <f t="shared" si="56"/>
        <v>7862.40998545</v>
      </c>
      <c r="D946" s="36">
        <f t="shared" si="57"/>
        <v>158.78435712210762</v>
      </c>
      <c r="E946" s="40">
        <v>8095.9501950000003</v>
      </c>
      <c r="F946" s="36">
        <f t="shared" si="58"/>
        <v>8179.9786996942148</v>
      </c>
      <c r="G946" s="36">
        <f t="shared" si="59"/>
        <v>7544.8412712057852</v>
      </c>
      <c r="I946" s="40">
        <v>8095.9501950000003</v>
      </c>
      <c r="J946" s="36">
        <v>8179.9786996942148</v>
      </c>
      <c r="K946" s="36">
        <v>7544.8412712057852</v>
      </c>
    </row>
    <row r="947" spans="1:11" x14ac:dyDescent="0.25">
      <c r="A947" s="39">
        <v>41887</v>
      </c>
      <c r="B947" s="36">
        <v>8086.8500979999999</v>
      </c>
      <c r="C947" s="36">
        <f t="shared" si="56"/>
        <v>7883.1500000999995</v>
      </c>
      <c r="D947" s="36">
        <f t="shared" si="57"/>
        <v>159.69879064463083</v>
      </c>
      <c r="E947" s="40">
        <v>8086.8500979999999</v>
      </c>
      <c r="F947" s="36">
        <f t="shared" si="58"/>
        <v>8202.5475813892608</v>
      </c>
      <c r="G947" s="36">
        <f t="shared" si="59"/>
        <v>7563.7524188107382</v>
      </c>
      <c r="I947" s="40">
        <v>8086.8500979999999</v>
      </c>
      <c r="J947" s="36">
        <v>8202.5475813892608</v>
      </c>
      <c r="K947" s="36">
        <v>7563.7524188107382</v>
      </c>
    </row>
    <row r="948" spans="1:11" x14ac:dyDescent="0.25">
      <c r="A948" s="39">
        <v>41890</v>
      </c>
      <c r="B948" s="36">
        <v>8173.8999020000001</v>
      </c>
      <c r="C948" s="36">
        <f t="shared" si="56"/>
        <v>7909.3824952000014</v>
      </c>
      <c r="D948" s="36">
        <f t="shared" si="57"/>
        <v>162.32420294266271</v>
      </c>
      <c r="E948" s="40">
        <v>8173.8999020000001</v>
      </c>
      <c r="F948" s="36">
        <f t="shared" si="58"/>
        <v>8234.0309010853271</v>
      </c>
      <c r="G948" s="36">
        <f t="shared" si="59"/>
        <v>7584.7340893146757</v>
      </c>
      <c r="I948" s="40">
        <v>8173.8999020000001</v>
      </c>
      <c r="J948" s="36">
        <v>8234.0309010853271</v>
      </c>
      <c r="K948" s="36">
        <v>7584.7340893146757</v>
      </c>
    </row>
    <row r="949" spans="1:11" x14ac:dyDescent="0.25">
      <c r="A949" s="39">
        <v>41891</v>
      </c>
      <c r="B949" s="36">
        <v>8152.9501950000003</v>
      </c>
      <c r="C949" s="36">
        <f t="shared" si="56"/>
        <v>7938.6025147000009</v>
      </c>
      <c r="D949" s="36">
        <f t="shared" si="57"/>
        <v>149.86237567984449</v>
      </c>
      <c r="E949" s="40">
        <v>8152.9501950000003</v>
      </c>
      <c r="F949" s="36">
        <f t="shared" si="58"/>
        <v>8238.3272660596904</v>
      </c>
      <c r="G949" s="36">
        <f t="shared" si="59"/>
        <v>7638.8777633403115</v>
      </c>
      <c r="I949" s="40">
        <v>8152.9501950000003</v>
      </c>
      <c r="J949" s="36">
        <v>8238.3272660596904</v>
      </c>
      <c r="K949" s="36">
        <v>7638.8777633403115</v>
      </c>
    </row>
    <row r="950" spans="1:11" x14ac:dyDescent="0.25">
      <c r="A950" s="39">
        <v>41892</v>
      </c>
      <c r="B950" s="36">
        <v>8094.1000979999999</v>
      </c>
      <c r="C950" s="36">
        <f t="shared" si="56"/>
        <v>7962.0100098499997</v>
      </c>
      <c r="D950" s="36">
        <f t="shared" si="57"/>
        <v>134.20050004968692</v>
      </c>
      <c r="E950" s="40">
        <v>8094.1000979999999</v>
      </c>
      <c r="F950" s="36">
        <f t="shared" si="58"/>
        <v>8230.4110099493737</v>
      </c>
      <c r="G950" s="36">
        <f t="shared" si="59"/>
        <v>7693.6090097506258</v>
      </c>
      <c r="I950" s="40">
        <v>8094.1000979999999</v>
      </c>
      <c r="J950" s="36">
        <v>8230.4110099493737</v>
      </c>
      <c r="K950" s="36">
        <v>7693.6090097506258</v>
      </c>
    </row>
    <row r="951" spans="1:11" x14ac:dyDescent="0.25">
      <c r="A951" s="39">
        <v>41893</v>
      </c>
      <c r="B951" s="36">
        <v>8085.7001950000003</v>
      </c>
      <c r="C951" s="36">
        <f t="shared" si="56"/>
        <v>7979.9425293500008</v>
      </c>
      <c r="D951" s="36">
        <f t="shared" si="57"/>
        <v>124.7834269075539</v>
      </c>
      <c r="E951" s="40">
        <v>8085.7001950000003</v>
      </c>
      <c r="F951" s="36">
        <f t="shared" si="58"/>
        <v>8229.5093831651084</v>
      </c>
      <c r="G951" s="36">
        <f t="shared" si="59"/>
        <v>7730.3756755348932</v>
      </c>
      <c r="I951" s="40">
        <v>8085.7001950000003</v>
      </c>
      <c r="J951" s="36">
        <v>8229.5093831651084</v>
      </c>
      <c r="K951" s="36">
        <v>7730.3756755348932</v>
      </c>
    </row>
    <row r="952" spans="1:11" x14ac:dyDescent="0.25">
      <c r="A952" s="39">
        <v>41894</v>
      </c>
      <c r="B952" s="36">
        <v>8105.5</v>
      </c>
      <c r="C952" s="36">
        <f t="shared" si="56"/>
        <v>7998.2400391000001</v>
      </c>
      <c r="D952" s="36">
        <f t="shared" si="57"/>
        <v>114.04689899557884</v>
      </c>
      <c r="E952" s="40">
        <v>8105.5</v>
      </c>
      <c r="F952" s="36">
        <f t="shared" si="58"/>
        <v>8226.333837091157</v>
      </c>
      <c r="G952" s="36">
        <f t="shared" si="59"/>
        <v>7770.1462411088423</v>
      </c>
      <c r="I952" s="40">
        <v>8105.5</v>
      </c>
      <c r="J952" s="36">
        <v>8226.333837091157</v>
      </c>
      <c r="K952" s="36">
        <v>7770.1462411088423</v>
      </c>
    </row>
    <row r="953" spans="1:11" x14ac:dyDescent="0.25">
      <c r="A953" s="39">
        <v>41897</v>
      </c>
      <c r="B953" s="36">
        <v>8042</v>
      </c>
      <c r="C953" s="36">
        <f t="shared" si="56"/>
        <v>8010.7550293499999</v>
      </c>
      <c r="D953" s="36">
        <f t="shared" si="57"/>
        <v>103.42832137781343</v>
      </c>
      <c r="E953" s="40">
        <v>8042</v>
      </c>
      <c r="F953" s="36">
        <f t="shared" si="58"/>
        <v>8217.611672105626</v>
      </c>
      <c r="G953" s="36">
        <f t="shared" si="59"/>
        <v>7803.8983865943728</v>
      </c>
      <c r="I953" s="40">
        <v>8042</v>
      </c>
      <c r="J953" s="36">
        <v>8217.611672105626</v>
      </c>
      <c r="K953" s="36">
        <v>7803.8983865943728</v>
      </c>
    </row>
    <row r="954" spans="1:11" x14ac:dyDescent="0.25">
      <c r="A954" s="39">
        <v>41898</v>
      </c>
      <c r="B954" s="36">
        <v>7932.8999020000001</v>
      </c>
      <c r="C954" s="36">
        <f t="shared" si="56"/>
        <v>8013.6875244499997</v>
      </c>
      <c r="D954" s="36">
        <f t="shared" si="57"/>
        <v>100.13326458806964</v>
      </c>
      <c r="E954" s="40">
        <v>7932.8999020000001</v>
      </c>
      <c r="F954" s="36">
        <f t="shared" si="58"/>
        <v>8213.9540536261393</v>
      </c>
      <c r="G954" s="36">
        <f t="shared" si="59"/>
        <v>7813.4209952738602</v>
      </c>
      <c r="I954" s="40">
        <v>7932.8999020000001</v>
      </c>
      <c r="J954" s="36">
        <v>8213.9540536261393</v>
      </c>
      <c r="K954" s="36">
        <v>7813.4209952738602</v>
      </c>
    </row>
    <row r="955" spans="1:11" x14ac:dyDescent="0.25">
      <c r="A955" s="39">
        <v>41899</v>
      </c>
      <c r="B955" s="36">
        <v>7975.5</v>
      </c>
      <c r="C955" s="36">
        <f t="shared" si="56"/>
        <v>8017.5875244499985</v>
      </c>
      <c r="D955" s="36">
        <f t="shared" si="57"/>
        <v>96.834446092293007</v>
      </c>
      <c r="E955" s="40">
        <v>7975.5</v>
      </c>
      <c r="F955" s="36">
        <f t="shared" si="58"/>
        <v>8211.2564166345837</v>
      </c>
      <c r="G955" s="36">
        <f t="shared" si="59"/>
        <v>7823.9186322654123</v>
      </c>
      <c r="I955" s="40">
        <v>7975.5</v>
      </c>
      <c r="J955" s="36">
        <v>8211.2564166345837</v>
      </c>
      <c r="K955" s="36">
        <v>7823.9186322654123</v>
      </c>
    </row>
    <row r="956" spans="1:11" x14ac:dyDescent="0.25">
      <c r="A956" s="39">
        <v>41900</v>
      </c>
      <c r="B956" s="36">
        <v>8114.75</v>
      </c>
      <c r="C956" s="36">
        <f t="shared" si="56"/>
        <v>8029.5600342000007</v>
      </c>
      <c r="D956" s="36">
        <f t="shared" si="57"/>
        <v>93.044760254199645</v>
      </c>
      <c r="E956" s="40">
        <v>8114.75</v>
      </c>
      <c r="F956" s="36">
        <f t="shared" si="58"/>
        <v>8215.6495547083996</v>
      </c>
      <c r="G956" s="36">
        <f t="shared" si="59"/>
        <v>7843.4705136916018</v>
      </c>
      <c r="I956" s="40">
        <v>8114.75</v>
      </c>
      <c r="J956" s="36">
        <v>8215.6495547083996</v>
      </c>
      <c r="K956" s="36">
        <v>7843.4705136916018</v>
      </c>
    </row>
    <row r="957" spans="1:11" x14ac:dyDescent="0.25">
      <c r="A957" s="39">
        <v>41901</v>
      </c>
      <c r="B957" s="36">
        <v>8121.4501950000003</v>
      </c>
      <c r="C957" s="36">
        <f t="shared" si="56"/>
        <v>8041.0775390500003</v>
      </c>
      <c r="D957" s="36">
        <f t="shared" si="57"/>
        <v>89.180128233880069</v>
      </c>
      <c r="E957" s="40">
        <v>8121.4501950000003</v>
      </c>
      <c r="F957" s="36">
        <f t="shared" si="58"/>
        <v>8219.4377955177606</v>
      </c>
      <c r="G957" s="36">
        <f t="shared" si="59"/>
        <v>7862.7172825822399</v>
      </c>
      <c r="I957" s="40">
        <v>8121.4501950000003</v>
      </c>
      <c r="J957" s="36">
        <v>8219.4377955177606</v>
      </c>
      <c r="K957" s="36">
        <v>7862.7172825822399</v>
      </c>
    </row>
    <row r="958" spans="1:11" x14ac:dyDescent="0.25">
      <c r="A958" s="39">
        <v>41904</v>
      </c>
      <c r="B958" s="36">
        <v>8146.2998049999997</v>
      </c>
      <c r="C958" s="36">
        <f t="shared" si="56"/>
        <v>8052.7325195499998</v>
      </c>
      <c r="D958" s="36">
        <f t="shared" si="57"/>
        <v>86.788050622335831</v>
      </c>
      <c r="E958" s="40">
        <v>8146.2998049999997</v>
      </c>
      <c r="F958" s="36">
        <f t="shared" si="58"/>
        <v>8226.3086207946708</v>
      </c>
      <c r="G958" s="36">
        <f t="shared" si="59"/>
        <v>7879.1564183053279</v>
      </c>
      <c r="I958" s="40">
        <v>8146.2998049999997</v>
      </c>
      <c r="J958" s="36">
        <v>8226.3086207946708</v>
      </c>
      <c r="K958" s="36">
        <v>7879.1564183053279</v>
      </c>
    </row>
    <row r="959" spans="1:11" x14ac:dyDescent="0.25">
      <c r="A959" s="39">
        <v>41905</v>
      </c>
      <c r="B959" s="36">
        <v>8017.5498049999997</v>
      </c>
      <c r="C959" s="36">
        <f t="shared" si="56"/>
        <v>8058.2950195499998</v>
      </c>
      <c r="D959" s="36">
        <f t="shared" si="57"/>
        <v>80.225866767488796</v>
      </c>
      <c r="E959" s="40">
        <v>8017.5498049999997</v>
      </c>
      <c r="F959" s="36">
        <f t="shared" si="58"/>
        <v>8218.7467530849772</v>
      </c>
      <c r="G959" s="36">
        <f t="shared" si="59"/>
        <v>7897.8432860150224</v>
      </c>
      <c r="I959" s="40">
        <v>8017.5498049999997</v>
      </c>
      <c r="J959" s="36">
        <v>8218.7467530849772</v>
      </c>
      <c r="K959" s="36">
        <v>7897.8432860150224</v>
      </c>
    </row>
    <row r="960" spans="1:11" x14ac:dyDescent="0.25">
      <c r="A960" s="39">
        <v>41906</v>
      </c>
      <c r="B960" s="36">
        <v>8002.3999020000001</v>
      </c>
      <c r="C960" s="36">
        <f t="shared" si="56"/>
        <v>8063.1775146499986</v>
      </c>
      <c r="D960" s="36">
        <f t="shared" si="57"/>
        <v>73.038929865694271</v>
      </c>
      <c r="E960" s="40">
        <v>8002.3999020000001</v>
      </c>
      <c r="F960" s="36">
        <f t="shared" si="58"/>
        <v>8209.2553743813878</v>
      </c>
      <c r="G960" s="36">
        <f t="shared" si="59"/>
        <v>7917.0996549186102</v>
      </c>
      <c r="I960" s="40">
        <v>8002.3999020000001</v>
      </c>
      <c r="J960" s="36">
        <v>8209.2553743813878</v>
      </c>
      <c r="K960" s="36">
        <v>7917.0996549186102</v>
      </c>
    </row>
    <row r="961" spans="1:11" x14ac:dyDescent="0.25">
      <c r="A961" s="39">
        <v>41907</v>
      </c>
      <c r="B961" s="36">
        <v>7911.8500979999999</v>
      </c>
      <c r="C961" s="36">
        <f t="shared" si="56"/>
        <v>8061.9675292999991</v>
      </c>
      <c r="D961" s="36">
        <f t="shared" si="57"/>
        <v>75.417529520576636</v>
      </c>
      <c r="E961" s="40">
        <v>7911.8500979999999</v>
      </c>
      <c r="F961" s="36">
        <f t="shared" si="58"/>
        <v>8212.8025883411519</v>
      </c>
      <c r="G961" s="36">
        <f t="shared" si="59"/>
        <v>7911.1324702588463</v>
      </c>
      <c r="I961" s="40">
        <v>7911.8500979999999</v>
      </c>
      <c r="J961" s="36">
        <v>8212.8025883411519</v>
      </c>
      <c r="K961" s="36">
        <v>7911.1324702588463</v>
      </c>
    </row>
    <row r="962" spans="1:11" x14ac:dyDescent="0.25">
      <c r="A962" s="39">
        <v>41908</v>
      </c>
      <c r="B962" s="36">
        <v>7968.8500979999999</v>
      </c>
      <c r="C962" s="36">
        <f t="shared" si="56"/>
        <v>8062.6925292999995</v>
      </c>
      <c r="D962" s="36">
        <f t="shared" si="57"/>
        <v>74.391249985272196</v>
      </c>
      <c r="E962" s="40">
        <v>7968.8500979999999</v>
      </c>
      <c r="F962" s="36">
        <f t="shared" si="58"/>
        <v>8211.475029270543</v>
      </c>
      <c r="G962" s="36">
        <f t="shared" si="59"/>
        <v>7913.910029329455</v>
      </c>
      <c r="I962" s="40">
        <v>7968.8500979999999</v>
      </c>
      <c r="J962" s="36">
        <v>8211.475029270543</v>
      </c>
      <c r="K962" s="36">
        <v>7913.910029329455</v>
      </c>
    </row>
    <row r="963" spans="1:11" x14ac:dyDescent="0.25">
      <c r="A963" s="39">
        <v>41911</v>
      </c>
      <c r="B963" s="36">
        <v>7958.8999020000001</v>
      </c>
      <c r="C963" s="36">
        <f t="shared" si="56"/>
        <v>8059.2525146499993</v>
      </c>
      <c r="D963" s="36">
        <f t="shared" si="57"/>
        <v>77.615406575350889</v>
      </c>
      <c r="E963" s="40">
        <v>7958.8999020000001</v>
      </c>
      <c r="F963" s="36">
        <f t="shared" si="58"/>
        <v>8214.4833278007009</v>
      </c>
      <c r="G963" s="36">
        <f t="shared" si="59"/>
        <v>7904.0217014992977</v>
      </c>
      <c r="I963" s="40">
        <v>7958.8999020000001</v>
      </c>
      <c r="J963" s="36">
        <v>8214.4833278007009</v>
      </c>
      <c r="K963" s="36">
        <v>7904.0217014992977</v>
      </c>
    </row>
    <row r="964" spans="1:11" x14ac:dyDescent="0.25">
      <c r="A964" s="39">
        <v>41912</v>
      </c>
      <c r="B964" s="36">
        <v>7964.7998049999997</v>
      </c>
      <c r="C964" s="36">
        <f t="shared" si="56"/>
        <v>8053.3400146500007</v>
      </c>
      <c r="D964" s="36">
        <f t="shared" si="57"/>
        <v>80.169138840627539</v>
      </c>
      <c r="E964" s="40">
        <v>7964.7998049999997</v>
      </c>
      <c r="F964" s="36">
        <f t="shared" si="58"/>
        <v>8213.6782923312567</v>
      </c>
      <c r="G964" s="36">
        <f t="shared" si="59"/>
        <v>7893.0017369687457</v>
      </c>
      <c r="I964" s="40">
        <v>7964.7998049999997</v>
      </c>
      <c r="J964" s="36">
        <v>8213.6782923312567</v>
      </c>
      <c r="K964" s="36">
        <v>7893.0017369687457</v>
      </c>
    </row>
    <row r="965" spans="1:11" x14ac:dyDescent="0.25">
      <c r="A965" s="39">
        <v>41913</v>
      </c>
      <c r="B965" s="36">
        <v>7945.5498049999997</v>
      </c>
      <c r="C965" s="36">
        <f t="shared" si="56"/>
        <v>8044.8874999999998</v>
      </c>
      <c r="D965" s="36">
        <f t="shared" si="57"/>
        <v>82.254981302584284</v>
      </c>
      <c r="E965" s="40">
        <v>7945.5498049999997</v>
      </c>
      <c r="F965" s="36">
        <f t="shared" si="58"/>
        <v>8209.3974626051677</v>
      </c>
      <c r="G965" s="36">
        <f t="shared" si="59"/>
        <v>7880.3775373948311</v>
      </c>
      <c r="I965" s="40">
        <v>7945.5498049999997</v>
      </c>
      <c r="J965" s="36">
        <v>8209.3974626051677</v>
      </c>
      <c r="K965" s="36">
        <v>7880.3775373948311</v>
      </c>
    </row>
    <row r="966" spans="1:11" x14ac:dyDescent="0.25">
      <c r="A966" s="39">
        <v>41919</v>
      </c>
      <c r="B966" s="36">
        <v>7852.3999020000001</v>
      </c>
      <c r="C966" s="36">
        <f t="shared" si="56"/>
        <v>8032.7099853499985</v>
      </c>
      <c r="D966" s="36">
        <f t="shared" si="57"/>
        <v>91.774895184045576</v>
      </c>
      <c r="E966" s="40">
        <v>7852.3999020000001</v>
      </c>
      <c r="F966" s="36">
        <f t="shared" si="58"/>
        <v>8216.2597757180902</v>
      </c>
      <c r="G966" s="36">
        <f t="shared" si="59"/>
        <v>7849.1601949819078</v>
      </c>
      <c r="I966" s="40">
        <v>7852.3999020000001</v>
      </c>
      <c r="J966" s="36">
        <v>8216.2597757180902</v>
      </c>
      <c r="K966" s="36">
        <v>7849.1601949819078</v>
      </c>
    </row>
    <row r="967" spans="1:11" x14ac:dyDescent="0.25">
      <c r="A967" s="39">
        <v>41920</v>
      </c>
      <c r="B967" s="36">
        <v>7842.7001950000003</v>
      </c>
      <c r="C967" s="36">
        <f t="shared" si="56"/>
        <v>8020.5024902000005</v>
      </c>
      <c r="D967" s="36">
        <f t="shared" si="57"/>
        <v>100.05843193095754</v>
      </c>
      <c r="E967" s="40">
        <v>7842.7001950000003</v>
      </c>
      <c r="F967" s="36">
        <f t="shared" si="58"/>
        <v>8220.6193540619151</v>
      </c>
      <c r="G967" s="36">
        <f t="shared" si="59"/>
        <v>7820.3856263380858</v>
      </c>
      <c r="I967" s="40">
        <v>7842.7001950000003</v>
      </c>
      <c r="J967" s="36">
        <v>8220.6193540619151</v>
      </c>
      <c r="K967" s="36">
        <v>7820.3856263380858</v>
      </c>
    </row>
    <row r="968" spans="1:11" x14ac:dyDescent="0.25">
      <c r="A968" s="39">
        <v>41921</v>
      </c>
      <c r="B968" s="36">
        <v>7960.5498049999997</v>
      </c>
      <c r="C968" s="36">
        <f t="shared" si="56"/>
        <v>8009.8349853500013</v>
      </c>
      <c r="D968" s="36">
        <f t="shared" si="57"/>
        <v>94.035198205782507</v>
      </c>
      <c r="E968" s="40">
        <v>7960.5498049999997</v>
      </c>
      <c r="F968" s="36">
        <f t="shared" si="58"/>
        <v>8197.9053817615659</v>
      </c>
      <c r="G968" s="36">
        <f t="shared" si="59"/>
        <v>7821.7645889384366</v>
      </c>
      <c r="I968" s="40">
        <v>7960.5498049999997</v>
      </c>
      <c r="J968" s="36">
        <v>8197.9053817615659</v>
      </c>
      <c r="K968" s="36">
        <v>7821.7645889384366</v>
      </c>
    </row>
    <row r="969" spans="1:11" x14ac:dyDescent="0.25">
      <c r="A969" s="39">
        <v>41922</v>
      </c>
      <c r="B969" s="36">
        <v>7859.9501950000003</v>
      </c>
      <c r="C969" s="36">
        <f t="shared" si="56"/>
        <v>7995.1849853500007</v>
      </c>
      <c r="D969" s="36">
        <f t="shared" si="57"/>
        <v>93.386798536070273</v>
      </c>
      <c r="E969" s="40">
        <v>7859.9501950000003</v>
      </c>
      <c r="F969" s="36">
        <f t="shared" si="58"/>
        <v>8181.9585824221413</v>
      </c>
      <c r="G969" s="36">
        <f t="shared" si="59"/>
        <v>7808.4113882778602</v>
      </c>
      <c r="I969" s="40">
        <v>7859.9501950000003</v>
      </c>
      <c r="J969" s="36">
        <v>8181.9585824221413</v>
      </c>
      <c r="K969" s="36">
        <v>7808.4113882778602</v>
      </c>
    </row>
    <row r="970" spans="1:11" x14ac:dyDescent="0.25">
      <c r="A970" s="39">
        <v>41925</v>
      </c>
      <c r="B970" s="36">
        <v>7884.25</v>
      </c>
      <c r="C970" s="36">
        <f t="shared" si="56"/>
        <v>7984.6924804500013</v>
      </c>
      <c r="D970" s="36">
        <f t="shared" si="57"/>
        <v>93.477074858527146</v>
      </c>
      <c r="E970" s="40">
        <v>7884.25</v>
      </c>
      <c r="F970" s="36">
        <f t="shared" si="58"/>
        <v>8171.6466301670553</v>
      </c>
      <c r="G970" s="36">
        <f t="shared" si="59"/>
        <v>7797.7383307329474</v>
      </c>
      <c r="I970" s="40">
        <v>7884.25</v>
      </c>
      <c r="J970" s="36">
        <v>8171.6466301670553</v>
      </c>
      <c r="K970" s="36">
        <v>7797.7383307329474</v>
      </c>
    </row>
    <row r="971" spans="1:11" x14ac:dyDescent="0.25">
      <c r="A971" s="39">
        <v>41926</v>
      </c>
      <c r="B971" s="36">
        <v>7864</v>
      </c>
      <c r="C971" s="36">
        <f t="shared" si="56"/>
        <v>7973.6074707000007</v>
      </c>
      <c r="D971" s="36">
        <f t="shared" si="57"/>
        <v>94.012282112899982</v>
      </c>
      <c r="E971" s="40">
        <v>7864</v>
      </c>
      <c r="F971" s="36">
        <f t="shared" si="58"/>
        <v>8161.6320349258003</v>
      </c>
      <c r="G971" s="36">
        <f t="shared" si="59"/>
        <v>7785.5829064742011</v>
      </c>
      <c r="I971" s="40">
        <v>7864</v>
      </c>
      <c r="J971" s="36">
        <v>8161.6320349258003</v>
      </c>
      <c r="K971" s="36">
        <v>7785.5829064742011</v>
      </c>
    </row>
    <row r="972" spans="1:11" x14ac:dyDescent="0.25">
      <c r="A972" s="39">
        <v>41928</v>
      </c>
      <c r="B972" s="36">
        <v>7748.2001950000003</v>
      </c>
      <c r="C972" s="36">
        <f t="shared" si="56"/>
        <v>7955.7424804500015</v>
      </c>
      <c r="D972" s="36">
        <f t="shared" si="57"/>
        <v>101.29620912897686</v>
      </c>
      <c r="E972" s="40">
        <v>7748.2001950000003</v>
      </c>
      <c r="F972" s="36">
        <f t="shared" si="58"/>
        <v>8158.3348987079553</v>
      </c>
      <c r="G972" s="36">
        <f t="shared" si="59"/>
        <v>7753.1500621920477</v>
      </c>
      <c r="I972" s="40">
        <v>7748.2001950000003</v>
      </c>
      <c r="J972" s="36">
        <v>8158.3348987079553</v>
      </c>
      <c r="K972" s="36">
        <v>7753.1500621920477</v>
      </c>
    </row>
    <row r="973" spans="1:11" x14ac:dyDescent="0.25">
      <c r="A973" s="39">
        <v>41929</v>
      </c>
      <c r="B973" s="36">
        <v>7779.7001950000003</v>
      </c>
      <c r="C973" s="36">
        <f t="shared" si="56"/>
        <v>7942.6274902000023</v>
      </c>
      <c r="D973" s="36">
        <f t="shared" si="57"/>
        <v>106.39251677694439</v>
      </c>
      <c r="E973" s="40">
        <v>7779.7001950000003</v>
      </c>
      <c r="F973" s="36">
        <f t="shared" si="58"/>
        <v>8155.412523753891</v>
      </c>
      <c r="G973" s="36">
        <f t="shared" si="59"/>
        <v>7729.8424566461135</v>
      </c>
      <c r="I973" s="40">
        <v>7779.7001950000003</v>
      </c>
      <c r="J973" s="36">
        <v>8155.412523753891</v>
      </c>
      <c r="K973" s="36">
        <v>7729.8424566461135</v>
      </c>
    </row>
    <row r="974" spans="1:11" x14ac:dyDescent="0.25">
      <c r="A974" s="39">
        <v>41932</v>
      </c>
      <c r="B974" s="36">
        <v>7879.3999020000001</v>
      </c>
      <c r="C974" s="36">
        <f t="shared" si="56"/>
        <v>7939.9524902000021</v>
      </c>
      <c r="D974" s="36">
        <f t="shared" si="57"/>
        <v>107.31850635863407</v>
      </c>
      <c r="E974" s="40">
        <v>7879.3999020000001</v>
      </c>
      <c r="F974" s="36">
        <f t="shared" si="58"/>
        <v>8154.5895029172698</v>
      </c>
      <c r="G974" s="36">
        <f t="shared" si="59"/>
        <v>7725.3154774827344</v>
      </c>
      <c r="I974" s="40">
        <v>7879.3999020000001</v>
      </c>
      <c r="J974" s="36">
        <v>8154.5895029172698</v>
      </c>
      <c r="K974" s="36">
        <v>7725.3154774827344</v>
      </c>
    </row>
    <row r="975" spans="1:11" x14ac:dyDescent="0.25">
      <c r="A975" s="39">
        <v>41933</v>
      </c>
      <c r="B975" s="36">
        <v>7927.75</v>
      </c>
      <c r="C975" s="36">
        <f t="shared" si="56"/>
        <v>7937.5649902000023</v>
      </c>
      <c r="D975" s="36">
        <f t="shared" si="57"/>
        <v>107.01678336720821</v>
      </c>
      <c r="E975" s="40">
        <v>7927.75</v>
      </c>
      <c r="F975" s="36">
        <f t="shared" si="58"/>
        <v>8151.5985569344184</v>
      </c>
      <c r="G975" s="36">
        <f t="shared" si="59"/>
        <v>7723.5314234655862</v>
      </c>
      <c r="I975" s="40">
        <v>7927.75</v>
      </c>
      <c r="J975" s="36">
        <v>8151.5985569344184</v>
      </c>
      <c r="K975" s="36">
        <v>7723.5314234655862</v>
      </c>
    </row>
    <row r="976" spans="1:11" x14ac:dyDescent="0.25">
      <c r="A976" s="39">
        <v>41934</v>
      </c>
      <c r="B976" s="36">
        <v>7995.8999020000001</v>
      </c>
      <c r="C976" s="36">
        <f t="shared" si="56"/>
        <v>7931.6224853000003</v>
      </c>
      <c r="D976" s="36">
        <f t="shared" si="57"/>
        <v>99.71047917006959</v>
      </c>
      <c r="E976" s="40">
        <v>7995.8999020000001</v>
      </c>
      <c r="F976" s="36">
        <f t="shared" si="58"/>
        <v>8131.0434436401392</v>
      </c>
      <c r="G976" s="36">
        <f t="shared" si="59"/>
        <v>7732.2015269598614</v>
      </c>
      <c r="I976" s="40">
        <v>7995.8999020000001</v>
      </c>
      <c r="J976" s="36">
        <v>8131.0434436401392</v>
      </c>
      <c r="K976" s="36">
        <v>7732.2015269598614</v>
      </c>
    </row>
    <row r="977" spans="1:11" x14ac:dyDescent="0.25">
      <c r="A977" s="39">
        <v>41939</v>
      </c>
      <c r="B977" s="36">
        <v>7991.7001950000003</v>
      </c>
      <c r="C977" s="36">
        <f t="shared" si="56"/>
        <v>7925.1349853000011</v>
      </c>
      <c r="D977" s="36">
        <f t="shared" si="57"/>
        <v>90.505723046150251</v>
      </c>
      <c r="E977" s="40">
        <v>7991.7001950000003</v>
      </c>
      <c r="F977" s="36">
        <f t="shared" si="58"/>
        <v>8106.1464313923016</v>
      </c>
      <c r="G977" s="36">
        <f t="shared" si="59"/>
        <v>7744.1235392077006</v>
      </c>
      <c r="I977" s="40">
        <v>7991.7001950000003</v>
      </c>
      <c r="J977" s="36">
        <v>8106.1464313923016</v>
      </c>
      <c r="K977" s="36">
        <v>7744.1235392077006</v>
      </c>
    </row>
    <row r="978" spans="1:11" x14ac:dyDescent="0.25">
      <c r="A978" s="39">
        <v>41940</v>
      </c>
      <c r="B978" s="36">
        <v>8027.6000979999999</v>
      </c>
      <c r="C978" s="36">
        <f t="shared" si="56"/>
        <v>7919.1999999500013</v>
      </c>
      <c r="D978" s="36">
        <f t="shared" si="57"/>
        <v>78.309498316016843</v>
      </c>
      <c r="E978" s="40">
        <v>8027.6000979999999</v>
      </c>
      <c r="F978" s="36">
        <f t="shared" si="58"/>
        <v>8075.8189965820347</v>
      </c>
      <c r="G978" s="36">
        <f t="shared" si="59"/>
        <v>7762.5810033179678</v>
      </c>
      <c r="I978" s="40">
        <v>8027.6000979999999</v>
      </c>
      <c r="J978" s="36">
        <v>8075.8189965820347</v>
      </c>
      <c r="K978" s="36">
        <v>7762.5810033179678</v>
      </c>
    </row>
    <row r="979" spans="1:11" x14ac:dyDescent="0.25">
      <c r="A979" s="39">
        <v>41941</v>
      </c>
      <c r="B979" s="36">
        <v>8090.4501950000003</v>
      </c>
      <c r="C979" s="36">
        <f t="shared" si="56"/>
        <v>7922.845019450001</v>
      </c>
      <c r="D979" s="36">
        <f t="shared" si="57"/>
        <v>84.574288369768141</v>
      </c>
      <c r="E979" s="40">
        <v>8090.4501950000003</v>
      </c>
      <c r="F979" s="36">
        <f t="shared" si="58"/>
        <v>8091.9935961895371</v>
      </c>
      <c r="G979" s="36">
        <f t="shared" si="59"/>
        <v>7753.6964427104649</v>
      </c>
      <c r="I979" s="40">
        <v>8090.4501950000003</v>
      </c>
      <c r="J979" s="36">
        <v>8091.9935961895371</v>
      </c>
      <c r="K979" s="36">
        <v>7753.6964427104649</v>
      </c>
    </row>
    <row r="980" spans="1:11" x14ac:dyDescent="0.25">
      <c r="A980" s="39">
        <v>41942</v>
      </c>
      <c r="B980" s="36">
        <v>8169.2001950000003</v>
      </c>
      <c r="C980" s="36">
        <f t="shared" si="56"/>
        <v>7931.1850341000008</v>
      </c>
      <c r="D980" s="36">
        <f t="shared" si="57"/>
        <v>99.703289051825138</v>
      </c>
      <c r="E980" s="40">
        <v>8169.2001950000003</v>
      </c>
      <c r="F980" s="36">
        <f t="shared" si="58"/>
        <v>8130.5916122036515</v>
      </c>
      <c r="G980" s="36">
        <f t="shared" si="59"/>
        <v>7731.7784559963502</v>
      </c>
      <c r="I980" s="40">
        <v>8169.2001950000003</v>
      </c>
      <c r="J980" s="36">
        <v>8130.5916122036515</v>
      </c>
      <c r="K980" s="36">
        <v>7731.7784559963502</v>
      </c>
    </row>
    <row r="981" spans="1:11" x14ac:dyDescent="0.25">
      <c r="A981" s="39">
        <v>41943</v>
      </c>
      <c r="B981" s="36">
        <v>8322.2001949999994</v>
      </c>
      <c r="C981" s="36">
        <f t="shared" si="56"/>
        <v>7951.7025389500022</v>
      </c>
      <c r="D981" s="36">
        <f t="shared" si="57"/>
        <v>132.38178983164167</v>
      </c>
      <c r="E981" s="40">
        <v>8322.2001949999994</v>
      </c>
      <c r="F981" s="36">
        <f t="shared" si="58"/>
        <v>8216.4661186132853</v>
      </c>
      <c r="G981" s="36">
        <f t="shared" si="59"/>
        <v>7686.9389592867192</v>
      </c>
      <c r="I981" s="40">
        <v>8322.2001949999994</v>
      </c>
      <c r="J981" s="36">
        <v>8216.4661186132853</v>
      </c>
      <c r="K981" s="36">
        <v>7686.9389592867192</v>
      </c>
    </row>
    <row r="982" spans="1:11" x14ac:dyDescent="0.25">
      <c r="A982" s="39">
        <v>41946</v>
      </c>
      <c r="B982" s="36">
        <v>8324.1503909999992</v>
      </c>
      <c r="C982" s="36">
        <f t="shared" ref="C982:C1045" si="60">AVERAGE(B963:B982)</f>
        <v>7969.4675536000013</v>
      </c>
      <c r="D982" s="36">
        <f t="shared" ref="D982:D1045" si="61">_xlfn.STDEV.S(B963:B982)</f>
        <v>156.45501726266252</v>
      </c>
      <c r="E982" s="40">
        <v>8324.1503909999992</v>
      </c>
      <c r="F982" s="36">
        <f t="shared" ref="F982:F1045" si="62">C982+2*D982</f>
        <v>8282.3775881253259</v>
      </c>
      <c r="G982" s="36">
        <f t="shared" ref="G982:G1045" si="63">C982-2*D982</f>
        <v>7656.5575190746767</v>
      </c>
      <c r="I982" s="40">
        <v>8324.1503909999992</v>
      </c>
      <c r="J982" s="36">
        <v>8282.3775881253259</v>
      </c>
      <c r="K982" s="36">
        <v>7656.5575190746767</v>
      </c>
    </row>
    <row r="983" spans="1:11" x14ac:dyDescent="0.25">
      <c r="A983" s="39">
        <v>41948</v>
      </c>
      <c r="B983" s="36">
        <v>8338.2998050000006</v>
      </c>
      <c r="C983" s="36">
        <f t="shared" si="60"/>
        <v>7988.4375487500001</v>
      </c>
      <c r="D983" s="36">
        <f t="shared" si="61"/>
        <v>176.78616524210591</v>
      </c>
      <c r="E983" s="40">
        <v>8338.2998050000006</v>
      </c>
      <c r="F983" s="36">
        <f t="shared" si="62"/>
        <v>8342.0098792342123</v>
      </c>
      <c r="G983" s="36">
        <f t="shared" si="63"/>
        <v>7634.8652182657879</v>
      </c>
      <c r="I983" s="40">
        <v>8338.2998050000006</v>
      </c>
      <c r="J983" s="36">
        <v>8342.0098792342123</v>
      </c>
      <c r="K983" s="36">
        <v>7634.8652182657879</v>
      </c>
    </row>
    <row r="984" spans="1:11" x14ac:dyDescent="0.25">
      <c r="A984" s="39">
        <v>41950</v>
      </c>
      <c r="B984" s="36">
        <v>8337</v>
      </c>
      <c r="C984" s="36">
        <f t="shared" si="60"/>
        <v>8007.0475584999995</v>
      </c>
      <c r="D984" s="36">
        <f t="shared" si="61"/>
        <v>193.01268112594519</v>
      </c>
      <c r="E984" s="40">
        <v>8337</v>
      </c>
      <c r="F984" s="36">
        <f t="shared" si="62"/>
        <v>8393.0729207518907</v>
      </c>
      <c r="G984" s="36">
        <f t="shared" si="63"/>
        <v>7621.0221962481091</v>
      </c>
      <c r="I984" s="40">
        <v>8337</v>
      </c>
      <c r="J984" s="36">
        <v>8393.0729207518907</v>
      </c>
      <c r="K984" s="36">
        <v>7621.0221962481091</v>
      </c>
    </row>
    <row r="985" spans="1:11" x14ac:dyDescent="0.25">
      <c r="A985" s="39">
        <v>41953</v>
      </c>
      <c r="B985" s="36">
        <v>8344.25</v>
      </c>
      <c r="C985" s="36">
        <f t="shared" si="60"/>
        <v>8026.9825682499986</v>
      </c>
      <c r="D985" s="36">
        <f t="shared" si="61"/>
        <v>206.44859523638428</v>
      </c>
      <c r="E985" s="40">
        <v>8344.25</v>
      </c>
      <c r="F985" s="36">
        <f t="shared" si="62"/>
        <v>8439.8797587227673</v>
      </c>
      <c r="G985" s="36">
        <f t="shared" si="63"/>
        <v>7614.08537777723</v>
      </c>
      <c r="I985" s="40">
        <v>8344.25</v>
      </c>
      <c r="J985" s="36">
        <v>8439.8797587227673</v>
      </c>
      <c r="K985" s="36">
        <v>7614.08537777723</v>
      </c>
    </row>
    <row r="986" spans="1:11" x14ac:dyDescent="0.25">
      <c r="A986" s="39">
        <v>41954</v>
      </c>
      <c r="B986" s="36">
        <v>8362.6503909999992</v>
      </c>
      <c r="C986" s="36">
        <f t="shared" si="60"/>
        <v>8052.4950926999982</v>
      </c>
      <c r="D986" s="36">
        <f t="shared" si="61"/>
        <v>215.08571471624757</v>
      </c>
      <c r="E986" s="40">
        <v>8362.6503909999992</v>
      </c>
      <c r="F986" s="36">
        <f t="shared" si="62"/>
        <v>8482.6665221324929</v>
      </c>
      <c r="G986" s="36">
        <f t="shared" si="63"/>
        <v>7622.3236632675034</v>
      </c>
      <c r="I986" s="40">
        <v>8362.6503909999992</v>
      </c>
      <c r="J986" s="36">
        <v>8482.6665221324929</v>
      </c>
      <c r="K986" s="36">
        <v>7622.3236632675034</v>
      </c>
    </row>
    <row r="987" spans="1:11" x14ac:dyDescent="0.25">
      <c r="A987" s="39">
        <v>41955</v>
      </c>
      <c r="B987" s="36">
        <v>8383.2998050000006</v>
      </c>
      <c r="C987" s="36">
        <f t="shared" si="60"/>
        <v>8079.5250731999986</v>
      </c>
      <c r="D987" s="36">
        <f t="shared" si="61"/>
        <v>221.21445780381802</v>
      </c>
      <c r="E987" s="40">
        <v>8383.2998050000006</v>
      </c>
      <c r="F987" s="36">
        <f t="shared" si="62"/>
        <v>8521.9539888076342</v>
      </c>
      <c r="G987" s="36">
        <f t="shared" si="63"/>
        <v>7637.0961575923629</v>
      </c>
      <c r="I987" s="40">
        <v>8383.2998050000006</v>
      </c>
      <c r="J987" s="36">
        <v>8521.9539888076342</v>
      </c>
      <c r="K987" s="36">
        <v>7637.0961575923629</v>
      </c>
    </row>
    <row r="988" spans="1:11" x14ac:dyDescent="0.25">
      <c r="A988" s="39">
        <v>41956</v>
      </c>
      <c r="B988" s="36">
        <v>8357.8496090000008</v>
      </c>
      <c r="C988" s="36">
        <f t="shared" si="60"/>
        <v>8099.3900633999992</v>
      </c>
      <c r="D988" s="36">
        <f t="shared" si="61"/>
        <v>227.71149412306431</v>
      </c>
      <c r="E988" s="40">
        <v>8357.8496090000008</v>
      </c>
      <c r="F988" s="36">
        <f t="shared" si="62"/>
        <v>8554.8130516461279</v>
      </c>
      <c r="G988" s="36">
        <f t="shared" si="63"/>
        <v>7643.9670751538706</v>
      </c>
      <c r="I988" s="40">
        <v>8357.8496090000008</v>
      </c>
      <c r="J988" s="36">
        <v>8554.8130516461279</v>
      </c>
      <c r="K988" s="36">
        <v>7643.9670751538706</v>
      </c>
    </row>
    <row r="989" spans="1:11" x14ac:dyDescent="0.25">
      <c r="A989" s="39">
        <v>41957</v>
      </c>
      <c r="B989" s="36">
        <v>8389.9003909999992</v>
      </c>
      <c r="C989" s="36">
        <f t="shared" si="60"/>
        <v>8125.8875731999988</v>
      </c>
      <c r="D989" s="36">
        <f t="shared" si="61"/>
        <v>229.2115095289474</v>
      </c>
      <c r="E989" s="40">
        <v>8389.9003909999992</v>
      </c>
      <c r="F989" s="36">
        <f t="shared" si="62"/>
        <v>8584.3105922578943</v>
      </c>
      <c r="G989" s="36">
        <f t="shared" si="63"/>
        <v>7667.4645541421041</v>
      </c>
      <c r="I989" s="40">
        <v>8389.9003909999992</v>
      </c>
      <c r="J989" s="36">
        <v>8584.3105922578943</v>
      </c>
      <c r="K989" s="36">
        <v>7667.4645541421041</v>
      </c>
    </row>
    <row r="990" spans="1:11" x14ac:dyDescent="0.25">
      <c r="A990" s="39">
        <v>41960</v>
      </c>
      <c r="B990" s="36">
        <v>8430.75</v>
      </c>
      <c r="C990" s="36">
        <f t="shared" si="60"/>
        <v>8153.2125732000004</v>
      </c>
      <c r="D990" s="36">
        <f t="shared" si="61"/>
        <v>231.45303899070646</v>
      </c>
      <c r="E990" s="40">
        <v>8430.75</v>
      </c>
      <c r="F990" s="36">
        <f t="shared" si="62"/>
        <v>8616.118651181414</v>
      </c>
      <c r="G990" s="36">
        <f t="shared" si="63"/>
        <v>7690.3064952185878</v>
      </c>
      <c r="I990" s="40">
        <v>8430.75</v>
      </c>
      <c r="J990" s="36">
        <v>8616.118651181414</v>
      </c>
      <c r="K990" s="36">
        <v>7690.3064952185878</v>
      </c>
    </row>
    <row r="991" spans="1:11" x14ac:dyDescent="0.25">
      <c r="A991" s="39">
        <v>41961</v>
      </c>
      <c r="B991" s="36">
        <v>8425.9003909999992</v>
      </c>
      <c r="C991" s="36">
        <f t="shared" si="60"/>
        <v>8181.3075927500004</v>
      </c>
      <c r="D991" s="36">
        <f t="shared" si="61"/>
        <v>228.58463904184248</v>
      </c>
      <c r="E991" s="40">
        <v>8425.9003909999992</v>
      </c>
      <c r="F991" s="36">
        <f t="shared" si="62"/>
        <v>8638.4768708336851</v>
      </c>
      <c r="G991" s="36">
        <f t="shared" si="63"/>
        <v>7724.1383146663156</v>
      </c>
      <c r="I991" s="40">
        <v>8425.9003909999992</v>
      </c>
      <c r="J991" s="36">
        <v>8638.4768708336851</v>
      </c>
      <c r="K991" s="36">
        <v>7724.1383146663156</v>
      </c>
    </row>
    <row r="992" spans="1:11" x14ac:dyDescent="0.25">
      <c r="A992" s="39">
        <v>41962</v>
      </c>
      <c r="B992" s="36">
        <v>8382.2998050000006</v>
      </c>
      <c r="C992" s="36">
        <f t="shared" si="60"/>
        <v>8213.0125732500001</v>
      </c>
      <c r="D992" s="36">
        <f t="shared" si="61"/>
        <v>208.43774061501637</v>
      </c>
      <c r="E992" s="40">
        <v>8382.2998050000006</v>
      </c>
      <c r="F992" s="36">
        <f t="shared" si="62"/>
        <v>8629.8880544800322</v>
      </c>
      <c r="G992" s="36">
        <f t="shared" si="63"/>
        <v>7796.137092019967</v>
      </c>
      <c r="I992" s="40">
        <v>8382.2998050000006</v>
      </c>
      <c r="J992" s="36">
        <v>8629.8880544800322</v>
      </c>
      <c r="K992" s="36">
        <v>7796.137092019967</v>
      </c>
    </row>
    <row r="993" spans="1:11" x14ac:dyDescent="0.25">
      <c r="A993" s="39">
        <v>41963</v>
      </c>
      <c r="B993" s="36">
        <v>8401.9003909999992</v>
      </c>
      <c r="C993" s="36">
        <f t="shared" si="60"/>
        <v>8244.1225830500007</v>
      </c>
      <c r="D993" s="36">
        <f t="shared" si="61"/>
        <v>185.53505540459383</v>
      </c>
      <c r="E993" s="40">
        <v>8401.9003909999992</v>
      </c>
      <c r="F993" s="36">
        <f t="shared" si="62"/>
        <v>8615.1926938591878</v>
      </c>
      <c r="G993" s="36">
        <f t="shared" si="63"/>
        <v>7873.0524722408127</v>
      </c>
      <c r="I993" s="40">
        <v>8401.9003909999992</v>
      </c>
      <c r="J993" s="36">
        <v>8615.1926938591878</v>
      </c>
      <c r="K993" s="36">
        <v>7873.0524722408127</v>
      </c>
    </row>
    <row r="994" spans="1:11" x14ac:dyDescent="0.25">
      <c r="A994" s="39">
        <v>41964</v>
      </c>
      <c r="B994" s="36">
        <v>8477.3496090000008</v>
      </c>
      <c r="C994" s="36">
        <f t="shared" si="60"/>
        <v>8274.0200683999992</v>
      </c>
      <c r="D994" s="36">
        <f t="shared" si="61"/>
        <v>171.30104277370901</v>
      </c>
      <c r="E994" s="40">
        <v>8477.3496090000008</v>
      </c>
      <c r="F994" s="36">
        <f t="shared" si="62"/>
        <v>8616.6221539474172</v>
      </c>
      <c r="G994" s="36">
        <f t="shared" si="63"/>
        <v>7931.4179828525812</v>
      </c>
      <c r="I994" s="40">
        <v>8477.3496090000008</v>
      </c>
      <c r="J994" s="36">
        <v>8616.6221539474172</v>
      </c>
      <c r="K994" s="36">
        <v>7931.4179828525812</v>
      </c>
    </row>
    <row r="995" spans="1:11" x14ac:dyDescent="0.25">
      <c r="A995" s="39">
        <v>41967</v>
      </c>
      <c r="B995" s="36">
        <v>8530.1503909999992</v>
      </c>
      <c r="C995" s="36">
        <f t="shared" si="60"/>
        <v>8304.1400879499997</v>
      </c>
      <c r="D995" s="36">
        <f t="shared" si="61"/>
        <v>159.7847842343327</v>
      </c>
      <c r="E995" s="40">
        <v>8530.1503909999992</v>
      </c>
      <c r="F995" s="36">
        <f t="shared" si="62"/>
        <v>8623.709656418665</v>
      </c>
      <c r="G995" s="36">
        <f t="shared" si="63"/>
        <v>7984.5705194813345</v>
      </c>
      <c r="I995" s="40">
        <v>8530.1503909999992</v>
      </c>
      <c r="J995" s="36">
        <v>8623.709656418665</v>
      </c>
      <c r="K995" s="36">
        <v>7984.5705194813345</v>
      </c>
    </row>
    <row r="996" spans="1:11" x14ac:dyDescent="0.25">
      <c r="A996" s="39">
        <v>41968</v>
      </c>
      <c r="B996" s="36">
        <v>8463.0996090000008</v>
      </c>
      <c r="C996" s="36">
        <f t="shared" si="60"/>
        <v>8327.5000733000015</v>
      </c>
      <c r="D996" s="36">
        <f t="shared" si="61"/>
        <v>145.89735161738017</v>
      </c>
      <c r="E996" s="40">
        <v>8463.0996090000008</v>
      </c>
      <c r="F996" s="36">
        <f t="shared" si="62"/>
        <v>8619.2947765347617</v>
      </c>
      <c r="G996" s="36">
        <f t="shared" si="63"/>
        <v>8035.7053700652414</v>
      </c>
      <c r="I996" s="40">
        <v>8463.0996090000008</v>
      </c>
      <c r="J996" s="36">
        <v>8619.2947765347617</v>
      </c>
      <c r="K996" s="36">
        <v>8035.7053700652414</v>
      </c>
    </row>
    <row r="997" spans="1:11" x14ac:dyDescent="0.25">
      <c r="A997" s="39">
        <v>41969</v>
      </c>
      <c r="B997" s="36">
        <v>8475.75</v>
      </c>
      <c r="C997" s="36">
        <f t="shared" si="60"/>
        <v>8351.7025635499995</v>
      </c>
      <c r="D997" s="36">
        <f t="shared" si="61"/>
        <v>126.06096661715497</v>
      </c>
      <c r="E997" s="40">
        <v>8475.75</v>
      </c>
      <c r="F997" s="36">
        <f t="shared" si="62"/>
        <v>8603.8244967843093</v>
      </c>
      <c r="G997" s="36">
        <f t="shared" si="63"/>
        <v>8099.5806303156896</v>
      </c>
      <c r="I997" s="40">
        <v>8475.75</v>
      </c>
      <c r="J997" s="36">
        <v>8603.8244967843093</v>
      </c>
      <c r="K997" s="36">
        <v>8099.5806303156896</v>
      </c>
    </row>
    <row r="998" spans="1:11" x14ac:dyDescent="0.25">
      <c r="A998" s="39">
        <v>41970</v>
      </c>
      <c r="B998" s="36">
        <v>8494.2001949999994</v>
      </c>
      <c r="C998" s="36">
        <f t="shared" si="60"/>
        <v>8375.0325684000018</v>
      </c>
      <c r="D998" s="36">
        <f t="shared" si="61"/>
        <v>104.20459709321547</v>
      </c>
      <c r="E998" s="40">
        <v>8494.2001949999994</v>
      </c>
      <c r="F998" s="36">
        <f t="shared" si="62"/>
        <v>8583.4417625864335</v>
      </c>
      <c r="G998" s="36">
        <f t="shared" si="63"/>
        <v>8166.623374213571</v>
      </c>
      <c r="I998" s="40">
        <v>8494.2001949999994</v>
      </c>
      <c r="J998" s="36">
        <v>8583.4417625864335</v>
      </c>
      <c r="K998" s="36">
        <v>8166.623374213571</v>
      </c>
    </row>
    <row r="999" spans="1:11" x14ac:dyDescent="0.25">
      <c r="A999" s="39">
        <v>41971</v>
      </c>
      <c r="B999" s="36">
        <v>8588.25</v>
      </c>
      <c r="C999" s="36">
        <f t="shared" si="60"/>
        <v>8399.9225586499997</v>
      </c>
      <c r="D999" s="36">
        <f t="shared" si="61"/>
        <v>91.305639604183014</v>
      </c>
      <c r="E999" s="40">
        <v>8588.25</v>
      </c>
      <c r="F999" s="36">
        <f t="shared" si="62"/>
        <v>8582.5338378583656</v>
      </c>
      <c r="G999" s="36">
        <f t="shared" si="63"/>
        <v>8217.3112794416338</v>
      </c>
      <c r="I999" s="40">
        <v>8588.25</v>
      </c>
      <c r="J999" s="36">
        <v>8582.5338378583656</v>
      </c>
      <c r="K999" s="36">
        <v>8217.3112794416338</v>
      </c>
    </row>
    <row r="1000" spans="1:11" x14ac:dyDescent="0.25">
      <c r="A1000" s="39">
        <v>41974</v>
      </c>
      <c r="B1000" s="36">
        <v>8555.9003909999992</v>
      </c>
      <c r="C1000" s="36">
        <f t="shared" si="60"/>
        <v>8419.2575684500007</v>
      </c>
      <c r="D1000" s="36">
        <f t="shared" si="61"/>
        <v>80.13708638264481</v>
      </c>
      <c r="E1000" s="40">
        <v>8555.9003909999992</v>
      </c>
      <c r="F1000" s="36">
        <f t="shared" si="62"/>
        <v>8579.5317412152908</v>
      </c>
      <c r="G1000" s="36">
        <f t="shared" si="63"/>
        <v>8258.9833956847106</v>
      </c>
      <c r="I1000" s="40">
        <v>8555.9003909999992</v>
      </c>
      <c r="J1000" s="36">
        <v>8579.5317412152908</v>
      </c>
      <c r="K1000" s="36">
        <v>8258.9833956847106</v>
      </c>
    </row>
    <row r="1001" spans="1:11" x14ac:dyDescent="0.25">
      <c r="A1001" s="39">
        <v>41975</v>
      </c>
      <c r="B1001" s="36">
        <v>8524.7001949999994</v>
      </c>
      <c r="C1001" s="36">
        <f t="shared" si="60"/>
        <v>8429.3825684500007</v>
      </c>
      <c r="D1001" s="36">
        <f t="shared" si="61"/>
        <v>80.021313251973808</v>
      </c>
      <c r="E1001" s="40">
        <v>8524.7001949999994</v>
      </c>
      <c r="F1001" s="36">
        <f t="shared" si="62"/>
        <v>8589.4251949539484</v>
      </c>
      <c r="G1001" s="36">
        <f t="shared" si="63"/>
        <v>8269.3399419460529</v>
      </c>
      <c r="I1001" s="40">
        <v>8524.7001949999994</v>
      </c>
      <c r="J1001" s="36">
        <v>8589.4251949539484</v>
      </c>
      <c r="K1001" s="36">
        <v>8269.3399419460529</v>
      </c>
    </row>
    <row r="1002" spans="1:11" x14ac:dyDescent="0.25">
      <c r="A1002" s="39">
        <v>41976</v>
      </c>
      <c r="B1002" s="36">
        <v>8537.6503909999992</v>
      </c>
      <c r="C1002" s="36">
        <f t="shared" si="60"/>
        <v>8440.0575684500018</v>
      </c>
      <c r="D1002" s="36">
        <f t="shared" si="61"/>
        <v>79.48313248591262</v>
      </c>
      <c r="E1002" s="40">
        <v>8537.6503909999992</v>
      </c>
      <c r="F1002" s="36">
        <f t="shared" si="62"/>
        <v>8599.0238334218266</v>
      </c>
      <c r="G1002" s="36">
        <f t="shared" si="63"/>
        <v>8281.091303478177</v>
      </c>
      <c r="I1002" s="40">
        <v>8537.6503909999992</v>
      </c>
      <c r="J1002" s="36">
        <v>8599.0238334218266</v>
      </c>
      <c r="K1002" s="36">
        <v>8281.091303478177</v>
      </c>
    </row>
    <row r="1003" spans="1:11" x14ac:dyDescent="0.25">
      <c r="A1003" s="39">
        <v>41977</v>
      </c>
      <c r="B1003" s="36">
        <v>8564.4003909999992</v>
      </c>
      <c r="C1003" s="36">
        <f t="shared" si="60"/>
        <v>8451.3625977500014</v>
      </c>
      <c r="D1003" s="36">
        <f t="shared" si="61"/>
        <v>80.323104100208951</v>
      </c>
      <c r="E1003" s="40">
        <v>8564.4003909999992</v>
      </c>
      <c r="F1003" s="36">
        <f t="shared" si="62"/>
        <v>8612.0088059504196</v>
      </c>
      <c r="G1003" s="36">
        <f t="shared" si="63"/>
        <v>8290.7163895495833</v>
      </c>
      <c r="I1003" s="40">
        <v>8564.4003909999992</v>
      </c>
      <c r="J1003" s="36">
        <v>8612.0088059504196</v>
      </c>
      <c r="K1003" s="36">
        <v>8290.7163895495833</v>
      </c>
    </row>
    <row r="1004" spans="1:11" x14ac:dyDescent="0.25">
      <c r="A1004" s="39">
        <v>41978</v>
      </c>
      <c r="B1004" s="36">
        <v>8538.2998050000006</v>
      </c>
      <c r="C1004" s="36">
        <f t="shared" si="60"/>
        <v>8461.4275880000005</v>
      </c>
      <c r="D1004" s="36">
        <f t="shared" si="61"/>
        <v>77.811314851415617</v>
      </c>
      <c r="E1004" s="40">
        <v>8538.2998050000006</v>
      </c>
      <c r="F1004" s="36">
        <f t="shared" si="62"/>
        <v>8617.050217702832</v>
      </c>
      <c r="G1004" s="36">
        <f t="shared" si="63"/>
        <v>8305.8049582971689</v>
      </c>
      <c r="I1004" s="40">
        <v>8538.2998050000006</v>
      </c>
      <c r="J1004" s="36">
        <v>8617.050217702832</v>
      </c>
      <c r="K1004" s="36">
        <v>8305.8049582971689</v>
      </c>
    </row>
    <row r="1005" spans="1:11" x14ac:dyDescent="0.25">
      <c r="A1005" s="39">
        <v>41981</v>
      </c>
      <c r="B1005" s="36">
        <v>8438.25</v>
      </c>
      <c r="C1005" s="36">
        <f t="shared" si="60"/>
        <v>8466.1275879999994</v>
      </c>
      <c r="D1005" s="36">
        <f t="shared" si="61"/>
        <v>73.054495562241073</v>
      </c>
      <c r="E1005" s="40">
        <v>8438.25</v>
      </c>
      <c r="F1005" s="36">
        <f t="shared" si="62"/>
        <v>8612.2365791244811</v>
      </c>
      <c r="G1005" s="36">
        <f t="shared" si="63"/>
        <v>8320.0185968755177</v>
      </c>
      <c r="I1005" s="40">
        <v>8438.25</v>
      </c>
      <c r="J1005" s="36">
        <v>8612.2365791244811</v>
      </c>
      <c r="K1005" s="36">
        <v>8320.0185968755177</v>
      </c>
    </row>
    <row r="1006" spans="1:11" x14ac:dyDescent="0.25">
      <c r="A1006" s="39">
        <v>41982</v>
      </c>
      <c r="B1006" s="36">
        <v>8340.7001949999994</v>
      </c>
      <c r="C1006" s="36">
        <f t="shared" si="60"/>
        <v>8465.0300782000013</v>
      </c>
      <c r="D1006" s="36">
        <f t="shared" si="61"/>
        <v>74.834075117729682</v>
      </c>
      <c r="E1006" s="40">
        <v>8340.7001949999994</v>
      </c>
      <c r="F1006" s="36">
        <f t="shared" si="62"/>
        <v>8614.6982284354599</v>
      </c>
      <c r="G1006" s="36">
        <f t="shared" si="63"/>
        <v>8315.3619279645427</v>
      </c>
      <c r="I1006" s="40">
        <v>8340.7001949999994</v>
      </c>
      <c r="J1006" s="36">
        <v>8614.6982284354599</v>
      </c>
      <c r="K1006" s="36">
        <v>8315.3619279645427</v>
      </c>
    </row>
    <row r="1007" spans="1:11" x14ac:dyDescent="0.25">
      <c r="A1007" s="39">
        <v>41983</v>
      </c>
      <c r="B1007" s="36">
        <v>8355.6503909999992</v>
      </c>
      <c r="C1007" s="36">
        <f t="shared" si="60"/>
        <v>8463.6476074999991</v>
      </c>
      <c r="D1007" s="36">
        <f t="shared" si="61"/>
        <v>76.656613367217574</v>
      </c>
      <c r="E1007" s="40">
        <v>8355.6503909999992</v>
      </c>
      <c r="F1007" s="36">
        <f t="shared" si="62"/>
        <v>8616.9608342344345</v>
      </c>
      <c r="G1007" s="36">
        <f t="shared" si="63"/>
        <v>8310.3343807655638</v>
      </c>
      <c r="I1007" s="40">
        <v>8355.6503909999992</v>
      </c>
      <c r="J1007" s="36">
        <v>8616.9608342344345</v>
      </c>
      <c r="K1007" s="36">
        <v>8310.3343807655638</v>
      </c>
    </row>
    <row r="1008" spans="1:11" x14ac:dyDescent="0.25">
      <c r="A1008" s="39">
        <v>41984</v>
      </c>
      <c r="B1008" s="36">
        <v>8292.9003909999992</v>
      </c>
      <c r="C1008" s="36">
        <f t="shared" si="60"/>
        <v>8460.4001466000009</v>
      </c>
      <c r="D1008" s="36">
        <f t="shared" si="61"/>
        <v>82.525583432189521</v>
      </c>
      <c r="E1008" s="40">
        <v>8292.9003909999992</v>
      </c>
      <c r="F1008" s="36">
        <f t="shared" si="62"/>
        <v>8625.4513134643803</v>
      </c>
      <c r="G1008" s="36">
        <f t="shared" si="63"/>
        <v>8295.3489797356215</v>
      </c>
      <c r="I1008" s="40">
        <v>8292.9003909999992</v>
      </c>
      <c r="J1008" s="36">
        <v>8625.4513134643803</v>
      </c>
      <c r="K1008" s="36">
        <v>8295.3489797356215</v>
      </c>
    </row>
    <row r="1009" spans="1:11" x14ac:dyDescent="0.25">
      <c r="A1009" s="39">
        <v>41985</v>
      </c>
      <c r="B1009" s="36">
        <v>8224.0996090000008</v>
      </c>
      <c r="C1009" s="36">
        <f t="shared" si="60"/>
        <v>8452.1101075000006</v>
      </c>
      <c r="D1009" s="36">
        <f t="shared" si="61"/>
        <v>97.032875617233415</v>
      </c>
      <c r="E1009" s="40">
        <v>8224.0996090000008</v>
      </c>
      <c r="F1009" s="36">
        <f t="shared" si="62"/>
        <v>8646.1758587344666</v>
      </c>
      <c r="G1009" s="36">
        <f t="shared" si="63"/>
        <v>8258.0443562655346</v>
      </c>
      <c r="I1009" s="40">
        <v>8224.0996090000008</v>
      </c>
      <c r="J1009" s="36">
        <v>8646.1758587344666</v>
      </c>
      <c r="K1009" s="36">
        <v>8258.0443562655346</v>
      </c>
    </row>
    <row r="1010" spans="1:11" x14ac:dyDescent="0.25">
      <c r="A1010" s="39">
        <v>41988</v>
      </c>
      <c r="B1010" s="36">
        <v>8219.5996090000008</v>
      </c>
      <c r="C1010" s="36">
        <f t="shared" si="60"/>
        <v>8441.5525879500001</v>
      </c>
      <c r="D1010" s="36">
        <f t="shared" si="61"/>
        <v>110.08796803125794</v>
      </c>
      <c r="E1010" s="40">
        <v>8219.5996090000008</v>
      </c>
      <c r="F1010" s="36">
        <f t="shared" si="62"/>
        <v>8661.7285240125166</v>
      </c>
      <c r="G1010" s="36">
        <f t="shared" si="63"/>
        <v>8221.3766518874836</v>
      </c>
      <c r="I1010" s="40">
        <v>8219.5996090000008</v>
      </c>
      <c r="J1010" s="36">
        <v>8661.7285240125166</v>
      </c>
      <c r="K1010" s="36">
        <v>8221.3766518874836</v>
      </c>
    </row>
    <row r="1011" spans="1:11" x14ac:dyDescent="0.25">
      <c r="A1011" s="39">
        <v>41989</v>
      </c>
      <c r="B1011" s="36">
        <v>8067.6000979999999</v>
      </c>
      <c r="C1011" s="36">
        <f t="shared" si="60"/>
        <v>8423.6375732999986</v>
      </c>
      <c r="D1011" s="36">
        <f t="shared" si="61"/>
        <v>138.30636699428956</v>
      </c>
      <c r="E1011" s="40">
        <v>8067.6000979999999</v>
      </c>
      <c r="F1011" s="36">
        <f t="shared" si="62"/>
        <v>8700.2503072885775</v>
      </c>
      <c r="G1011" s="36">
        <f t="shared" si="63"/>
        <v>8147.0248393114198</v>
      </c>
      <c r="I1011" s="40">
        <v>8067.6000979999999</v>
      </c>
      <c r="J1011" s="36">
        <v>8700.2503072885775</v>
      </c>
      <c r="K1011" s="36">
        <v>8147.0248393114198</v>
      </c>
    </row>
    <row r="1012" spans="1:11" x14ac:dyDescent="0.25">
      <c r="A1012" s="39">
        <v>41990</v>
      </c>
      <c r="B1012" s="36">
        <v>8029.7998049999997</v>
      </c>
      <c r="C1012" s="36">
        <f t="shared" si="60"/>
        <v>8406.0125732999986</v>
      </c>
      <c r="D1012" s="36">
        <f t="shared" si="61"/>
        <v>163.93691598383415</v>
      </c>
      <c r="E1012" s="40">
        <v>8029.7998049999997</v>
      </c>
      <c r="F1012" s="36">
        <f t="shared" si="62"/>
        <v>8733.8864052676672</v>
      </c>
      <c r="G1012" s="36">
        <f t="shared" si="63"/>
        <v>8078.13874133233</v>
      </c>
      <c r="I1012" s="40">
        <v>8029.7998049999997</v>
      </c>
      <c r="J1012" s="36">
        <v>8733.8864052676672</v>
      </c>
      <c r="K1012" s="36">
        <v>8078.13874133233</v>
      </c>
    </row>
    <row r="1013" spans="1:11" x14ac:dyDescent="0.25">
      <c r="A1013" s="39">
        <v>41991</v>
      </c>
      <c r="B1013" s="36">
        <v>8159.2998049999997</v>
      </c>
      <c r="C1013" s="36">
        <f t="shared" si="60"/>
        <v>8393.8825439999982</v>
      </c>
      <c r="D1013" s="36">
        <f t="shared" si="61"/>
        <v>172.98288077849713</v>
      </c>
      <c r="E1013" s="40">
        <v>8159.2998049999997</v>
      </c>
      <c r="F1013" s="36">
        <f t="shared" si="62"/>
        <v>8739.8483055569923</v>
      </c>
      <c r="G1013" s="36">
        <f t="shared" si="63"/>
        <v>8047.9167824430042</v>
      </c>
      <c r="I1013" s="40">
        <v>8159.2998049999997</v>
      </c>
      <c r="J1013" s="36">
        <v>8739.8483055569923</v>
      </c>
      <c r="K1013" s="36">
        <v>8047.9167824430042</v>
      </c>
    </row>
    <row r="1014" spans="1:11" x14ac:dyDescent="0.25">
      <c r="A1014" s="39">
        <v>41992</v>
      </c>
      <c r="B1014" s="36">
        <v>8225.2001949999994</v>
      </c>
      <c r="C1014" s="36">
        <f t="shared" si="60"/>
        <v>8381.2750732999993</v>
      </c>
      <c r="D1014" s="36">
        <f t="shared" si="61"/>
        <v>175.74600113464342</v>
      </c>
      <c r="E1014" s="40">
        <v>8225.2001949999994</v>
      </c>
      <c r="F1014" s="36">
        <f t="shared" si="62"/>
        <v>8732.767075569287</v>
      </c>
      <c r="G1014" s="36">
        <f t="shared" si="63"/>
        <v>8029.7830710307126</v>
      </c>
      <c r="I1014" s="40">
        <v>8225.2001949999994</v>
      </c>
      <c r="J1014" s="36">
        <v>8732.767075569287</v>
      </c>
      <c r="K1014" s="36">
        <v>8029.7830710307126</v>
      </c>
    </row>
    <row r="1015" spans="1:11" x14ac:dyDescent="0.25">
      <c r="A1015" s="39">
        <v>41995</v>
      </c>
      <c r="B1015" s="36">
        <v>8324</v>
      </c>
      <c r="C1015" s="36">
        <f t="shared" si="60"/>
        <v>8370.9675537499988</v>
      </c>
      <c r="D1015" s="36">
        <f t="shared" si="61"/>
        <v>172.57159551561804</v>
      </c>
      <c r="E1015" s="40">
        <v>8324</v>
      </c>
      <c r="F1015" s="36">
        <f t="shared" si="62"/>
        <v>8716.1107447812356</v>
      </c>
      <c r="G1015" s="36">
        <f t="shared" si="63"/>
        <v>8025.824362718763</v>
      </c>
      <c r="I1015" s="40">
        <v>8324</v>
      </c>
      <c r="J1015" s="36">
        <v>8716.1107447812356</v>
      </c>
      <c r="K1015" s="36">
        <v>8025.824362718763</v>
      </c>
    </row>
    <row r="1016" spans="1:11" x14ac:dyDescent="0.25">
      <c r="A1016" s="39">
        <v>41996</v>
      </c>
      <c r="B1016" s="36">
        <v>8267</v>
      </c>
      <c r="C1016" s="36">
        <f t="shared" si="60"/>
        <v>8361.1625733000001</v>
      </c>
      <c r="D1016" s="36">
        <f t="shared" si="61"/>
        <v>172.63230468450442</v>
      </c>
      <c r="E1016" s="40">
        <v>8267</v>
      </c>
      <c r="F1016" s="36">
        <f t="shared" si="62"/>
        <v>8706.4271826690092</v>
      </c>
      <c r="G1016" s="36">
        <f t="shared" si="63"/>
        <v>8015.897963930991</v>
      </c>
      <c r="I1016" s="40">
        <v>8267</v>
      </c>
      <c r="J1016" s="36">
        <v>8706.4271826690092</v>
      </c>
      <c r="K1016" s="36">
        <v>8015.897963930991</v>
      </c>
    </row>
    <row r="1017" spans="1:11" x14ac:dyDescent="0.25">
      <c r="A1017" s="39">
        <v>41997</v>
      </c>
      <c r="B1017" s="36">
        <v>8174.1000979999999</v>
      </c>
      <c r="C1017" s="36">
        <f t="shared" si="60"/>
        <v>8346.0800782000006</v>
      </c>
      <c r="D1017" s="36">
        <f t="shared" si="61"/>
        <v>175.25151819025442</v>
      </c>
      <c r="E1017" s="40">
        <v>8174.1000979999999</v>
      </c>
      <c r="F1017" s="36">
        <f t="shared" si="62"/>
        <v>8696.5831145805096</v>
      </c>
      <c r="G1017" s="36">
        <f t="shared" si="63"/>
        <v>7995.5770418194916</v>
      </c>
      <c r="I1017" s="40">
        <v>8174.1000979999999</v>
      </c>
      <c r="J1017" s="36">
        <v>8696.5831145805096</v>
      </c>
      <c r="K1017" s="36">
        <v>7995.5770418194916</v>
      </c>
    </row>
    <row r="1018" spans="1:11" x14ac:dyDescent="0.25">
      <c r="A1018" s="39">
        <v>41999</v>
      </c>
      <c r="B1018" s="36">
        <v>8200.7001949999994</v>
      </c>
      <c r="C1018" s="36">
        <f t="shared" si="60"/>
        <v>8331.4050782000013</v>
      </c>
      <c r="D1018" s="36">
        <f t="shared" si="61"/>
        <v>174.48230597522257</v>
      </c>
      <c r="E1018" s="40">
        <v>8200.7001949999994</v>
      </c>
      <c r="F1018" s="36">
        <f t="shared" si="62"/>
        <v>8680.3696901504463</v>
      </c>
      <c r="G1018" s="36">
        <f t="shared" si="63"/>
        <v>7982.4404662495563</v>
      </c>
      <c r="I1018" s="40">
        <v>8200.7001949999994</v>
      </c>
      <c r="J1018" s="36">
        <v>8680.3696901504463</v>
      </c>
      <c r="K1018" s="36">
        <v>7982.4404662495563</v>
      </c>
    </row>
    <row r="1019" spans="1:11" x14ac:dyDescent="0.25">
      <c r="A1019" s="39">
        <v>42002</v>
      </c>
      <c r="B1019" s="36">
        <v>8246.2998050000006</v>
      </c>
      <c r="C1019" s="36">
        <f t="shared" si="60"/>
        <v>8314.30756845</v>
      </c>
      <c r="D1019" s="36">
        <f t="shared" si="61"/>
        <v>164.45516486251199</v>
      </c>
      <c r="E1019" s="40">
        <v>8246.2998050000006</v>
      </c>
      <c r="F1019" s="36">
        <f t="shared" si="62"/>
        <v>8643.2178981750239</v>
      </c>
      <c r="G1019" s="36">
        <f t="shared" si="63"/>
        <v>7985.397238724976</v>
      </c>
      <c r="I1019" s="40">
        <v>8246.2998050000006</v>
      </c>
      <c r="J1019" s="36">
        <v>8643.2178981750239</v>
      </c>
      <c r="K1019" s="36">
        <v>7985.397238724976</v>
      </c>
    </row>
    <row r="1020" spans="1:11" x14ac:dyDescent="0.25">
      <c r="A1020" s="39">
        <v>42003</v>
      </c>
      <c r="B1020" s="36">
        <v>8248.25</v>
      </c>
      <c r="C1020" s="36">
        <f t="shared" si="60"/>
        <v>8298.9250488999987</v>
      </c>
      <c r="D1020" s="36">
        <f t="shared" si="61"/>
        <v>154.77123968464116</v>
      </c>
      <c r="E1020" s="40">
        <v>8248.25</v>
      </c>
      <c r="F1020" s="36">
        <f t="shared" si="62"/>
        <v>8608.4675282692806</v>
      </c>
      <c r="G1020" s="36">
        <f t="shared" si="63"/>
        <v>7989.3825695307169</v>
      </c>
      <c r="I1020" s="40">
        <v>8248.25</v>
      </c>
      <c r="J1020" s="36">
        <v>8608.4675282692806</v>
      </c>
      <c r="K1020" s="36">
        <v>7989.3825695307169</v>
      </c>
    </row>
    <row r="1021" spans="1:11" x14ac:dyDescent="0.25">
      <c r="A1021" s="39">
        <v>42004</v>
      </c>
      <c r="B1021" s="36">
        <v>8282.7001949999994</v>
      </c>
      <c r="C1021" s="36">
        <f t="shared" si="60"/>
        <v>8286.8250489000002</v>
      </c>
      <c r="D1021" s="36">
        <f t="shared" si="61"/>
        <v>145.36509849060678</v>
      </c>
      <c r="E1021" s="40">
        <v>8282.7001949999994</v>
      </c>
      <c r="F1021" s="36">
        <f t="shared" si="62"/>
        <v>8577.5552458812144</v>
      </c>
      <c r="G1021" s="36">
        <f t="shared" si="63"/>
        <v>7996.0948519187868</v>
      </c>
      <c r="I1021" s="40">
        <v>8282.7001949999994</v>
      </c>
      <c r="J1021" s="36">
        <v>8577.5552458812144</v>
      </c>
      <c r="K1021" s="36">
        <v>7996.0948519187868</v>
      </c>
    </row>
    <row r="1022" spans="1:11" x14ac:dyDescent="0.25">
      <c r="A1022" s="39">
        <v>42006</v>
      </c>
      <c r="B1022" s="36">
        <v>8395.4501949999994</v>
      </c>
      <c r="C1022" s="36">
        <f t="shared" si="60"/>
        <v>8279.7150390999996</v>
      </c>
      <c r="D1022" s="36">
        <f t="shared" si="61"/>
        <v>135.60085597133866</v>
      </c>
      <c r="E1022" s="40">
        <v>8395.4501949999994</v>
      </c>
      <c r="F1022" s="36">
        <f t="shared" si="62"/>
        <v>8550.9167510426778</v>
      </c>
      <c r="G1022" s="36">
        <f t="shared" si="63"/>
        <v>8008.5133271573222</v>
      </c>
      <c r="I1022" s="40">
        <v>8395.4501949999994</v>
      </c>
      <c r="J1022" s="36">
        <v>8550.9167510426778</v>
      </c>
      <c r="K1022" s="36">
        <v>8008.5133271573222</v>
      </c>
    </row>
    <row r="1023" spans="1:11" x14ac:dyDescent="0.25">
      <c r="A1023" s="39">
        <v>42009</v>
      </c>
      <c r="B1023" s="36">
        <v>8378.4003909999992</v>
      </c>
      <c r="C1023" s="36">
        <f t="shared" si="60"/>
        <v>8270.4150391000003</v>
      </c>
      <c r="D1023" s="36">
        <f t="shared" si="61"/>
        <v>120.59665260175849</v>
      </c>
      <c r="E1023" s="40">
        <v>8378.4003909999992</v>
      </c>
      <c r="F1023" s="36">
        <f t="shared" si="62"/>
        <v>8511.6083443035168</v>
      </c>
      <c r="G1023" s="36">
        <f t="shared" si="63"/>
        <v>8029.2217338964829</v>
      </c>
      <c r="I1023" s="40">
        <v>8378.4003909999992</v>
      </c>
      <c r="J1023" s="36">
        <v>8511.6083443035168</v>
      </c>
      <c r="K1023" s="36">
        <v>8029.2217338964829</v>
      </c>
    </row>
    <row r="1024" spans="1:11" x14ac:dyDescent="0.25">
      <c r="A1024" s="39">
        <v>42010</v>
      </c>
      <c r="B1024" s="36">
        <v>8127.3500979999999</v>
      </c>
      <c r="C1024" s="36">
        <f t="shared" si="60"/>
        <v>8249.8675537500003</v>
      </c>
      <c r="D1024" s="36">
        <f t="shared" si="61"/>
        <v>106.76803341891642</v>
      </c>
      <c r="E1024" s="40">
        <v>8127.3500979999999</v>
      </c>
      <c r="F1024" s="36">
        <f t="shared" si="62"/>
        <v>8463.4036205878328</v>
      </c>
      <c r="G1024" s="36">
        <f t="shared" si="63"/>
        <v>8036.3314869121677</v>
      </c>
      <c r="I1024" s="40">
        <v>8127.3500979999999</v>
      </c>
      <c r="J1024" s="36">
        <v>8463.4036205878328</v>
      </c>
      <c r="K1024" s="36">
        <v>8036.3314869121677</v>
      </c>
    </row>
    <row r="1025" spans="1:11" x14ac:dyDescent="0.25">
      <c r="A1025" s="39">
        <v>42011</v>
      </c>
      <c r="B1025" s="36">
        <v>8102.1000979999999</v>
      </c>
      <c r="C1025" s="36">
        <f t="shared" si="60"/>
        <v>8233.0600586500004</v>
      </c>
      <c r="D1025" s="36">
        <f t="shared" si="61"/>
        <v>101.89940429960626</v>
      </c>
      <c r="E1025" s="40">
        <v>8102.1000979999999</v>
      </c>
      <c r="F1025" s="36">
        <f t="shared" si="62"/>
        <v>8436.8588672492133</v>
      </c>
      <c r="G1025" s="36">
        <f t="shared" si="63"/>
        <v>8029.2612500507876</v>
      </c>
      <c r="I1025" s="40">
        <v>8102.1000979999999</v>
      </c>
      <c r="J1025" s="36">
        <v>8436.8588672492133</v>
      </c>
      <c r="K1025" s="36">
        <v>8029.2612500507876</v>
      </c>
    </row>
    <row r="1026" spans="1:11" x14ac:dyDescent="0.25">
      <c r="A1026" s="39">
        <v>42012</v>
      </c>
      <c r="B1026" s="36">
        <v>8234.5996090000008</v>
      </c>
      <c r="C1026" s="36">
        <f t="shared" si="60"/>
        <v>8227.7550293499989</v>
      </c>
      <c r="D1026" s="36">
        <f t="shared" si="61"/>
        <v>98.712604612964626</v>
      </c>
      <c r="E1026" s="40">
        <v>8234.5996090000008</v>
      </c>
      <c r="F1026" s="36">
        <f t="shared" si="62"/>
        <v>8425.1802385759274</v>
      </c>
      <c r="G1026" s="36">
        <f t="shared" si="63"/>
        <v>8030.3298201240696</v>
      </c>
      <c r="I1026" s="40">
        <v>8234.5996090000008</v>
      </c>
      <c r="J1026" s="36">
        <v>8425.1802385759274</v>
      </c>
      <c r="K1026" s="36">
        <v>8030.3298201240696</v>
      </c>
    </row>
    <row r="1027" spans="1:11" x14ac:dyDescent="0.25">
      <c r="A1027" s="39">
        <v>42013</v>
      </c>
      <c r="B1027" s="36">
        <v>8284.5</v>
      </c>
      <c r="C1027" s="36">
        <f t="shared" si="60"/>
        <v>8224.1975098000003</v>
      </c>
      <c r="D1027" s="36">
        <f t="shared" si="61"/>
        <v>95.075880259580259</v>
      </c>
      <c r="E1027" s="40">
        <v>8284.5</v>
      </c>
      <c r="F1027" s="36">
        <f t="shared" si="62"/>
        <v>8414.3492703191605</v>
      </c>
      <c r="G1027" s="36">
        <f t="shared" si="63"/>
        <v>8034.04574928084</v>
      </c>
      <c r="I1027" s="40">
        <v>8284.5</v>
      </c>
      <c r="J1027" s="36">
        <v>8414.3492703191605</v>
      </c>
      <c r="K1027" s="36">
        <v>8034.04574928084</v>
      </c>
    </row>
    <row r="1028" spans="1:11" x14ac:dyDescent="0.25">
      <c r="A1028" s="39">
        <v>42016</v>
      </c>
      <c r="B1028" s="36">
        <v>8323</v>
      </c>
      <c r="C1028" s="36">
        <f t="shared" si="60"/>
        <v>8225.7024902499998</v>
      </c>
      <c r="D1028" s="36">
        <f t="shared" si="61"/>
        <v>96.448945861197814</v>
      </c>
      <c r="E1028" s="40">
        <v>8323</v>
      </c>
      <c r="F1028" s="36">
        <f t="shared" si="62"/>
        <v>8418.6003819723956</v>
      </c>
      <c r="G1028" s="36">
        <f t="shared" si="63"/>
        <v>8032.804598527604</v>
      </c>
      <c r="I1028" s="40">
        <v>8323</v>
      </c>
      <c r="J1028" s="36">
        <v>8418.6003819723956</v>
      </c>
      <c r="K1028" s="36">
        <v>8032.804598527604</v>
      </c>
    </row>
    <row r="1029" spans="1:11" x14ac:dyDescent="0.25">
      <c r="A1029" s="39">
        <v>42017</v>
      </c>
      <c r="B1029" s="36">
        <v>8299.4003909999992</v>
      </c>
      <c r="C1029" s="36">
        <f t="shared" si="60"/>
        <v>8229.4675293500004</v>
      </c>
      <c r="D1029" s="36">
        <f t="shared" si="61"/>
        <v>97.842753800799542</v>
      </c>
      <c r="E1029" s="40">
        <v>8299.4003909999992</v>
      </c>
      <c r="F1029" s="36">
        <f t="shared" si="62"/>
        <v>8425.1530369516004</v>
      </c>
      <c r="G1029" s="36">
        <f t="shared" si="63"/>
        <v>8033.7820217484013</v>
      </c>
      <c r="I1029" s="40">
        <v>8299.4003909999992</v>
      </c>
      <c r="J1029" s="36">
        <v>8425.1530369516004</v>
      </c>
      <c r="K1029" s="36">
        <v>8033.7820217484013</v>
      </c>
    </row>
    <row r="1030" spans="1:11" x14ac:dyDescent="0.25">
      <c r="A1030" s="39">
        <v>42018</v>
      </c>
      <c r="B1030" s="36">
        <v>8277.5498050000006</v>
      </c>
      <c r="C1030" s="36">
        <f t="shared" si="60"/>
        <v>8232.3650391499996</v>
      </c>
      <c r="D1030" s="36">
        <f t="shared" si="61"/>
        <v>98.391672485124587</v>
      </c>
      <c r="E1030" s="40">
        <v>8277.5498050000006</v>
      </c>
      <c r="F1030" s="36">
        <f t="shared" si="62"/>
        <v>8429.148384120248</v>
      </c>
      <c r="G1030" s="36">
        <f t="shared" si="63"/>
        <v>8035.5816941797502</v>
      </c>
      <c r="I1030" s="40">
        <v>8277.5498050000006</v>
      </c>
      <c r="J1030" s="36">
        <v>8429.148384120248</v>
      </c>
      <c r="K1030" s="36">
        <v>8035.5816941797502</v>
      </c>
    </row>
    <row r="1031" spans="1:11" x14ac:dyDescent="0.25">
      <c r="A1031" s="39">
        <v>42019</v>
      </c>
      <c r="B1031" s="36">
        <v>8494.1503909999992</v>
      </c>
      <c r="C1031" s="36">
        <f t="shared" si="60"/>
        <v>8253.6925537999996</v>
      </c>
      <c r="D1031" s="36">
        <f t="shared" si="61"/>
        <v>106.6781509870069</v>
      </c>
      <c r="E1031" s="40">
        <v>8494.1503909999992</v>
      </c>
      <c r="F1031" s="36">
        <f t="shared" si="62"/>
        <v>8467.0488557740136</v>
      </c>
      <c r="G1031" s="36">
        <f t="shared" si="63"/>
        <v>8040.3362518259855</v>
      </c>
      <c r="I1031" s="40">
        <v>8494.1503909999992</v>
      </c>
      <c r="J1031" s="36">
        <v>8467.0488557740136</v>
      </c>
      <c r="K1031" s="36">
        <v>8040.3362518259855</v>
      </c>
    </row>
    <row r="1032" spans="1:11" x14ac:dyDescent="0.25">
      <c r="A1032" s="39">
        <v>42020</v>
      </c>
      <c r="B1032" s="36">
        <v>8513.7998050000006</v>
      </c>
      <c r="C1032" s="36">
        <f t="shared" si="60"/>
        <v>8277.8925537999985</v>
      </c>
      <c r="D1032" s="36">
        <f t="shared" si="61"/>
        <v>108.10310605200419</v>
      </c>
      <c r="E1032" s="40">
        <v>8513.7998050000006</v>
      </c>
      <c r="F1032" s="36">
        <f t="shared" si="62"/>
        <v>8494.0987659040075</v>
      </c>
      <c r="G1032" s="36">
        <f t="shared" si="63"/>
        <v>8061.6863416959904</v>
      </c>
      <c r="I1032" s="40">
        <v>8513.7998050000006</v>
      </c>
      <c r="J1032" s="36">
        <v>8494.0987659040075</v>
      </c>
      <c r="K1032" s="36">
        <v>8061.6863416959904</v>
      </c>
    </row>
    <row r="1033" spans="1:11" x14ac:dyDescent="0.25">
      <c r="A1033" s="39">
        <v>42023</v>
      </c>
      <c r="B1033" s="36">
        <v>8550.7001949999994</v>
      </c>
      <c r="C1033" s="36">
        <f t="shared" si="60"/>
        <v>8297.4625732999993</v>
      </c>
      <c r="D1033" s="36">
        <f t="shared" si="61"/>
        <v>120.24960991036117</v>
      </c>
      <c r="E1033" s="40">
        <v>8550.7001949999994</v>
      </c>
      <c r="F1033" s="36">
        <f t="shared" si="62"/>
        <v>8537.9617931207213</v>
      </c>
      <c r="G1033" s="36">
        <f t="shared" si="63"/>
        <v>8056.9633534792774</v>
      </c>
      <c r="I1033" s="40">
        <v>8550.7001949999994</v>
      </c>
      <c r="J1033" s="36">
        <v>8537.9617931207213</v>
      </c>
      <c r="K1033" s="36">
        <v>8056.9633534792774</v>
      </c>
    </row>
    <row r="1034" spans="1:11" x14ac:dyDescent="0.25">
      <c r="A1034" s="39">
        <v>42024</v>
      </c>
      <c r="B1034" s="36">
        <v>8695.5996090000008</v>
      </c>
      <c r="C1034" s="36">
        <f t="shared" si="60"/>
        <v>8320.9825440000004</v>
      </c>
      <c r="D1034" s="36">
        <f t="shared" si="61"/>
        <v>148.14055779849238</v>
      </c>
      <c r="E1034" s="40">
        <v>8695.5996090000008</v>
      </c>
      <c r="F1034" s="36">
        <f t="shared" si="62"/>
        <v>8617.2636595969852</v>
      </c>
      <c r="G1034" s="36">
        <f t="shared" si="63"/>
        <v>8024.7014284030156</v>
      </c>
      <c r="I1034" s="40">
        <v>8695.5996090000008</v>
      </c>
      <c r="J1034" s="36">
        <v>8617.2636595969852</v>
      </c>
      <c r="K1034" s="36">
        <v>8024.7014284030156</v>
      </c>
    </row>
    <row r="1035" spans="1:11" x14ac:dyDescent="0.25">
      <c r="A1035" s="39">
        <v>42025</v>
      </c>
      <c r="B1035" s="36">
        <v>8729.5</v>
      </c>
      <c r="C1035" s="36">
        <f t="shared" si="60"/>
        <v>8341.2575439999982</v>
      </c>
      <c r="D1035" s="36">
        <f t="shared" si="61"/>
        <v>174.05727532052879</v>
      </c>
      <c r="E1035" s="40">
        <v>8729.5</v>
      </c>
      <c r="F1035" s="36">
        <f t="shared" si="62"/>
        <v>8689.3720946410558</v>
      </c>
      <c r="G1035" s="36">
        <f t="shared" si="63"/>
        <v>7993.1429933589407</v>
      </c>
      <c r="I1035" s="40">
        <v>8729.5</v>
      </c>
      <c r="J1035" s="36">
        <v>8689.3720946410558</v>
      </c>
      <c r="K1035" s="36">
        <v>7993.1429933589407</v>
      </c>
    </row>
    <row r="1036" spans="1:11" x14ac:dyDescent="0.25">
      <c r="A1036" s="39">
        <v>42026</v>
      </c>
      <c r="B1036" s="36">
        <v>8761.4003909999992</v>
      </c>
      <c r="C1036" s="36">
        <f t="shared" si="60"/>
        <v>8365.9775635500009</v>
      </c>
      <c r="D1036" s="36">
        <f t="shared" si="61"/>
        <v>196.60366335686174</v>
      </c>
      <c r="E1036" s="40">
        <v>8761.4003909999992</v>
      </c>
      <c r="F1036" s="36">
        <f t="shared" si="62"/>
        <v>8759.1848902637248</v>
      </c>
      <c r="G1036" s="36">
        <f t="shared" si="63"/>
        <v>7972.770236836277</v>
      </c>
      <c r="I1036" s="40">
        <v>8761.4003909999992</v>
      </c>
      <c r="J1036" s="36">
        <v>8759.1848902637248</v>
      </c>
      <c r="K1036" s="36">
        <v>7972.770236836277</v>
      </c>
    </row>
    <row r="1037" spans="1:11" x14ac:dyDescent="0.25">
      <c r="A1037" s="39">
        <v>42027</v>
      </c>
      <c r="B1037" s="36">
        <v>8835.5996090000008</v>
      </c>
      <c r="C1037" s="36">
        <f t="shared" si="60"/>
        <v>8399.052539100001</v>
      </c>
      <c r="D1037" s="36">
        <f t="shared" si="61"/>
        <v>217.18968572189263</v>
      </c>
      <c r="E1037" s="40">
        <v>8835.5996090000008</v>
      </c>
      <c r="F1037" s="36">
        <f t="shared" si="62"/>
        <v>8833.4319105437862</v>
      </c>
      <c r="G1037" s="36">
        <f t="shared" si="63"/>
        <v>7964.6731676562158</v>
      </c>
      <c r="I1037" s="40">
        <v>8835.5996090000008</v>
      </c>
      <c r="J1037" s="36">
        <v>8833.4319105437862</v>
      </c>
      <c r="K1037" s="36">
        <v>7964.6731676562158</v>
      </c>
    </row>
    <row r="1038" spans="1:11" x14ac:dyDescent="0.25">
      <c r="A1038" s="39">
        <v>42031</v>
      </c>
      <c r="B1038" s="36">
        <v>8910.5</v>
      </c>
      <c r="C1038" s="36">
        <f t="shared" si="60"/>
        <v>8434.5425293500011</v>
      </c>
      <c r="D1038" s="36">
        <f t="shared" si="61"/>
        <v>239.87934431903861</v>
      </c>
      <c r="E1038" s="40">
        <v>8910.5</v>
      </c>
      <c r="F1038" s="36">
        <f t="shared" si="62"/>
        <v>8914.3012179880789</v>
      </c>
      <c r="G1038" s="36">
        <f t="shared" si="63"/>
        <v>7954.7838407119243</v>
      </c>
      <c r="I1038" s="40">
        <v>8910.5</v>
      </c>
      <c r="J1038" s="36">
        <v>8914.3012179880789</v>
      </c>
      <c r="K1038" s="36">
        <v>7954.7838407119243</v>
      </c>
    </row>
    <row r="1039" spans="1:11" x14ac:dyDescent="0.25">
      <c r="A1039" s="39">
        <v>42032</v>
      </c>
      <c r="B1039" s="36">
        <v>8914.2998050000006</v>
      </c>
      <c r="C1039" s="36">
        <f t="shared" si="60"/>
        <v>8467.9425293499989</v>
      </c>
      <c r="D1039" s="36">
        <f t="shared" si="61"/>
        <v>258.10242938721933</v>
      </c>
      <c r="E1039" s="40">
        <v>8914.2998050000006</v>
      </c>
      <c r="F1039" s="36">
        <f t="shared" si="62"/>
        <v>8984.1473881244383</v>
      </c>
      <c r="G1039" s="36">
        <f t="shared" si="63"/>
        <v>7951.7376705755605</v>
      </c>
      <c r="I1039" s="40">
        <v>8914.2998050000006</v>
      </c>
      <c r="J1039" s="36">
        <v>8984.1473881244383</v>
      </c>
      <c r="K1039" s="36">
        <v>7951.7376705755605</v>
      </c>
    </row>
    <row r="1040" spans="1:11" x14ac:dyDescent="0.25">
      <c r="A1040" s="39">
        <v>42033</v>
      </c>
      <c r="B1040" s="36">
        <v>8952.3496090000008</v>
      </c>
      <c r="C1040" s="36">
        <f t="shared" si="60"/>
        <v>8503.1475097999992</v>
      </c>
      <c r="D1040" s="36">
        <f t="shared" si="61"/>
        <v>274.08393023509871</v>
      </c>
      <c r="E1040" s="40">
        <v>8952.3496090000008</v>
      </c>
      <c r="F1040" s="36">
        <f t="shared" si="62"/>
        <v>9051.3153702701966</v>
      </c>
      <c r="G1040" s="36">
        <f t="shared" si="63"/>
        <v>7954.9796493298018</v>
      </c>
      <c r="I1040" s="40">
        <v>8952.3496090000008</v>
      </c>
      <c r="J1040" s="36">
        <v>9051.3153702701966</v>
      </c>
      <c r="K1040" s="36">
        <v>7954.9796493298018</v>
      </c>
    </row>
    <row r="1041" spans="1:11" x14ac:dyDescent="0.25">
      <c r="A1041" s="39">
        <v>42034</v>
      </c>
      <c r="B1041" s="36">
        <v>8808.9003909999992</v>
      </c>
      <c r="C1041" s="36">
        <f t="shared" si="60"/>
        <v>8529.4575196000005</v>
      </c>
      <c r="D1041" s="36">
        <f t="shared" si="61"/>
        <v>277.04849365516264</v>
      </c>
      <c r="E1041" s="40">
        <v>8808.9003909999992</v>
      </c>
      <c r="F1041" s="36">
        <f t="shared" si="62"/>
        <v>9083.5545069103264</v>
      </c>
      <c r="G1041" s="36">
        <f t="shared" si="63"/>
        <v>7975.3605322896756</v>
      </c>
      <c r="I1041" s="40">
        <v>8808.9003909999992</v>
      </c>
      <c r="J1041" s="36">
        <v>9083.5545069103264</v>
      </c>
      <c r="K1041" s="36">
        <v>7975.3605322896756</v>
      </c>
    </row>
    <row r="1042" spans="1:11" x14ac:dyDescent="0.25">
      <c r="A1042" s="39">
        <v>42037</v>
      </c>
      <c r="B1042" s="36">
        <v>8797.4003909999992</v>
      </c>
      <c r="C1042" s="36">
        <f t="shared" si="60"/>
        <v>8549.5550293999986</v>
      </c>
      <c r="D1042" s="36">
        <f t="shared" si="61"/>
        <v>281.36123158857015</v>
      </c>
      <c r="E1042" s="40">
        <v>8797.4003909999992</v>
      </c>
      <c r="F1042" s="36">
        <f t="shared" si="62"/>
        <v>9112.2774925771391</v>
      </c>
      <c r="G1042" s="36">
        <f t="shared" si="63"/>
        <v>7986.8325662228581</v>
      </c>
      <c r="I1042" s="40">
        <v>8797.4003909999992</v>
      </c>
      <c r="J1042" s="36">
        <v>9112.2774925771391</v>
      </c>
      <c r="K1042" s="36">
        <v>7986.8325662228581</v>
      </c>
    </row>
    <row r="1043" spans="1:11" x14ac:dyDescent="0.25">
      <c r="A1043" s="39">
        <v>42038</v>
      </c>
      <c r="B1043" s="36">
        <v>8756.5498050000006</v>
      </c>
      <c r="C1043" s="36">
        <f t="shared" si="60"/>
        <v>8568.4625000999986</v>
      </c>
      <c r="D1043" s="36">
        <f t="shared" si="61"/>
        <v>281.95947712711597</v>
      </c>
      <c r="E1043" s="40">
        <v>8756.5498050000006</v>
      </c>
      <c r="F1043" s="36">
        <f t="shared" si="62"/>
        <v>9132.3814543542303</v>
      </c>
      <c r="G1043" s="36">
        <f t="shared" si="63"/>
        <v>8004.5435458457669</v>
      </c>
      <c r="I1043" s="40">
        <v>8756.5498050000006</v>
      </c>
      <c r="J1043" s="36">
        <v>9132.3814543542303</v>
      </c>
      <c r="K1043" s="36">
        <v>8004.5435458457669</v>
      </c>
    </row>
    <row r="1044" spans="1:11" x14ac:dyDescent="0.25">
      <c r="A1044" s="39">
        <v>42039</v>
      </c>
      <c r="B1044" s="36">
        <v>8723.7001949999994</v>
      </c>
      <c r="C1044" s="36">
        <f t="shared" si="60"/>
        <v>8598.2800049500001</v>
      </c>
      <c r="D1044" s="36">
        <f t="shared" si="61"/>
        <v>263.804024830233</v>
      </c>
      <c r="E1044" s="40">
        <v>8723.7001949999994</v>
      </c>
      <c r="F1044" s="36">
        <f t="shared" si="62"/>
        <v>9125.8880546104665</v>
      </c>
      <c r="G1044" s="36">
        <f t="shared" si="63"/>
        <v>8070.6719552895338</v>
      </c>
      <c r="I1044" s="40">
        <v>8723.7001949999994</v>
      </c>
      <c r="J1044" s="36">
        <v>9125.8880546104665</v>
      </c>
      <c r="K1044" s="36">
        <v>8070.6719552895338</v>
      </c>
    </row>
    <row r="1045" spans="1:11" x14ac:dyDescent="0.25">
      <c r="A1045" s="39">
        <v>42040</v>
      </c>
      <c r="B1045" s="36">
        <v>8711.7001949999994</v>
      </c>
      <c r="C1045" s="36">
        <f t="shared" si="60"/>
        <v>8628.7600098000003</v>
      </c>
      <c r="D1045" s="36">
        <f t="shared" si="61"/>
        <v>237.34803807166699</v>
      </c>
      <c r="E1045" s="40">
        <v>8711.7001949999994</v>
      </c>
      <c r="F1045" s="36">
        <f t="shared" si="62"/>
        <v>9103.456085943335</v>
      </c>
      <c r="G1045" s="36">
        <f t="shared" si="63"/>
        <v>8154.0639336566664</v>
      </c>
      <c r="I1045" s="40">
        <v>8711.7001949999994</v>
      </c>
      <c r="J1045" s="36">
        <v>9103.456085943335</v>
      </c>
      <c r="K1045" s="36">
        <v>8154.0639336566664</v>
      </c>
    </row>
    <row r="1046" spans="1:11" x14ac:dyDescent="0.25">
      <c r="A1046" s="39">
        <v>42041</v>
      </c>
      <c r="B1046" s="36">
        <v>8661.0498050000006</v>
      </c>
      <c r="C1046" s="36">
        <f t="shared" ref="C1046:C1109" si="64">AVERAGE(B1027:B1046)</f>
        <v>8650.0825195999987</v>
      </c>
      <c r="D1046" s="36">
        <f t="shared" ref="D1046:D1109" si="65">_xlfn.STDEV.S(B1027:B1046)</f>
        <v>218.4797898860912</v>
      </c>
      <c r="E1046" s="40">
        <v>8661.0498050000006</v>
      </c>
      <c r="F1046" s="36">
        <f t="shared" ref="F1046:F1109" si="66">C1046+2*D1046</f>
        <v>9087.0420993721818</v>
      </c>
      <c r="G1046" s="36">
        <f t="shared" ref="G1046:G1109" si="67">C1046-2*D1046</f>
        <v>8213.1229398278156</v>
      </c>
      <c r="I1046" s="40">
        <v>8661.0498050000006</v>
      </c>
      <c r="J1046" s="36">
        <v>9087.0420993721818</v>
      </c>
      <c r="K1046" s="36">
        <v>8213.1229398278156</v>
      </c>
    </row>
    <row r="1047" spans="1:11" x14ac:dyDescent="0.25">
      <c r="A1047" s="39">
        <v>42044</v>
      </c>
      <c r="B1047" s="36">
        <v>8526.3496090000008</v>
      </c>
      <c r="C1047" s="36">
        <f t="shared" si="64"/>
        <v>8662.1750000499997</v>
      </c>
      <c r="D1047" s="36">
        <f t="shared" si="65"/>
        <v>203.34953651863515</v>
      </c>
      <c r="E1047" s="40">
        <v>8526.3496090000008</v>
      </c>
      <c r="F1047" s="36">
        <f t="shared" si="66"/>
        <v>9068.8740730872705</v>
      </c>
      <c r="G1047" s="36">
        <f t="shared" si="67"/>
        <v>8255.4759270127288</v>
      </c>
      <c r="I1047" s="40">
        <v>8526.3496090000008</v>
      </c>
      <c r="J1047" s="36">
        <v>9068.8740730872705</v>
      </c>
      <c r="K1047" s="36">
        <v>8255.4759270127288</v>
      </c>
    </row>
    <row r="1048" spans="1:11" x14ac:dyDescent="0.25">
      <c r="A1048" s="39">
        <v>42045</v>
      </c>
      <c r="B1048" s="36">
        <v>8565.5498050000006</v>
      </c>
      <c r="C1048" s="36">
        <f t="shared" si="64"/>
        <v>8674.3024903000005</v>
      </c>
      <c r="D1048" s="36">
        <f t="shared" si="65"/>
        <v>188.76675573014313</v>
      </c>
      <c r="E1048" s="40">
        <v>8565.5498050000006</v>
      </c>
      <c r="F1048" s="36">
        <f t="shared" si="66"/>
        <v>9051.8360017602863</v>
      </c>
      <c r="G1048" s="36">
        <f t="shared" si="67"/>
        <v>8296.7689788397147</v>
      </c>
      <c r="I1048" s="40">
        <v>8565.5498050000006</v>
      </c>
      <c r="J1048" s="36">
        <v>9051.8360017602863</v>
      </c>
      <c r="K1048" s="36">
        <v>8296.7689788397147</v>
      </c>
    </row>
    <row r="1049" spans="1:11" x14ac:dyDescent="0.25">
      <c r="A1049" s="39">
        <v>42046</v>
      </c>
      <c r="B1049" s="36">
        <v>8627.4003909999992</v>
      </c>
      <c r="C1049" s="36">
        <f t="shared" si="64"/>
        <v>8690.7024903000001</v>
      </c>
      <c r="D1049" s="36">
        <f t="shared" si="65"/>
        <v>167.53536879809906</v>
      </c>
      <c r="E1049" s="40">
        <v>8627.4003909999992</v>
      </c>
      <c r="F1049" s="36">
        <f t="shared" si="66"/>
        <v>9025.7732278961976</v>
      </c>
      <c r="G1049" s="36">
        <f t="shared" si="67"/>
        <v>8355.6317527038027</v>
      </c>
      <c r="I1049" s="40">
        <v>8627.4003909999992</v>
      </c>
      <c r="J1049" s="36">
        <v>9025.7732278961976</v>
      </c>
      <c r="K1049" s="36">
        <v>8355.6317527038027</v>
      </c>
    </row>
    <row r="1050" spans="1:11" x14ac:dyDescent="0.25">
      <c r="A1050" s="39">
        <v>42047</v>
      </c>
      <c r="B1050" s="36">
        <v>8711.5498050000006</v>
      </c>
      <c r="C1050" s="36">
        <f t="shared" si="64"/>
        <v>8712.402490299999</v>
      </c>
      <c r="D1050" s="36">
        <f t="shared" si="65"/>
        <v>136.42340540961874</v>
      </c>
      <c r="E1050" s="40">
        <v>8711.5498050000006</v>
      </c>
      <c r="F1050" s="36">
        <f t="shared" si="66"/>
        <v>8985.2493011192364</v>
      </c>
      <c r="G1050" s="36">
        <f t="shared" si="67"/>
        <v>8439.5556794807617</v>
      </c>
      <c r="I1050" s="40">
        <v>8711.5498050000006</v>
      </c>
      <c r="J1050" s="36">
        <v>8985.2493011192364</v>
      </c>
      <c r="K1050" s="36">
        <v>8439.5556794807617</v>
      </c>
    </row>
    <row r="1051" spans="1:11" x14ac:dyDescent="0.25">
      <c r="A1051" s="39">
        <v>42048</v>
      </c>
      <c r="B1051" s="36">
        <v>8805.5</v>
      </c>
      <c r="C1051" s="36">
        <f t="shared" si="64"/>
        <v>8727.9699707499985</v>
      </c>
      <c r="D1051" s="36">
        <f t="shared" si="65"/>
        <v>127.69243555056075</v>
      </c>
      <c r="E1051" s="40">
        <v>8805.5</v>
      </c>
      <c r="F1051" s="36">
        <f t="shared" si="66"/>
        <v>8983.35484185112</v>
      </c>
      <c r="G1051" s="36">
        <f t="shared" si="67"/>
        <v>8472.5850996488771</v>
      </c>
      <c r="I1051" s="40">
        <v>8805.5</v>
      </c>
      <c r="J1051" s="36">
        <v>8983.35484185112</v>
      </c>
      <c r="K1051" s="36">
        <v>8472.5850996488771</v>
      </c>
    </row>
    <row r="1052" spans="1:11" x14ac:dyDescent="0.25">
      <c r="A1052" s="39">
        <v>42051</v>
      </c>
      <c r="B1052" s="36">
        <v>8809.3496090000008</v>
      </c>
      <c r="C1052" s="36">
        <f t="shared" si="64"/>
        <v>8742.7474609499986</v>
      </c>
      <c r="D1052" s="36">
        <f t="shared" si="65"/>
        <v>118.36342454534831</v>
      </c>
      <c r="E1052" s="40">
        <v>8809.3496090000008</v>
      </c>
      <c r="F1052" s="36">
        <f t="shared" si="66"/>
        <v>8979.4743100406959</v>
      </c>
      <c r="G1052" s="36">
        <f t="shared" si="67"/>
        <v>8506.0206118593014</v>
      </c>
      <c r="I1052" s="40">
        <v>8809.3496090000008</v>
      </c>
      <c r="J1052" s="36">
        <v>8979.4743100406959</v>
      </c>
      <c r="K1052" s="36">
        <v>8506.0206118593014</v>
      </c>
    </row>
    <row r="1053" spans="1:11" x14ac:dyDescent="0.25">
      <c r="A1053" s="39">
        <v>42053</v>
      </c>
      <c r="B1053" s="36">
        <v>8869.0996090000008</v>
      </c>
      <c r="C1053" s="36">
        <f t="shared" si="64"/>
        <v>8758.6674316499993</v>
      </c>
      <c r="D1053" s="36">
        <f t="shared" si="65"/>
        <v>112.4375636679605</v>
      </c>
      <c r="E1053" s="40">
        <v>8869.0996090000008</v>
      </c>
      <c r="F1053" s="36">
        <f t="shared" si="66"/>
        <v>8983.5425589859206</v>
      </c>
      <c r="G1053" s="36">
        <f t="shared" si="67"/>
        <v>8533.7923043140781</v>
      </c>
      <c r="I1053" s="40">
        <v>8869.0996090000008</v>
      </c>
      <c r="J1053" s="36">
        <v>8983.5425589859206</v>
      </c>
      <c r="K1053" s="36">
        <v>8533.7923043140781</v>
      </c>
    </row>
    <row r="1054" spans="1:11" x14ac:dyDescent="0.25">
      <c r="A1054" s="39">
        <v>42054</v>
      </c>
      <c r="B1054" s="36">
        <v>8895.2998050000006</v>
      </c>
      <c r="C1054" s="36">
        <f t="shared" si="64"/>
        <v>8768.6524414499982</v>
      </c>
      <c r="D1054" s="36">
        <f t="shared" si="65"/>
        <v>115.37097042685869</v>
      </c>
      <c r="E1054" s="40">
        <v>8895.2998050000006</v>
      </c>
      <c r="F1054" s="36">
        <f t="shared" si="66"/>
        <v>8999.3943823037152</v>
      </c>
      <c r="G1054" s="36">
        <f t="shared" si="67"/>
        <v>8537.9105005962811</v>
      </c>
      <c r="I1054" s="40">
        <v>8895.2998050000006</v>
      </c>
      <c r="J1054" s="36">
        <v>8999.3943823037152</v>
      </c>
      <c r="K1054" s="36">
        <v>8537.9105005962811</v>
      </c>
    </row>
    <row r="1055" spans="1:11" x14ac:dyDescent="0.25">
      <c r="A1055" s="39">
        <v>42055</v>
      </c>
      <c r="B1055" s="36">
        <v>8833.5996090000008</v>
      </c>
      <c r="C1055" s="36">
        <f t="shared" si="64"/>
        <v>8773.8574218999984</v>
      </c>
      <c r="D1055" s="36">
        <f t="shared" si="65"/>
        <v>115.85883879214971</v>
      </c>
      <c r="E1055" s="40">
        <v>8833.5996090000008</v>
      </c>
      <c r="F1055" s="36">
        <f t="shared" si="66"/>
        <v>9005.5750994842983</v>
      </c>
      <c r="G1055" s="36">
        <f t="shared" si="67"/>
        <v>8542.1397443156984</v>
      </c>
      <c r="I1055" s="40">
        <v>8833.5996090000008</v>
      </c>
      <c r="J1055" s="36">
        <v>9005.5750994842983</v>
      </c>
      <c r="K1055" s="36">
        <v>8542.1397443156984</v>
      </c>
    </row>
    <row r="1056" spans="1:11" x14ac:dyDescent="0.25">
      <c r="A1056" s="39">
        <v>42058</v>
      </c>
      <c r="B1056" s="36">
        <v>8754.9501949999994</v>
      </c>
      <c r="C1056" s="36">
        <f t="shared" si="64"/>
        <v>8773.5349120999999</v>
      </c>
      <c r="D1056" s="36">
        <f t="shared" si="65"/>
        <v>115.90430838861587</v>
      </c>
      <c r="E1056" s="40">
        <v>8754.9501949999994</v>
      </c>
      <c r="F1056" s="36">
        <f t="shared" si="66"/>
        <v>9005.3435288772325</v>
      </c>
      <c r="G1056" s="36">
        <f t="shared" si="67"/>
        <v>8541.7262953227673</v>
      </c>
      <c r="I1056" s="40">
        <v>8754.9501949999994</v>
      </c>
      <c r="J1056" s="36">
        <v>9005.3435288772325</v>
      </c>
      <c r="K1056" s="36">
        <v>8541.7262953227673</v>
      </c>
    </row>
    <row r="1057" spans="1:11" x14ac:dyDescent="0.25">
      <c r="A1057" s="39">
        <v>42059</v>
      </c>
      <c r="B1057" s="36">
        <v>8762.0996090000008</v>
      </c>
      <c r="C1057" s="36">
        <f t="shared" si="64"/>
        <v>8769.8599121000007</v>
      </c>
      <c r="D1057" s="36">
        <f t="shared" si="65"/>
        <v>114.99450614188945</v>
      </c>
      <c r="E1057" s="40">
        <v>8762.0996090000008</v>
      </c>
      <c r="F1057" s="36">
        <f t="shared" si="66"/>
        <v>8999.8489243837794</v>
      </c>
      <c r="G1057" s="36">
        <f t="shared" si="67"/>
        <v>8539.8708998162219</v>
      </c>
      <c r="I1057" s="40">
        <v>8762.0996090000008</v>
      </c>
      <c r="J1057" s="36">
        <v>8999.8489243837794</v>
      </c>
      <c r="K1057" s="36">
        <v>8539.8708998162219</v>
      </c>
    </row>
    <row r="1058" spans="1:11" x14ac:dyDescent="0.25">
      <c r="A1058" s="39">
        <v>42060</v>
      </c>
      <c r="B1058" s="36">
        <v>8767.25</v>
      </c>
      <c r="C1058" s="36">
        <f t="shared" si="64"/>
        <v>8762.6974120999985</v>
      </c>
      <c r="D1058" s="36">
        <f t="shared" si="65"/>
        <v>110.13201207860882</v>
      </c>
      <c r="E1058" s="40">
        <v>8767.25</v>
      </c>
      <c r="F1058" s="36">
        <f t="shared" si="66"/>
        <v>8982.9614362572156</v>
      </c>
      <c r="G1058" s="36">
        <f t="shared" si="67"/>
        <v>8542.4333879427813</v>
      </c>
      <c r="I1058" s="40">
        <v>8767.25</v>
      </c>
      <c r="J1058" s="36">
        <v>8982.9614362572156</v>
      </c>
      <c r="K1058" s="36">
        <v>8542.4333879427813</v>
      </c>
    </row>
    <row r="1059" spans="1:11" x14ac:dyDescent="0.25">
      <c r="A1059" s="39">
        <v>42061</v>
      </c>
      <c r="B1059" s="36">
        <v>8683.8496090000008</v>
      </c>
      <c r="C1059" s="36">
        <f t="shared" si="64"/>
        <v>8751.1749022999993</v>
      </c>
      <c r="D1059" s="36">
        <f t="shared" si="65"/>
        <v>105.38912045219107</v>
      </c>
      <c r="E1059" s="40">
        <v>8683.8496090000008</v>
      </c>
      <c r="F1059" s="36">
        <f t="shared" si="66"/>
        <v>8961.9531432043823</v>
      </c>
      <c r="G1059" s="36">
        <f t="shared" si="67"/>
        <v>8540.3966613956163</v>
      </c>
      <c r="I1059" s="40">
        <v>8683.8496090000008</v>
      </c>
      <c r="J1059" s="36">
        <v>8961.9531432043823</v>
      </c>
      <c r="K1059" s="36">
        <v>8540.3966613956163</v>
      </c>
    </row>
    <row r="1060" spans="1:11" x14ac:dyDescent="0.25">
      <c r="A1060" s="39">
        <v>42062</v>
      </c>
      <c r="B1060" s="36">
        <v>8844.5996090000008</v>
      </c>
      <c r="C1060" s="36">
        <f t="shared" si="64"/>
        <v>8745.7874023000004</v>
      </c>
      <c r="D1060" s="36">
        <f t="shared" si="65"/>
        <v>96.982602228493093</v>
      </c>
      <c r="E1060" s="40">
        <v>8844.5996090000008</v>
      </c>
      <c r="F1060" s="36">
        <f t="shared" si="66"/>
        <v>8939.752606756987</v>
      </c>
      <c r="G1060" s="36">
        <f t="shared" si="67"/>
        <v>8551.8221978430138</v>
      </c>
      <c r="I1060" s="40">
        <v>8844.5996090000008</v>
      </c>
      <c r="J1060" s="36">
        <v>8939.752606756987</v>
      </c>
      <c r="K1060" s="36">
        <v>8551.8221978430138</v>
      </c>
    </row>
    <row r="1061" spans="1:11" x14ac:dyDescent="0.25">
      <c r="A1061" s="39">
        <v>42065</v>
      </c>
      <c r="B1061" s="36">
        <v>8956.75</v>
      </c>
      <c r="C1061" s="36">
        <f t="shared" si="64"/>
        <v>8753.1798827499988</v>
      </c>
      <c r="D1061" s="36">
        <f t="shared" si="65"/>
        <v>107.14865976684848</v>
      </c>
      <c r="E1061" s="40">
        <v>8956.75</v>
      </c>
      <c r="F1061" s="36">
        <f t="shared" si="66"/>
        <v>8967.4772022836951</v>
      </c>
      <c r="G1061" s="36">
        <f t="shared" si="67"/>
        <v>8538.8825632163025</v>
      </c>
      <c r="I1061" s="40">
        <v>8956.75</v>
      </c>
      <c r="J1061" s="36">
        <v>8967.4772022836951</v>
      </c>
      <c r="K1061" s="36">
        <v>8538.8825632163025</v>
      </c>
    </row>
    <row r="1062" spans="1:11" x14ac:dyDescent="0.25">
      <c r="A1062" s="39">
        <v>42066</v>
      </c>
      <c r="B1062" s="36">
        <v>8996.25</v>
      </c>
      <c r="C1062" s="36">
        <f t="shared" si="64"/>
        <v>8763.1223632000001</v>
      </c>
      <c r="D1062" s="36">
        <f t="shared" si="65"/>
        <v>119.93121728436307</v>
      </c>
      <c r="E1062" s="40">
        <v>8996.25</v>
      </c>
      <c r="F1062" s="36">
        <f t="shared" si="66"/>
        <v>9002.9847977687259</v>
      </c>
      <c r="G1062" s="36">
        <f t="shared" si="67"/>
        <v>8523.2599286312743</v>
      </c>
      <c r="I1062" s="40">
        <v>8996.25</v>
      </c>
      <c r="J1062" s="36">
        <v>9002.9847977687259</v>
      </c>
      <c r="K1062" s="36">
        <v>8523.2599286312743</v>
      </c>
    </row>
    <row r="1063" spans="1:11" x14ac:dyDescent="0.25">
      <c r="A1063" s="39">
        <v>42067</v>
      </c>
      <c r="B1063" s="36">
        <v>8922.6503909999992</v>
      </c>
      <c r="C1063" s="36">
        <f t="shared" si="64"/>
        <v>8771.4273924999998</v>
      </c>
      <c r="D1063" s="36">
        <f t="shared" si="65"/>
        <v>125.09216888397903</v>
      </c>
      <c r="E1063" s="40">
        <v>8922.6503909999992</v>
      </c>
      <c r="F1063" s="36">
        <f t="shared" si="66"/>
        <v>9021.6117302679577</v>
      </c>
      <c r="G1063" s="36">
        <f t="shared" si="67"/>
        <v>8521.2430547320419</v>
      </c>
      <c r="I1063" s="40">
        <v>8922.6503909999992</v>
      </c>
      <c r="J1063" s="36">
        <v>9021.6117302679577</v>
      </c>
      <c r="K1063" s="36">
        <v>8521.2430547320419</v>
      </c>
    </row>
    <row r="1064" spans="1:11" x14ac:dyDescent="0.25">
      <c r="A1064" s="39">
        <v>42068</v>
      </c>
      <c r="B1064" s="36">
        <v>8937.75</v>
      </c>
      <c r="C1064" s="36">
        <f t="shared" si="64"/>
        <v>8782.1298827499995</v>
      </c>
      <c r="D1064" s="36">
        <f t="shared" si="65"/>
        <v>129.85972635263195</v>
      </c>
      <c r="E1064" s="40">
        <v>8937.75</v>
      </c>
      <c r="F1064" s="36">
        <f t="shared" si="66"/>
        <v>9041.8493354552629</v>
      </c>
      <c r="G1064" s="36">
        <f t="shared" si="67"/>
        <v>8522.4104300447361</v>
      </c>
      <c r="I1064" s="40">
        <v>8937.75</v>
      </c>
      <c r="J1064" s="36">
        <v>9041.8493354552629</v>
      </c>
      <c r="K1064" s="36">
        <v>8522.4104300447361</v>
      </c>
    </row>
    <row r="1065" spans="1:11" x14ac:dyDescent="0.25">
      <c r="A1065" s="39">
        <v>42072</v>
      </c>
      <c r="B1065" s="36">
        <v>8756.75</v>
      </c>
      <c r="C1065" s="36">
        <f t="shared" si="64"/>
        <v>8784.3823730000004</v>
      </c>
      <c r="D1065" s="36">
        <f t="shared" si="65"/>
        <v>128.96138657601168</v>
      </c>
      <c r="E1065" s="40">
        <v>8756.75</v>
      </c>
      <c r="F1065" s="36">
        <f t="shared" si="66"/>
        <v>9042.3051461520245</v>
      </c>
      <c r="G1065" s="36">
        <f t="shared" si="67"/>
        <v>8526.4595998479763</v>
      </c>
      <c r="I1065" s="40">
        <v>8756.75</v>
      </c>
      <c r="J1065" s="36">
        <v>9042.3051461520245</v>
      </c>
      <c r="K1065" s="36">
        <v>8526.4595998479763</v>
      </c>
    </row>
    <row r="1066" spans="1:11" x14ac:dyDescent="0.25">
      <c r="A1066" s="39">
        <v>42073</v>
      </c>
      <c r="B1066" s="36">
        <v>8712.0498050000006</v>
      </c>
      <c r="C1066" s="36">
        <f t="shared" si="64"/>
        <v>8786.9323729999996</v>
      </c>
      <c r="D1066" s="36">
        <f t="shared" si="65"/>
        <v>126.881787791161</v>
      </c>
      <c r="E1066" s="40">
        <v>8712.0498050000006</v>
      </c>
      <c r="F1066" s="36">
        <f t="shared" si="66"/>
        <v>9040.6959485823209</v>
      </c>
      <c r="G1066" s="36">
        <f t="shared" si="67"/>
        <v>8533.1687974176784</v>
      </c>
      <c r="I1066" s="40">
        <v>8712.0498050000006</v>
      </c>
      <c r="J1066" s="36">
        <v>9040.6959485823209</v>
      </c>
      <c r="K1066" s="36">
        <v>8533.1687974176784</v>
      </c>
    </row>
    <row r="1067" spans="1:11" x14ac:dyDescent="0.25">
      <c r="A1067" s="39">
        <v>42074</v>
      </c>
      <c r="B1067" s="36">
        <v>8699.9501949999994</v>
      </c>
      <c r="C1067" s="36">
        <f t="shared" si="64"/>
        <v>8795.6124022999993</v>
      </c>
      <c r="D1067" s="36">
        <f t="shared" si="65"/>
        <v>113.33147414630335</v>
      </c>
      <c r="E1067" s="40">
        <v>8699.9501949999994</v>
      </c>
      <c r="F1067" s="36">
        <f t="shared" si="66"/>
        <v>9022.2753505926066</v>
      </c>
      <c r="G1067" s="36">
        <f t="shared" si="67"/>
        <v>8568.949454007392</v>
      </c>
      <c r="I1067" s="40">
        <v>8699.9501949999994</v>
      </c>
      <c r="J1067" s="36">
        <v>9022.2753505926066</v>
      </c>
      <c r="K1067" s="36">
        <v>8568.949454007392</v>
      </c>
    </row>
    <row r="1068" spans="1:11" x14ac:dyDescent="0.25">
      <c r="A1068" s="39">
        <v>42075</v>
      </c>
      <c r="B1068" s="36">
        <v>8776</v>
      </c>
      <c r="C1068" s="36">
        <f t="shared" si="64"/>
        <v>8806.1349120499981</v>
      </c>
      <c r="D1068" s="36">
        <f t="shared" si="65"/>
        <v>99.80977196913625</v>
      </c>
      <c r="E1068" s="40">
        <v>8776</v>
      </c>
      <c r="F1068" s="36">
        <f t="shared" si="66"/>
        <v>9005.7544559882699</v>
      </c>
      <c r="G1068" s="36">
        <f t="shared" si="67"/>
        <v>8606.5153681117263</v>
      </c>
      <c r="I1068" s="40">
        <v>8776</v>
      </c>
      <c r="J1068" s="36">
        <v>9005.7544559882699</v>
      </c>
      <c r="K1068" s="36">
        <v>8606.5153681117263</v>
      </c>
    </row>
    <row r="1069" spans="1:11" x14ac:dyDescent="0.25">
      <c r="A1069" s="39">
        <v>42076</v>
      </c>
      <c r="B1069" s="36">
        <v>8647.75</v>
      </c>
      <c r="C1069" s="36">
        <f t="shared" si="64"/>
        <v>8807.1523925000001</v>
      </c>
      <c r="D1069" s="36">
        <f t="shared" si="65"/>
        <v>97.978748246448831</v>
      </c>
      <c r="E1069" s="40">
        <v>8647.75</v>
      </c>
      <c r="F1069" s="36">
        <f t="shared" si="66"/>
        <v>9003.109888992898</v>
      </c>
      <c r="G1069" s="36">
        <f t="shared" si="67"/>
        <v>8611.1948960071022</v>
      </c>
      <c r="I1069" s="40">
        <v>8647.75</v>
      </c>
      <c r="J1069" s="36">
        <v>9003.109888992898</v>
      </c>
      <c r="K1069" s="36">
        <v>8611.1948960071022</v>
      </c>
    </row>
    <row r="1070" spans="1:11" x14ac:dyDescent="0.25">
      <c r="A1070" s="39">
        <v>42079</v>
      </c>
      <c r="B1070" s="36">
        <v>8633.1503909999992</v>
      </c>
      <c r="C1070" s="36">
        <f t="shared" si="64"/>
        <v>8803.2324218000012</v>
      </c>
      <c r="D1070" s="36">
        <f t="shared" si="65"/>
        <v>103.42207476733211</v>
      </c>
      <c r="E1070" s="40">
        <v>8633.1503909999992</v>
      </c>
      <c r="F1070" s="36">
        <f t="shared" si="66"/>
        <v>9010.0765713346664</v>
      </c>
      <c r="G1070" s="36">
        <f t="shared" si="67"/>
        <v>8596.3882722653361</v>
      </c>
      <c r="I1070" s="40">
        <v>8633.1503909999992</v>
      </c>
      <c r="J1070" s="36">
        <v>9010.0765713346664</v>
      </c>
      <c r="K1070" s="36">
        <v>8596.3882722653361</v>
      </c>
    </row>
    <row r="1071" spans="1:11" x14ac:dyDescent="0.25">
      <c r="A1071" s="39">
        <v>42080</v>
      </c>
      <c r="B1071" s="36">
        <v>8723.2998050000006</v>
      </c>
      <c r="C1071" s="36">
        <f t="shared" si="64"/>
        <v>8799.122412050001</v>
      </c>
      <c r="D1071" s="36">
        <f t="shared" si="65"/>
        <v>104.94926672824091</v>
      </c>
      <c r="E1071" s="40">
        <v>8723.2998050000006</v>
      </c>
      <c r="F1071" s="36">
        <f t="shared" si="66"/>
        <v>9009.0209455064833</v>
      </c>
      <c r="G1071" s="36">
        <f t="shared" si="67"/>
        <v>8589.2238785935187</v>
      </c>
      <c r="I1071" s="40">
        <v>8723.2998050000006</v>
      </c>
      <c r="J1071" s="36">
        <v>9009.0209455064833</v>
      </c>
      <c r="K1071" s="36">
        <v>8589.2238785935187</v>
      </c>
    </row>
    <row r="1072" spans="1:11" x14ac:dyDescent="0.25">
      <c r="A1072" s="39">
        <v>42081</v>
      </c>
      <c r="B1072" s="36">
        <v>8685.9003909999992</v>
      </c>
      <c r="C1072" s="36">
        <f t="shared" si="64"/>
        <v>8792.9499511499998</v>
      </c>
      <c r="D1072" s="36">
        <f t="shared" si="65"/>
        <v>107.90475043712486</v>
      </c>
      <c r="E1072" s="40">
        <v>8685.9003909999992</v>
      </c>
      <c r="F1072" s="36">
        <f t="shared" si="66"/>
        <v>9008.7594520242492</v>
      </c>
      <c r="G1072" s="36">
        <f t="shared" si="67"/>
        <v>8577.1404502757505</v>
      </c>
      <c r="I1072" s="40">
        <v>8685.9003909999992</v>
      </c>
      <c r="J1072" s="36">
        <v>9008.7594520242492</v>
      </c>
      <c r="K1072" s="36">
        <v>8577.1404502757505</v>
      </c>
    </row>
    <row r="1073" spans="1:11" x14ac:dyDescent="0.25">
      <c r="A1073" s="39">
        <v>42082</v>
      </c>
      <c r="B1073" s="36">
        <v>8634.6503909999992</v>
      </c>
      <c r="C1073" s="36">
        <f t="shared" si="64"/>
        <v>8781.2274902499994</v>
      </c>
      <c r="D1073" s="36">
        <f t="shared" si="65"/>
        <v>111.85915174027812</v>
      </c>
      <c r="E1073" s="40">
        <v>8634.6503909999992</v>
      </c>
      <c r="F1073" s="36">
        <f t="shared" si="66"/>
        <v>9004.945793730556</v>
      </c>
      <c r="G1073" s="36">
        <f t="shared" si="67"/>
        <v>8557.5091867694427</v>
      </c>
      <c r="I1073" s="40">
        <v>8634.6503909999992</v>
      </c>
      <c r="J1073" s="36">
        <v>9004.945793730556</v>
      </c>
      <c r="K1073" s="36">
        <v>8557.5091867694427</v>
      </c>
    </row>
    <row r="1074" spans="1:11" x14ac:dyDescent="0.25">
      <c r="A1074" s="39">
        <v>42083</v>
      </c>
      <c r="B1074" s="36">
        <v>8570.9003909999992</v>
      </c>
      <c r="C1074" s="36">
        <f t="shared" si="64"/>
        <v>8765.0075195499994</v>
      </c>
      <c r="D1074" s="36">
        <f t="shared" si="65"/>
        <v>117.80898308822592</v>
      </c>
      <c r="E1074" s="40">
        <v>8570.9003909999992</v>
      </c>
      <c r="F1074" s="36">
        <f t="shared" si="66"/>
        <v>9000.6254857264521</v>
      </c>
      <c r="G1074" s="36">
        <f t="shared" si="67"/>
        <v>8529.3895533735467</v>
      </c>
      <c r="I1074" s="40">
        <v>8570.9003909999992</v>
      </c>
      <c r="J1074" s="36">
        <v>9000.6254857264521</v>
      </c>
      <c r="K1074" s="36">
        <v>8529.3895533735467</v>
      </c>
    </row>
    <row r="1075" spans="1:11" x14ac:dyDescent="0.25">
      <c r="A1075" s="39">
        <v>42086</v>
      </c>
      <c r="B1075" s="36">
        <v>8550.9003909999992</v>
      </c>
      <c r="C1075" s="36">
        <f t="shared" si="64"/>
        <v>8750.8725586500004</v>
      </c>
      <c r="D1075" s="36">
        <f t="shared" si="65"/>
        <v>125.83222305018425</v>
      </c>
      <c r="E1075" s="40">
        <v>8550.9003909999992</v>
      </c>
      <c r="F1075" s="36">
        <f t="shared" si="66"/>
        <v>9002.5370047503693</v>
      </c>
      <c r="G1075" s="36">
        <f t="shared" si="67"/>
        <v>8499.2081125496316</v>
      </c>
      <c r="I1075" s="40">
        <v>8550.9003909999992</v>
      </c>
      <c r="J1075" s="36">
        <v>9002.5370047503693</v>
      </c>
      <c r="K1075" s="36">
        <v>8499.2081125496316</v>
      </c>
    </row>
    <row r="1076" spans="1:11" x14ac:dyDescent="0.25">
      <c r="A1076" s="39">
        <v>42087</v>
      </c>
      <c r="B1076" s="36">
        <v>8542.9501949999994</v>
      </c>
      <c r="C1076" s="36">
        <f t="shared" si="64"/>
        <v>8740.2725586500019</v>
      </c>
      <c r="D1076" s="36">
        <f t="shared" si="65"/>
        <v>134.12662928521868</v>
      </c>
      <c r="E1076" s="40">
        <v>8542.9501949999994</v>
      </c>
      <c r="F1076" s="36">
        <f t="shared" si="66"/>
        <v>9008.5258172204394</v>
      </c>
      <c r="G1076" s="36">
        <f t="shared" si="67"/>
        <v>8472.0193000795643</v>
      </c>
      <c r="I1076" s="40">
        <v>8542.9501949999994</v>
      </c>
      <c r="J1076" s="36">
        <v>9008.5258172204394</v>
      </c>
      <c r="K1076" s="36">
        <v>8472.0193000795643</v>
      </c>
    </row>
    <row r="1077" spans="1:11" x14ac:dyDescent="0.25">
      <c r="A1077" s="39">
        <v>42088</v>
      </c>
      <c r="B1077" s="36">
        <v>8530.7998050000006</v>
      </c>
      <c r="C1077" s="36">
        <f t="shared" si="64"/>
        <v>8728.7075684499996</v>
      </c>
      <c r="D1077" s="36">
        <f t="shared" si="65"/>
        <v>141.89257155977751</v>
      </c>
      <c r="E1077" s="40">
        <v>8530.7998050000006</v>
      </c>
      <c r="F1077" s="36">
        <f t="shared" si="66"/>
        <v>9012.4927115695555</v>
      </c>
      <c r="G1077" s="36">
        <f t="shared" si="67"/>
        <v>8444.9224253304437</v>
      </c>
      <c r="I1077" s="40">
        <v>8530.7998050000006</v>
      </c>
      <c r="J1077" s="36">
        <v>9012.4927115695555</v>
      </c>
      <c r="K1077" s="36">
        <v>8444.9224253304437</v>
      </c>
    </row>
    <row r="1078" spans="1:11" x14ac:dyDescent="0.25">
      <c r="A1078" s="39">
        <v>42089</v>
      </c>
      <c r="B1078" s="36">
        <v>8342.1503909999992</v>
      </c>
      <c r="C1078" s="36">
        <f t="shared" si="64"/>
        <v>8707.4525880000001</v>
      </c>
      <c r="D1078" s="36">
        <f t="shared" si="65"/>
        <v>165.663257677611</v>
      </c>
      <c r="E1078" s="40">
        <v>8342.1503909999992</v>
      </c>
      <c r="F1078" s="36">
        <f t="shared" si="66"/>
        <v>9038.7791033552221</v>
      </c>
      <c r="G1078" s="36">
        <f t="shared" si="67"/>
        <v>8376.1260726447781</v>
      </c>
      <c r="I1078" s="40">
        <v>8342.1503909999992</v>
      </c>
      <c r="J1078" s="36">
        <v>9038.7791033552221</v>
      </c>
      <c r="K1078" s="36">
        <v>8376.1260726447781</v>
      </c>
    </row>
    <row r="1079" spans="1:11" x14ac:dyDescent="0.25">
      <c r="A1079" s="39">
        <v>42090</v>
      </c>
      <c r="B1079" s="36">
        <v>8341.4003909999992</v>
      </c>
      <c r="C1079" s="36">
        <f t="shared" si="64"/>
        <v>8690.3301271</v>
      </c>
      <c r="D1079" s="36">
        <f t="shared" si="65"/>
        <v>184.82075540033014</v>
      </c>
      <c r="E1079" s="40">
        <v>8341.4003909999992</v>
      </c>
      <c r="F1079" s="36">
        <f t="shared" si="66"/>
        <v>9059.9716379006604</v>
      </c>
      <c r="G1079" s="36">
        <f t="shared" si="67"/>
        <v>8320.6886162993396</v>
      </c>
      <c r="I1079" s="40">
        <v>8341.4003909999992</v>
      </c>
      <c r="J1079" s="36">
        <v>9059.9716379006604</v>
      </c>
      <c r="K1079" s="36">
        <v>8320.6886162993396</v>
      </c>
    </row>
    <row r="1080" spans="1:11" x14ac:dyDescent="0.25">
      <c r="A1080" s="39">
        <v>42093</v>
      </c>
      <c r="B1080" s="36">
        <v>8492.2998050000006</v>
      </c>
      <c r="C1080" s="36">
        <f t="shared" si="64"/>
        <v>8672.7151369000003</v>
      </c>
      <c r="D1080" s="36">
        <f t="shared" si="65"/>
        <v>186.12767247222612</v>
      </c>
      <c r="E1080" s="40">
        <v>8492.2998050000006</v>
      </c>
      <c r="F1080" s="36">
        <f t="shared" si="66"/>
        <v>9044.9704818444534</v>
      </c>
      <c r="G1080" s="36">
        <f t="shared" si="67"/>
        <v>8300.4597919555472</v>
      </c>
      <c r="I1080" s="40">
        <v>8492.2998050000006</v>
      </c>
      <c r="J1080" s="36">
        <v>9044.9704818444534</v>
      </c>
      <c r="K1080" s="36">
        <v>8300.4597919555472</v>
      </c>
    </row>
    <row r="1081" spans="1:11" x14ac:dyDescent="0.25">
      <c r="A1081" s="39">
        <v>42094</v>
      </c>
      <c r="B1081" s="36">
        <v>8491</v>
      </c>
      <c r="C1081" s="36">
        <f t="shared" si="64"/>
        <v>8649.4276368999999</v>
      </c>
      <c r="D1081" s="36">
        <f t="shared" si="65"/>
        <v>177.66395439527892</v>
      </c>
      <c r="E1081" s="40">
        <v>8491</v>
      </c>
      <c r="F1081" s="36">
        <f t="shared" si="66"/>
        <v>9004.7555456905575</v>
      </c>
      <c r="G1081" s="36">
        <f t="shared" si="67"/>
        <v>8294.0997281094424</v>
      </c>
      <c r="I1081" s="40">
        <v>8491</v>
      </c>
      <c r="J1081" s="36">
        <v>9004.7555456905575</v>
      </c>
      <c r="K1081" s="36">
        <v>8294.0997281094424</v>
      </c>
    </row>
    <row r="1082" spans="1:11" x14ac:dyDescent="0.25">
      <c r="A1082" s="39">
        <v>42095</v>
      </c>
      <c r="B1082" s="36">
        <v>8586.25</v>
      </c>
      <c r="C1082" s="36">
        <f t="shared" si="64"/>
        <v>8628.9276368999999</v>
      </c>
      <c r="D1082" s="36">
        <f t="shared" si="65"/>
        <v>158.11817622371913</v>
      </c>
      <c r="E1082" s="40">
        <v>8586.25</v>
      </c>
      <c r="F1082" s="36">
        <f t="shared" si="66"/>
        <v>8945.1639893474385</v>
      </c>
      <c r="G1082" s="36">
        <f t="shared" si="67"/>
        <v>8312.6912844525614</v>
      </c>
      <c r="I1082" s="40">
        <v>8586.25</v>
      </c>
      <c r="J1082" s="36">
        <v>8945.1639893474385</v>
      </c>
      <c r="K1082" s="36">
        <v>8312.6912844525614</v>
      </c>
    </row>
    <row r="1083" spans="1:11" x14ac:dyDescent="0.25">
      <c r="A1083" s="39">
        <v>42100</v>
      </c>
      <c r="B1083" s="36">
        <v>8659.9003909999992</v>
      </c>
      <c r="C1083" s="36">
        <f t="shared" si="64"/>
        <v>8615.7901368999992</v>
      </c>
      <c r="D1083" s="36">
        <f t="shared" si="65"/>
        <v>142.58149516189664</v>
      </c>
      <c r="E1083" s="40">
        <v>8659.9003909999992</v>
      </c>
      <c r="F1083" s="36">
        <f t="shared" si="66"/>
        <v>8900.9531272237928</v>
      </c>
      <c r="G1083" s="36">
        <f t="shared" si="67"/>
        <v>8330.6271465762056</v>
      </c>
      <c r="I1083" s="40">
        <v>8659.9003909999992</v>
      </c>
      <c r="J1083" s="36">
        <v>8900.9531272237928</v>
      </c>
      <c r="K1083" s="36">
        <v>8330.6271465762056</v>
      </c>
    </row>
    <row r="1084" spans="1:11" x14ac:dyDescent="0.25">
      <c r="A1084" s="39">
        <v>42101</v>
      </c>
      <c r="B1084" s="36">
        <v>8660.2998050000006</v>
      </c>
      <c r="C1084" s="36">
        <f t="shared" si="64"/>
        <v>8601.91762715</v>
      </c>
      <c r="D1084" s="36">
        <f t="shared" si="65"/>
        <v>121.5544493678194</v>
      </c>
      <c r="E1084" s="40">
        <v>8660.2998050000006</v>
      </c>
      <c r="F1084" s="36">
        <f t="shared" si="66"/>
        <v>8845.026525885638</v>
      </c>
      <c r="G1084" s="36">
        <f t="shared" si="67"/>
        <v>8358.8087284143621</v>
      </c>
      <c r="I1084" s="40">
        <v>8660.2998050000006</v>
      </c>
      <c r="J1084" s="36">
        <v>8845.026525885638</v>
      </c>
      <c r="K1084" s="36">
        <v>8358.8087284143621</v>
      </c>
    </row>
    <row r="1085" spans="1:11" x14ac:dyDescent="0.25">
      <c r="A1085" s="39">
        <v>42102</v>
      </c>
      <c r="B1085" s="36">
        <v>8714.4003909999992</v>
      </c>
      <c r="C1085" s="36">
        <f t="shared" si="64"/>
        <v>8599.8001467000013</v>
      </c>
      <c r="D1085" s="36">
        <f t="shared" si="65"/>
        <v>119.05855106958977</v>
      </c>
      <c r="E1085" s="40">
        <v>8714.4003909999992</v>
      </c>
      <c r="F1085" s="36">
        <f t="shared" si="66"/>
        <v>8837.9172488391814</v>
      </c>
      <c r="G1085" s="36">
        <f t="shared" si="67"/>
        <v>8361.6830445608211</v>
      </c>
      <c r="I1085" s="40">
        <v>8714.4003909999992</v>
      </c>
      <c r="J1085" s="36">
        <v>8837.9172488391814</v>
      </c>
      <c r="K1085" s="36">
        <v>8361.6830445608211</v>
      </c>
    </row>
    <row r="1086" spans="1:11" x14ac:dyDescent="0.25">
      <c r="A1086" s="39">
        <v>42103</v>
      </c>
      <c r="B1086" s="36">
        <v>8778.2998050000006</v>
      </c>
      <c r="C1086" s="36">
        <f t="shared" si="64"/>
        <v>8603.1126466999995</v>
      </c>
      <c r="D1086" s="36">
        <f t="shared" si="65"/>
        <v>123.19571980192252</v>
      </c>
      <c r="E1086" s="40">
        <v>8778.2998050000006</v>
      </c>
      <c r="F1086" s="36">
        <f t="shared" si="66"/>
        <v>8849.5040863038448</v>
      </c>
      <c r="G1086" s="36">
        <f t="shared" si="67"/>
        <v>8356.7212070961541</v>
      </c>
      <c r="I1086" s="40">
        <v>8778.2998050000006</v>
      </c>
      <c r="J1086" s="36">
        <v>8849.5040863038448</v>
      </c>
      <c r="K1086" s="36">
        <v>8356.7212070961541</v>
      </c>
    </row>
    <row r="1087" spans="1:11" x14ac:dyDescent="0.25">
      <c r="A1087" s="39">
        <v>42104</v>
      </c>
      <c r="B1087" s="36">
        <v>8780.3496090000008</v>
      </c>
      <c r="C1087" s="36">
        <f t="shared" si="64"/>
        <v>8607.1326173999987</v>
      </c>
      <c r="D1087" s="36">
        <f t="shared" si="65"/>
        <v>127.74949766690038</v>
      </c>
      <c r="E1087" s="40">
        <v>8780.3496090000008</v>
      </c>
      <c r="F1087" s="36">
        <f t="shared" si="66"/>
        <v>8862.6316127337996</v>
      </c>
      <c r="G1087" s="36">
        <f t="shared" si="67"/>
        <v>8351.6336220661979</v>
      </c>
      <c r="I1087" s="40">
        <v>8780.3496090000008</v>
      </c>
      <c r="J1087" s="36">
        <v>8862.6316127337996</v>
      </c>
      <c r="K1087" s="36">
        <v>8351.6336220661979</v>
      </c>
    </row>
    <row r="1088" spans="1:11" x14ac:dyDescent="0.25">
      <c r="A1088" s="39">
        <v>42107</v>
      </c>
      <c r="B1088" s="36">
        <v>8834</v>
      </c>
      <c r="C1088" s="36">
        <f t="shared" si="64"/>
        <v>8610.0326174000002</v>
      </c>
      <c r="D1088" s="36">
        <f t="shared" si="65"/>
        <v>132.35978982947682</v>
      </c>
      <c r="E1088" s="40">
        <v>8834</v>
      </c>
      <c r="F1088" s="36">
        <f t="shared" si="66"/>
        <v>8874.7521970589532</v>
      </c>
      <c r="G1088" s="36">
        <f t="shared" si="67"/>
        <v>8345.3130377410471</v>
      </c>
      <c r="I1088" s="40">
        <v>8834</v>
      </c>
      <c r="J1088" s="36">
        <v>8874.7521970589532</v>
      </c>
      <c r="K1088" s="36">
        <v>8345.3130377410471</v>
      </c>
    </row>
    <row r="1089" spans="1:11" x14ac:dyDescent="0.25">
      <c r="A1089" s="39">
        <v>42110</v>
      </c>
      <c r="B1089" s="36">
        <v>8706.7001949999994</v>
      </c>
      <c r="C1089" s="36">
        <f t="shared" si="64"/>
        <v>8612.98012715</v>
      </c>
      <c r="D1089" s="36">
        <f t="shared" si="65"/>
        <v>133.89143847568852</v>
      </c>
      <c r="E1089" s="40">
        <v>8706.7001949999994</v>
      </c>
      <c r="F1089" s="36">
        <f t="shared" si="66"/>
        <v>8880.7630041013763</v>
      </c>
      <c r="G1089" s="36">
        <f t="shared" si="67"/>
        <v>8345.1972501986238</v>
      </c>
      <c r="I1089" s="40">
        <v>8706.7001949999994</v>
      </c>
      <c r="J1089" s="36">
        <v>8880.7630041013763</v>
      </c>
      <c r="K1089" s="36">
        <v>8345.1972501986238</v>
      </c>
    </row>
    <row r="1090" spans="1:11" x14ac:dyDescent="0.25">
      <c r="A1090" s="39">
        <v>42111</v>
      </c>
      <c r="B1090" s="36">
        <v>8606</v>
      </c>
      <c r="C1090" s="36">
        <f t="shared" si="64"/>
        <v>8611.6226076000003</v>
      </c>
      <c r="D1090" s="36">
        <f t="shared" si="65"/>
        <v>133.81378539821114</v>
      </c>
      <c r="E1090" s="40">
        <v>8606</v>
      </c>
      <c r="F1090" s="36">
        <f t="shared" si="66"/>
        <v>8879.2501783964217</v>
      </c>
      <c r="G1090" s="36">
        <f t="shared" si="67"/>
        <v>8343.9950368035788</v>
      </c>
      <c r="I1090" s="40">
        <v>8606</v>
      </c>
      <c r="J1090" s="36">
        <v>8879.2501783964217</v>
      </c>
      <c r="K1090" s="36">
        <v>8343.9950368035788</v>
      </c>
    </row>
    <row r="1091" spans="1:11" x14ac:dyDescent="0.25">
      <c r="A1091" s="39">
        <v>42114</v>
      </c>
      <c r="B1091" s="36">
        <v>8448.0996090000008</v>
      </c>
      <c r="C1091" s="36">
        <f t="shared" si="64"/>
        <v>8597.8625978000018</v>
      </c>
      <c r="D1091" s="36">
        <f t="shared" si="65"/>
        <v>135.85938383557621</v>
      </c>
      <c r="E1091" s="40">
        <v>8448.0996090000008</v>
      </c>
      <c r="F1091" s="36">
        <f t="shared" si="66"/>
        <v>8869.5813654711546</v>
      </c>
      <c r="G1091" s="36">
        <f t="shared" si="67"/>
        <v>8326.143830128849</v>
      </c>
      <c r="I1091" s="40">
        <v>8448.0996090000008</v>
      </c>
      <c r="J1091" s="36">
        <v>8869.5813654711546</v>
      </c>
      <c r="K1091" s="36">
        <v>8326.143830128849</v>
      </c>
    </row>
    <row r="1092" spans="1:11" x14ac:dyDescent="0.25">
      <c r="A1092" s="39">
        <v>42115</v>
      </c>
      <c r="B1092" s="36">
        <v>8377.75</v>
      </c>
      <c r="C1092" s="36">
        <f t="shared" si="64"/>
        <v>8582.455078250001</v>
      </c>
      <c r="D1092" s="36">
        <f t="shared" si="65"/>
        <v>142.65319389722981</v>
      </c>
      <c r="E1092" s="40">
        <v>8377.75</v>
      </c>
      <c r="F1092" s="36">
        <f t="shared" si="66"/>
        <v>8867.7614660444597</v>
      </c>
      <c r="G1092" s="36">
        <f t="shared" si="67"/>
        <v>8297.1486904555422</v>
      </c>
      <c r="I1092" s="40">
        <v>8377.75</v>
      </c>
      <c r="J1092" s="36">
        <v>8867.7614660444597</v>
      </c>
      <c r="K1092" s="36">
        <v>8297.1486904555422</v>
      </c>
    </row>
    <row r="1093" spans="1:11" x14ac:dyDescent="0.25">
      <c r="A1093" s="39">
        <v>42116</v>
      </c>
      <c r="B1093" s="36">
        <v>8429.7001949999994</v>
      </c>
      <c r="C1093" s="36">
        <f t="shared" si="64"/>
        <v>8572.2075684500014</v>
      </c>
      <c r="D1093" s="36">
        <f t="shared" si="65"/>
        <v>146.02779392873364</v>
      </c>
      <c r="E1093" s="40">
        <v>8429.7001949999994</v>
      </c>
      <c r="F1093" s="36">
        <f t="shared" si="66"/>
        <v>8864.2631563074683</v>
      </c>
      <c r="G1093" s="36">
        <f t="shared" si="67"/>
        <v>8280.1519805925345</v>
      </c>
      <c r="I1093" s="40">
        <v>8429.7001949999994</v>
      </c>
      <c r="J1093" s="36">
        <v>8864.2631563074683</v>
      </c>
      <c r="K1093" s="36">
        <v>8280.1519805925345</v>
      </c>
    </row>
    <row r="1094" spans="1:11" x14ac:dyDescent="0.25">
      <c r="A1094" s="39">
        <v>42117</v>
      </c>
      <c r="B1094" s="36">
        <v>8398.2998050000006</v>
      </c>
      <c r="C1094" s="36">
        <f t="shared" si="64"/>
        <v>8563.577539150001</v>
      </c>
      <c r="D1094" s="36">
        <f t="shared" si="65"/>
        <v>151.12052853601384</v>
      </c>
      <c r="E1094" s="40">
        <v>8398.2998050000006</v>
      </c>
      <c r="F1094" s="36">
        <f t="shared" si="66"/>
        <v>8865.8185962220286</v>
      </c>
      <c r="G1094" s="36">
        <f t="shared" si="67"/>
        <v>8261.3364820779734</v>
      </c>
      <c r="I1094" s="40">
        <v>8398.2998050000006</v>
      </c>
      <c r="J1094" s="36">
        <v>8865.8185962220286</v>
      </c>
      <c r="K1094" s="36">
        <v>8261.3364820779734</v>
      </c>
    </row>
    <row r="1095" spans="1:11" x14ac:dyDescent="0.25">
      <c r="A1095" s="39">
        <v>42118</v>
      </c>
      <c r="B1095" s="36">
        <v>8305.25</v>
      </c>
      <c r="C1095" s="36">
        <f t="shared" si="64"/>
        <v>8551.2950196000002</v>
      </c>
      <c r="D1095" s="36">
        <f t="shared" si="65"/>
        <v>161.80984135434284</v>
      </c>
      <c r="E1095" s="40">
        <v>8305.25</v>
      </c>
      <c r="F1095" s="36">
        <f t="shared" si="66"/>
        <v>8874.9147023086862</v>
      </c>
      <c r="G1095" s="36">
        <f t="shared" si="67"/>
        <v>8227.6753368913141</v>
      </c>
      <c r="I1095" s="40">
        <v>8305.25</v>
      </c>
      <c r="J1095" s="36">
        <v>8874.9147023086862</v>
      </c>
      <c r="K1095" s="36">
        <v>8227.6753368913141</v>
      </c>
    </row>
    <row r="1096" spans="1:11" x14ac:dyDescent="0.25">
      <c r="A1096" s="39">
        <v>42121</v>
      </c>
      <c r="B1096" s="36">
        <v>8213.7998050000006</v>
      </c>
      <c r="C1096" s="36">
        <f t="shared" si="64"/>
        <v>8534.8375000999986</v>
      </c>
      <c r="D1096" s="36">
        <f t="shared" si="65"/>
        <v>178.57365504429103</v>
      </c>
      <c r="E1096" s="40">
        <v>8213.7998050000006</v>
      </c>
      <c r="F1096" s="36">
        <f t="shared" si="66"/>
        <v>8891.98481018858</v>
      </c>
      <c r="G1096" s="36">
        <f t="shared" si="67"/>
        <v>8177.6901900114162</v>
      </c>
      <c r="I1096" s="40">
        <v>8213.7998050000006</v>
      </c>
      <c r="J1096" s="36">
        <v>8891.98481018858</v>
      </c>
      <c r="K1096" s="36">
        <v>8177.6901900114162</v>
      </c>
    </row>
    <row r="1097" spans="1:11" x14ac:dyDescent="0.25">
      <c r="A1097" s="39">
        <v>42122</v>
      </c>
      <c r="B1097" s="36">
        <v>8285.5996090000008</v>
      </c>
      <c r="C1097" s="36">
        <f t="shared" si="64"/>
        <v>8522.5774902999983</v>
      </c>
      <c r="D1097" s="36">
        <f t="shared" si="65"/>
        <v>187.07998877682527</v>
      </c>
      <c r="E1097" s="40">
        <v>8285.5996090000008</v>
      </c>
      <c r="F1097" s="36">
        <f t="shared" si="66"/>
        <v>8896.7374678536489</v>
      </c>
      <c r="G1097" s="36">
        <f t="shared" si="67"/>
        <v>8148.4175127463477</v>
      </c>
      <c r="I1097" s="40">
        <v>8285.5996090000008</v>
      </c>
      <c r="J1097" s="36">
        <v>8896.7374678536489</v>
      </c>
      <c r="K1097" s="36">
        <v>8148.4175127463477</v>
      </c>
    </row>
    <row r="1098" spans="1:11" x14ac:dyDescent="0.25">
      <c r="A1098" s="39">
        <v>42123</v>
      </c>
      <c r="B1098" s="36">
        <v>8239.75</v>
      </c>
      <c r="C1098" s="36">
        <f t="shared" si="64"/>
        <v>8517.4574707499978</v>
      </c>
      <c r="D1098" s="36">
        <f t="shared" si="65"/>
        <v>193.56661860397273</v>
      </c>
      <c r="E1098" s="40">
        <v>8239.75</v>
      </c>
      <c r="F1098" s="36">
        <f t="shared" si="66"/>
        <v>8904.5907079579429</v>
      </c>
      <c r="G1098" s="36">
        <f t="shared" si="67"/>
        <v>8130.3242335420528</v>
      </c>
      <c r="I1098" s="40">
        <v>8239.75</v>
      </c>
      <c r="J1098" s="36">
        <v>8904.5907079579429</v>
      </c>
      <c r="K1098" s="36">
        <v>8130.3242335420528</v>
      </c>
    </row>
    <row r="1099" spans="1:11" x14ac:dyDescent="0.25">
      <c r="A1099" s="39">
        <v>42124</v>
      </c>
      <c r="B1099" s="36">
        <v>8181.5</v>
      </c>
      <c r="C1099" s="36">
        <f t="shared" si="64"/>
        <v>8509.4624511999991</v>
      </c>
      <c r="D1099" s="36">
        <f t="shared" si="65"/>
        <v>204.2296953752502</v>
      </c>
      <c r="E1099" s="40">
        <v>8181.5</v>
      </c>
      <c r="F1099" s="36">
        <f t="shared" si="66"/>
        <v>8917.9218419504996</v>
      </c>
      <c r="G1099" s="36">
        <f t="shared" si="67"/>
        <v>8101.0030604494987</v>
      </c>
      <c r="I1099" s="40">
        <v>8181.5</v>
      </c>
      <c r="J1099" s="36">
        <v>8917.9218419504996</v>
      </c>
      <c r="K1099" s="36">
        <v>8101.0030604494987</v>
      </c>
    </row>
    <row r="1100" spans="1:11" x14ac:dyDescent="0.25">
      <c r="A1100" s="39">
        <v>42128</v>
      </c>
      <c r="B1100" s="36">
        <v>8331.9501949999994</v>
      </c>
      <c r="C1100" s="36">
        <f t="shared" si="64"/>
        <v>8501.4449706999985</v>
      </c>
      <c r="D1100" s="36">
        <f t="shared" si="65"/>
        <v>208.0506069247719</v>
      </c>
      <c r="E1100" s="40">
        <v>8331.9501949999994</v>
      </c>
      <c r="F1100" s="36">
        <f t="shared" si="66"/>
        <v>8917.5461845495429</v>
      </c>
      <c r="G1100" s="36">
        <f t="shared" si="67"/>
        <v>8085.3437568504551</v>
      </c>
      <c r="I1100" s="40">
        <v>8331.9501949999994</v>
      </c>
      <c r="J1100" s="36">
        <v>8917.5461845495429</v>
      </c>
      <c r="K1100" s="36">
        <v>8085.3437568504551</v>
      </c>
    </row>
    <row r="1101" spans="1:11" x14ac:dyDescent="0.25">
      <c r="A1101" s="39">
        <v>42129</v>
      </c>
      <c r="B1101" s="36">
        <v>8324.7998050000006</v>
      </c>
      <c r="C1101" s="36">
        <f t="shared" si="64"/>
        <v>8493.1349609499994</v>
      </c>
      <c r="D1101" s="36">
        <f t="shared" si="65"/>
        <v>211.77561831047643</v>
      </c>
      <c r="E1101" s="40">
        <v>8324.7998050000006</v>
      </c>
      <c r="F1101" s="36">
        <f t="shared" si="66"/>
        <v>8916.6861975709526</v>
      </c>
      <c r="G1101" s="36">
        <f t="shared" si="67"/>
        <v>8069.5837243290462</v>
      </c>
      <c r="I1101" s="40">
        <v>8324.7998050000006</v>
      </c>
      <c r="J1101" s="36">
        <v>8916.6861975709526</v>
      </c>
      <c r="K1101" s="36">
        <v>8069.5837243290462</v>
      </c>
    </row>
    <row r="1102" spans="1:11" x14ac:dyDescent="0.25">
      <c r="A1102" s="39">
        <v>42130</v>
      </c>
      <c r="B1102" s="36">
        <v>8097</v>
      </c>
      <c r="C1102" s="36">
        <f t="shared" si="64"/>
        <v>8468.6724609499997</v>
      </c>
      <c r="D1102" s="36">
        <f t="shared" si="65"/>
        <v>228.0828054122222</v>
      </c>
      <c r="E1102" s="40">
        <v>8097</v>
      </c>
      <c r="F1102" s="36">
        <f t="shared" si="66"/>
        <v>8924.838071774444</v>
      </c>
      <c r="G1102" s="36">
        <f t="shared" si="67"/>
        <v>8012.5068501255555</v>
      </c>
      <c r="I1102" s="40">
        <v>8097</v>
      </c>
      <c r="J1102" s="36">
        <v>8924.838071774444</v>
      </c>
      <c r="K1102" s="36">
        <v>8012.5068501255555</v>
      </c>
    </row>
    <row r="1103" spans="1:11" x14ac:dyDescent="0.25">
      <c r="A1103" s="39">
        <v>42131</v>
      </c>
      <c r="B1103" s="36">
        <v>8057.2998049999997</v>
      </c>
      <c r="C1103" s="36">
        <f t="shared" si="64"/>
        <v>8438.5424316499993</v>
      </c>
      <c r="D1103" s="36">
        <f t="shared" si="65"/>
        <v>240.93201966412536</v>
      </c>
      <c r="E1103" s="40">
        <v>8057.2998049999997</v>
      </c>
      <c r="F1103" s="36">
        <f t="shared" si="66"/>
        <v>8920.4064709782506</v>
      </c>
      <c r="G1103" s="36">
        <f t="shared" si="67"/>
        <v>7956.678392321749</v>
      </c>
      <c r="I1103" s="40">
        <v>8057.2998049999997</v>
      </c>
      <c r="J1103" s="36">
        <v>8920.4064709782506</v>
      </c>
      <c r="K1103" s="36">
        <v>7956.678392321749</v>
      </c>
    </row>
    <row r="1104" spans="1:11" x14ac:dyDescent="0.25">
      <c r="A1104" s="39">
        <v>42132</v>
      </c>
      <c r="B1104" s="36">
        <v>8191.5</v>
      </c>
      <c r="C1104" s="36">
        <f t="shared" si="64"/>
        <v>8415.1024413999985</v>
      </c>
      <c r="D1104" s="36">
        <f t="shared" si="65"/>
        <v>241.02647719060016</v>
      </c>
      <c r="E1104" s="40">
        <v>8191.5</v>
      </c>
      <c r="F1104" s="36">
        <f t="shared" si="66"/>
        <v>8897.1553957811993</v>
      </c>
      <c r="G1104" s="36">
        <f t="shared" si="67"/>
        <v>7933.0494870187986</v>
      </c>
      <c r="I1104" s="40">
        <v>8191.5</v>
      </c>
      <c r="J1104" s="36">
        <v>8897.1553957811993</v>
      </c>
      <c r="K1104" s="36">
        <v>7933.0494870187986</v>
      </c>
    </row>
    <row r="1105" spans="1:11" x14ac:dyDescent="0.25">
      <c r="A1105" s="39">
        <v>42135</v>
      </c>
      <c r="B1105" s="36">
        <v>8325.25</v>
      </c>
      <c r="C1105" s="36">
        <f t="shared" si="64"/>
        <v>8395.6449218499984</v>
      </c>
      <c r="D1105" s="36">
        <f t="shared" si="65"/>
        <v>231.09621927278315</v>
      </c>
      <c r="E1105" s="40">
        <v>8325.25</v>
      </c>
      <c r="F1105" s="36">
        <f t="shared" si="66"/>
        <v>8857.8373603955642</v>
      </c>
      <c r="G1105" s="36">
        <f t="shared" si="67"/>
        <v>7933.4524833044325</v>
      </c>
      <c r="I1105" s="40">
        <v>8325.25</v>
      </c>
      <c r="J1105" s="36">
        <v>8857.8373603955642</v>
      </c>
      <c r="K1105" s="36">
        <v>7933.4524833044325</v>
      </c>
    </row>
    <row r="1106" spans="1:11" x14ac:dyDescent="0.25">
      <c r="A1106" s="39">
        <v>42136</v>
      </c>
      <c r="B1106" s="36">
        <v>8126.9501950000003</v>
      </c>
      <c r="C1106" s="36">
        <f t="shared" si="64"/>
        <v>8363.0774413500003</v>
      </c>
      <c r="D1106" s="36">
        <f t="shared" si="65"/>
        <v>219.95969362798328</v>
      </c>
      <c r="E1106" s="40">
        <v>8126.9501950000003</v>
      </c>
      <c r="F1106" s="36">
        <f t="shared" si="66"/>
        <v>8802.9968286059666</v>
      </c>
      <c r="G1106" s="36">
        <f t="shared" si="67"/>
        <v>7923.158054094034</v>
      </c>
      <c r="I1106" s="40">
        <v>8126.9501950000003</v>
      </c>
      <c r="J1106" s="36">
        <v>8802.9968286059666</v>
      </c>
      <c r="K1106" s="36">
        <v>7923.158054094034</v>
      </c>
    </row>
    <row r="1107" spans="1:11" x14ac:dyDescent="0.25">
      <c r="A1107" s="39">
        <v>42137</v>
      </c>
      <c r="B1107" s="36">
        <v>8235.4501949999994</v>
      </c>
      <c r="C1107" s="36">
        <f t="shared" si="64"/>
        <v>8335.8324706500007</v>
      </c>
      <c r="D1107" s="36">
        <f t="shared" si="65"/>
        <v>198.22766724202506</v>
      </c>
      <c r="E1107" s="40">
        <v>8235.4501949999994</v>
      </c>
      <c r="F1107" s="36">
        <f t="shared" si="66"/>
        <v>8732.2878051340504</v>
      </c>
      <c r="G1107" s="36">
        <f t="shared" si="67"/>
        <v>7939.377136165951</v>
      </c>
      <c r="I1107" s="40">
        <v>8235.4501949999994</v>
      </c>
      <c r="J1107" s="36">
        <v>8732.2878051340504</v>
      </c>
      <c r="K1107" s="36">
        <v>7939.377136165951</v>
      </c>
    </row>
    <row r="1108" spans="1:11" x14ac:dyDescent="0.25">
      <c r="A1108" s="39">
        <v>42138</v>
      </c>
      <c r="B1108" s="36">
        <v>8224.2001949999994</v>
      </c>
      <c r="C1108" s="36">
        <f t="shared" si="64"/>
        <v>8305.3424804000024</v>
      </c>
      <c r="D1108" s="36">
        <f t="shared" si="65"/>
        <v>160.96551456483141</v>
      </c>
      <c r="E1108" s="40">
        <v>8224.2001949999994</v>
      </c>
      <c r="F1108" s="36">
        <f t="shared" si="66"/>
        <v>8627.2735095296648</v>
      </c>
      <c r="G1108" s="36">
        <f t="shared" si="67"/>
        <v>7983.41145127034</v>
      </c>
      <c r="I1108" s="40">
        <v>8224.2001949999994</v>
      </c>
      <c r="J1108" s="36">
        <v>8627.2735095296648</v>
      </c>
      <c r="K1108" s="36">
        <v>7983.41145127034</v>
      </c>
    </row>
    <row r="1109" spans="1:11" x14ac:dyDescent="0.25">
      <c r="A1109" s="39">
        <v>42139</v>
      </c>
      <c r="B1109" s="36">
        <v>8262.3496090000008</v>
      </c>
      <c r="C1109" s="36">
        <f t="shared" si="64"/>
        <v>8283.1249511000024</v>
      </c>
      <c r="D1109" s="36">
        <f t="shared" si="65"/>
        <v>130.41957401960579</v>
      </c>
      <c r="E1109" s="40">
        <v>8262.3496090000008</v>
      </c>
      <c r="F1109" s="36">
        <f t="shared" si="66"/>
        <v>8543.9640991392134</v>
      </c>
      <c r="G1109" s="36">
        <f t="shared" si="67"/>
        <v>8022.2858030607904</v>
      </c>
      <c r="I1109" s="40">
        <v>8262.3496090000008</v>
      </c>
      <c r="J1109" s="36">
        <v>8543.9640991392134</v>
      </c>
      <c r="K1109" s="36">
        <v>8022.2858030607904</v>
      </c>
    </row>
    <row r="1110" spans="1:11" x14ac:dyDescent="0.25">
      <c r="A1110" s="39">
        <v>42142</v>
      </c>
      <c r="B1110" s="36">
        <v>8373.6503909999992</v>
      </c>
      <c r="C1110" s="36">
        <f t="shared" ref="C1110:C1173" si="68">AVERAGE(B1091:B1110)</f>
        <v>8271.5074706500018</v>
      </c>
      <c r="D1110" s="36">
        <f t="shared" ref="D1110:D1173" si="69">_xlfn.STDEV.S(B1091:B1110)</f>
        <v>108.68188283833882</v>
      </c>
      <c r="E1110" s="40">
        <v>8373.6503909999992</v>
      </c>
      <c r="F1110" s="36">
        <f t="shared" ref="F1110:F1173" si="70">C1110+2*D1110</f>
        <v>8488.8712363266786</v>
      </c>
      <c r="G1110" s="36">
        <f t="shared" ref="G1110:G1173" si="71">C1110-2*D1110</f>
        <v>8054.143704973324</v>
      </c>
      <c r="I1110" s="40">
        <v>8373.6503909999992</v>
      </c>
      <c r="J1110" s="36">
        <v>8488.8712363266786</v>
      </c>
      <c r="K1110" s="36">
        <v>8054.143704973324</v>
      </c>
    </row>
    <row r="1111" spans="1:11" x14ac:dyDescent="0.25">
      <c r="A1111" s="39">
        <v>42143</v>
      </c>
      <c r="B1111" s="36">
        <v>8365.6503909999992</v>
      </c>
      <c r="C1111" s="36">
        <f t="shared" si="68"/>
        <v>8267.3850097499999</v>
      </c>
      <c r="D1111" s="36">
        <f t="shared" si="69"/>
        <v>103.04865839316716</v>
      </c>
      <c r="E1111" s="40">
        <v>8365.6503909999992</v>
      </c>
      <c r="F1111" s="36">
        <f t="shared" si="70"/>
        <v>8473.4823265363339</v>
      </c>
      <c r="G1111" s="36">
        <f t="shared" si="71"/>
        <v>8061.2876929636659</v>
      </c>
      <c r="I1111" s="40">
        <v>8365.6503909999992</v>
      </c>
      <c r="J1111" s="36">
        <v>8473.4823265363339</v>
      </c>
      <c r="K1111" s="36">
        <v>8061.2876929636659</v>
      </c>
    </row>
    <row r="1112" spans="1:11" x14ac:dyDescent="0.25">
      <c r="A1112" s="39">
        <v>42144</v>
      </c>
      <c r="B1112" s="36">
        <v>8423.25</v>
      </c>
      <c r="C1112" s="36">
        <f t="shared" si="68"/>
        <v>8269.6600097500013</v>
      </c>
      <c r="D1112" s="36">
        <f t="shared" si="69"/>
        <v>106.071337849073</v>
      </c>
      <c r="E1112" s="40">
        <v>8423.25</v>
      </c>
      <c r="F1112" s="36">
        <f t="shared" si="70"/>
        <v>8481.8026854481468</v>
      </c>
      <c r="G1112" s="36">
        <f t="shared" si="71"/>
        <v>8057.517334051855</v>
      </c>
      <c r="I1112" s="40">
        <v>8423.25</v>
      </c>
      <c r="J1112" s="36">
        <v>8481.8026854481468</v>
      </c>
      <c r="K1112" s="36">
        <v>8057.517334051855</v>
      </c>
    </row>
    <row r="1113" spans="1:11" x14ac:dyDescent="0.25">
      <c r="A1113" s="39">
        <v>42145</v>
      </c>
      <c r="B1113" s="36">
        <v>8421</v>
      </c>
      <c r="C1113" s="36">
        <f t="shared" si="68"/>
        <v>8269.2250000000004</v>
      </c>
      <c r="D1113" s="36">
        <f t="shared" si="69"/>
        <v>105.39614310158743</v>
      </c>
      <c r="E1113" s="40">
        <v>8421</v>
      </c>
      <c r="F1113" s="36">
        <f t="shared" si="70"/>
        <v>8480.0172862031759</v>
      </c>
      <c r="G1113" s="36">
        <f t="shared" si="71"/>
        <v>8058.4327137968257</v>
      </c>
      <c r="I1113" s="40">
        <v>8421</v>
      </c>
      <c r="J1113" s="36">
        <v>8480.0172862031759</v>
      </c>
      <c r="K1113" s="36">
        <v>8058.4327137968257</v>
      </c>
    </row>
    <row r="1114" spans="1:11" x14ac:dyDescent="0.25">
      <c r="A1114" s="39">
        <v>42146</v>
      </c>
      <c r="B1114" s="36">
        <v>8458.9501949999994</v>
      </c>
      <c r="C1114" s="36">
        <f t="shared" si="68"/>
        <v>8272.257519499999</v>
      </c>
      <c r="D1114" s="36">
        <f t="shared" si="69"/>
        <v>110.07414091725386</v>
      </c>
      <c r="E1114" s="40">
        <v>8458.9501949999994</v>
      </c>
      <c r="F1114" s="36">
        <f t="shared" si="70"/>
        <v>8492.4058013345075</v>
      </c>
      <c r="G1114" s="36">
        <f t="shared" si="71"/>
        <v>8052.1092376654915</v>
      </c>
      <c r="I1114" s="40">
        <v>8458.9501949999994</v>
      </c>
      <c r="J1114" s="36">
        <v>8492.4058013345075</v>
      </c>
      <c r="K1114" s="36">
        <v>8052.1092376654915</v>
      </c>
    </row>
    <row r="1115" spans="1:11" x14ac:dyDescent="0.25">
      <c r="A1115" s="39">
        <v>42149</v>
      </c>
      <c r="B1115" s="36">
        <v>8370.25</v>
      </c>
      <c r="C1115" s="36">
        <f t="shared" si="68"/>
        <v>8275.507519499999</v>
      </c>
      <c r="D1115" s="36">
        <f t="shared" si="69"/>
        <v>112.0415303498892</v>
      </c>
      <c r="E1115" s="40">
        <v>8370.25</v>
      </c>
      <c r="F1115" s="36">
        <f t="shared" si="70"/>
        <v>8499.5905801997778</v>
      </c>
      <c r="G1115" s="36">
        <f t="shared" si="71"/>
        <v>8051.4244588002202</v>
      </c>
      <c r="I1115" s="40">
        <v>8370.25</v>
      </c>
      <c r="J1115" s="36">
        <v>8499.5905801997778</v>
      </c>
      <c r="K1115" s="36">
        <v>8051.4244588002202</v>
      </c>
    </row>
    <row r="1116" spans="1:11" x14ac:dyDescent="0.25">
      <c r="A1116" s="39">
        <v>42150</v>
      </c>
      <c r="B1116" s="36">
        <v>8339.3496090000008</v>
      </c>
      <c r="C1116" s="36">
        <f t="shared" si="68"/>
        <v>8281.785009700001</v>
      </c>
      <c r="D1116" s="36">
        <f t="shared" si="69"/>
        <v>111.91928920771633</v>
      </c>
      <c r="E1116" s="40">
        <v>8339.3496090000008</v>
      </c>
      <c r="F1116" s="36">
        <f t="shared" si="70"/>
        <v>8505.6235881154334</v>
      </c>
      <c r="G1116" s="36">
        <f t="shared" si="71"/>
        <v>8057.9464312845685</v>
      </c>
      <c r="I1116" s="40">
        <v>8339.3496090000008</v>
      </c>
      <c r="J1116" s="36">
        <v>8505.6235881154334</v>
      </c>
      <c r="K1116" s="36">
        <v>8057.9464312845685</v>
      </c>
    </row>
    <row r="1117" spans="1:11" x14ac:dyDescent="0.25">
      <c r="A1117" s="39">
        <v>42151</v>
      </c>
      <c r="B1117" s="36">
        <v>8334.5996090000008</v>
      </c>
      <c r="C1117" s="36">
        <f t="shared" si="68"/>
        <v>8284.2350096999999</v>
      </c>
      <c r="D1117" s="36">
        <f t="shared" si="69"/>
        <v>112.54178156761638</v>
      </c>
      <c r="E1117" s="40">
        <v>8334.5996090000008</v>
      </c>
      <c r="F1117" s="36">
        <f t="shared" si="70"/>
        <v>8509.3185728352328</v>
      </c>
      <c r="G1117" s="36">
        <f t="shared" si="71"/>
        <v>8059.151446564767</v>
      </c>
      <c r="I1117" s="40">
        <v>8334.5996090000008</v>
      </c>
      <c r="J1117" s="36">
        <v>8509.3185728352328</v>
      </c>
      <c r="K1117" s="36">
        <v>8059.151446564767</v>
      </c>
    </row>
    <row r="1118" spans="1:11" x14ac:dyDescent="0.25">
      <c r="A1118" s="39">
        <v>42152</v>
      </c>
      <c r="B1118" s="36">
        <v>8319</v>
      </c>
      <c r="C1118" s="36">
        <f t="shared" si="68"/>
        <v>8288.1975096999995</v>
      </c>
      <c r="D1118" s="36">
        <f t="shared" si="69"/>
        <v>112.28794276262737</v>
      </c>
      <c r="E1118" s="40">
        <v>8319</v>
      </c>
      <c r="F1118" s="36">
        <f t="shared" si="70"/>
        <v>8512.7733952252547</v>
      </c>
      <c r="G1118" s="36">
        <f t="shared" si="71"/>
        <v>8063.6216241747452</v>
      </c>
      <c r="I1118" s="40">
        <v>8319</v>
      </c>
      <c r="J1118" s="36">
        <v>8512.7733952252547</v>
      </c>
      <c r="K1118" s="36">
        <v>8063.6216241747452</v>
      </c>
    </row>
    <row r="1119" spans="1:11" x14ac:dyDescent="0.25">
      <c r="A1119" s="39">
        <v>42153</v>
      </c>
      <c r="B1119" s="36">
        <v>8433.6503909999992</v>
      </c>
      <c r="C1119" s="36">
        <f t="shared" si="68"/>
        <v>8300.8050292499993</v>
      </c>
      <c r="D1119" s="36">
        <f t="shared" si="69"/>
        <v>113.82263460628836</v>
      </c>
      <c r="E1119" s="40">
        <v>8433.6503909999992</v>
      </c>
      <c r="F1119" s="36">
        <f t="shared" si="70"/>
        <v>8528.450298462576</v>
      </c>
      <c r="G1119" s="36">
        <f t="shared" si="71"/>
        <v>8073.1597600374225</v>
      </c>
      <c r="I1119" s="40">
        <v>8433.6503909999992</v>
      </c>
      <c r="J1119" s="36">
        <v>8528.450298462576</v>
      </c>
      <c r="K1119" s="36">
        <v>8073.1597600374225</v>
      </c>
    </row>
    <row r="1120" spans="1:11" x14ac:dyDescent="0.25">
      <c r="A1120" s="39">
        <v>42156</v>
      </c>
      <c r="B1120" s="36">
        <v>8433.4003909999992</v>
      </c>
      <c r="C1120" s="36">
        <f t="shared" si="68"/>
        <v>8305.8775390499995</v>
      </c>
      <c r="D1120" s="36">
        <f t="shared" si="69"/>
        <v>117.48530755178491</v>
      </c>
      <c r="E1120" s="40">
        <v>8433.4003909999992</v>
      </c>
      <c r="F1120" s="36">
        <f t="shared" si="70"/>
        <v>8540.8481541535693</v>
      </c>
      <c r="G1120" s="36">
        <f t="shared" si="71"/>
        <v>8070.9069239464297</v>
      </c>
      <c r="I1120" s="40">
        <v>8433.4003909999992</v>
      </c>
      <c r="J1120" s="36">
        <v>8540.8481541535693</v>
      </c>
      <c r="K1120" s="36">
        <v>8070.9069239464297</v>
      </c>
    </row>
    <row r="1121" spans="1:11" x14ac:dyDescent="0.25">
      <c r="A1121" s="39">
        <v>42157</v>
      </c>
      <c r="B1121" s="36">
        <v>8236.4501949999994</v>
      </c>
      <c r="C1121" s="36">
        <f t="shared" si="68"/>
        <v>8301.4600585500011</v>
      </c>
      <c r="D1121" s="36">
        <f t="shared" si="69"/>
        <v>118.39385065690242</v>
      </c>
      <c r="E1121" s="40">
        <v>8236.4501949999994</v>
      </c>
      <c r="F1121" s="36">
        <f t="shared" si="70"/>
        <v>8538.2477598638052</v>
      </c>
      <c r="G1121" s="36">
        <f t="shared" si="71"/>
        <v>8064.6723572361961</v>
      </c>
      <c r="I1121" s="40">
        <v>8236.4501949999994</v>
      </c>
      <c r="J1121" s="36">
        <v>8538.2477598638052</v>
      </c>
      <c r="K1121" s="36">
        <v>8064.6723572361961</v>
      </c>
    </row>
    <row r="1122" spans="1:11" x14ac:dyDescent="0.25">
      <c r="A1122" s="39">
        <v>42158</v>
      </c>
      <c r="B1122" s="36">
        <v>8135.1000979999999</v>
      </c>
      <c r="C1122" s="36">
        <f t="shared" si="68"/>
        <v>8303.3650634499991</v>
      </c>
      <c r="D1122" s="36">
        <f t="shared" si="69"/>
        <v>115.19414131039757</v>
      </c>
      <c r="E1122" s="40">
        <v>8135.1000979999999</v>
      </c>
      <c r="F1122" s="36">
        <f t="shared" si="70"/>
        <v>8533.7533460707946</v>
      </c>
      <c r="G1122" s="36">
        <f t="shared" si="71"/>
        <v>8072.9767808292036</v>
      </c>
      <c r="I1122" s="40">
        <v>8135.1000979999999</v>
      </c>
      <c r="J1122" s="36">
        <v>8533.7533460707946</v>
      </c>
      <c r="K1122" s="36">
        <v>8072.9767808292036</v>
      </c>
    </row>
    <row r="1123" spans="1:11" x14ac:dyDescent="0.25">
      <c r="A1123" s="39">
        <v>42159</v>
      </c>
      <c r="B1123" s="36">
        <v>8130.6499020000001</v>
      </c>
      <c r="C1123" s="36">
        <f t="shared" si="68"/>
        <v>8307.032568300001</v>
      </c>
      <c r="D1123" s="36">
        <f t="shared" si="69"/>
        <v>107.88334767230752</v>
      </c>
      <c r="E1123" s="40">
        <v>8130.6499020000001</v>
      </c>
      <c r="F1123" s="36">
        <f t="shared" si="70"/>
        <v>8522.7992636446161</v>
      </c>
      <c r="G1123" s="36">
        <f t="shared" si="71"/>
        <v>8091.2658729553859</v>
      </c>
      <c r="I1123" s="40">
        <v>8130.6499020000001</v>
      </c>
      <c r="J1123" s="36">
        <v>8522.7992636446161</v>
      </c>
      <c r="K1123" s="36">
        <v>8091.2658729553859</v>
      </c>
    </row>
    <row r="1124" spans="1:11" x14ac:dyDescent="0.25">
      <c r="A1124" s="39">
        <v>42160</v>
      </c>
      <c r="B1124" s="36">
        <v>8114.7001950000003</v>
      </c>
      <c r="C1124" s="36">
        <f t="shared" si="68"/>
        <v>8303.1925780500005</v>
      </c>
      <c r="D1124" s="36">
        <f t="shared" si="69"/>
        <v>113.4359486261346</v>
      </c>
      <c r="E1124" s="40">
        <v>8114.7001950000003</v>
      </c>
      <c r="F1124" s="36">
        <f t="shared" si="70"/>
        <v>8530.0644753022698</v>
      </c>
      <c r="G1124" s="36">
        <f t="shared" si="71"/>
        <v>8076.3206807977313</v>
      </c>
      <c r="I1124" s="40">
        <v>8114.7001950000003</v>
      </c>
      <c r="J1124" s="36">
        <v>8530.0644753022698</v>
      </c>
      <c r="K1124" s="36">
        <v>8076.3206807977313</v>
      </c>
    </row>
    <row r="1125" spans="1:11" x14ac:dyDescent="0.25">
      <c r="A1125" s="39">
        <v>42163</v>
      </c>
      <c r="B1125" s="36">
        <v>8044.1499020000001</v>
      </c>
      <c r="C1125" s="36">
        <f t="shared" si="68"/>
        <v>8289.1375731500011</v>
      </c>
      <c r="D1125" s="36">
        <f t="shared" si="69"/>
        <v>127.1452317691102</v>
      </c>
      <c r="E1125" s="40">
        <v>8044.1499020000001</v>
      </c>
      <c r="F1125" s="36">
        <f t="shared" si="70"/>
        <v>8543.4280366882213</v>
      </c>
      <c r="G1125" s="36">
        <f t="shared" si="71"/>
        <v>8034.847109611781</v>
      </c>
      <c r="I1125" s="40">
        <v>8044.1499020000001</v>
      </c>
      <c r="J1125" s="36">
        <v>8543.4280366882213</v>
      </c>
      <c r="K1125" s="36">
        <v>8034.847109611781</v>
      </c>
    </row>
    <row r="1126" spans="1:11" x14ac:dyDescent="0.25">
      <c r="A1126" s="39">
        <v>42164</v>
      </c>
      <c r="B1126" s="36">
        <v>8022.3999020000001</v>
      </c>
      <c r="C1126" s="36">
        <f t="shared" si="68"/>
        <v>8283.9100585000015</v>
      </c>
      <c r="D1126" s="36">
        <f t="shared" si="69"/>
        <v>136.00502905984752</v>
      </c>
      <c r="E1126" s="40">
        <v>8022.3999020000001</v>
      </c>
      <c r="F1126" s="36">
        <f t="shared" si="70"/>
        <v>8555.9201166196963</v>
      </c>
      <c r="G1126" s="36">
        <f t="shared" si="71"/>
        <v>8011.9000003803067</v>
      </c>
      <c r="I1126" s="40">
        <v>8022.3999020000001</v>
      </c>
      <c r="J1126" s="36">
        <v>8555.9201166196963</v>
      </c>
      <c r="K1126" s="36">
        <v>8011.9000003803067</v>
      </c>
    </row>
    <row r="1127" spans="1:11" x14ac:dyDescent="0.25">
      <c r="A1127" s="39">
        <v>42165</v>
      </c>
      <c r="B1127" s="36">
        <v>8124.4501950000003</v>
      </c>
      <c r="C1127" s="36">
        <f t="shared" si="68"/>
        <v>8278.3600585000004</v>
      </c>
      <c r="D1127" s="36">
        <f t="shared" si="69"/>
        <v>140.28411591046395</v>
      </c>
      <c r="E1127" s="40">
        <v>8124.4501950000003</v>
      </c>
      <c r="F1127" s="36">
        <f t="shared" si="70"/>
        <v>8558.9282903209278</v>
      </c>
      <c r="G1127" s="36">
        <f t="shared" si="71"/>
        <v>7997.7918266790721</v>
      </c>
      <c r="I1127" s="40">
        <v>8124.4501950000003</v>
      </c>
      <c r="J1127" s="36">
        <v>8558.9282903209278</v>
      </c>
      <c r="K1127" s="36">
        <v>7997.7918266790721</v>
      </c>
    </row>
    <row r="1128" spans="1:11" x14ac:dyDescent="0.25">
      <c r="A1128" s="39">
        <v>42166</v>
      </c>
      <c r="B1128" s="36">
        <v>7965.3500979999999</v>
      </c>
      <c r="C1128" s="36">
        <f t="shared" si="68"/>
        <v>8265.4175536500006</v>
      </c>
      <c r="D1128" s="36">
        <f t="shared" si="69"/>
        <v>156.54237803241998</v>
      </c>
      <c r="E1128" s="40">
        <v>7965.3500979999999</v>
      </c>
      <c r="F1128" s="36">
        <f t="shared" si="70"/>
        <v>8578.5023097148405</v>
      </c>
      <c r="G1128" s="36">
        <f t="shared" si="71"/>
        <v>7952.3327975851607</v>
      </c>
      <c r="I1128" s="40">
        <v>7965.3500979999999</v>
      </c>
      <c r="J1128" s="36">
        <v>8578.5023097148405</v>
      </c>
      <c r="K1128" s="36">
        <v>7952.3327975851607</v>
      </c>
    </row>
    <row r="1129" spans="1:11" x14ac:dyDescent="0.25">
      <c r="A1129" s="39">
        <v>42167</v>
      </c>
      <c r="B1129" s="36">
        <v>7982.8999020000001</v>
      </c>
      <c r="C1129" s="36">
        <f t="shared" si="68"/>
        <v>8251.4450682999995</v>
      </c>
      <c r="D1129" s="36">
        <f t="shared" si="69"/>
        <v>168.82052297183486</v>
      </c>
      <c r="E1129" s="40">
        <v>7982.8999020000001</v>
      </c>
      <c r="F1129" s="36">
        <f t="shared" si="70"/>
        <v>8589.0861142436697</v>
      </c>
      <c r="G1129" s="36">
        <f t="shared" si="71"/>
        <v>7913.8040223563294</v>
      </c>
      <c r="I1129" s="40">
        <v>7982.8999020000001</v>
      </c>
      <c r="J1129" s="36">
        <v>8589.0861142436697</v>
      </c>
      <c r="K1129" s="36">
        <v>7913.8040223563294</v>
      </c>
    </row>
    <row r="1130" spans="1:11" x14ac:dyDescent="0.25">
      <c r="A1130" s="39">
        <v>42170</v>
      </c>
      <c r="B1130" s="36">
        <v>8013.8999020000001</v>
      </c>
      <c r="C1130" s="36">
        <f t="shared" si="68"/>
        <v>8233.4575438499996</v>
      </c>
      <c r="D1130" s="36">
        <f t="shared" si="69"/>
        <v>174.1943190463922</v>
      </c>
      <c r="E1130" s="40">
        <v>8013.8999020000001</v>
      </c>
      <c r="F1130" s="36">
        <f t="shared" si="70"/>
        <v>8581.8461819427848</v>
      </c>
      <c r="G1130" s="36">
        <f t="shared" si="71"/>
        <v>7885.0689057572154</v>
      </c>
      <c r="I1130" s="40">
        <v>8013.8999020000001</v>
      </c>
      <c r="J1130" s="36">
        <v>8581.8461819427848</v>
      </c>
      <c r="K1130" s="36">
        <v>7885.0689057572154</v>
      </c>
    </row>
    <row r="1131" spans="1:11" x14ac:dyDescent="0.25">
      <c r="A1131" s="39">
        <v>42171</v>
      </c>
      <c r="B1131" s="36">
        <v>8047.2998049999997</v>
      </c>
      <c r="C1131" s="36">
        <f t="shared" si="68"/>
        <v>8217.5400145499989</v>
      </c>
      <c r="D1131" s="36">
        <f t="shared" si="69"/>
        <v>176.01464578543695</v>
      </c>
      <c r="E1131" s="40">
        <v>8047.2998049999997</v>
      </c>
      <c r="F1131" s="36">
        <f t="shared" si="70"/>
        <v>8569.5693061208731</v>
      </c>
      <c r="G1131" s="36">
        <f t="shared" si="71"/>
        <v>7865.5107229791247</v>
      </c>
      <c r="I1131" s="40">
        <v>8047.2998049999997</v>
      </c>
      <c r="J1131" s="36">
        <v>8569.5693061208731</v>
      </c>
      <c r="K1131" s="36">
        <v>7865.5107229791247</v>
      </c>
    </row>
    <row r="1132" spans="1:11" x14ac:dyDescent="0.25">
      <c r="A1132" s="39">
        <v>42172</v>
      </c>
      <c r="B1132" s="36">
        <v>8091.5498049999997</v>
      </c>
      <c r="C1132" s="36">
        <f t="shared" si="68"/>
        <v>8200.9550047999983</v>
      </c>
      <c r="D1132" s="36">
        <f t="shared" si="69"/>
        <v>171.17206469529359</v>
      </c>
      <c r="E1132" s="40">
        <v>8091.5498049999997</v>
      </c>
      <c r="F1132" s="36">
        <f t="shared" si="70"/>
        <v>8543.2991341905854</v>
      </c>
      <c r="G1132" s="36">
        <f t="shared" si="71"/>
        <v>7858.6108754094112</v>
      </c>
      <c r="I1132" s="40">
        <v>8091.5498049999997</v>
      </c>
      <c r="J1132" s="36">
        <v>8543.2991341905854</v>
      </c>
      <c r="K1132" s="36">
        <v>7858.6108754094112</v>
      </c>
    </row>
    <row r="1133" spans="1:11" x14ac:dyDescent="0.25">
      <c r="A1133" s="39">
        <v>42173</v>
      </c>
      <c r="B1133" s="36">
        <v>8174.6000979999999</v>
      </c>
      <c r="C1133" s="36">
        <f t="shared" si="68"/>
        <v>8188.6350096999986</v>
      </c>
      <c r="D1133" s="36">
        <f t="shared" si="69"/>
        <v>163.18165120721235</v>
      </c>
      <c r="E1133" s="40">
        <v>8174.6000979999999</v>
      </c>
      <c r="F1133" s="36">
        <f t="shared" si="70"/>
        <v>8514.9983121144232</v>
      </c>
      <c r="G1133" s="36">
        <f t="shared" si="71"/>
        <v>7862.2717072855739</v>
      </c>
      <c r="I1133" s="40">
        <v>8174.6000979999999</v>
      </c>
      <c r="J1133" s="36">
        <v>8514.9983121144232</v>
      </c>
      <c r="K1133" s="36">
        <v>7862.2717072855739</v>
      </c>
    </row>
    <row r="1134" spans="1:11" x14ac:dyDescent="0.25">
      <c r="A1134" s="39">
        <v>42174</v>
      </c>
      <c r="B1134" s="36">
        <v>8224.9501949999994</v>
      </c>
      <c r="C1134" s="36">
        <f t="shared" si="68"/>
        <v>8176.9350097000006</v>
      </c>
      <c r="D1134" s="36">
        <f t="shared" si="69"/>
        <v>150.69094685256596</v>
      </c>
      <c r="E1134" s="40">
        <v>8224.9501949999994</v>
      </c>
      <c r="F1134" s="36">
        <f t="shared" si="70"/>
        <v>8478.3169034051316</v>
      </c>
      <c r="G1134" s="36">
        <f t="shared" si="71"/>
        <v>7875.5531159948687</v>
      </c>
      <c r="I1134" s="40">
        <v>8224.9501949999994</v>
      </c>
      <c r="J1134" s="36">
        <v>8478.3169034051316</v>
      </c>
      <c r="K1134" s="36">
        <v>7875.5531159948687</v>
      </c>
    </row>
    <row r="1135" spans="1:11" x14ac:dyDescent="0.25">
      <c r="A1135" s="39">
        <v>42177</v>
      </c>
      <c r="B1135" s="36">
        <v>8353.0996090000008</v>
      </c>
      <c r="C1135" s="36">
        <f t="shared" si="68"/>
        <v>8176.0774901499999</v>
      </c>
      <c r="D1135" s="36">
        <f t="shared" si="69"/>
        <v>149.57765833372349</v>
      </c>
      <c r="E1135" s="40">
        <v>8353.0996090000008</v>
      </c>
      <c r="F1135" s="36">
        <f t="shared" si="70"/>
        <v>8475.2328068174465</v>
      </c>
      <c r="G1135" s="36">
        <f t="shared" si="71"/>
        <v>7876.9221734825533</v>
      </c>
      <c r="I1135" s="40">
        <v>8353.0996090000008</v>
      </c>
      <c r="J1135" s="36">
        <v>8475.2328068174465</v>
      </c>
      <c r="K1135" s="36">
        <v>7876.9221734825533</v>
      </c>
    </row>
    <row r="1136" spans="1:11" x14ac:dyDescent="0.25">
      <c r="A1136" s="39">
        <v>42178</v>
      </c>
      <c r="B1136" s="36">
        <v>8381.5498050000006</v>
      </c>
      <c r="C1136" s="36">
        <f t="shared" si="68"/>
        <v>8178.1874999500014</v>
      </c>
      <c r="D1136" s="36">
        <f t="shared" si="69"/>
        <v>152.27538870990998</v>
      </c>
      <c r="E1136" s="40">
        <v>8381.5498050000006</v>
      </c>
      <c r="F1136" s="36">
        <f t="shared" si="70"/>
        <v>8482.7382773698209</v>
      </c>
      <c r="G1136" s="36">
        <f t="shared" si="71"/>
        <v>7873.6367225301819</v>
      </c>
      <c r="I1136" s="40">
        <v>8381.5498050000006</v>
      </c>
      <c r="J1136" s="36">
        <v>8482.7382773698209</v>
      </c>
      <c r="K1136" s="36">
        <v>7873.6367225301819</v>
      </c>
    </row>
    <row r="1137" spans="1:11" x14ac:dyDescent="0.25">
      <c r="A1137" s="39">
        <v>42179</v>
      </c>
      <c r="B1137" s="36">
        <v>8360.8496090000008</v>
      </c>
      <c r="C1137" s="36">
        <f t="shared" si="68"/>
        <v>8179.4999999499996</v>
      </c>
      <c r="D1137" s="36">
        <f t="shared" si="69"/>
        <v>153.79999507707447</v>
      </c>
      <c r="E1137" s="40">
        <v>8360.8496090000008</v>
      </c>
      <c r="F1137" s="36">
        <f t="shared" si="70"/>
        <v>8487.0999901041487</v>
      </c>
      <c r="G1137" s="36">
        <f t="shared" si="71"/>
        <v>7871.9000097958506</v>
      </c>
      <c r="I1137" s="40">
        <v>8360.8496090000008</v>
      </c>
      <c r="J1137" s="36">
        <v>8487.0999901041487</v>
      </c>
      <c r="K1137" s="36">
        <v>7871.9000097958506</v>
      </c>
    </row>
    <row r="1138" spans="1:11" x14ac:dyDescent="0.25">
      <c r="A1138" s="39">
        <v>42180</v>
      </c>
      <c r="B1138" s="36">
        <v>8398</v>
      </c>
      <c r="C1138" s="36">
        <f t="shared" si="68"/>
        <v>8183.4499999499994</v>
      </c>
      <c r="D1138" s="36">
        <f t="shared" si="69"/>
        <v>158.51353607090741</v>
      </c>
      <c r="E1138" s="40">
        <v>8398</v>
      </c>
      <c r="F1138" s="36">
        <f t="shared" si="70"/>
        <v>8500.477072091815</v>
      </c>
      <c r="G1138" s="36">
        <f t="shared" si="71"/>
        <v>7866.4229278081848</v>
      </c>
      <c r="I1138" s="40">
        <v>8398</v>
      </c>
      <c r="J1138" s="36">
        <v>8500.477072091815</v>
      </c>
      <c r="K1138" s="36">
        <v>7866.4229278081848</v>
      </c>
    </row>
    <row r="1139" spans="1:11" x14ac:dyDescent="0.25">
      <c r="A1139" s="39">
        <v>42181</v>
      </c>
      <c r="B1139" s="36">
        <v>8381.0996090000008</v>
      </c>
      <c r="C1139" s="36">
        <f t="shared" si="68"/>
        <v>8180.8224608499995</v>
      </c>
      <c r="D1139" s="36">
        <f t="shared" si="69"/>
        <v>154.53348032366719</v>
      </c>
      <c r="E1139" s="40">
        <v>8381.0996090000008</v>
      </c>
      <c r="F1139" s="36">
        <f t="shared" si="70"/>
        <v>8489.8894214973334</v>
      </c>
      <c r="G1139" s="36">
        <f t="shared" si="71"/>
        <v>7871.7555002026647</v>
      </c>
      <c r="I1139" s="40">
        <v>8381.0996090000008</v>
      </c>
      <c r="J1139" s="36">
        <v>8489.8894214973334</v>
      </c>
      <c r="K1139" s="36">
        <v>7871.7555002026647</v>
      </c>
    </row>
    <row r="1140" spans="1:11" x14ac:dyDescent="0.25">
      <c r="A1140" s="39">
        <v>42184</v>
      </c>
      <c r="B1140" s="36">
        <v>8318.4003909999992</v>
      </c>
      <c r="C1140" s="36">
        <f t="shared" si="68"/>
        <v>8175.0724608500004</v>
      </c>
      <c r="D1140" s="36">
        <f t="shared" si="69"/>
        <v>146.57531930240896</v>
      </c>
      <c r="E1140" s="40">
        <v>8318.4003909999992</v>
      </c>
      <c r="F1140" s="36">
        <f t="shared" si="70"/>
        <v>8468.223099454819</v>
      </c>
      <c r="G1140" s="36">
        <f t="shared" si="71"/>
        <v>7881.9218222451827</v>
      </c>
      <c r="I1140" s="40">
        <v>8318.4003909999992</v>
      </c>
      <c r="J1140" s="36">
        <v>8468.223099454819</v>
      </c>
      <c r="K1140" s="36">
        <v>7881.9218222451827</v>
      </c>
    </row>
    <row r="1141" spans="1:11" x14ac:dyDescent="0.25">
      <c r="A1141" s="39">
        <v>42185</v>
      </c>
      <c r="B1141" s="36">
        <v>8368.5</v>
      </c>
      <c r="C1141" s="36">
        <f t="shared" si="68"/>
        <v>8181.6749510999998</v>
      </c>
      <c r="D1141" s="36">
        <f t="shared" si="69"/>
        <v>152.34608962312188</v>
      </c>
      <c r="E1141" s="40">
        <v>8368.5</v>
      </c>
      <c r="F1141" s="36">
        <f t="shared" si="70"/>
        <v>8486.3671303462434</v>
      </c>
      <c r="G1141" s="36">
        <f t="shared" si="71"/>
        <v>7876.9827718537563</v>
      </c>
      <c r="I1141" s="40">
        <v>8368.5</v>
      </c>
      <c r="J1141" s="36">
        <v>8486.3671303462434</v>
      </c>
      <c r="K1141" s="36">
        <v>7876.9827718537563</v>
      </c>
    </row>
    <row r="1142" spans="1:11" x14ac:dyDescent="0.25">
      <c r="A1142" s="39">
        <v>42186</v>
      </c>
      <c r="B1142" s="36">
        <v>8453.0498050000006</v>
      </c>
      <c r="C1142" s="36">
        <f t="shared" si="68"/>
        <v>8197.5724364500002</v>
      </c>
      <c r="D1142" s="36">
        <f t="shared" si="69"/>
        <v>163.41709358257737</v>
      </c>
      <c r="E1142" s="40">
        <v>8453.0498050000006</v>
      </c>
      <c r="F1142" s="36">
        <f t="shared" si="70"/>
        <v>8524.4066236151557</v>
      </c>
      <c r="G1142" s="36">
        <f t="shared" si="71"/>
        <v>7870.7382492848456</v>
      </c>
      <c r="I1142" s="40">
        <v>8453.0498050000006</v>
      </c>
      <c r="J1142" s="36">
        <v>8524.4066236151557</v>
      </c>
      <c r="K1142" s="36">
        <v>7870.7382492848456</v>
      </c>
    </row>
    <row r="1143" spans="1:11" x14ac:dyDescent="0.25">
      <c r="A1143" s="39">
        <v>42187</v>
      </c>
      <c r="B1143" s="36">
        <v>8444.9003909999992</v>
      </c>
      <c r="C1143" s="36">
        <f t="shared" si="68"/>
        <v>8213.2849608999986</v>
      </c>
      <c r="D1143" s="36">
        <f t="shared" si="69"/>
        <v>171.54907323337974</v>
      </c>
      <c r="E1143" s="40">
        <v>8444.9003909999992</v>
      </c>
      <c r="F1143" s="36">
        <f t="shared" si="70"/>
        <v>8556.3831073667588</v>
      </c>
      <c r="G1143" s="36">
        <f t="shared" si="71"/>
        <v>7870.1868144332393</v>
      </c>
      <c r="I1143" s="40">
        <v>8444.9003909999992</v>
      </c>
      <c r="J1143" s="36">
        <v>8556.3831073667588</v>
      </c>
      <c r="K1143" s="36">
        <v>7870.1868144332393</v>
      </c>
    </row>
    <row r="1144" spans="1:11" x14ac:dyDescent="0.25">
      <c r="A1144" s="39">
        <v>42188</v>
      </c>
      <c r="B1144" s="36">
        <v>8484.9003909999992</v>
      </c>
      <c r="C1144" s="36">
        <f t="shared" si="68"/>
        <v>8231.7949706999989</v>
      </c>
      <c r="D1144" s="36">
        <f t="shared" si="69"/>
        <v>180.11051907711467</v>
      </c>
      <c r="E1144" s="40">
        <v>8484.9003909999992</v>
      </c>
      <c r="F1144" s="36">
        <f t="shared" si="70"/>
        <v>8592.0160088542289</v>
      </c>
      <c r="G1144" s="36">
        <f t="shared" si="71"/>
        <v>7871.5739325457698</v>
      </c>
      <c r="I1144" s="40">
        <v>8484.9003909999992</v>
      </c>
      <c r="J1144" s="36">
        <v>8592.0160088542289</v>
      </c>
      <c r="K1144" s="36">
        <v>7871.5739325457698</v>
      </c>
    </row>
    <row r="1145" spans="1:11" x14ac:dyDescent="0.25">
      <c r="A1145" s="39">
        <v>42191</v>
      </c>
      <c r="B1145" s="36">
        <v>8522.1503909999992</v>
      </c>
      <c r="C1145" s="36">
        <f t="shared" si="68"/>
        <v>8255.6949951499992</v>
      </c>
      <c r="D1145" s="36">
        <f t="shared" si="69"/>
        <v>185.53302408243229</v>
      </c>
      <c r="E1145" s="40">
        <v>8522.1503909999992</v>
      </c>
      <c r="F1145" s="36">
        <f t="shared" si="70"/>
        <v>8626.7610433148639</v>
      </c>
      <c r="G1145" s="36">
        <f t="shared" si="71"/>
        <v>7884.6289469851345</v>
      </c>
      <c r="I1145" s="40">
        <v>8522.1503909999992</v>
      </c>
      <c r="J1145" s="36">
        <v>8626.7610433148639</v>
      </c>
      <c r="K1145" s="36">
        <v>7884.6289469851345</v>
      </c>
    </row>
    <row r="1146" spans="1:11" x14ac:dyDescent="0.25">
      <c r="A1146" s="39">
        <v>42192</v>
      </c>
      <c r="B1146" s="36">
        <v>8510.7998050000006</v>
      </c>
      <c r="C1146" s="36">
        <f t="shared" si="68"/>
        <v>8280.1149903000005</v>
      </c>
      <c r="D1146" s="36">
        <f t="shared" si="69"/>
        <v>185.35211124782458</v>
      </c>
      <c r="E1146" s="40">
        <v>8510.7998050000006</v>
      </c>
      <c r="F1146" s="36">
        <f t="shared" si="70"/>
        <v>8650.8192127956499</v>
      </c>
      <c r="G1146" s="36">
        <f t="shared" si="71"/>
        <v>7909.4107678043511</v>
      </c>
      <c r="I1146" s="40">
        <v>8510.7998050000006</v>
      </c>
      <c r="J1146" s="36">
        <v>8650.8192127956499</v>
      </c>
      <c r="K1146" s="36">
        <v>7909.4107678043511</v>
      </c>
    </row>
    <row r="1147" spans="1:11" x14ac:dyDescent="0.25">
      <c r="A1147" s="39">
        <v>42193</v>
      </c>
      <c r="B1147" s="36">
        <v>8363.0498050000006</v>
      </c>
      <c r="C1147" s="36">
        <f t="shared" si="68"/>
        <v>8292.0449707999978</v>
      </c>
      <c r="D1147" s="36">
        <f t="shared" si="69"/>
        <v>182.46165625101651</v>
      </c>
      <c r="E1147" s="40">
        <v>8363.0498050000006</v>
      </c>
      <c r="F1147" s="36">
        <f t="shared" si="70"/>
        <v>8656.9682833020306</v>
      </c>
      <c r="G1147" s="36">
        <f t="shared" si="71"/>
        <v>7927.121658297965</v>
      </c>
      <c r="I1147" s="40">
        <v>8363.0498050000006</v>
      </c>
      <c r="J1147" s="36">
        <v>8656.9682833020306</v>
      </c>
      <c r="K1147" s="36">
        <v>7927.121658297965</v>
      </c>
    </row>
    <row r="1148" spans="1:11" x14ac:dyDescent="0.25">
      <c r="A1148" s="39">
        <v>42194</v>
      </c>
      <c r="B1148" s="36">
        <v>8328.5498050000006</v>
      </c>
      <c r="C1148" s="36">
        <f t="shared" si="68"/>
        <v>8310.2049561499989</v>
      </c>
      <c r="D1148" s="36">
        <f t="shared" si="69"/>
        <v>165.52313015078096</v>
      </c>
      <c r="E1148" s="40">
        <v>8328.5498050000006</v>
      </c>
      <c r="F1148" s="36">
        <f t="shared" si="70"/>
        <v>8641.251216451561</v>
      </c>
      <c r="G1148" s="36">
        <f t="shared" si="71"/>
        <v>7979.1586958484368</v>
      </c>
      <c r="I1148" s="40">
        <v>8328.5498050000006</v>
      </c>
      <c r="J1148" s="36">
        <v>8641.251216451561</v>
      </c>
      <c r="K1148" s="36">
        <v>7979.1586958484368</v>
      </c>
    </row>
    <row r="1149" spans="1:11" x14ac:dyDescent="0.25">
      <c r="A1149" s="39">
        <v>42195</v>
      </c>
      <c r="B1149" s="36">
        <v>8360.5498050000006</v>
      </c>
      <c r="C1149" s="36">
        <f t="shared" si="68"/>
        <v>8329.0874512999981</v>
      </c>
      <c r="D1149" s="36">
        <f t="shared" si="69"/>
        <v>146.68894023447149</v>
      </c>
      <c r="E1149" s="40">
        <v>8360.5498050000006</v>
      </c>
      <c r="F1149" s="36">
        <f t="shared" si="70"/>
        <v>8622.4653317689408</v>
      </c>
      <c r="G1149" s="36">
        <f t="shared" si="71"/>
        <v>8035.7095708310553</v>
      </c>
      <c r="I1149" s="40">
        <v>8360.5498050000006</v>
      </c>
      <c r="J1149" s="36">
        <v>8622.4653317689408</v>
      </c>
      <c r="K1149" s="36">
        <v>8035.7095708310553</v>
      </c>
    </row>
    <row r="1150" spans="1:11" x14ac:dyDescent="0.25">
      <c r="A1150" s="39">
        <v>42198</v>
      </c>
      <c r="B1150" s="36">
        <v>8459.6503909999992</v>
      </c>
      <c r="C1150" s="36">
        <f t="shared" si="68"/>
        <v>8351.3749757499991</v>
      </c>
      <c r="D1150" s="36">
        <f t="shared" si="69"/>
        <v>129.08668519995095</v>
      </c>
      <c r="E1150" s="40">
        <v>8459.6503909999992</v>
      </c>
      <c r="F1150" s="36">
        <f t="shared" si="70"/>
        <v>8609.5483461499007</v>
      </c>
      <c r="G1150" s="36">
        <f t="shared" si="71"/>
        <v>8093.2016053500975</v>
      </c>
      <c r="I1150" s="40">
        <v>8459.6503909999992</v>
      </c>
      <c r="J1150" s="36">
        <v>8609.5483461499007</v>
      </c>
      <c r="K1150" s="36">
        <v>8093.2016053500975</v>
      </c>
    </row>
    <row r="1151" spans="1:11" x14ac:dyDescent="0.25">
      <c r="A1151" s="39">
        <v>42199</v>
      </c>
      <c r="B1151" s="36">
        <v>8454.0996090000008</v>
      </c>
      <c r="C1151" s="36">
        <f t="shared" si="68"/>
        <v>8371.7149659499992</v>
      </c>
      <c r="D1151" s="36">
        <f t="shared" si="69"/>
        <v>109.16438844944778</v>
      </c>
      <c r="E1151" s="40">
        <v>8454.0996090000008</v>
      </c>
      <c r="F1151" s="36">
        <f t="shared" si="70"/>
        <v>8590.0437428488949</v>
      </c>
      <c r="G1151" s="36">
        <f t="shared" si="71"/>
        <v>8153.3861890511034</v>
      </c>
      <c r="I1151" s="40">
        <v>8454.0996090000008</v>
      </c>
      <c r="J1151" s="36">
        <v>8590.0437428488949</v>
      </c>
      <c r="K1151" s="36">
        <v>8153.3861890511034</v>
      </c>
    </row>
    <row r="1152" spans="1:11" x14ac:dyDescent="0.25">
      <c r="A1152" s="39">
        <v>42200</v>
      </c>
      <c r="B1152" s="36">
        <v>8523.7998050000006</v>
      </c>
      <c r="C1152" s="36">
        <f t="shared" si="68"/>
        <v>8393.3274659499984</v>
      </c>
      <c r="D1152" s="36">
        <f t="shared" si="69"/>
        <v>92.256988934806046</v>
      </c>
      <c r="E1152" s="40">
        <v>8523.7998050000006</v>
      </c>
      <c r="F1152" s="36">
        <f t="shared" si="70"/>
        <v>8577.8414438196105</v>
      </c>
      <c r="G1152" s="36">
        <f t="shared" si="71"/>
        <v>8208.8134880803864</v>
      </c>
      <c r="I1152" s="40">
        <v>8523.7998050000006</v>
      </c>
      <c r="J1152" s="36">
        <v>8577.8414438196105</v>
      </c>
      <c r="K1152" s="36">
        <v>8208.8134880803864</v>
      </c>
    </row>
    <row r="1153" spans="1:11" x14ac:dyDescent="0.25">
      <c r="A1153" s="39">
        <v>42201</v>
      </c>
      <c r="B1153" s="36">
        <v>8608.0498050000006</v>
      </c>
      <c r="C1153" s="36">
        <f t="shared" si="68"/>
        <v>8414.9999513000002</v>
      </c>
      <c r="D1153" s="36">
        <f t="shared" si="69"/>
        <v>89.025654821302041</v>
      </c>
      <c r="E1153" s="40">
        <v>8608.0498050000006</v>
      </c>
      <c r="F1153" s="36">
        <f t="shared" si="70"/>
        <v>8593.0512609426041</v>
      </c>
      <c r="G1153" s="36">
        <f t="shared" si="71"/>
        <v>8236.9486416573964</v>
      </c>
      <c r="I1153" s="40">
        <v>8608.0498050000006</v>
      </c>
      <c r="J1153" s="36">
        <v>8593.0512609426041</v>
      </c>
      <c r="K1153" s="36">
        <v>8236.9486416573964</v>
      </c>
    </row>
    <row r="1154" spans="1:11" x14ac:dyDescent="0.25">
      <c r="A1154" s="39">
        <v>42202</v>
      </c>
      <c r="B1154" s="36">
        <v>8609.8496090000008</v>
      </c>
      <c r="C1154" s="36">
        <f t="shared" si="68"/>
        <v>8434.2449219999999</v>
      </c>
      <c r="D1154" s="36">
        <f t="shared" si="69"/>
        <v>87.36670400405508</v>
      </c>
      <c r="E1154" s="40">
        <v>8609.8496090000008</v>
      </c>
      <c r="F1154" s="36">
        <f t="shared" si="70"/>
        <v>8608.9783300081108</v>
      </c>
      <c r="G1154" s="36">
        <f t="shared" si="71"/>
        <v>8259.5115139918889</v>
      </c>
      <c r="I1154" s="40">
        <v>8609.8496090000008</v>
      </c>
      <c r="J1154" s="36">
        <v>8608.9783300081108</v>
      </c>
      <c r="K1154" s="36">
        <v>8259.5115139918889</v>
      </c>
    </row>
    <row r="1155" spans="1:11" x14ac:dyDescent="0.25">
      <c r="A1155" s="39">
        <v>42205</v>
      </c>
      <c r="B1155" s="36">
        <v>8603.4501949999994</v>
      </c>
      <c r="C1155" s="36">
        <f t="shared" si="68"/>
        <v>8446.762451300001</v>
      </c>
      <c r="D1155" s="36">
        <f t="shared" si="69"/>
        <v>92.888719556399309</v>
      </c>
      <c r="E1155" s="40">
        <v>8603.4501949999994</v>
      </c>
      <c r="F1155" s="36">
        <f t="shared" si="70"/>
        <v>8632.5398904127997</v>
      </c>
      <c r="G1155" s="36">
        <f t="shared" si="71"/>
        <v>8260.9850121872023</v>
      </c>
      <c r="I1155" s="40">
        <v>8603.4501949999994</v>
      </c>
      <c r="J1155" s="36">
        <v>8632.5398904127997</v>
      </c>
      <c r="K1155" s="36">
        <v>8260.9850121872023</v>
      </c>
    </row>
    <row r="1156" spans="1:11" x14ac:dyDescent="0.25">
      <c r="A1156" s="39">
        <v>42206</v>
      </c>
      <c r="B1156" s="36">
        <v>8529.4501949999994</v>
      </c>
      <c r="C1156" s="36">
        <f t="shared" si="68"/>
        <v>8454.1574708000007</v>
      </c>
      <c r="D1156" s="36">
        <f t="shared" si="69"/>
        <v>93.310127404422289</v>
      </c>
      <c r="E1156" s="40">
        <v>8529.4501949999994</v>
      </c>
      <c r="F1156" s="36">
        <f t="shared" si="70"/>
        <v>8640.7777256088448</v>
      </c>
      <c r="G1156" s="36">
        <f t="shared" si="71"/>
        <v>8267.5372159911567</v>
      </c>
      <c r="I1156" s="40">
        <v>8529.4501949999994</v>
      </c>
      <c r="J1156" s="36">
        <v>8640.7777256088448</v>
      </c>
      <c r="K1156" s="36">
        <v>8267.5372159911567</v>
      </c>
    </row>
    <row r="1157" spans="1:11" x14ac:dyDescent="0.25">
      <c r="A1157" s="39">
        <v>42207</v>
      </c>
      <c r="B1157" s="36">
        <v>8633.5</v>
      </c>
      <c r="C1157" s="36">
        <f t="shared" si="68"/>
        <v>8467.789990350002</v>
      </c>
      <c r="D1157" s="36">
        <f t="shared" si="69"/>
        <v>98.720576314348037</v>
      </c>
      <c r="E1157" s="40">
        <v>8633.5</v>
      </c>
      <c r="F1157" s="36">
        <f t="shared" si="70"/>
        <v>8665.2311429786987</v>
      </c>
      <c r="G1157" s="36">
        <f t="shared" si="71"/>
        <v>8270.3488377213052</v>
      </c>
      <c r="I1157" s="40">
        <v>8633.5</v>
      </c>
      <c r="J1157" s="36">
        <v>8665.2311429786987</v>
      </c>
      <c r="K1157" s="36">
        <v>8270.3488377213052</v>
      </c>
    </row>
    <row r="1158" spans="1:11" x14ac:dyDescent="0.25">
      <c r="A1158" s="39">
        <v>42208</v>
      </c>
      <c r="B1158" s="36">
        <v>8589.7998050000006</v>
      </c>
      <c r="C1158" s="36">
        <f t="shared" si="68"/>
        <v>8477.3799806000025</v>
      </c>
      <c r="D1158" s="36">
        <f t="shared" si="69"/>
        <v>100.87660138346091</v>
      </c>
      <c r="E1158" s="40">
        <v>8589.7998050000006</v>
      </c>
      <c r="F1158" s="36">
        <f t="shared" si="70"/>
        <v>8679.1331833669246</v>
      </c>
      <c r="G1158" s="36">
        <f t="shared" si="71"/>
        <v>8275.6267778330803</v>
      </c>
      <c r="I1158" s="40">
        <v>8589.7998050000006</v>
      </c>
      <c r="J1158" s="36">
        <v>8679.1331833669246</v>
      </c>
      <c r="K1158" s="36">
        <v>8275.6267778330803</v>
      </c>
    </row>
    <row r="1159" spans="1:11" x14ac:dyDescent="0.25">
      <c r="A1159" s="39">
        <v>42209</v>
      </c>
      <c r="B1159" s="36">
        <v>8521.5498050000006</v>
      </c>
      <c r="C1159" s="36">
        <f t="shared" si="68"/>
        <v>8484.4024903999998</v>
      </c>
      <c r="D1159" s="36">
        <f t="shared" si="69"/>
        <v>98.686221504307255</v>
      </c>
      <c r="E1159" s="40">
        <v>8521.5498050000006</v>
      </c>
      <c r="F1159" s="36">
        <f t="shared" si="70"/>
        <v>8681.7749334086147</v>
      </c>
      <c r="G1159" s="36">
        <f t="shared" si="71"/>
        <v>8287.0300473913849</v>
      </c>
      <c r="I1159" s="40">
        <v>8521.5498050000006</v>
      </c>
      <c r="J1159" s="36">
        <v>8681.7749334086147</v>
      </c>
      <c r="K1159" s="36">
        <v>8287.0300473913849</v>
      </c>
    </row>
    <row r="1160" spans="1:11" x14ac:dyDescent="0.25">
      <c r="A1160" s="39">
        <v>42212</v>
      </c>
      <c r="B1160" s="36">
        <v>8361</v>
      </c>
      <c r="C1160" s="36">
        <f t="shared" si="68"/>
        <v>8486.5324708499993</v>
      </c>
      <c r="D1160" s="36">
        <f t="shared" si="69"/>
        <v>95.316971835669236</v>
      </c>
      <c r="E1160" s="40">
        <v>8361</v>
      </c>
      <c r="F1160" s="36">
        <f t="shared" si="70"/>
        <v>8677.1664145213381</v>
      </c>
      <c r="G1160" s="36">
        <f t="shared" si="71"/>
        <v>8295.8985271786605</v>
      </c>
      <c r="I1160" s="40">
        <v>8361</v>
      </c>
      <c r="J1160" s="36">
        <v>8677.1664145213381</v>
      </c>
      <c r="K1160" s="36">
        <v>8295.8985271786605</v>
      </c>
    </row>
    <row r="1161" spans="1:11" x14ac:dyDescent="0.25">
      <c r="A1161" s="39">
        <v>42213</v>
      </c>
      <c r="B1161" s="36">
        <v>8337</v>
      </c>
      <c r="C1161" s="36">
        <f t="shared" si="68"/>
        <v>8484.9574708499986</v>
      </c>
      <c r="D1161" s="36">
        <f t="shared" si="69"/>
        <v>97.602809612834037</v>
      </c>
      <c r="E1161" s="40">
        <v>8337</v>
      </c>
      <c r="F1161" s="36">
        <f t="shared" si="70"/>
        <v>8680.1630900756663</v>
      </c>
      <c r="G1161" s="36">
        <f t="shared" si="71"/>
        <v>8289.7518516243308</v>
      </c>
      <c r="I1161" s="40">
        <v>8337</v>
      </c>
      <c r="J1161" s="36">
        <v>8680.1630900756663</v>
      </c>
      <c r="K1161" s="36">
        <v>8289.7518516243308</v>
      </c>
    </row>
    <row r="1162" spans="1:11" x14ac:dyDescent="0.25">
      <c r="A1162" s="39">
        <v>42214</v>
      </c>
      <c r="B1162" s="36">
        <v>8375.0498050000006</v>
      </c>
      <c r="C1162" s="36">
        <f t="shared" si="68"/>
        <v>8481.0574708499989</v>
      </c>
      <c r="D1162" s="36">
        <f t="shared" si="69"/>
        <v>100.46137155372691</v>
      </c>
      <c r="E1162" s="40">
        <v>8375.0498050000006</v>
      </c>
      <c r="F1162" s="36">
        <f t="shared" si="70"/>
        <v>8681.9802139574531</v>
      </c>
      <c r="G1162" s="36">
        <f t="shared" si="71"/>
        <v>8280.1347277425448</v>
      </c>
      <c r="I1162" s="40">
        <v>8375.0498050000006</v>
      </c>
      <c r="J1162" s="36">
        <v>8681.9802139574531</v>
      </c>
      <c r="K1162" s="36">
        <v>8280.1347277425448</v>
      </c>
    </row>
    <row r="1163" spans="1:11" x14ac:dyDescent="0.25">
      <c r="A1163" s="39">
        <v>42215</v>
      </c>
      <c r="B1163" s="36">
        <v>8421.7998050000006</v>
      </c>
      <c r="C1163" s="36">
        <f t="shared" si="68"/>
        <v>8479.9024415499989</v>
      </c>
      <c r="D1163" s="36">
        <f t="shared" si="69"/>
        <v>101.03014427692179</v>
      </c>
      <c r="E1163" s="40">
        <v>8421.7998050000006</v>
      </c>
      <c r="F1163" s="36">
        <f t="shared" si="70"/>
        <v>8681.9627301038417</v>
      </c>
      <c r="G1163" s="36">
        <f t="shared" si="71"/>
        <v>8277.8421529961561</v>
      </c>
      <c r="I1163" s="40">
        <v>8421.7998050000006</v>
      </c>
      <c r="J1163" s="36">
        <v>8681.9627301038417</v>
      </c>
      <c r="K1163" s="36">
        <v>8277.8421529961561</v>
      </c>
    </row>
    <row r="1164" spans="1:11" x14ac:dyDescent="0.25">
      <c r="A1164" s="39">
        <v>42216</v>
      </c>
      <c r="B1164" s="36">
        <v>8532.8496090000008</v>
      </c>
      <c r="C1164" s="36">
        <f t="shared" si="68"/>
        <v>8482.2999024499986</v>
      </c>
      <c r="D1164" s="36">
        <f t="shared" si="69"/>
        <v>101.72154397555126</v>
      </c>
      <c r="E1164" s="40">
        <v>8532.8496090000008</v>
      </c>
      <c r="F1164" s="36">
        <f t="shared" si="70"/>
        <v>8685.7429904011005</v>
      </c>
      <c r="G1164" s="36">
        <f t="shared" si="71"/>
        <v>8278.8568144988967</v>
      </c>
      <c r="I1164" s="40">
        <v>8532.8496090000008</v>
      </c>
      <c r="J1164" s="36">
        <v>8685.7429904011005</v>
      </c>
      <c r="K1164" s="36">
        <v>8278.8568144988967</v>
      </c>
    </row>
    <row r="1165" spans="1:11" x14ac:dyDescent="0.25">
      <c r="A1165" s="39">
        <v>42219</v>
      </c>
      <c r="B1165" s="36">
        <v>8543.0498050000006</v>
      </c>
      <c r="C1165" s="36">
        <f t="shared" si="68"/>
        <v>8483.3448731499993</v>
      </c>
      <c r="D1165" s="36">
        <f t="shared" si="69"/>
        <v>102.25840014742681</v>
      </c>
      <c r="E1165" s="40">
        <v>8543.0498050000006</v>
      </c>
      <c r="F1165" s="36">
        <f t="shared" si="70"/>
        <v>8687.8616734448533</v>
      </c>
      <c r="G1165" s="36">
        <f t="shared" si="71"/>
        <v>8278.8280728551454</v>
      </c>
      <c r="I1165" s="40">
        <v>8543.0498050000006</v>
      </c>
      <c r="J1165" s="36">
        <v>8687.8616734448533</v>
      </c>
      <c r="K1165" s="36">
        <v>8278.8280728551454</v>
      </c>
    </row>
    <row r="1166" spans="1:11" x14ac:dyDescent="0.25">
      <c r="A1166" s="39">
        <v>42220</v>
      </c>
      <c r="B1166" s="36">
        <v>8516.9003909999992</v>
      </c>
      <c r="C1166" s="36">
        <f t="shared" si="68"/>
        <v>8483.6499024499972</v>
      </c>
      <c r="D1166" s="36">
        <f t="shared" si="69"/>
        <v>102.35366094070474</v>
      </c>
      <c r="E1166" s="40">
        <v>8516.9003909999992</v>
      </c>
      <c r="F1166" s="36">
        <f t="shared" si="70"/>
        <v>8688.3572243314065</v>
      </c>
      <c r="G1166" s="36">
        <f t="shared" si="71"/>
        <v>8278.9425805685878</v>
      </c>
      <c r="I1166" s="40">
        <v>8516.9003909999992</v>
      </c>
      <c r="J1166" s="36">
        <v>8688.3572243314065</v>
      </c>
      <c r="K1166" s="36">
        <v>8278.9425805685878</v>
      </c>
    </row>
    <row r="1167" spans="1:11" x14ac:dyDescent="0.25">
      <c r="A1167" s="39">
        <v>42221</v>
      </c>
      <c r="B1167" s="36">
        <v>8567.9501949999994</v>
      </c>
      <c r="C1167" s="36">
        <f t="shared" si="68"/>
        <v>8493.8949219500009</v>
      </c>
      <c r="D1167" s="36">
        <f t="shared" si="69"/>
        <v>99.871526309208761</v>
      </c>
      <c r="E1167" s="40">
        <v>8567.9501949999994</v>
      </c>
      <c r="F1167" s="36">
        <f t="shared" si="70"/>
        <v>8693.6379745684189</v>
      </c>
      <c r="G1167" s="36">
        <f t="shared" si="71"/>
        <v>8294.1518693315829</v>
      </c>
      <c r="I1167" s="40">
        <v>8567.9501949999994</v>
      </c>
      <c r="J1167" s="36">
        <v>8693.6379745684189</v>
      </c>
      <c r="K1167" s="36">
        <v>8294.1518693315829</v>
      </c>
    </row>
    <row r="1168" spans="1:11" x14ac:dyDescent="0.25">
      <c r="A1168" s="39">
        <v>42222</v>
      </c>
      <c r="B1168" s="36">
        <v>8588.6503909999992</v>
      </c>
      <c r="C1168" s="36">
        <f t="shared" si="68"/>
        <v>8506.8999512500013</v>
      </c>
      <c r="D1168" s="36">
        <f t="shared" si="69"/>
        <v>93.967824575360225</v>
      </c>
      <c r="E1168" s="40">
        <v>8588.6503909999992</v>
      </c>
      <c r="F1168" s="36">
        <f t="shared" si="70"/>
        <v>8694.8356004007219</v>
      </c>
      <c r="G1168" s="36">
        <f t="shared" si="71"/>
        <v>8318.9643020992808</v>
      </c>
      <c r="I1168" s="40">
        <v>8588.6503909999992</v>
      </c>
      <c r="J1168" s="36">
        <v>8694.8356004007219</v>
      </c>
      <c r="K1168" s="36">
        <v>8318.9643020992808</v>
      </c>
    </row>
    <row r="1169" spans="1:11" x14ac:dyDescent="0.25">
      <c r="A1169" s="39">
        <v>42223</v>
      </c>
      <c r="B1169" s="36">
        <v>8564.5996090000008</v>
      </c>
      <c r="C1169" s="36">
        <f t="shared" si="68"/>
        <v>8517.1024414500007</v>
      </c>
      <c r="D1169" s="36">
        <f t="shared" si="69"/>
        <v>88.138096824345624</v>
      </c>
      <c r="E1169" s="40">
        <v>8564.5996090000008</v>
      </c>
      <c r="F1169" s="36">
        <f t="shared" si="70"/>
        <v>8693.378635098692</v>
      </c>
      <c r="G1169" s="36">
        <f t="shared" si="71"/>
        <v>8340.8262478013094</v>
      </c>
      <c r="I1169" s="40">
        <v>8564.5996090000008</v>
      </c>
      <c r="J1169" s="36">
        <v>8693.378635098692</v>
      </c>
      <c r="K1169" s="36">
        <v>8340.8262478013094</v>
      </c>
    </row>
    <row r="1170" spans="1:11" x14ac:dyDescent="0.25">
      <c r="A1170" s="39">
        <v>42226</v>
      </c>
      <c r="B1170" s="36">
        <v>8525.5996090000008</v>
      </c>
      <c r="C1170" s="36">
        <f t="shared" si="68"/>
        <v>8520.39990235</v>
      </c>
      <c r="D1170" s="36">
        <f t="shared" si="69"/>
        <v>87.103132130601537</v>
      </c>
      <c r="E1170" s="40">
        <v>8525.5996090000008</v>
      </c>
      <c r="F1170" s="36">
        <f t="shared" si="70"/>
        <v>8694.6061666112037</v>
      </c>
      <c r="G1170" s="36">
        <f t="shared" si="71"/>
        <v>8346.1936380887964</v>
      </c>
      <c r="I1170" s="40">
        <v>8525.5996090000008</v>
      </c>
      <c r="J1170" s="36">
        <v>8694.6061666112037</v>
      </c>
      <c r="K1170" s="36">
        <v>8346.1936380887964</v>
      </c>
    </row>
    <row r="1171" spans="1:11" x14ac:dyDescent="0.25">
      <c r="A1171" s="39">
        <v>42227</v>
      </c>
      <c r="B1171" s="36">
        <v>8462.3496090000008</v>
      </c>
      <c r="C1171" s="36">
        <f t="shared" si="68"/>
        <v>8520.8124023500004</v>
      </c>
      <c r="D1171" s="36">
        <f t="shared" si="69"/>
        <v>86.7916020212799</v>
      </c>
      <c r="E1171" s="40">
        <v>8462.3496090000008</v>
      </c>
      <c r="F1171" s="36">
        <f t="shared" si="70"/>
        <v>8694.3956063925598</v>
      </c>
      <c r="G1171" s="36">
        <f t="shared" si="71"/>
        <v>8347.229198307441</v>
      </c>
      <c r="I1171" s="40">
        <v>8462.3496090000008</v>
      </c>
      <c r="J1171" s="36">
        <v>8694.3956063925598</v>
      </c>
      <c r="K1171" s="36">
        <v>8347.229198307441</v>
      </c>
    </row>
    <row r="1172" spans="1:11" x14ac:dyDescent="0.25">
      <c r="A1172" s="39">
        <v>42228</v>
      </c>
      <c r="B1172" s="36">
        <v>8349.4501949999994</v>
      </c>
      <c r="C1172" s="36">
        <f t="shared" si="68"/>
        <v>8512.0949218499991</v>
      </c>
      <c r="D1172" s="36">
        <f t="shared" si="69"/>
        <v>94.856970904647682</v>
      </c>
      <c r="E1172" s="40">
        <v>8349.4501949999994</v>
      </c>
      <c r="F1172" s="36">
        <f t="shared" si="70"/>
        <v>8701.8088636592947</v>
      </c>
      <c r="G1172" s="36">
        <f t="shared" si="71"/>
        <v>8322.3809800407034</v>
      </c>
      <c r="I1172" s="40">
        <v>8349.4501949999994</v>
      </c>
      <c r="J1172" s="36">
        <v>8701.8088636592947</v>
      </c>
      <c r="K1172" s="36">
        <v>8322.3809800407034</v>
      </c>
    </row>
    <row r="1173" spans="1:11" x14ac:dyDescent="0.25">
      <c r="A1173" s="39">
        <v>42229</v>
      </c>
      <c r="B1173" s="36">
        <v>8355.8496090000008</v>
      </c>
      <c r="C1173" s="36">
        <f t="shared" si="68"/>
        <v>8499.4849120500003</v>
      </c>
      <c r="D1173" s="36">
        <f t="shared" si="69"/>
        <v>98.136335054067672</v>
      </c>
      <c r="E1173" s="40">
        <v>8355.8496090000008</v>
      </c>
      <c r="F1173" s="36">
        <f t="shared" si="70"/>
        <v>8695.7575821581358</v>
      </c>
      <c r="G1173" s="36">
        <f t="shared" si="71"/>
        <v>8303.2122419418647</v>
      </c>
      <c r="I1173" s="40">
        <v>8355.8496090000008</v>
      </c>
      <c r="J1173" s="36">
        <v>8695.7575821581358</v>
      </c>
      <c r="K1173" s="36">
        <v>8303.2122419418647</v>
      </c>
    </row>
    <row r="1174" spans="1:11" x14ac:dyDescent="0.25">
      <c r="A1174" s="39">
        <v>42230</v>
      </c>
      <c r="B1174" s="36">
        <v>8518.5498050000006</v>
      </c>
      <c r="C1174" s="36">
        <f t="shared" ref="C1174:C1237" si="72">AVERAGE(B1155:B1174)</f>
        <v>8494.9199218499998</v>
      </c>
      <c r="D1174" s="36">
        <f t="shared" ref="D1174:D1237" si="73">_xlfn.STDEV.S(B1155:B1174)</f>
        <v>94.799063397229816</v>
      </c>
      <c r="E1174" s="40">
        <v>8518.5498050000006</v>
      </c>
      <c r="F1174" s="36">
        <f t="shared" ref="F1174:F1237" si="74">C1174+2*D1174</f>
        <v>8684.5180486444588</v>
      </c>
      <c r="G1174" s="36">
        <f t="shared" ref="G1174:G1237" si="75">C1174-2*D1174</f>
        <v>8305.3217950555409</v>
      </c>
      <c r="I1174" s="40">
        <v>8518.5498050000006</v>
      </c>
      <c r="J1174" s="36">
        <v>8684.5180486444588</v>
      </c>
      <c r="K1174" s="36">
        <v>8305.3217950555409</v>
      </c>
    </row>
    <row r="1175" spans="1:11" x14ac:dyDescent="0.25">
      <c r="A1175" s="39">
        <v>42233</v>
      </c>
      <c r="B1175" s="36">
        <v>8477.2998050000006</v>
      </c>
      <c r="C1175" s="36">
        <f t="shared" si="72"/>
        <v>8488.6124023499997</v>
      </c>
      <c r="D1175" s="36">
        <f t="shared" si="73"/>
        <v>91.331189773029251</v>
      </c>
      <c r="E1175" s="40">
        <v>8477.2998050000006</v>
      </c>
      <c r="F1175" s="36">
        <f t="shared" si="74"/>
        <v>8671.2747818960579</v>
      </c>
      <c r="G1175" s="36">
        <f t="shared" si="75"/>
        <v>8305.9500228039415</v>
      </c>
      <c r="I1175" s="40">
        <v>8477.2998050000006</v>
      </c>
      <c r="J1175" s="36">
        <v>8671.2747818960579</v>
      </c>
      <c r="K1175" s="36">
        <v>8305.9500228039415</v>
      </c>
    </row>
    <row r="1176" spans="1:11" x14ac:dyDescent="0.25">
      <c r="A1176" s="39">
        <v>42234</v>
      </c>
      <c r="B1176" s="36">
        <v>8466.5498050000006</v>
      </c>
      <c r="C1176" s="36">
        <f t="shared" si="72"/>
        <v>8485.4673828499981</v>
      </c>
      <c r="D1176" s="36">
        <f t="shared" si="73"/>
        <v>90.933043100254139</v>
      </c>
      <c r="E1176" s="40">
        <v>8466.5498050000006</v>
      </c>
      <c r="F1176" s="36">
        <f t="shared" si="74"/>
        <v>8667.3334690505071</v>
      </c>
      <c r="G1176" s="36">
        <f t="shared" si="75"/>
        <v>8303.6012966494891</v>
      </c>
      <c r="I1176" s="40">
        <v>8466.5498050000006</v>
      </c>
      <c r="J1176" s="36">
        <v>8667.3334690505071</v>
      </c>
      <c r="K1176" s="36">
        <v>8303.6012966494891</v>
      </c>
    </row>
    <row r="1177" spans="1:11" x14ac:dyDescent="0.25">
      <c r="A1177" s="39">
        <v>42235</v>
      </c>
      <c r="B1177" s="36">
        <v>8495.1503909999992</v>
      </c>
      <c r="C1177" s="36">
        <f t="shared" si="72"/>
        <v>8478.5499023999982</v>
      </c>
      <c r="D1177" s="36">
        <f t="shared" si="73"/>
        <v>84.083486836474719</v>
      </c>
      <c r="E1177" s="40">
        <v>8495.1503909999992</v>
      </c>
      <c r="F1177" s="36">
        <f t="shared" si="74"/>
        <v>8646.7168760729473</v>
      </c>
      <c r="G1177" s="36">
        <f t="shared" si="75"/>
        <v>8310.3829287270491</v>
      </c>
      <c r="I1177" s="40">
        <v>8495.1503909999992</v>
      </c>
      <c r="J1177" s="36">
        <v>8646.7168760729473</v>
      </c>
      <c r="K1177" s="36">
        <v>8310.3829287270491</v>
      </c>
    </row>
    <row r="1178" spans="1:11" x14ac:dyDescent="0.25">
      <c r="A1178" s="39">
        <v>42236</v>
      </c>
      <c r="B1178" s="36">
        <v>8372.75</v>
      </c>
      <c r="C1178" s="36">
        <f t="shared" si="72"/>
        <v>8467.6974121499989</v>
      </c>
      <c r="D1178" s="36">
        <f t="shared" si="73"/>
        <v>82.968659282579281</v>
      </c>
      <c r="E1178" s="40">
        <v>8372.75</v>
      </c>
      <c r="F1178" s="36">
        <f t="shared" si="74"/>
        <v>8633.6347307151573</v>
      </c>
      <c r="G1178" s="36">
        <f t="shared" si="75"/>
        <v>8301.7600935848404</v>
      </c>
      <c r="I1178" s="40">
        <v>8372.75</v>
      </c>
      <c r="J1178" s="36">
        <v>8633.6347307151573</v>
      </c>
      <c r="K1178" s="36">
        <v>8301.7600935848404</v>
      </c>
    </row>
    <row r="1179" spans="1:11" x14ac:dyDescent="0.25">
      <c r="A1179" s="39">
        <v>42237</v>
      </c>
      <c r="B1179" s="36">
        <v>8299.9501949999994</v>
      </c>
      <c r="C1179" s="36">
        <f t="shared" si="72"/>
        <v>8456.6174316500001</v>
      </c>
      <c r="D1179" s="36">
        <f t="shared" si="73"/>
        <v>89.905183776581495</v>
      </c>
      <c r="E1179" s="40">
        <v>8299.9501949999994</v>
      </c>
      <c r="F1179" s="36">
        <f t="shared" si="74"/>
        <v>8636.4277992031639</v>
      </c>
      <c r="G1179" s="36">
        <f t="shared" si="75"/>
        <v>8276.8070640968363</v>
      </c>
      <c r="I1179" s="40">
        <v>8299.9501949999994</v>
      </c>
      <c r="J1179" s="36">
        <v>8636.4277992031639</v>
      </c>
      <c r="K1179" s="36">
        <v>8276.8070640968363</v>
      </c>
    </row>
    <row r="1180" spans="1:11" x14ac:dyDescent="0.25">
      <c r="A1180" s="39">
        <v>42240</v>
      </c>
      <c r="B1180" s="36">
        <v>7809</v>
      </c>
      <c r="C1180" s="36">
        <f t="shared" si="72"/>
        <v>8429.0174316500015</v>
      </c>
      <c r="D1180" s="36">
        <f t="shared" si="73"/>
        <v>169.92356545931514</v>
      </c>
      <c r="E1180" s="40">
        <v>7809</v>
      </c>
      <c r="F1180" s="36">
        <f t="shared" si="74"/>
        <v>8768.8645625686313</v>
      </c>
      <c r="G1180" s="36">
        <f t="shared" si="75"/>
        <v>8089.1703007313708</v>
      </c>
      <c r="I1180" s="40">
        <v>7809</v>
      </c>
      <c r="J1180" s="36">
        <v>8768.8645625686313</v>
      </c>
      <c r="K1180" s="36">
        <v>8089.1703007313708</v>
      </c>
    </row>
    <row r="1181" spans="1:11" x14ac:dyDescent="0.25">
      <c r="A1181" s="39">
        <v>42241</v>
      </c>
      <c r="B1181" s="36">
        <v>7880.7001950000003</v>
      </c>
      <c r="C1181" s="36">
        <f t="shared" si="72"/>
        <v>8406.2024414000007</v>
      </c>
      <c r="D1181" s="36">
        <f t="shared" si="73"/>
        <v>209.05557716695876</v>
      </c>
      <c r="E1181" s="40">
        <v>7880.7001950000003</v>
      </c>
      <c r="F1181" s="36">
        <f t="shared" si="74"/>
        <v>8824.3135957339182</v>
      </c>
      <c r="G1181" s="36">
        <f t="shared" si="75"/>
        <v>7988.0912870660832</v>
      </c>
      <c r="I1181" s="40">
        <v>7880.7001950000003</v>
      </c>
      <c r="J1181" s="36">
        <v>8824.3135957339182</v>
      </c>
      <c r="K1181" s="36">
        <v>7988.0912870660832</v>
      </c>
    </row>
    <row r="1182" spans="1:11" x14ac:dyDescent="0.25">
      <c r="A1182" s="39">
        <v>42242</v>
      </c>
      <c r="B1182" s="36">
        <v>7791.8500979999999</v>
      </c>
      <c r="C1182" s="36">
        <f t="shared" si="72"/>
        <v>8377.0424560499996</v>
      </c>
      <c r="D1182" s="36">
        <f t="shared" si="73"/>
        <v>250.24542403111639</v>
      </c>
      <c r="E1182" s="40">
        <v>7791.8500979999999</v>
      </c>
      <c r="F1182" s="36">
        <f t="shared" si="74"/>
        <v>8877.5333041122321</v>
      </c>
      <c r="G1182" s="36">
        <f t="shared" si="75"/>
        <v>7876.5516079877671</v>
      </c>
      <c r="I1182" s="40">
        <v>7791.8500979999999</v>
      </c>
      <c r="J1182" s="36">
        <v>8877.5333041122321</v>
      </c>
      <c r="K1182" s="36">
        <v>7876.5516079877671</v>
      </c>
    </row>
    <row r="1183" spans="1:11" x14ac:dyDescent="0.25">
      <c r="A1183" s="39">
        <v>42243</v>
      </c>
      <c r="B1183" s="36">
        <v>7948.9501950000003</v>
      </c>
      <c r="C1183" s="36">
        <f t="shared" si="72"/>
        <v>8353.3999755500008</v>
      </c>
      <c r="D1183" s="36">
        <f t="shared" si="73"/>
        <v>267.53387377496733</v>
      </c>
      <c r="E1183" s="40">
        <v>7948.9501950000003</v>
      </c>
      <c r="F1183" s="36">
        <f t="shared" si="74"/>
        <v>8888.467723099935</v>
      </c>
      <c r="G1183" s="36">
        <f t="shared" si="75"/>
        <v>7818.3322280000666</v>
      </c>
      <c r="I1183" s="40">
        <v>7948.9501950000003</v>
      </c>
      <c r="J1183" s="36">
        <v>8888.467723099935</v>
      </c>
      <c r="K1183" s="36">
        <v>7818.3322280000666</v>
      </c>
    </row>
    <row r="1184" spans="1:11" x14ac:dyDescent="0.25">
      <c r="A1184" s="39">
        <v>42244</v>
      </c>
      <c r="B1184" s="36">
        <v>8001.9501950000003</v>
      </c>
      <c r="C1184" s="36">
        <f t="shared" si="72"/>
        <v>8326.8550048500001</v>
      </c>
      <c r="D1184" s="36">
        <f t="shared" si="73"/>
        <v>275.02489520211856</v>
      </c>
      <c r="E1184" s="40">
        <v>8001.9501950000003</v>
      </c>
      <c r="F1184" s="36">
        <f t="shared" si="74"/>
        <v>8876.9047952542369</v>
      </c>
      <c r="G1184" s="36">
        <f t="shared" si="75"/>
        <v>7776.8052144457633</v>
      </c>
      <c r="I1184" s="40">
        <v>8001.9501950000003</v>
      </c>
      <c r="J1184" s="36">
        <v>8876.9047952542369</v>
      </c>
      <c r="K1184" s="36">
        <v>7776.8052144457633</v>
      </c>
    </row>
    <row r="1185" spans="1:11" x14ac:dyDescent="0.25">
      <c r="A1185" s="39">
        <v>42247</v>
      </c>
      <c r="B1185" s="36">
        <v>7971.2998049999997</v>
      </c>
      <c r="C1185" s="36">
        <f t="shared" si="72"/>
        <v>8298.2675048500005</v>
      </c>
      <c r="D1185" s="36">
        <f t="shared" si="73"/>
        <v>281.01971948426308</v>
      </c>
      <c r="E1185" s="40">
        <v>7971.2998049999997</v>
      </c>
      <c r="F1185" s="36">
        <f t="shared" si="74"/>
        <v>8860.3069438185266</v>
      </c>
      <c r="G1185" s="36">
        <f t="shared" si="75"/>
        <v>7736.2280658814743</v>
      </c>
      <c r="I1185" s="40">
        <v>7971.2998049999997</v>
      </c>
      <c r="J1185" s="36">
        <v>8860.3069438185266</v>
      </c>
      <c r="K1185" s="36">
        <v>7736.2280658814743</v>
      </c>
    </row>
    <row r="1186" spans="1:11" x14ac:dyDescent="0.25">
      <c r="A1186" s="39">
        <v>42248</v>
      </c>
      <c r="B1186" s="36">
        <v>7785.8500979999999</v>
      </c>
      <c r="C1186" s="36">
        <f t="shared" si="72"/>
        <v>8261.7149902000001</v>
      </c>
      <c r="D1186" s="36">
        <f t="shared" si="73"/>
        <v>298.10975596538577</v>
      </c>
      <c r="E1186" s="40">
        <v>7785.8500979999999</v>
      </c>
      <c r="F1186" s="36">
        <f t="shared" si="74"/>
        <v>8857.9345021307709</v>
      </c>
      <c r="G1186" s="36">
        <f t="shared" si="75"/>
        <v>7665.4954782692284</v>
      </c>
      <c r="I1186" s="40">
        <v>7785.8500979999999</v>
      </c>
      <c r="J1186" s="36">
        <v>8857.9345021307709</v>
      </c>
      <c r="K1186" s="36">
        <v>7665.4954782692284</v>
      </c>
    </row>
    <row r="1187" spans="1:11" x14ac:dyDescent="0.25">
      <c r="A1187" s="39">
        <v>42249</v>
      </c>
      <c r="B1187" s="36">
        <v>7717</v>
      </c>
      <c r="C1187" s="36">
        <f t="shared" si="72"/>
        <v>8219.1674804499999</v>
      </c>
      <c r="D1187" s="36">
        <f t="shared" si="73"/>
        <v>312.48138585440131</v>
      </c>
      <c r="E1187" s="40">
        <v>7717</v>
      </c>
      <c r="F1187" s="36">
        <f t="shared" si="74"/>
        <v>8844.1302521588023</v>
      </c>
      <c r="G1187" s="36">
        <f t="shared" si="75"/>
        <v>7594.2047087411975</v>
      </c>
      <c r="I1187" s="40">
        <v>7717</v>
      </c>
      <c r="J1187" s="36">
        <v>8844.1302521588023</v>
      </c>
      <c r="K1187" s="36">
        <v>7594.2047087411975</v>
      </c>
    </row>
    <row r="1188" spans="1:11" x14ac:dyDescent="0.25">
      <c r="A1188" s="39">
        <v>42250</v>
      </c>
      <c r="B1188" s="36">
        <v>7823</v>
      </c>
      <c r="C1188" s="36">
        <f t="shared" si="72"/>
        <v>8180.8849608999999</v>
      </c>
      <c r="D1188" s="36">
        <f t="shared" si="73"/>
        <v>311.7326569624023</v>
      </c>
      <c r="E1188" s="40">
        <v>7823</v>
      </c>
      <c r="F1188" s="36">
        <f t="shared" si="74"/>
        <v>8804.3502748248047</v>
      </c>
      <c r="G1188" s="36">
        <f t="shared" si="75"/>
        <v>7557.4196469751951</v>
      </c>
      <c r="I1188" s="40">
        <v>7823</v>
      </c>
      <c r="J1188" s="36">
        <v>8804.3502748248047</v>
      </c>
      <c r="K1188" s="36">
        <v>7557.4196469751951</v>
      </c>
    </row>
    <row r="1189" spans="1:11" x14ac:dyDescent="0.25">
      <c r="A1189" s="39">
        <v>42251</v>
      </c>
      <c r="B1189" s="36">
        <v>7655.0498049999997</v>
      </c>
      <c r="C1189" s="36">
        <f t="shared" si="72"/>
        <v>8135.4074706999991</v>
      </c>
      <c r="D1189" s="36">
        <f t="shared" si="73"/>
        <v>319.0668447236315</v>
      </c>
      <c r="E1189" s="40">
        <v>7655.0498049999997</v>
      </c>
      <c r="F1189" s="36">
        <f t="shared" si="74"/>
        <v>8773.5411601472624</v>
      </c>
      <c r="G1189" s="36">
        <f t="shared" si="75"/>
        <v>7497.2737812527357</v>
      </c>
      <c r="I1189" s="40">
        <v>7655.0498049999997</v>
      </c>
      <c r="J1189" s="36">
        <v>8773.5411601472624</v>
      </c>
      <c r="K1189" s="36">
        <v>7497.2737812527357</v>
      </c>
    </row>
    <row r="1190" spans="1:11" x14ac:dyDescent="0.25">
      <c r="A1190" s="39">
        <v>42254</v>
      </c>
      <c r="B1190" s="36">
        <v>7558.7998049999997</v>
      </c>
      <c r="C1190" s="36">
        <f t="shared" si="72"/>
        <v>8087.067480499999</v>
      </c>
      <c r="D1190" s="36">
        <f t="shared" si="73"/>
        <v>329.89318677559066</v>
      </c>
      <c r="E1190" s="40">
        <v>7558.7998049999997</v>
      </c>
      <c r="F1190" s="36">
        <f t="shared" si="74"/>
        <v>8746.85385405118</v>
      </c>
      <c r="G1190" s="36">
        <f t="shared" si="75"/>
        <v>7427.281106948818</v>
      </c>
      <c r="I1190" s="40">
        <v>7558.7998049999997</v>
      </c>
      <c r="J1190" s="36">
        <v>8746.85385405118</v>
      </c>
      <c r="K1190" s="36">
        <v>7427.281106948818</v>
      </c>
    </row>
    <row r="1191" spans="1:11" x14ac:dyDescent="0.25">
      <c r="A1191" s="39">
        <v>42255</v>
      </c>
      <c r="B1191" s="36">
        <v>7688.25</v>
      </c>
      <c r="C1191" s="36">
        <f t="shared" si="72"/>
        <v>8048.3625000499978</v>
      </c>
      <c r="D1191" s="36">
        <f t="shared" si="73"/>
        <v>328.95512215804877</v>
      </c>
      <c r="E1191" s="40">
        <v>7688.25</v>
      </c>
      <c r="F1191" s="36">
        <f t="shared" si="74"/>
        <v>8706.2727443660951</v>
      </c>
      <c r="G1191" s="36">
        <f t="shared" si="75"/>
        <v>7390.4522557339005</v>
      </c>
      <c r="I1191" s="40">
        <v>7688.25</v>
      </c>
      <c r="J1191" s="36">
        <v>8706.2727443660951</v>
      </c>
      <c r="K1191" s="36">
        <v>7390.4522557339005</v>
      </c>
    </row>
    <row r="1192" spans="1:11" x14ac:dyDescent="0.25">
      <c r="A1192" s="39">
        <v>42256</v>
      </c>
      <c r="B1192" s="36">
        <v>7818.6000979999999</v>
      </c>
      <c r="C1192" s="36">
        <f t="shared" si="72"/>
        <v>8021.8199951999977</v>
      </c>
      <c r="D1192" s="36">
        <f t="shared" si="73"/>
        <v>324.77237741933686</v>
      </c>
      <c r="E1192" s="40">
        <v>7818.6000979999999</v>
      </c>
      <c r="F1192" s="36">
        <f t="shared" si="74"/>
        <v>8671.3647500386724</v>
      </c>
      <c r="G1192" s="36">
        <f t="shared" si="75"/>
        <v>7372.275240361324</v>
      </c>
      <c r="I1192" s="40">
        <v>7818.6000979999999</v>
      </c>
      <c r="J1192" s="36">
        <v>8671.3647500386724</v>
      </c>
      <c r="K1192" s="36">
        <v>7372.275240361324</v>
      </c>
    </row>
    <row r="1193" spans="1:11" x14ac:dyDescent="0.25">
      <c r="A1193" s="39">
        <v>42257</v>
      </c>
      <c r="B1193" s="36">
        <v>7788.1000979999999</v>
      </c>
      <c r="C1193" s="36">
        <f t="shared" si="72"/>
        <v>7993.4325196499976</v>
      </c>
      <c r="D1193" s="36">
        <f t="shared" si="73"/>
        <v>318.79683991428243</v>
      </c>
      <c r="E1193" s="40">
        <v>7788.1000979999999</v>
      </c>
      <c r="F1193" s="36">
        <f t="shared" si="74"/>
        <v>8631.0261994785633</v>
      </c>
      <c r="G1193" s="36">
        <f t="shared" si="75"/>
        <v>7355.8388398214329</v>
      </c>
      <c r="I1193" s="40">
        <v>7788.1000979999999</v>
      </c>
      <c r="J1193" s="36">
        <v>8631.0261994785633</v>
      </c>
      <c r="K1193" s="36">
        <v>7355.8388398214329</v>
      </c>
    </row>
    <row r="1194" spans="1:11" x14ac:dyDescent="0.25">
      <c r="A1194" s="39">
        <v>42258</v>
      </c>
      <c r="B1194" s="36">
        <v>7789.2998049999997</v>
      </c>
      <c r="C1194" s="36">
        <f t="shared" si="72"/>
        <v>7956.970019649998</v>
      </c>
      <c r="D1194" s="36">
        <f t="shared" si="73"/>
        <v>296.49964953732234</v>
      </c>
      <c r="E1194" s="40">
        <v>7789.2998049999997</v>
      </c>
      <c r="F1194" s="36">
        <f t="shared" si="74"/>
        <v>8549.969318724643</v>
      </c>
      <c r="G1194" s="36">
        <f t="shared" si="75"/>
        <v>7363.970720575353</v>
      </c>
      <c r="I1194" s="40">
        <v>7789.2998049999997</v>
      </c>
      <c r="J1194" s="36">
        <v>8549.969318724643</v>
      </c>
      <c r="K1194" s="36">
        <v>7363.970720575353</v>
      </c>
    </row>
    <row r="1195" spans="1:11" x14ac:dyDescent="0.25">
      <c r="A1195" s="39">
        <v>42261</v>
      </c>
      <c r="B1195" s="36">
        <v>7872.25</v>
      </c>
      <c r="C1195" s="36">
        <f t="shared" si="72"/>
        <v>7926.717529399999</v>
      </c>
      <c r="D1195" s="36">
        <f t="shared" si="73"/>
        <v>270.32718326423554</v>
      </c>
      <c r="E1195" s="40">
        <v>7872.25</v>
      </c>
      <c r="F1195" s="36">
        <f t="shared" si="74"/>
        <v>8467.3718959284706</v>
      </c>
      <c r="G1195" s="36">
        <f t="shared" si="75"/>
        <v>7386.0631628715282</v>
      </c>
      <c r="I1195" s="40">
        <v>7872.25</v>
      </c>
      <c r="J1195" s="36">
        <v>8467.3718959284706</v>
      </c>
      <c r="K1195" s="36">
        <v>7386.0631628715282</v>
      </c>
    </row>
    <row r="1196" spans="1:11" x14ac:dyDescent="0.25">
      <c r="A1196" s="39">
        <v>42262</v>
      </c>
      <c r="B1196" s="36">
        <v>7829.1000979999999</v>
      </c>
      <c r="C1196" s="36">
        <f t="shared" si="72"/>
        <v>7894.8450440499992</v>
      </c>
      <c r="D1196" s="36">
        <f t="shared" si="73"/>
        <v>239.10492135482849</v>
      </c>
      <c r="E1196" s="40">
        <v>7829.1000979999999</v>
      </c>
      <c r="F1196" s="36">
        <f t="shared" si="74"/>
        <v>8373.0548867596553</v>
      </c>
      <c r="G1196" s="36">
        <f t="shared" si="75"/>
        <v>7416.6352013403421</v>
      </c>
      <c r="I1196" s="40">
        <v>7829.1000979999999</v>
      </c>
      <c r="J1196" s="36">
        <v>8373.0548867596553</v>
      </c>
      <c r="K1196" s="36">
        <v>7416.6352013403421</v>
      </c>
    </row>
    <row r="1197" spans="1:11" x14ac:dyDescent="0.25">
      <c r="A1197" s="39">
        <v>42263</v>
      </c>
      <c r="B1197" s="36">
        <v>7899.1499020000001</v>
      </c>
      <c r="C1197" s="36">
        <f t="shared" si="72"/>
        <v>7865.0450195999993</v>
      </c>
      <c r="D1197" s="36">
        <f t="shared" si="73"/>
        <v>193.05620915690713</v>
      </c>
      <c r="E1197" s="40">
        <v>7899.1499020000001</v>
      </c>
      <c r="F1197" s="36">
        <f t="shared" si="74"/>
        <v>8251.1574379138128</v>
      </c>
      <c r="G1197" s="36">
        <f t="shared" si="75"/>
        <v>7478.9326012861848</v>
      </c>
      <c r="I1197" s="40">
        <v>7899.1499020000001</v>
      </c>
      <c r="J1197" s="36">
        <v>8251.1574379138128</v>
      </c>
      <c r="K1197" s="36">
        <v>7478.9326012861848</v>
      </c>
    </row>
    <row r="1198" spans="1:11" x14ac:dyDescent="0.25">
      <c r="A1198" s="39">
        <v>42265</v>
      </c>
      <c r="B1198" s="36">
        <v>7981.8999020000001</v>
      </c>
      <c r="C1198" s="36">
        <f t="shared" si="72"/>
        <v>7845.5025146999997</v>
      </c>
      <c r="D1198" s="36">
        <f t="shared" si="73"/>
        <v>154.98655704848068</v>
      </c>
      <c r="E1198" s="40">
        <v>7981.8999020000001</v>
      </c>
      <c r="F1198" s="36">
        <f t="shared" si="74"/>
        <v>8155.4756287969612</v>
      </c>
      <c r="G1198" s="36">
        <f t="shared" si="75"/>
        <v>7535.5294006030381</v>
      </c>
      <c r="I1198" s="40">
        <v>7981.8999020000001</v>
      </c>
      <c r="J1198" s="36">
        <v>8155.4756287969612</v>
      </c>
      <c r="K1198" s="36">
        <v>7535.5294006030381</v>
      </c>
    </row>
    <row r="1199" spans="1:11" x14ac:dyDescent="0.25">
      <c r="A1199" s="39">
        <v>42268</v>
      </c>
      <c r="B1199" s="36">
        <v>7977.1000979999999</v>
      </c>
      <c r="C1199" s="36">
        <f t="shared" si="72"/>
        <v>7829.360009850001</v>
      </c>
      <c r="D1199" s="36">
        <f t="shared" si="73"/>
        <v>117.42398324757342</v>
      </c>
      <c r="E1199" s="40">
        <v>7977.1000979999999</v>
      </c>
      <c r="F1199" s="36">
        <f t="shared" si="74"/>
        <v>8064.2079763451475</v>
      </c>
      <c r="G1199" s="36">
        <f t="shared" si="75"/>
        <v>7594.5120433548545</v>
      </c>
      <c r="I1199" s="40">
        <v>7977.1000979999999</v>
      </c>
      <c r="J1199" s="36">
        <v>8064.2079763451475</v>
      </c>
      <c r="K1199" s="36">
        <v>7594.5120433548545</v>
      </c>
    </row>
    <row r="1200" spans="1:11" x14ac:dyDescent="0.25">
      <c r="A1200" s="39">
        <v>42269</v>
      </c>
      <c r="B1200" s="36">
        <v>7812</v>
      </c>
      <c r="C1200" s="36">
        <f t="shared" si="72"/>
        <v>7829.5100098499997</v>
      </c>
      <c r="D1200" s="36">
        <f t="shared" si="73"/>
        <v>117.39851943245138</v>
      </c>
      <c r="E1200" s="40">
        <v>7812</v>
      </c>
      <c r="F1200" s="36">
        <f t="shared" si="74"/>
        <v>8064.3070487149025</v>
      </c>
      <c r="G1200" s="36">
        <f t="shared" si="75"/>
        <v>7594.7129709850969</v>
      </c>
      <c r="I1200" s="40">
        <v>7812</v>
      </c>
      <c r="J1200" s="36">
        <v>8064.3070487149025</v>
      </c>
      <c r="K1200" s="36">
        <v>7594.7129709850969</v>
      </c>
    </row>
    <row r="1201" spans="1:11" x14ac:dyDescent="0.25">
      <c r="A1201" s="39">
        <v>42270</v>
      </c>
      <c r="B1201" s="36">
        <v>7845.9501950000003</v>
      </c>
      <c r="C1201" s="36">
        <f t="shared" si="72"/>
        <v>7827.7725098499996</v>
      </c>
      <c r="D1201" s="36">
        <f t="shared" si="73"/>
        <v>116.85693039393728</v>
      </c>
      <c r="E1201" s="40">
        <v>7845.9501950000003</v>
      </c>
      <c r="F1201" s="36">
        <f t="shared" si="74"/>
        <v>8061.4863706378737</v>
      </c>
      <c r="G1201" s="36">
        <f t="shared" si="75"/>
        <v>7594.0586490621254</v>
      </c>
      <c r="I1201" s="40">
        <v>7845.9501950000003</v>
      </c>
      <c r="J1201" s="36">
        <v>8061.4863706378737</v>
      </c>
      <c r="K1201" s="36">
        <v>7594.0586490621254</v>
      </c>
    </row>
    <row r="1202" spans="1:11" x14ac:dyDescent="0.25">
      <c r="A1202" s="39">
        <v>42271</v>
      </c>
      <c r="B1202" s="36">
        <v>7868.5</v>
      </c>
      <c r="C1202" s="36">
        <f t="shared" si="72"/>
        <v>7831.6050049500018</v>
      </c>
      <c r="D1202" s="36">
        <f t="shared" si="73"/>
        <v>116.87371723984901</v>
      </c>
      <c r="E1202" s="40">
        <v>7868.5</v>
      </c>
      <c r="F1202" s="36">
        <f t="shared" si="74"/>
        <v>8065.3524394297001</v>
      </c>
      <c r="G1202" s="36">
        <f t="shared" si="75"/>
        <v>7597.8575704703035</v>
      </c>
      <c r="I1202" s="40">
        <v>7868.5</v>
      </c>
      <c r="J1202" s="36">
        <v>8065.3524394297001</v>
      </c>
      <c r="K1202" s="36">
        <v>7597.8575704703035</v>
      </c>
    </row>
    <row r="1203" spans="1:11" x14ac:dyDescent="0.25">
      <c r="A1203" s="39">
        <v>42275</v>
      </c>
      <c r="B1203" s="36">
        <v>7795.7001950000003</v>
      </c>
      <c r="C1203" s="36">
        <f t="shared" si="72"/>
        <v>7823.9425049500014</v>
      </c>
      <c r="D1203" s="36">
        <f t="shared" si="73"/>
        <v>113.75755231664687</v>
      </c>
      <c r="E1203" s="40">
        <v>7795.7001950000003</v>
      </c>
      <c r="F1203" s="36">
        <f t="shared" si="74"/>
        <v>8051.4576095832954</v>
      </c>
      <c r="G1203" s="36">
        <f t="shared" si="75"/>
        <v>7596.4274003167075</v>
      </c>
      <c r="I1203" s="40">
        <v>7795.7001950000003</v>
      </c>
      <c r="J1203" s="36">
        <v>8051.4576095832954</v>
      </c>
      <c r="K1203" s="36">
        <v>7596.4274003167075</v>
      </c>
    </row>
    <row r="1204" spans="1:11" x14ac:dyDescent="0.25">
      <c r="A1204" s="39">
        <v>42276</v>
      </c>
      <c r="B1204" s="36">
        <v>7843.2998049999997</v>
      </c>
      <c r="C1204" s="36">
        <f t="shared" si="72"/>
        <v>7816.0099854500004</v>
      </c>
      <c r="D1204" s="36">
        <f t="shared" si="73"/>
        <v>105.95537876820188</v>
      </c>
      <c r="E1204" s="40">
        <v>7843.2998049999997</v>
      </c>
      <c r="F1204" s="36">
        <f t="shared" si="74"/>
        <v>8027.9207429864045</v>
      </c>
      <c r="G1204" s="36">
        <f t="shared" si="75"/>
        <v>7604.0992279135962</v>
      </c>
      <c r="I1204" s="40">
        <v>7843.2998049999997</v>
      </c>
      <c r="J1204" s="36">
        <v>8027.9207429864045</v>
      </c>
      <c r="K1204" s="36">
        <v>7604.0992279135962</v>
      </c>
    </row>
    <row r="1205" spans="1:11" x14ac:dyDescent="0.25">
      <c r="A1205" s="39">
        <v>42277</v>
      </c>
      <c r="B1205" s="36">
        <v>7948.8999020000001</v>
      </c>
      <c r="C1205" s="36">
        <f t="shared" si="72"/>
        <v>7814.8899903000001</v>
      </c>
      <c r="D1205" s="36">
        <f t="shared" si="73"/>
        <v>104.33347789670526</v>
      </c>
      <c r="E1205" s="40">
        <v>7948.8999020000001</v>
      </c>
      <c r="F1205" s="36">
        <f t="shared" si="74"/>
        <v>8023.5569460934103</v>
      </c>
      <c r="G1205" s="36">
        <f t="shared" si="75"/>
        <v>7606.22303450659</v>
      </c>
      <c r="I1205" s="40">
        <v>7948.8999020000001</v>
      </c>
      <c r="J1205" s="36">
        <v>8023.5569460934103</v>
      </c>
      <c r="K1205" s="36">
        <v>7606.22303450659</v>
      </c>
    </row>
    <row r="1206" spans="1:11" x14ac:dyDescent="0.25">
      <c r="A1206" s="39">
        <v>42278</v>
      </c>
      <c r="B1206" s="36">
        <v>7950.8999020000001</v>
      </c>
      <c r="C1206" s="36">
        <f t="shared" si="72"/>
        <v>7823.1424805000006</v>
      </c>
      <c r="D1206" s="36">
        <f t="shared" si="73"/>
        <v>108.36520281370375</v>
      </c>
      <c r="E1206" s="40">
        <v>7950.8999020000001</v>
      </c>
      <c r="F1206" s="36">
        <f t="shared" si="74"/>
        <v>8039.8728861274085</v>
      </c>
      <c r="G1206" s="36">
        <f t="shared" si="75"/>
        <v>7606.4120748725927</v>
      </c>
      <c r="I1206" s="40">
        <v>7950.8999020000001</v>
      </c>
      <c r="J1206" s="36">
        <v>8039.8728861274085</v>
      </c>
      <c r="K1206" s="36">
        <v>7606.4120748725927</v>
      </c>
    </row>
    <row r="1207" spans="1:11" x14ac:dyDescent="0.25">
      <c r="A1207" s="39">
        <v>42282</v>
      </c>
      <c r="B1207" s="36">
        <v>8119.2998049999997</v>
      </c>
      <c r="C1207" s="36">
        <f t="shared" si="72"/>
        <v>7843.2574707499998</v>
      </c>
      <c r="D1207" s="36">
        <f t="shared" si="73"/>
        <v>123.85645436497533</v>
      </c>
      <c r="E1207" s="40">
        <v>8119.2998049999997</v>
      </c>
      <c r="F1207" s="36">
        <f t="shared" si="74"/>
        <v>8090.9703794799507</v>
      </c>
      <c r="G1207" s="36">
        <f t="shared" si="75"/>
        <v>7595.5445620200489</v>
      </c>
      <c r="I1207" s="40">
        <v>8119.2998049999997</v>
      </c>
      <c r="J1207" s="36">
        <v>8090.9703794799507</v>
      </c>
      <c r="K1207" s="36">
        <v>7595.5445620200489</v>
      </c>
    </row>
    <row r="1208" spans="1:11" x14ac:dyDescent="0.25">
      <c r="A1208" s="39">
        <v>42283</v>
      </c>
      <c r="B1208" s="36">
        <v>8152.8999020000001</v>
      </c>
      <c r="C1208" s="36">
        <f t="shared" si="72"/>
        <v>7859.7524658499997</v>
      </c>
      <c r="D1208" s="36">
        <f t="shared" si="73"/>
        <v>141.69915821011423</v>
      </c>
      <c r="E1208" s="40">
        <v>8152.8999020000001</v>
      </c>
      <c r="F1208" s="36">
        <f t="shared" si="74"/>
        <v>8143.1507822702279</v>
      </c>
      <c r="G1208" s="36">
        <f t="shared" si="75"/>
        <v>7576.3541494297715</v>
      </c>
      <c r="I1208" s="40">
        <v>8152.8999020000001</v>
      </c>
      <c r="J1208" s="36">
        <v>8143.1507822702279</v>
      </c>
      <c r="K1208" s="36">
        <v>7576.3541494297715</v>
      </c>
    </row>
    <row r="1209" spans="1:11" x14ac:dyDescent="0.25">
      <c r="A1209" s="39">
        <v>42284</v>
      </c>
      <c r="B1209" s="36">
        <v>8177.3999020000001</v>
      </c>
      <c r="C1209" s="36">
        <f t="shared" si="72"/>
        <v>7885.8699706999996</v>
      </c>
      <c r="D1209" s="36">
        <f t="shared" si="73"/>
        <v>149.88567756678796</v>
      </c>
      <c r="E1209" s="40">
        <v>8177.3999020000001</v>
      </c>
      <c r="F1209" s="36">
        <f t="shared" si="74"/>
        <v>8185.6413258335751</v>
      </c>
      <c r="G1209" s="36">
        <f t="shared" si="75"/>
        <v>7586.0986155664241</v>
      </c>
      <c r="I1209" s="40">
        <v>8177.3999020000001</v>
      </c>
      <c r="J1209" s="36">
        <v>8185.6413258335751</v>
      </c>
      <c r="K1209" s="36">
        <v>7586.0986155664241</v>
      </c>
    </row>
    <row r="1210" spans="1:11" x14ac:dyDescent="0.25">
      <c r="A1210" s="39">
        <v>42285</v>
      </c>
      <c r="B1210" s="36">
        <v>8129.3500979999999</v>
      </c>
      <c r="C1210" s="36">
        <f t="shared" si="72"/>
        <v>7914.3974853499994</v>
      </c>
      <c r="D1210" s="36">
        <f t="shared" si="73"/>
        <v>138.19892369721919</v>
      </c>
      <c r="E1210" s="40">
        <v>8129.3500979999999</v>
      </c>
      <c r="F1210" s="36">
        <f t="shared" si="74"/>
        <v>8190.7953327444375</v>
      </c>
      <c r="G1210" s="36">
        <f t="shared" si="75"/>
        <v>7637.9996379555614</v>
      </c>
      <c r="I1210" s="40">
        <v>8129.3500979999999</v>
      </c>
      <c r="J1210" s="36">
        <v>8190.7953327444375</v>
      </c>
      <c r="K1210" s="36">
        <v>7637.9996379555614</v>
      </c>
    </row>
    <row r="1211" spans="1:11" x14ac:dyDescent="0.25">
      <c r="A1211" s="39">
        <v>42286</v>
      </c>
      <c r="B1211" s="36">
        <v>8189.7001950000003</v>
      </c>
      <c r="C1211" s="36">
        <f t="shared" si="72"/>
        <v>7939.4699951000021</v>
      </c>
      <c r="D1211" s="36">
        <f t="shared" si="73"/>
        <v>140.47966506103549</v>
      </c>
      <c r="E1211" s="40">
        <v>8189.7001950000003</v>
      </c>
      <c r="F1211" s="36">
        <f t="shared" si="74"/>
        <v>8220.4293252220723</v>
      </c>
      <c r="G1211" s="36">
        <f t="shared" si="75"/>
        <v>7658.5106649779309</v>
      </c>
      <c r="I1211" s="40">
        <v>8189.7001950000003</v>
      </c>
      <c r="J1211" s="36">
        <v>8220.4293252220723</v>
      </c>
      <c r="K1211" s="36">
        <v>7658.5106649779309</v>
      </c>
    </row>
    <row r="1212" spans="1:11" x14ac:dyDescent="0.25">
      <c r="A1212" s="39">
        <v>42289</v>
      </c>
      <c r="B1212" s="36">
        <v>8143.6000979999999</v>
      </c>
      <c r="C1212" s="36">
        <f t="shared" si="72"/>
        <v>7955.7199951000002</v>
      </c>
      <c r="D1212" s="36">
        <f t="shared" si="73"/>
        <v>144.50177680614999</v>
      </c>
      <c r="E1212" s="40">
        <v>8143.6000979999999</v>
      </c>
      <c r="F1212" s="36">
        <f t="shared" si="74"/>
        <v>8244.7235487122998</v>
      </c>
      <c r="G1212" s="36">
        <f t="shared" si="75"/>
        <v>7666.7164414877006</v>
      </c>
      <c r="I1212" s="40">
        <v>8143.6000979999999</v>
      </c>
      <c r="J1212" s="36">
        <v>8244.7235487122998</v>
      </c>
      <c r="K1212" s="36">
        <v>7666.7164414877006</v>
      </c>
    </row>
    <row r="1213" spans="1:11" x14ac:dyDescent="0.25">
      <c r="A1213" s="39">
        <v>42290</v>
      </c>
      <c r="B1213" s="36">
        <v>8131.7001950000003</v>
      </c>
      <c r="C1213" s="36">
        <f t="shared" si="72"/>
        <v>7972.8999999500029</v>
      </c>
      <c r="D1213" s="36">
        <f t="shared" si="73"/>
        <v>143.94883155641074</v>
      </c>
      <c r="E1213" s="40">
        <v>8131.7001950000003</v>
      </c>
      <c r="F1213" s="36">
        <f t="shared" si="74"/>
        <v>8260.7976630628236</v>
      </c>
      <c r="G1213" s="36">
        <f t="shared" si="75"/>
        <v>7685.0023368371812</v>
      </c>
      <c r="I1213" s="40">
        <v>8131.7001950000003</v>
      </c>
      <c r="J1213" s="36">
        <v>8260.7976630628236</v>
      </c>
      <c r="K1213" s="36">
        <v>7685.0023368371812</v>
      </c>
    </row>
    <row r="1214" spans="1:11" x14ac:dyDescent="0.25">
      <c r="A1214" s="39">
        <v>42291</v>
      </c>
      <c r="B1214" s="36">
        <v>8107.8999020000001</v>
      </c>
      <c r="C1214" s="36">
        <f t="shared" si="72"/>
        <v>7988.8300048000019</v>
      </c>
      <c r="D1214" s="36">
        <f t="shared" si="73"/>
        <v>140.1399107095765</v>
      </c>
      <c r="E1214" s="40">
        <v>8107.8999020000001</v>
      </c>
      <c r="F1214" s="36">
        <f t="shared" si="74"/>
        <v>8269.1098262191554</v>
      </c>
      <c r="G1214" s="36">
        <f t="shared" si="75"/>
        <v>7708.5501833808485</v>
      </c>
      <c r="I1214" s="40">
        <v>8107.8999020000001</v>
      </c>
      <c r="J1214" s="36">
        <v>8269.1098262191554</v>
      </c>
      <c r="K1214" s="36">
        <v>7708.5501833808485</v>
      </c>
    </row>
    <row r="1215" spans="1:11" x14ac:dyDescent="0.25">
      <c r="A1215" s="39">
        <v>42292</v>
      </c>
      <c r="B1215" s="36">
        <v>8179.5</v>
      </c>
      <c r="C1215" s="36">
        <f t="shared" si="72"/>
        <v>8004.1925048000021</v>
      </c>
      <c r="D1215" s="36">
        <f t="shared" si="73"/>
        <v>143.48825705216095</v>
      </c>
      <c r="E1215" s="40">
        <v>8179.5</v>
      </c>
      <c r="F1215" s="36">
        <f t="shared" si="74"/>
        <v>8291.1690189043238</v>
      </c>
      <c r="G1215" s="36">
        <f t="shared" si="75"/>
        <v>7717.2159906956804</v>
      </c>
      <c r="I1215" s="40">
        <v>8179.5</v>
      </c>
      <c r="J1215" s="36">
        <v>8291.1690189043238</v>
      </c>
      <c r="K1215" s="36">
        <v>7717.2159906956804</v>
      </c>
    </row>
    <row r="1216" spans="1:11" x14ac:dyDescent="0.25">
      <c r="A1216" s="39">
        <v>42293</v>
      </c>
      <c r="B1216" s="36">
        <v>8238.1503909999992</v>
      </c>
      <c r="C1216" s="36">
        <f t="shared" si="72"/>
        <v>8024.6450194500012</v>
      </c>
      <c r="D1216" s="36">
        <f t="shared" si="73"/>
        <v>146.34162497595517</v>
      </c>
      <c r="E1216" s="40">
        <v>8238.1503909999992</v>
      </c>
      <c r="F1216" s="36">
        <f t="shared" si="74"/>
        <v>8317.3282694019108</v>
      </c>
      <c r="G1216" s="36">
        <f t="shared" si="75"/>
        <v>7731.9617694980907</v>
      </c>
      <c r="I1216" s="40">
        <v>8238.1503909999992</v>
      </c>
      <c r="J1216" s="36">
        <v>8317.3282694019108</v>
      </c>
      <c r="K1216" s="36">
        <v>7731.9617694980907</v>
      </c>
    </row>
    <row r="1217" spans="1:11" x14ac:dyDescent="0.25">
      <c r="A1217" s="39">
        <v>42296</v>
      </c>
      <c r="B1217" s="36">
        <v>8275.0498050000006</v>
      </c>
      <c r="C1217" s="36">
        <f t="shared" si="72"/>
        <v>8043.4400145999989</v>
      </c>
      <c r="D1217" s="36">
        <f t="shared" si="73"/>
        <v>153.34688026964795</v>
      </c>
      <c r="E1217" s="40">
        <v>8275.0498050000006</v>
      </c>
      <c r="F1217" s="36">
        <f t="shared" si="74"/>
        <v>8350.1337751392948</v>
      </c>
      <c r="G1217" s="36">
        <f t="shared" si="75"/>
        <v>7736.746254060703</v>
      </c>
      <c r="I1217" s="40">
        <v>8275.0498050000006</v>
      </c>
      <c r="J1217" s="36">
        <v>8350.1337751392948</v>
      </c>
      <c r="K1217" s="36">
        <v>7736.746254060703</v>
      </c>
    </row>
    <row r="1218" spans="1:11" x14ac:dyDescent="0.25">
      <c r="A1218" s="39">
        <v>42297</v>
      </c>
      <c r="B1218" s="36">
        <v>8261.6503909999992</v>
      </c>
      <c r="C1218" s="36">
        <f t="shared" si="72"/>
        <v>8057.4275390499988</v>
      </c>
      <c r="D1218" s="36">
        <f t="shared" si="73"/>
        <v>160.05025759779051</v>
      </c>
      <c r="E1218" s="40">
        <v>8261.6503909999992</v>
      </c>
      <c r="F1218" s="36">
        <f t="shared" si="74"/>
        <v>8377.5280542455803</v>
      </c>
      <c r="G1218" s="36">
        <f t="shared" si="75"/>
        <v>7737.3270238544173</v>
      </c>
      <c r="I1218" s="40">
        <v>8261.6503909999992</v>
      </c>
      <c r="J1218" s="36">
        <v>8377.5280542455803</v>
      </c>
      <c r="K1218" s="36">
        <v>7737.3270238544173</v>
      </c>
    </row>
    <row r="1219" spans="1:11" x14ac:dyDescent="0.25">
      <c r="A1219" s="39">
        <v>42298</v>
      </c>
      <c r="B1219" s="36">
        <v>8251.7001949999994</v>
      </c>
      <c r="C1219" s="36">
        <f t="shared" si="72"/>
        <v>8071.1575438999989</v>
      </c>
      <c r="D1219" s="36">
        <f t="shared" si="73"/>
        <v>164.51279274938949</v>
      </c>
      <c r="E1219" s="40">
        <v>8251.7001949999994</v>
      </c>
      <c r="F1219" s="36">
        <f t="shared" si="74"/>
        <v>8400.183129398778</v>
      </c>
      <c r="G1219" s="36">
        <f t="shared" si="75"/>
        <v>7742.1319584012199</v>
      </c>
      <c r="I1219" s="40">
        <v>8251.7001949999994</v>
      </c>
      <c r="J1219" s="36">
        <v>8400.183129398778</v>
      </c>
      <c r="K1219" s="36">
        <v>7742.1319584012199</v>
      </c>
    </row>
    <row r="1220" spans="1:11" x14ac:dyDescent="0.25">
      <c r="A1220" s="39">
        <v>42300</v>
      </c>
      <c r="B1220" s="36">
        <v>8295.4501949999994</v>
      </c>
      <c r="C1220" s="36">
        <f t="shared" si="72"/>
        <v>8095.330053650001</v>
      </c>
      <c r="D1220" s="36">
        <f t="shared" si="73"/>
        <v>159.88204151988802</v>
      </c>
      <c r="E1220" s="40">
        <v>8295.4501949999994</v>
      </c>
      <c r="F1220" s="36">
        <f t="shared" si="74"/>
        <v>8415.0941366897769</v>
      </c>
      <c r="G1220" s="36">
        <f t="shared" si="75"/>
        <v>7775.5659706102251</v>
      </c>
      <c r="I1220" s="40">
        <v>8295.4501949999994</v>
      </c>
      <c r="J1220" s="36">
        <v>8415.0941366897769</v>
      </c>
      <c r="K1220" s="36">
        <v>7775.5659706102251</v>
      </c>
    </row>
    <row r="1221" spans="1:11" x14ac:dyDescent="0.25">
      <c r="A1221" s="39">
        <v>42303</v>
      </c>
      <c r="B1221" s="36">
        <v>8260.5498050000006</v>
      </c>
      <c r="C1221" s="36">
        <f t="shared" si="72"/>
        <v>8116.0600341500003</v>
      </c>
      <c r="D1221" s="36">
        <f t="shared" si="73"/>
        <v>152.55640670637058</v>
      </c>
      <c r="E1221" s="40">
        <v>8260.5498050000006</v>
      </c>
      <c r="F1221" s="36">
        <f t="shared" si="74"/>
        <v>8421.1728475627424</v>
      </c>
      <c r="G1221" s="36">
        <f t="shared" si="75"/>
        <v>7810.9472207372592</v>
      </c>
      <c r="I1221" s="40">
        <v>8260.5498050000006</v>
      </c>
      <c r="J1221" s="36">
        <v>8421.1728475627424</v>
      </c>
      <c r="K1221" s="36">
        <v>7810.9472207372592</v>
      </c>
    </row>
    <row r="1222" spans="1:11" x14ac:dyDescent="0.25">
      <c r="A1222" s="39">
        <v>42304</v>
      </c>
      <c r="B1222" s="36">
        <v>8232.9003909999992</v>
      </c>
      <c r="C1222" s="36">
        <f t="shared" si="72"/>
        <v>8134.2800537000003</v>
      </c>
      <c r="D1222" s="36">
        <f t="shared" si="73"/>
        <v>142.88788456402671</v>
      </c>
      <c r="E1222" s="40">
        <v>8232.9003909999992</v>
      </c>
      <c r="F1222" s="36">
        <f t="shared" si="74"/>
        <v>8420.0558228280534</v>
      </c>
      <c r="G1222" s="36">
        <f t="shared" si="75"/>
        <v>7848.5042845719472</v>
      </c>
      <c r="I1222" s="40">
        <v>8232.9003909999992</v>
      </c>
      <c r="J1222" s="36">
        <v>8420.0558228280534</v>
      </c>
      <c r="K1222" s="36">
        <v>7848.5042845719472</v>
      </c>
    </row>
    <row r="1223" spans="1:11" x14ac:dyDescent="0.25">
      <c r="A1223" s="39">
        <v>42305</v>
      </c>
      <c r="B1223" s="36">
        <v>8171.2001950000003</v>
      </c>
      <c r="C1223" s="36">
        <f t="shared" si="72"/>
        <v>8153.0550536999999</v>
      </c>
      <c r="D1223" s="36">
        <f t="shared" si="73"/>
        <v>118.67664319591728</v>
      </c>
      <c r="E1223" s="40">
        <v>8171.2001950000003</v>
      </c>
      <c r="F1223" s="36">
        <f t="shared" si="74"/>
        <v>8390.4083400918353</v>
      </c>
      <c r="G1223" s="36">
        <f t="shared" si="75"/>
        <v>7915.7017673081655</v>
      </c>
      <c r="I1223" s="40">
        <v>8171.2001950000003</v>
      </c>
      <c r="J1223" s="36">
        <v>8390.4083400918353</v>
      </c>
      <c r="K1223" s="36">
        <v>7915.7017673081655</v>
      </c>
    </row>
    <row r="1224" spans="1:11" x14ac:dyDescent="0.25">
      <c r="A1224" s="39">
        <v>42306</v>
      </c>
      <c r="B1224" s="36">
        <v>8111.75</v>
      </c>
      <c r="C1224" s="36">
        <f t="shared" si="72"/>
        <v>8166.4775634500011</v>
      </c>
      <c r="D1224" s="36">
        <f t="shared" si="73"/>
        <v>94.521867469622876</v>
      </c>
      <c r="E1224" s="40">
        <v>8111.75</v>
      </c>
      <c r="F1224" s="36">
        <f t="shared" si="74"/>
        <v>8355.521298389247</v>
      </c>
      <c r="G1224" s="36">
        <f t="shared" si="75"/>
        <v>7977.4338285107551</v>
      </c>
      <c r="I1224" s="40">
        <v>8111.75</v>
      </c>
      <c r="J1224" s="36">
        <v>8355.521298389247</v>
      </c>
      <c r="K1224" s="36">
        <v>7977.4338285107551</v>
      </c>
    </row>
    <row r="1225" spans="1:11" x14ac:dyDescent="0.25">
      <c r="A1225" s="39">
        <v>42307</v>
      </c>
      <c r="B1225" s="36">
        <v>8065.7998049999997</v>
      </c>
      <c r="C1225" s="36">
        <f t="shared" si="72"/>
        <v>8172.3225585999999</v>
      </c>
      <c r="D1225" s="36">
        <f t="shared" si="73"/>
        <v>83.308550798680258</v>
      </c>
      <c r="E1225" s="40">
        <v>8065.7998049999997</v>
      </c>
      <c r="F1225" s="36">
        <f t="shared" si="74"/>
        <v>8338.9396601973604</v>
      </c>
      <c r="G1225" s="36">
        <f t="shared" si="75"/>
        <v>8005.7054570026394</v>
      </c>
      <c r="I1225" s="40">
        <v>8065.7998049999997</v>
      </c>
      <c r="J1225" s="36">
        <v>8338.9396601973604</v>
      </c>
      <c r="K1225" s="36">
        <v>8005.7054570026394</v>
      </c>
    </row>
    <row r="1226" spans="1:11" x14ac:dyDescent="0.25">
      <c r="A1226" s="39">
        <v>42310</v>
      </c>
      <c r="B1226" s="36">
        <v>8050.7998049999997</v>
      </c>
      <c r="C1226" s="36">
        <f t="shared" si="72"/>
        <v>8177.3175537499992</v>
      </c>
      <c r="D1226" s="36">
        <f t="shared" si="73"/>
        <v>71.490435629384422</v>
      </c>
      <c r="E1226" s="40">
        <v>8050.7998049999997</v>
      </c>
      <c r="F1226" s="36">
        <f t="shared" si="74"/>
        <v>8320.2984250087684</v>
      </c>
      <c r="G1226" s="36">
        <f t="shared" si="75"/>
        <v>8034.33668249123</v>
      </c>
      <c r="I1226" s="40">
        <v>8050.7998049999997</v>
      </c>
      <c r="J1226" s="36">
        <v>8320.2984250087684</v>
      </c>
      <c r="K1226" s="36">
        <v>8034.33668249123</v>
      </c>
    </row>
    <row r="1227" spans="1:11" x14ac:dyDescent="0.25">
      <c r="A1227" s="39">
        <v>42311</v>
      </c>
      <c r="B1227" s="36">
        <v>8060.7001950000003</v>
      </c>
      <c r="C1227" s="36">
        <f t="shared" si="72"/>
        <v>8174.3875732500001</v>
      </c>
      <c r="D1227" s="36">
        <f t="shared" si="73"/>
        <v>75.102953484675155</v>
      </c>
      <c r="E1227" s="40">
        <v>8060.7001950000003</v>
      </c>
      <c r="F1227" s="36">
        <f t="shared" si="74"/>
        <v>8324.5934802193497</v>
      </c>
      <c r="G1227" s="36">
        <f t="shared" si="75"/>
        <v>8024.1816662806496</v>
      </c>
      <c r="I1227" s="40">
        <v>8060.7001950000003</v>
      </c>
      <c r="J1227" s="36">
        <v>8324.5934802193497</v>
      </c>
      <c r="K1227" s="36">
        <v>8024.1816662806496</v>
      </c>
    </row>
    <row r="1228" spans="1:11" x14ac:dyDescent="0.25">
      <c r="A1228" s="39">
        <v>42312</v>
      </c>
      <c r="B1228" s="36">
        <v>8040.2001950000003</v>
      </c>
      <c r="C1228" s="36">
        <f t="shared" si="72"/>
        <v>8168.7525878999995</v>
      </c>
      <c r="D1228" s="36">
        <f t="shared" si="73"/>
        <v>80.811049950606986</v>
      </c>
      <c r="E1228" s="40">
        <v>8040.2001950000003</v>
      </c>
      <c r="F1228" s="36">
        <f t="shared" si="74"/>
        <v>8330.3746878012134</v>
      </c>
      <c r="G1228" s="36">
        <f t="shared" si="75"/>
        <v>8007.1304879987856</v>
      </c>
      <c r="I1228" s="40">
        <v>8040.2001950000003</v>
      </c>
      <c r="J1228" s="36">
        <v>8330.3746878012134</v>
      </c>
      <c r="K1228" s="36">
        <v>8007.1304879987856</v>
      </c>
    </row>
    <row r="1229" spans="1:11" x14ac:dyDescent="0.25">
      <c r="A1229" s="39">
        <v>42313</v>
      </c>
      <c r="B1229" s="36">
        <v>7955.4501950000003</v>
      </c>
      <c r="C1229" s="36">
        <f t="shared" si="72"/>
        <v>8157.6551025500012</v>
      </c>
      <c r="D1229" s="36">
        <f t="shared" si="73"/>
        <v>93.762898408733435</v>
      </c>
      <c r="E1229" s="40">
        <v>7955.4501950000003</v>
      </c>
      <c r="F1229" s="36">
        <f t="shared" si="74"/>
        <v>8345.1808993674676</v>
      </c>
      <c r="G1229" s="36">
        <f t="shared" si="75"/>
        <v>7970.1293057325347</v>
      </c>
      <c r="I1229" s="40">
        <v>7955.4501950000003</v>
      </c>
      <c r="J1229" s="36">
        <v>8345.1808993674676</v>
      </c>
      <c r="K1229" s="36">
        <v>7970.1293057325347</v>
      </c>
    </row>
    <row r="1230" spans="1:11" x14ac:dyDescent="0.25">
      <c r="A1230" s="39">
        <v>42314</v>
      </c>
      <c r="B1230" s="36">
        <v>7954.2998049999997</v>
      </c>
      <c r="C1230" s="36">
        <f t="shared" si="72"/>
        <v>8148.902587900001</v>
      </c>
      <c r="D1230" s="36">
        <f t="shared" si="73"/>
        <v>104.14014210294935</v>
      </c>
      <c r="E1230" s="40">
        <v>7954.2998049999997</v>
      </c>
      <c r="F1230" s="36">
        <f t="shared" si="74"/>
        <v>8357.1828721058992</v>
      </c>
      <c r="G1230" s="36">
        <f t="shared" si="75"/>
        <v>7940.6223036941019</v>
      </c>
      <c r="I1230" s="40">
        <v>7954.2998049999997</v>
      </c>
      <c r="J1230" s="36">
        <v>8357.1828721058992</v>
      </c>
      <c r="K1230" s="36">
        <v>7940.6223036941019</v>
      </c>
    </row>
    <row r="1231" spans="1:11" x14ac:dyDescent="0.25">
      <c r="A1231" s="39">
        <v>42317</v>
      </c>
      <c r="B1231" s="36">
        <v>7915.2001950000003</v>
      </c>
      <c r="C1231" s="36">
        <f t="shared" si="72"/>
        <v>8135.1775879000006</v>
      </c>
      <c r="D1231" s="36">
        <f t="shared" si="73"/>
        <v>115.90446745609233</v>
      </c>
      <c r="E1231" s="40">
        <v>7915.2001950000003</v>
      </c>
      <c r="F1231" s="36">
        <f t="shared" si="74"/>
        <v>8366.9865228121853</v>
      </c>
      <c r="G1231" s="36">
        <f t="shared" si="75"/>
        <v>7903.3686529878159</v>
      </c>
      <c r="I1231" s="40">
        <v>7915.2001950000003</v>
      </c>
      <c r="J1231" s="36">
        <v>8366.9865228121853</v>
      </c>
      <c r="K1231" s="36">
        <v>7903.3686529878159</v>
      </c>
    </row>
    <row r="1232" spans="1:11" x14ac:dyDescent="0.25">
      <c r="A1232" s="39">
        <v>42318</v>
      </c>
      <c r="B1232" s="36">
        <v>7783.3500979999999</v>
      </c>
      <c r="C1232" s="36">
        <f t="shared" si="72"/>
        <v>8117.165087899999</v>
      </c>
      <c r="D1232" s="36">
        <f t="shared" si="73"/>
        <v>140.01235035698909</v>
      </c>
      <c r="E1232" s="40">
        <v>7783.3500979999999</v>
      </c>
      <c r="F1232" s="36">
        <f t="shared" si="74"/>
        <v>8397.1897886139777</v>
      </c>
      <c r="G1232" s="36">
        <f t="shared" si="75"/>
        <v>7837.1403871860211</v>
      </c>
      <c r="I1232" s="40">
        <v>7783.3500979999999</v>
      </c>
      <c r="J1232" s="36">
        <v>8397.1897886139777</v>
      </c>
      <c r="K1232" s="36">
        <v>7837.1403871860211</v>
      </c>
    </row>
    <row r="1233" spans="1:11" x14ac:dyDescent="0.25">
      <c r="A1233" s="39">
        <v>42321</v>
      </c>
      <c r="B1233" s="36">
        <v>7762.25</v>
      </c>
      <c r="C1233" s="36">
        <f t="shared" si="72"/>
        <v>8098.6925781500004</v>
      </c>
      <c r="D1233" s="36">
        <f t="shared" si="73"/>
        <v>160.8193633190678</v>
      </c>
      <c r="E1233" s="40">
        <v>7762.25</v>
      </c>
      <c r="F1233" s="36">
        <f t="shared" si="74"/>
        <v>8420.3313047881365</v>
      </c>
      <c r="G1233" s="36">
        <f t="shared" si="75"/>
        <v>7777.0538515118651</v>
      </c>
      <c r="I1233" s="40">
        <v>7762.25</v>
      </c>
      <c r="J1233" s="36">
        <v>8420.3313047881365</v>
      </c>
      <c r="K1233" s="36">
        <v>7777.0538515118651</v>
      </c>
    </row>
    <row r="1234" spans="1:11" x14ac:dyDescent="0.25">
      <c r="A1234" s="39">
        <v>42324</v>
      </c>
      <c r="B1234" s="36">
        <v>7806.6000979999999</v>
      </c>
      <c r="C1234" s="36">
        <f t="shared" si="72"/>
        <v>8083.6275879499999</v>
      </c>
      <c r="D1234" s="36">
        <f t="shared" si="73"/>
        <v>173.52212786267705</v>
      </c>
      <c r="E1234" s="40">
        <v>7806.6000979999999</v>
      </c>
      <c r="F1234" s="36">
        <f t="shared" si="74"/>
        <v>8430.6718436753545</v>
      </c>
      <c r="G1234" s="36">
        <f t="shared" si="75"/>
        <v>7736.5833322246453</v>
      </c>
      <c r="I1234" s="40">
        <v>7806.6000979999999</v>
      </c>
      <c r="J1234" s="36">
        <v>8430.6718436753545</v>
      </c>
      <c r="K1234" s="36">
        <v>7736.5833322246453</v>
      </c>
    </row>
    <row r="1235" spans="1:11" x14ac:dyDescent="0.25">
      <c r="A1235" s="39">
        <v>42325</v>
      </c>
      <c r="B1235" s="36">
        <v>7837.5498049999997</v>
      </c>
      <c r="C1235" s="36">
        <f t="shared" si="72"/>
        <v>8066.5300781999995</v>
      </c>
      <c r="D1235" s="36">
        <f t="shared" si="73"/>
        <v>180.2928768447415</v>
      </c>
      <c r="E1235" s="40">
        <v>7837.5498049999997</v>
      </c>
      <c r="F1235" s="36">
        <f t="shared" si="74"/>
        <v>8427.1158318894832</v>
      </c>
      <c r="G1235" s="36">
        <f t="shared" si="75"/>
        <v>7705.9443245105167</v>
      </c>
      <c r="I1235" s="40">
        <v>7837.5498049999997</v>
      </c>
      <c r="J1235" s="36">
        <v>8427.1158318894832</v>
      </c>
      <c r="K1235" s="36">
        <v>7705.9443245105167</v>
      </c>
    </row>
    <row r="1236" spans="1:11" x14ac:dyDescent="0.25">
      <c r="A1236" s="39">
        <v>42326</v>
      </c>
      <c r="B1236" s="36">
        <v>7731.7998049999997</v>
      </c>
      <c r="C1236" s="36">
        <f t="shared" si="72"/>
        <v>8041.2125488999982</v>
      </c>
      <c r="D1236" s="36">
        <f t="shared" si="73"/>
        <v>190.2043479512937</v>
      </c>
      <c r="E1236" s="40">
        <v>7731.7998049999997</v>
      </c>
      <c r="F1236" s="36">
        <f t="shared" si="74"/>
        <v>8421.6212448025854</v>
      </c>
      <c r="G1236" s="36">
        <f t="shared" si="75"/>
        <v>7660.803852997411</v>
      </c>
      <c r="I1236" s="40">
        <v>7731.7998049999997</v>
      </c>
      <c r="J1236" s="36">
        <v>8421.6212448025854</v>
      </c>
      <c r="K1236" s="36">
        <v>7660.803852997411</v>
      </c>
    </row>
    <row r="1237" spans="1:11" x14ac:dyDescent="0.25">
      <c r="A1237" s="39">
        <v>42327</v>
      </c>
      <c r="B1237" s="36">
        <v>7842.75</v>
      </c>
      <c r="C1237" s="36">
        <f t="shared" si="72"/>
        <v>8019.597558649999</v>
      </c>
      <c r="D1237" s="36">
        <f t="shared" si="73"/>
        <v>186.76463523535585</v>
      </c>
      <c r="E1237" s="40">
        <v>7842.75</v>
      </c>
      <c r="F1237" s="36">
        <f t="shared" si="74"/>
        <v>8393.1268291207107</v>
      </c>
      <c r="G1237" s="36">
        <f t="shared" si="75"/>
        <v>7646.0682881792873</v>
      </c>
      <c r="I1237" s="40">
        <v>7842.75</v>
      </c>
      <c r="J1237" s="36">
        <v>8393.1268291207107</v>
      </c>
      <c r="K1237" s="36">
        <v>7646.0682881792873</v>
      </c>
    </row>
    <row r="1238" spans="1:11" x14ac:dyDescent="0.25">
      <c r="A1238" s="39">
        <v>42328</v>
      </c>
      <c r="B1238" s="36">
        <v>7856.5498049999997</v>
      </c>
      <c r="C1238" s="36">
        <f t="shared" ref="C1238:C1301" si="76">AVERAGE(B1219:B1238)</f>
        <v>7999.3425293499986</v>
      </c>
      <c r="D1238" s="36">
        <f t="shared" ref="D1238:D1301" si="77">_xlfn.STDEV.S(B1219:B1238)</f>
        <v>181.01020945328094</v>
      </c>
      <c r="E1238" s="40">
        <v>7856.5498049999997</v>
      </c>
      <c r="F1238" s="36">
        <f t="shared" ref="F1238:F1301" si="78">C1238+2*D1238</f>
        <v>8361.3629482565611</v>
      </c>
      <c r="G1238" s="36">
        <f t="shared" ref="G1238:G1301" si="79">C1238-2*D1238</f>
        <v>7637.3221104434369</v>
      </c>
      <c r="I1238" s="40">
        <v>7856.5498049999997</v>
      </c>
      <c r="J1238" s="36">
        <v>8361.3629482565611</v>
      </c>
      <c r="K1238" s="36">
        <v>7637.3221104434369</v>
      </c>
    </row>
    <row r="1239" spans="1:11" x14ac:dyDescent="0.25">
      <c r="A1239" s="39">
        <v>42331</v>
      </c>
      <c r="B1239" s="36">
        <v>7849.25</v>
      </c>
      <c r="C1239" s="36">
        <f t="shared" si="76"/>
        <v>7979.2200195999994</v>
      </c>
      <c r="D1239" s="36">
        <f t="shared" si="77"/>
        <v>173.70184536511479</v>
      </c>
      <c r="E1239" s="40">
        <v>7849.25</v>
      </c>
      <c r="F1239" s="36">
        <f t="shared" si="78"/>
        <v>8326.6237103302283</v>
      </c>
      <c r="G1239" s="36">
        <f t="shared" si="79"/>
        <v>7631.8163288697697</v>
      </c>
      <c r="I1239" s="40">
        <v>7849.25</v>
      </c>
      <c r="J1239" s="36">
        <v>8326.6237103302283</v>
      </c>
      <c r="K1239" s="36">
        <v>7631.8163288697697</v>
      </c>
    </row>
    <row r="1240" spans="1:11" x14ac:dyDescent="0.25">
      <c r="A1240" s="39">
        <v>42332</v>
      </c>
      <c r="B1240" s="36">
        <v>7831.6000979999999</v>
      </c>
      <c r="C1240" s="36">
        <f t="shared" si="76"/>
        <v>7956.0275147499979</v>
      </c>
      <c r="D1240" s="36">
        <f t="shared" si="77"/>
        <v>159.6553133236541</v>
      </c>
      <c r="E1240" s="40">
        <v>7831.6000979999999</v>
      </c>
      <c r="F1240" s="36">
        <f t="shared" si="78"/>
        <v>8275.3381413973057</v>
      </c>
      <c r="G1240" s="36">
        <f t="shared" si="79"/>
        <v>7636.7168881026901</v>
      </c>
      <c r="I1240" s="40">
        <v>7831.6000979999999</v>
      </c>
      <c r="J1240" s="36">
        <v>8275.3381413973057</v>
      </c>
      <c r="K1240" s="36">
        <v>7636.7168881026901</v>
      </c>
    </row>
    <row r="1241" spans="1:11" x14ac:dyDescent="0.25">
      <c r="A1241" s="39">
        <v>42334</v>
      </c>
      <c r="B1241" s="36">
        <v>7883.7998049999997</v>
      </c>
      <c r="C1241" s="36">
        <f t="shared" si="76"/>
        <v>7937.1900147499982</v>
      </c>
      <c r="D1241" s="36">
        <f t="shared" si="77"/>
        <v>143.21359665100783</v>
      </c>
      <c r="E1241" s="40">
        <v>7883.7998049999997</v>
      </c>
      <c r="F1241" s="36">
        <f t="shared" si="78"/>
        <v>8223.6172080520137</v>
      </c>
      <c r="G1241" s="36">
        <f t="shared" si="79"/>
        <v>7650.7628214479828</v>
      </c>
      <c r="I1241" s="40">
        <v>7883.7998049999997</v>
      </c>
      <c r="J1241" s="36">
        <v>8223.6172080520137</v>
      </c>
      <c r="K1241" s="36">
        <v>7650.7628214479828</v>
      </c>
    </row>
    <row r="1242" spans="1:11" x14ac:dyDescent="0.25">
      <c r="A1242" s="39">
        <v>42335</v>
      </c>
      <c r="B1242" s="36">
        <v>7942.7001950000003</v>
      </c>
      <c r="C1242" s="36">
        <f t="shared" si="76"/>
        <v>7922.6800049499998</v>
      </c>
      <c r="D1242" s="36">
        <f t="shared" si="77"/>
        <v>125.25079657802857</v>
      </c>
      <c r="E1242" s="40">
        <v>7942.7001950000003</v>
      </c>
      <c r="F1242" s="36">
        <f t="shared" si="78"/>
        <v>8173.1815981060572</v>
      </c>
      <c r="G1242" s="36">
        <f t="shared" si="79"/>
        <v>7672.1784117939424</v>
      </c>
      <c r="I1242" s="40">
        <v>7942.7001950000003</v>
      </c>
      <c r="J1242" s="36">
        <v>8173.1815981060572</v>
      </c>
      <c r="K1242" s="36">
        <v>7672.1784117939424</v>
      </c>
    </row>
    <row r="1243" spans="1:11" x14ac:dyDescent="0.25">
      <c r="A1243" s="39">
        <v>42338</v>
      </c>
      <c r="B1243" s="36">
        <v>7935.25</v>
      </c>
      <c r="C1243" s="36">
        <f t="shared" si="76"/>
        <v>7910.8824951999995</v>
      </c>
      <c r="D1243" s="36">
        <f t="shared" si="77"/>
        <v>110.90051824951874</v>
      </c>
      <c r="E1243" s="40">
        <v>7935.25</v>
      </c>
      <c r="F1243" s="36">
        <f t="shared" si="78"/>
        <v>8132.6835316990373</v>
      </c>
      <c r="G1243" s="36">
        <f t="shared" si="79"/>
        <v>7689.0814587009618</v>
      </c>
      <c r="I1243" s="40">
        <v>7935.25</v>
      </c>
      <c r="J1243" s="36">
        <v>8132.6835316990373</v>
      </c>
      <c r="K1243" s="36">
        <v>7689.0814587009618</v>
      </c>
    </row>
    <row r="1244" spans="1:11" x14ac:dyDescent="0.25">
      <c r="A1244" s="39">
        <v>42339</v>
      </c>
      <c r="B1244" s="36">
        <v>7954.8999020000001</v>
      </c>
      <c r="C1244" s="36">
        <f t="shared" si="76"/>
        <v>7903.0399903000016</v>
      </c>
      <c r="D1244" s="36">
        <f t="shared" si="77"/>
        <v>101.05737139886462</v>
      </c>
      <c r="E1244" s="40">
        <v>7954.8999020000001</v>
      </c>
      <c r="F1244" s="36">
        <f t="shared" si="78"/>
        <v>8105.154733097731</v>
      </c>
      <c r="G1244" s="36">
        <f t="shared" si="79"/>
        <v>7700.9252475022722</v>
      </c>
      <c r="I1244" s="40">
        <v>7954.8999020000001</v>
      </c>
      <c r="J1244" s="36">
        <v>8105.154733097731</v>
      </c>
      <c r="K1244" s="36">
        <v>7700.9252475022722</v>
      </c>
    </row>
    <row r="1245" spans="1:11" x14ac:dyDescent="0.25">
      <c r="A1245" s="39">
        <v>42340</v>
      </c>
      <c r="B1245" s="36">
        <v>7931.3500979999999</v>
      </c>
      <c r="C1245" s="36">
        <f t="shared" si="76"/>
        <v>7896.3175049500005</v>
      </c>
      <c r="D1245" s="36">
        <f t="shared" si="77"/>
        <v>93.877333932189714</v>
      </c>
      <c r="E1245" s="40">
        <v>7931.3500979999999</v>
      </c>
      <c r="F1245" s="36">
        <f t="shared" si="78"/>
        <v>8084.0721728143799</v>
      </c>
      <c r="G1245" s="36">
        <f t="shared" si="79"/>
        <v>7708.5628370856211</v>
      </c>
      <c r="I1245" s="40">
        <v>7931.3500979999999</v>
      </c>
      <c r="J1245" s="36">
        <v>8084.0721728143799</v>
      </c>
      <c r="K1245" s="36">
        <v>7708.5628370856211</v>
      </c>
    </row>
    <row r="1246" spans="1:11" x14ac:dyDescent="0.25">
      <c r="A1246" s="39">
        <v>42341</v>
      </c>
      <c r="B1246" s="36">
        <v>7864.1499020000001</v>
      </c>
      <c r="C1246" s="36">
        <f t="shared" si="76"/>
        <v>7886.9850098000006</v>
      </c>
      <c r="D1246" s="36">
        <f t="shared" si="77"/>
        <v>86.716169509745825</v>
      </c>
      <c r="E1246" s="40">
        <v>7864.1499020000001</v>
      </c>
      <c r="F1246" s="36">
        <f t="shared" si="78"/>
        <v>8060.417348819492</v>
      </c>
      <c r="G1246" s="36">
        <f t="shared" si="79"/>
        <v>7713.5526707805093</v>
      </c>
      <c r="I1246" s="40">
        <v>7864.1499020000001</v>
      </c>
      <c r="J1246" s="36">
        <v>8060.417348819492</v>
      </c>
      <c r="K1246" s="36">
        <v>7713.5526707805093</v>
      </c>
    </row>
    <row r="1247" spans="1:11" x14ac:dyDescent="0.25">
      <c r="A1247" s="39">
        <v>42342</v>
      </c>
      <c r="B1247" s="36">
        <v>7781.8999020000001</v>
      </c>
      <c r="C1247" s="36">
        <f t="shared" si="76"/>
        <v>7873.0449951500004</v>
      </c>
      <c r="D1247" s="36">
        <f t="shared" si="77"/>
        <v>79.423455761817863</v>
      </c>
      <c r="E1247" s="40">
        <v>7781.8999020000001</v>
      </c>
      <c r="F1247" s="36">
        <f t="shared" si="78"/>
        <v>8031.8919066736362</v>
      </c>
      <c r="G1247" s="36">
        <f t="shared" si="79"/>
        <v>7714.1980836263647</v>
      </c>
      <c r="I1247" s="40">
        <v>7781.8999020000001</v>
      </c>
      <c r="J1247" s="36">
        <v>8031.8919066736362</v>
      </c>
      <c r="K1247" s="36">
        <v>7714.1980836263647</v>
      </c>
    </row>
    <row r="1248" spans="1:11" x14ac:dyDescent="0.25">
      <c r="A1248" s="39">
        <v>42345</v>
      </c>
      <c r="B1248" s="36">
        <v>7765.3999020000001</v>
      </c>
      <c r="C1248" s="36">
        <f t="shared" si="76"/>
        <v>7859.3049805000019</v>
      </c>
      <c r="D1248" s="36">
        <f t="shared" si="77"/>
        <v>72.447609516544915</v>
      </c>
      <c r="E1248" s="40">
        <v>7765.3999020000001</v>
      </c>
      <c r="F1248" s="36">
        <f t="shared" si="78"/>
        <v>8004.200199533092</v>
      </c>
      <c r="G1248" s="36">
        <f t="shared" si="79"/>
        <v>7714.4097614669117</v>
      </c>
      <c r="I1248" s="40">
        <v>7765.3999020000001</v>
      </c>
      <c r="J1248" s="36">
        <v>8004.200199533092</v>
      </c>
      <c r="K1248" s="36">
        <v>7714.4097614669117</v>
      </c>
    </row>
    <row r="1249" spans="1:11" x14ac:dyDescent="0.25">
      <c r="A1249" s="39">
        <v>42346</v>
      </c>
      <c r="B1249" s="36">
        <v>7701.7001950000003</v>
      </c>
      <c r="C1249" s="36">
        <f t="shared" si="76"/>
        <v>7846.6174805000001</v>
      </c>
      <c r="D1249" s="36">
        <f t="shared" si="77"/>
        <v>76.81158745672613</v>
      </c>
      <c r="E1249" s="40">
        <v>7701.7001950000003</v>
      </c>
      <c r="F1249" s="36">
        <f t="shared" si="78"/>
        <v>8000.2406554134523</v>
      </c>
      <c r="G1249" s="36">
        <f t="shared" si="79"/>
        <v>7692.9943055865479</v>
      </c>
      <c r="I1249" s="40">
        <v>7701.7001950000003</v>
      </c>
      <c r="J1249" s="36">
        <v>8000.2406554134523</v>
      </c>
      <c r="K1249" s="36">
        <v>7692.9943055865479</v>
      </c>
    </row>
    <row r="1250" spans="1:11" x14ac:dyDescent="0.25">
      <c r="A1250" s="39">
        <v>42347</v>
      </c>
      <c r="B1250" s="36">
        <v>7612.5</v>
      </c>
      <c r="C1250" s="36">
        <f t="shared" si="76"/>
        <v>7829.5274902500005</v>
      </c>
      <c r="D1250" s="36">
        <f t="shared" si="77"/>
        <v>88.696566039226397</v>
      </c>
      <c r="E1250" s="40">
        <v>7612.5</v>
      </c>
      <c r="F1250" s="36">
        <f t="shared" si="78"/>
        <v>8006.9206223284536</v>
      </c>
      <c r="G1250" s="36">
        <f t="shared" si="79"/>
        <v>7652.1343581715473</v>
      </c>
      <c r="I1250" s="40">
        <v>7612.5</v>
      </c>
      <c r="J1250" s="36">
        <v>8006.9206223284536</v>
      </c>
      <c r="K1250" s="36">
        <v>7652.1343581715473</v>
      </c>
    </row>
    <row r="1251" spans="1:11" x14ac:dyDescent="0.25">
      <c r="A1251" s="39">
        <v>42348</v>
      </c>
      <c r="B1251" s="36">
        <v>7683.2998049999997</v>
      </c>
      <c r="C1251" s="36">
        <f t="shared" si="76"/>
        <v>7817.93247075</v>
      </c>
      <c r="D1251" s="36">
        <f t="shared" si="77"/>
        <v>92.003538194591911</v>
      </c>
      <c r="E1251" s="40">
        <v>7683.2998049999997</v>
      </c>
      <c r="F1251" s="36">
        <f t="shared" si="78"/>
        <v>8001.9395471391836</v>
      </c>
      <c r="G1251" s="36">
        <f t="shared" si="79"/>
        <v>7633.9253943608164</v>
      </c>
      <c r="I1251" s="40">
        <v>7683.2998049999997</v>
      </c>
      <c r="J1251" s="36">
        <v>8001.9395471391836</v>
      </c>
      <c r="K1251" s="36">
        <v>7633.9253943608164</v>
      </c>
    </row>
    <row r="1252" spans="1:11" x14ac:dyDescent="0.25">
      <c r="A1252" s="39">
        <v>42349</v>
      </c>
      <c r="B1252" s="36">
        <v>7610.4501950000003</v>
      </c>
      <c r="C1252" s="36">
        <f t="shared" si="76"/>
        <v>7809.2874756000001</v>
      </c>
      <c r="D1252" s="36">
        <f t="shared" si="77"/>
        <v>102.90174291108957</v>
      </c>
      <c r="E1252" s="40">
        <v>7610.4501950000003</v>
      </c>
      <c r="F1252" s="36">
        <f t="shared" si="78"/>
        <v>8015.0909614221791</v>
      </c>
      <c r="G1252" s="36">
        <f t="shared" si="79"/>
        <v>7603.4839897778211</v>
      </c>
      <c r="I1252" s="40">
        <v>7610.4501950000003</v>
      </c>
      <c r="J1252" s="36">
        <v>8015.0909614221791</v>
      </c>
      <c r="K1252" s="36">
        <v>7603.4839897778211</v>
      </c>
    </row>
    <row r="1253" spans="1:11" x14ac:dyDescent="0.25">
      <c r="A1253" s="39">
        <v>42352</v>
      </c>
      <c r="B1253" s="36">
        <v>7650.0498049999997</v>
      </c>
      <c r="C1253" s="36">
        <f t="shared" si="76"/>
        <v>7803.6774658499999</v>
      </c>
      <c r="D1253" s="36">
        <f t="shared" si="77"/>
        <v>108.50691771011681</v>
      </c>
      <c r="E1253" s="40">
        <v>7650.0498049999997</v>
      </c>
      <c r="F1253" s="36">
        <f t="shared" si="78"/>
        <v>8020.6913012702335</v>
      </c>
      <c r="G1253" s="36">
        <f t="shared" si="79"/>
        <v>7586.6636304297663</v>
      </c>
      <c r="I1253" s="40">
        <v>7650.0498049999997</v>
      </c>
      <c r="J1253" s="36">
        <v>8020.6913012702335</v>
      </c>
      <c r="K1253" s="36">
        <v>7586.6636304297663</v>
      </c>
    </row>
    <row r="1254" spans="1:11" x14ac:dyDescent="0.25">
      <c r="A1254" s="39">
        <v>42353</v>
      </c>
      <c r="B1254" s="36">
        <v>7700.8999020000001</v>
      </c>
      <c r="C1254" s="36">
        <f t="shared" si="76"/>
        <v>7798.39245605</v>
      </c>
      <c r="D1254" s="36">
        <f t="shared" si="77"/>
        <v>110.90473197360019</v>
      </c>
      <c r="E1254" s="40">
        <v>7700.8999020000001</v>
      </c>
      <c r="F1254" s="36">
        <f t="shared" si="78"/>
        <v>8020.2019199972001</v>
      </c>
      <c r="G1254" s="36">
        <f t="shared" si="79"/>
        <v>7576.5829921027998</v>
      </c>
      <c r="I1254" s="40">
        <v>7700.8999020000001</v>
      </c>
      <c r="J1254" s="36">
        <v>8020.2019199972001</v>
      </c>
      <c r="K1254" s="36">
        <v>7576.5829921027998</v>
      </c>
    </row>
    <row r="1255" spans="1:11" x14ac:dyDescent="0.25">
      <c r="A1255" s="39">
        <v>42354</v>
      </c>
      <c r="B1255" s="36">
        <v>7750.8999020000001</v>
      </c>
      <c r="C1255" s="36">
        <f t="shared" si="76"/>
        <v>7794.059960900001</v>
      </c>
      <c r="D1255" s="36">
        <f t="shared" si="77"/>
        <v>110.98699931867091</v>
      </c>
      <c r="E1255" s="40">
        <v>7750.8999020000001</v>
      </c>
      <c r="F1255" s="36">
        <f t="shared" si="78"/>
        <v>8016.0339595373425</v>
      </c>
      <c r="G1255" s="36">
        <f t="shared" si="79"/>
        <v>7572.0859622626595</v>
      </c>
      <c r="I1255" s="40">
        <v>7750.8999020000001</v>
      </c>
      <c r="J1255" s="36">
        <v>8016.0339595373425</v>
      </c>
      <c r="K1255" s="36">
        <v>7572.0859622626595</v>
      </c>
    </row>
    <row r="1256" spans="1:11" x14ac:dyDescent="0.25">
      <c r="A1256" s="39">
        <v>42355</v>
      </c>
      <c r="B1256" s="36">
        <v>7844.3500979999999</v>
      </c>
      <c r="C1256" s="36">
        <f t="shared" si="76"/>
        <v>7799.6874755500003</v>
      </c>
      <c r="D1256" s="36">
        <f t="shared" si="77"/>
        <v>110.51638573237993</v>
      </c>
      <c r="E1256" s="40">
        <v>7844.3500979999999</v>
      </c>
      <c r="F1256" s="36">
        <f t="shared" si="78"/>
        <v>8020.7202470147604</v>
      </c>
      <c r="G1256" s="36">
        <f t="shared" si="79"/>
        <v>7578.6547040852402</v>
      </c>
      <c r="I1256" s="40">
        <v>7844.3500979999999</v>
      </c>
      <c r="J1256" s="36">
        <v>8020.7202470147604</v>
      </c>
      <c r="K1256" s="36">
        <v>7578.6547040852402</v>
      </c>
    </row>
    <row r="1257" spans="1:11" x14ac:dyDescent="0.25">
      <c r="A1257" s="39">
        <v>42356</v>
      </c>
      <c r="B1257" s="36">
        <v>7761.9501950000003</v>
      </c>
      <c r="C1257" s="36">
        <f t="shared" si="76"/>
        <v>7795.6474853000009</v>
      </c>
      <c r="D1257" s="36">
        <f t="shared" si="77"/>
        <v>110.33605358618978</v>
      </c>
      <c r="E1257" s="40">
        <v>7761.9501950000003</v>
      </c>
      <c r="F1257" s="36">
        <f t="shared" si="78"/>
        <v>8016.3195924723805</v>
      </c>
      <c r="G1257" s="36">
        <f t="shared" si="79"/>
        <v>7574.9753781276213</v>
      </c>
      <c r="I1257" s="40">
        <v>7761.9501950000003</v>
      </c>
      <c r="J1257" s="36">
        <v>8016.3195924723805</v>
      </c>
      <c r="K1257" s="36">
        <v>7574.9753781276213</v>
      </c>
    </row>
    <row r="1258" spans="1:11" x14ac:dyDescent="0.25">
      <c r="A1258" s="39">
        <v>42359</v>
      </c>
      <c r="B1258" s="36">
        <v>7834.4501950000003</v>
      </c>
      <c r="C1258" s="36">
        <f t="shared" si="76"/>
        <v>7794.5425048000006</v>
      </c>
      <c r="D1258" s="36">
        <f t="shared" si="77"/>
        <v>109.80340992587141</v>
      </c>
      <c r="E1258" s="40">
        <v>7834.4501950000003</v>
      </c>
      <c r="F1258" s="36">
        <f t="shared" si="78"/>
        <v>8014.1493246517439</v>
      </c>
      <c r="G1258" s="36">
        <f t="shared" si="79"/>
        <v>7574.9356849482574</v>
      </c>
      <c r="I1258" s="40">
        <v>7834.4501950000003</v>
      </c>
      <c r="J1258" s="36">
        <v>8014.1493246517439</v>
      </c>
      <c r="K1258" s="36">
        <v>7574.9356849482574</v>
      </c>
    </row>
    <row r="1259" spans="1:11" x14ac:dyDescent="0.25">
      <c r="A1259" s="39">
        <v>42360</v>
      </c>
      <c r="B1259" s="36">
        <v>7786.1000979999999</v>
      </c>
      <c r="C1259" s="36">
        <f t="shared" si="76"/>
        <v>7791.3850097000013</v>
      </c>
      <c r="D1259" s="36">
        <f t="shared" si="77"/>
        <v>109.05284969152834</v>
      </c>
      <c r="E1259" s="40">
        <v>7786.1000979999999</v>
      </c>
      <c r="F1259" s="36">
        <f t="shared" si="78"/>
        <v>8009.4907090830584</v>
      </c>
      <c r="G1259" s="36">
        <f t="shared" si="79"/>
        <v>7573.2793103169442</v>
      </c>
      <c r="I1259" s="40">
        <v>7786.1000979999999</v>
      </c>
      <c r="J1259" s="36">
        <v>8009.4907090830584</v>
      </c>
      <c r="K1259" s="36">
        <v>7573.2793103169442</v>
      </c>
    </row>
    <row r="1260" spans="1:11" x14ac:dyDescent="0.25">
      <c r="A1260" s="39">
        <v>42361</v>
      </c>
      <c r="B1260" s="36">
        <v>7865.9501950000003</v>
      </c>
      <c r="C1260" s="36">
        <f t="shared" si="76"/>
        <v>7793.1025145500007</v>
      </c>
      <c r="D1260" s="36">
        <f t="shared" si="77"/>
        <v>109.98604542219972</v>
      </c>
      <c r="E1260" s="40">
        <v>7865.9501950000003</v>
      </c>
      <c r="F1260" s="36">
        <f t="shared" si="78"/>
        <v>8013.0746053944004</v>
      </c>
      <c r="G1260" s="36">
        <f t="shared" si="79"/>
        <v>7573.1304237056011</v>
      </c>
      <c r="I1260" s="40">
        <v>7865.9501950000003</v>
      </c>
      <c r="J1260" s="36">
        <v>8013.0746053944004</v>
      </c>
      <c r="K1260" s="36">
        <v>7573.1304237056011</v>
      </c>
    </row>
    <row r="1261" spans="1:11" x14ac:dyDescent="0.25">
      <c r="A1261" s="39">
        <v>42362</v>
      </c>
      <c r="B1261" s="36">
        <v>7861.0498049999997</v>
      </c>
      <c r="C1261" s="36">
        <f t="shared" si="76"/>
        <v>7791.96501455</v>
      </c>
      <c r="D1261" s="36">
        <f t="shared" si="77"/>
        <v>109.11284145184034</v>
      </c>
      <c r="E1261" s="40">
        <v>7861.0498049999997</v>
      </c>
      <c r="F1261" s="36">
        <f t="shared" si="78"/>
        <v>8010.1906974536805</v>
      </c>
      <c r="G1261" s="36">
        <f t="shared" si="79"/>
        <v>7573.7393316463194</v>
      </c>
      <c r="I1261" s="40">
        <v>7861.0498049999997</v>
      </c>
      <c r="J1261" s="36">
        <v>8010.1906974536805</v>
      </c>
      <c r="K1261" s="36">
        <v>7573.7393316463194</v>
      </c>
    </row>
    <row r="1262" spans="1:11" x14ac:dyDescent="0.25">
      <c r="A1262" s="39">
        <v>42366</v>
      </c>
      <c r="B1262" s="36">
        <v>7925.1499020000001</v>
      </c>
      <c r="C1262" s="36">
        <f t="shared" si="76"/>
        <v>7791.0874999000007</v>
      </c>
      <c r="D1262" s="36">
        <f t="shared" si="77"/>
        <v>107.90062440791728</v>
      </c>
      <c r="E1262" s="40">
        <v>7925.1499020000001</v>
      </c>
      <c r="F1262" s="36">
        <f t="shared" si="78"/>
        <v>8006.8887487158354</v>
      </c>
      <c r="G1262" s="36">
        <f t="shared" si="79"/>
        <v>7575.286251084166</v>
      </c>
      <c r="I1262" s="40">
        <v>7925.1499020000001</v>
      </c>
      <c r="J1262" s="36">
        <v>8006.8887487158354</v>
      </c>
      <c r="K1262" s="36">
        <v>7575.286251084166</v>
      </c>
    </row>
    <row r="1263" spans="1:11" x14ac:dyDescent="0.25">
      <c r="A1263" s="39">
        <v>42367</v>
      </c>
      <c r="B1263" s="36">
        <v>7928.9501950000003</v>
      </c>
      <c r="C1263" s="36">
        <f t="shared" si="76"/>
        <v>7790.7725096499998</v>
      </c>
      <c r="D1263" s="36">
        <f t="shared" si="77"/>
        <v>107.46594615890668</v>
      </c>
      <c r="E1263" s="40">
        <v>7928.9501950000003</v>
      </c>
      <c r="F1263" s="36">
        <f t="shared" si="78"/>
        <v>8005.7044019678133</v>
      </c>
      <c r="G1263" s="36">
        <f t="shared" si="79"/>
        <v>7575.8406173321864</v>
      </c>
      <c r="I1263" s="40">
        <v>7928.9501950000003</v>
      </c>
      <c r="J1263" s="36">
        <v>8005.7044019678133</v>
      </c>
      <c r="K1263" s="36">
        <v>7575.8406173321864</v>
      </c>
    </row>
    <row r="1264" spans="1:11" x14ac:dyDescent="0.25">
      <c r="A1264" s="39">
        <v>42368</v>
      </c>
      <c r="B1264" s="36">
        <v>7896.25</v>
      </c>
      <c r="C1264" s="36">
        <f t="shared" si="76"/>
        <v>7787.84001455</v>
      </c>
      <c r="D1264" s="36">
        <f t="shared" si="77"/>
        <v>103.47778088313007</v>
      </c>
      <c r="E1264" s="40">
        <v>7896.25</v>
      </c>
      <c r="F1264" s="36">
        <f t="shared" si="78"/>
        <v>7994.7955763162599</v>
      </c>
      <c r="G1264" s="36">
        <f t="shared" si="79"/>
        <v>7580.88445278374</v>
      </c>
      <c r="I1264" s="40">
        <v>7896.25</v>
      </c>
      <c r="J1264" s="36">
        <v>7994.7955763162599</v>
      </c>
      <c r="K1264" s="36">
        <v>7580.88445278374</v>
      </c>
    </row>
    <row r="1265" spans="1:11" x14ac:dyDescent="0.25">
      <c r="A1265" s="39">
        <v>42369</v>
      </c>
      <c r="B1265" s="36">
        <v>7946.3500979999999</v>
      </c>
      <c r="C1265" s="36">
        <f t="shared" si="76"/>
        <v>7788.59001455</v>
      </c>
      <c r="D1265" s="36">
        <f t="shared" si="77"/>
        <v>104.62072454873528</v>
      </c>
      <c r="E1265" s="40">
        <v>7946.3500979999999</v>
      </c>
      <c r="F1265" s="36">
        <f t="shared" si="78"/>
        <v>7997.8314636474706</v>
      </c>
      <c r="G1265" s="36">
        <f t="shared" si="79"/>
        <v>7579.3485654525293</v>
      </c>
      <c r="I1265" s="40">
        <v>7946.3500979999999</v>
      </c>
      <c r="J1265" s="36">
        <v>7997.8314636474706</v>
      </c>
      <c r="K1265" s="36">
        <v>7579.3485654525293</v>
      </c>
    </row>
    <row r="1266" spans="1:11" x14ac:dyDescent="0.25">
      <c r="A1266" s="39">
        <v>42373</v>
      </c>
      <c r="B1266" s="36">
        <v>7791.2998049999997</v>
      </c>
      <c r="C1266" s="36">
        <f t="shared" si="76"/>
        <v>7784.9475096999986</v>
      </c>
      <c r="D1266" s="36">
        <f t="shared" si="77"/>
        <v>103.1088116195</v>
      </c>
      <c r="E1266" s="40">
        <v>7791.2998049999997</v>
      </c>
      <c r="F1266" s="36">
        <f t="shared" si="78"/>
        <v>7991.1651329389988</v>
      </c>
      <c r="G1266" s="36">
        <f t="shared" si="79"/>
        <v>7578.7298864609984</v>
      </c>
      <c r="I1266" s="40">
        <v>7791.2998049999997</v>
      </c>
      <c r="J1266" s="36">
        <v>7991.1651329389988</v>
      </c>
      <c r="K1266" s="36">
        <v>7578.7298864609984</v>
      </c>
    </row>
    <row r="1267" spans="1:11" x14ac:dyDescent="0.25">
      <c r="A1267" s="39">
        <v>42374</v>
      </c>
      <c r="B1267" s="36">
        <v>7784.6499020000001</v>
      </c>
      <c r="C1267" s="36">
        <f t="shared" si="76"/>
        <v>7785.0850096999984</v>
      </c>
      <c r="D1267" s="36">
        <f t="shared" si="77"/>
        <v>103.10636719600099</v>
      </c>
      <c r="E1267" s="40">
        <v>7784.6499020000001</v>
      </c>
      <c r="F1267" s="36">
        <f t="shared" si="78"/>
        <v>7991.2977440920004</v>
      </c>
      <c r="G1267" s="36">
        <f t="shared" si="79"/>
        <v>7578.8722753079965</v>
      </c>
      <c r="I1267" s="40">
        <v>7784.6499020000001</v>
      </c>
      <c r="J1267" s="36">
        <v>7991.2977440920004</v>
      </c>
      <c r="K1267" s="36">
        <v>7578.8722753079965</v>
      </c>
    </row>
    <row r="1268" spans="1:11" x14ac:dyDescent="0.25">
      <c r="A1268" s="39">
        <v>42375</v>
      </c>
      <c r="B1268" s="36">
        <v>7741</v>
      </c>
      <c r="C1268" s="36">
        <f t="shared" si="76"/>
        <v>7783.8650146</v>
      </c>
      <c r="D1268" s="36">
        <f t="shared" si="77"/>
        <v>103.49516973854213</v>
      </c>
      <c r="E1268" s="40">
        <v>7741</v>
      </c>
      <c r="F1268" s="36">
        <f t="shared" si="78"/>
        <v>7990.8553540770845</v>
      </c>
      <c r="G1268" s="36">
        <f t="shared" si="79"/>
        <v>7576.8746751229155</v>
      </c>
      <c r="I1268" s="40">
        <v>7741</v>
      </c>
      <c r="J1268" s="36">
        <v>7990.8553540770845</v>
      </c>
      <c r="K1268" s="36">
        <v>7576.8746751229155</v>
      </c>
    </row>
    <row r="1269" spans="1:11" x14ac:dyDescent="0.25">
      <c r="A1269" s="39">
        <v>42376</v>
      </c>
      <c r="B1269" s="36">
        <v>7568.2998049999997</v>
      </c>
      <c r="C1269" s="36">
        <f t="shared" si="76"/>
        <v>7777.1949950999988</v>
      </c>
      <c r="D1269" s="36">
        <f t="shared" si="77"/>
        <v>112.93716740139584</v>
      </c>
      <c r="E1269" s="40">
        <v>7568.2998049999997</v>
      </c>
      <c r="F1269" s="36">
        <f t="shared" si="78"/>
        <v>8003.0693299027907</v>
      </c>
      <c r="G1269" s="36">
        <f t="shared" si="79"/>
        <v>7551.3206602972068</v>
      </c>
      <c r="I1269" s="40">
        <v>7568.2998049999997</v>
      </c>
      <c r="J1269" s="36">
        <v>8003.0693299027907</v>
      </c>
      <c r="K1269" s="36">
        <v>7551.3206602972068</v>
      </c>
    </row>
    <row r="1270" spans="1:11" x14ac:dyDescent="0.25">
      <c r="A1270" s="39">
        <v>42377</v>
      </c>
      <c r="B1270" s="36">
        <v>7601.3500979999999</v>
      </c>
      <c r="C1270" s="36">
        <f t="shared" si="76"/>
        <v>7776.6374999999989</v>
      </c>
      <c r="D1270" s="36">
        <f t="shared" si="77"/>
        <v>113.81703744485741</v>
      </c>
      <c r="E1270" s="40">
        <v>7601.3500979999999</v>
      </c>
      <c r="F1270" s="36">
        <f t="shared" si="78"/>
        <v>8004.2715748897135</v>
      </c>
      <c r="G1270" s="36">
        <f t="shared" si="79"/>
        <v>7549.0034251102843</v>
      </c>
      <c r="I1270" s="40">
        <v>7601.3500979999999</v>
      </c>
      <c r="J1270" s="36">
        <v>8004.2715748897135</v>
      </c>
      <c r="K1270" s="36">
        <v>7549.0034251102843</v>
      </c>
    </row>
    <row r="1271" spans="1:11" x14ac:dyDescent="0.25">
      <c r="A1271" s="39">
        <v>42380</v>
      </c>
      <c r="B1271" s="36">
        <v>7563.8500979999999</v>
      </c>
      <c r="C1271" s="36">
        <f t="shared" si="76"/>
        <v>7770.6650146499987</v>
      </c>
      <c r="D1271" s="36">
        <f t="shared" si="77"/>
        <v>121.8249788055831</v>
      </c>
      <c r="E1271" s="40">
        <v>7563.8500979999999</v>
      </c>
      <c r="F1271" s="36">
        <f t="shared" si="78"/>
        <v>8014.3149722611652</v>
      </c>
      <c r="G1271" s="36">
        <f t="shared" si="79"/>
        <v>7527.0150570388323</v>
      </c>
      <c r="I1271" s="40">
        <v>7563.8500979999999</v>
      </c>
      <c r="J1271" s="36">
        <v>8014.3149722611652</v>
      </c>
      <c r="K1271" s="36">
        <v>7527.0150570388323</v>
      </c>
    </row>
    <row r="1272" spans="1:11" x14ac:dyDescent="0.25">
      <c r="A1272" s="39">
        <v>42381</v>
      </c>
      <c r="B1272" s="36">
        <v>7510.2998049999997</v>
      </c>
      <c r="C1272" s="36">
        <f t="shared" si="76"/>
        <v>7765.6574951499988</v>
      </c>
      <c r="D1272" s="36">
        <f t="shared" si="77"/>
        <v>130.50608630461079</v>
      </c>
      <c r="E1272" s="40">
        <v>7510.2998049999997</v>
      </c>
      <c r="F1272" s="36">
        <f t="shared" si="78"/>
        <v>8026.6696677592208</v>
      </c>
      <c r="G1272" s="36">
        <f t="shared" si="79"/>
        <v>7504.6453225407768</v>
      </c>
      <c r="I1272" s="40">
        <v>7510.2998049999997</v>
      </c>
      <c r="J1272" s="36">
        <v>8026.6696677592208</v>
      </c>
      <c r="K1272" s="36">
        <v>7504.6453225407768</v>
      </c>
    </row>
    <row r="1273" spans="1:11" x14ac:dyDescent="0.25">
      <c r="A1273" s="39">
        <v>42382</v>
      </c>
      <c r="B1273" s="36">
        <v>7562.3999020000001</v>
      </c>
      <c r="C1273" s="36">
        <f t="shared" si="76"/>
        <v>7761.2749999999996</v>
      </c>
      <c r="D1273" s="36">
        <f t="shared" si="77"/>
        <v>135.95071060477082</v>
      </c>
      <c r="E1273" s="40">
        <v>7562.3999020000001</v>
      </c>
      <c r="F1273" s="36">
        <f t="shared" si="78"/>
        <v>8033.1764212095413</v>
      </c>
      <c r="G1273" s="36">
        <f t="shared" si="79"/>
        <v>7489.3735787904579</v>
      </c>
      <c r="I1273" s="40">
        <v>7562.3999020000001</v>
      </c>
      <c r="J1273" s="36">
        <v>8033.1764212095413</v>
      </c>
      <c r="K1273" s="36">
        <v>7489.3735787904579</v>
      </c>
    </row>
    <row r="1274" spans="1:11" x14ac:dyDescent="0.25">
      <c r="A1274" s="39">
        <v>42383</v>
      </c>
      <c r="B1274" s="36">
        <v>7536.7998049999997</v>
      </c>
      <c r="C1274" s="36">
        <f t="shared" si="76"/>
        <v>7753.0699951499992</v>
      </c>
      <c r="D1274" s="36">
        <f t="shared" si="77"/>
        <v>144.47123865740795</v>
      </c>
      <c r="E1274" s="40">
        <v>7536.7998049999997</v>
      </c>
      <c r="F1274" s="36">
        <f t="shared" si="78"/>
        <v>8042.0124724648149</v>
      </c>
      <c r="G1274" s="36">
        <f t="shared" si="79"/>
        <v>7464.1275178351834</v>
      </c>
      <c r="I1274" s="40">
        <v>7536.7998049999997</v>
      </c>
      <c r="J1274" s="36">
        <v>8042.0124724648149</v>
      </c>
      <c r="K1274" s="36">
        <v>7464.1275178351834</v>
      </c>
    </row>
    <row r="1275" spans="1:11" x14ac:dyDescent="0.25">
      <c r="A1275" s="39">
        <v>42384</v>
      </c>
      <c r="B1275" s="36">
        <v>7437.7998049999997</v>
      </c>
      <c r="C1275" s="36">
        <f t="shared" si="76"/>
        <v>7737.414990299998</v>
      </c>
      <c r="D1275" s="36">
        <f t="shared" si="77"/>
        <v>160.76393892922891</v>
      </c>
      <c r="E1275" s="40">
        <v>7437.7998049999997</v>
      </c>
      <c r="F1275" s="36">
        <f t="shared" si="78"/>
        <v>8058.9428681584559</v>
      </c>
      <c r="G1275" s="36">
        <f t="shared" si="79"/>
        <v>7415.88711244154</v>
      </c>
      <c r="I1275" s="40">
        <v>7437.7998049999997</v>
      </c>
      <c r="J1275" s="36">
        <v>8058.9428681584559</v>
      </c>
      <c r="K1275" s="36">
        <v>7415.88711244154</v>
      </c>
    </row>
    <row r="1276" spans="1:11" x14ac:dyDescent="0.25">
      <c r="A1276" s="39">
        <v>42387</v>
      </c>
      <c r="B1276" s="36">
        <v>7351</v>
      </c>
      <c r="C1276" s="36">
        <f t="shared" si="76"/>
        <v>7712.7474853999984</v>
      </c>
      <c r="D1276" s="36">
        <f t="shared" si="77"/>
        <v>180.17061338904125</v>
      </c>
      <c r="E1276" s="40">
        <v>7351</v>
      </c>
      <c r="F1276" s="36">
        <f t="shared" si="78"/>
        <v>8073.0887121780806</v>
      </c>
      <c r="G1276" s="36">
        <f t="shared" si="79"/>
        <v>7352.4062586219161</v>
      </c>
      <c r="I1276" s="40">
        <v>7351</v>
      </c>
      <c r="J1276" s="36">
        <v>8073.0887121780806</v>
      </c>
      <c r="K1276" s="36">
        <v>7352.4062586219161</v>
      </c>
    </row>
    <row r="1277" spans="1:11" x14ac:dyDescent="0.25">
      <c r="A1277" s="39">
        <v>42388</v>
      </c>
      <c r="B1277" s="36">
        <v>7435.1000979999999</v>
      </c>
      <c r="C1277" s="36">
        <f t="shared" si="76"/>
        <v>7696.404980549999</v>
      </c>
      <c r="D1277" s="36">
        <f t="shared" si="77"/>
        <v>190.02675219603637</v>
      </c>
      <c r="E1277" s="40">
        <v>7435.1000979999999</v>
      </c>
      <c r="F1277" s="36">
        <f t="shared" si="78"/>
        <v>8076.4584849420717</v>
      </c>
      <c r="G1277" s="36">
        <f t="shared" si="79"/>
        <v>7316.3514761579263</v>
      </c>
      <c r="I1277" s="40">
        <v>7435.1000979999999</v>
      </c>
      <c r="J1277" s="36">
        <v>8076.4584849420717</v>
      </c>
      <c r="K1277" s="36">
        <v>7316.3514761579263</v>
      </c>
    </row>
    <row r="1278" spans="1:11" x14ac:dyDescent="0.25">
      <c r="A1278" s="39">
        <v>42389</v>
      </c>
      <c r="B1278" s="36">
        <v>7309.2998049999997</v>
      </c>
      <c r="C1278" s="36">
        <f t="shared" si="76"/>
        <v>7670.147461049999</v>
      </c>
      <c r="D1278" s="36">
        <f t="shared" si="77"/>
        <v>205.59259068572518</v>
      </c>
      <c r="E1278" s="40">
        <v>7309.2998049999997</v>
      </c>
      <c r="F1278" s="36">
        <f t="shared" si="78"/>
        <v>8081.3326424214492</v>
      </c>
      <c r="G1278" s="36">
        <f t="shared" si="79"/>
        <v>7258.9622796785488</v>
      </c>
      <c r="I1278" s="40">
        <v>7309.2998049999997</v>
      </c>
      <c r="J1278" s="36">
        <v>8081.3326424214492</v>
      </c>
      <c r="K1278" s="36">
        <v>7258.9622796785488</v>
      </c>
    </row>
    <row r="1279" spans="1:11" x14ac:dyDescent="0.25">
      <c r="A1279" s="39">
        <v>42390</v>
      </c>
      <c r="B1279" s="36">
        <v>7276.7998049999997</v>
      </c>
      <c r="C1279" s="36">
        <f t="shared" si="76"/>
        <v>7644.6824463999992</v>
      </c>
      <c r="D1279" s="36">
        <f t="shared" si="77"/>
        <v>221.40769475459936</v>
      </c>
      <c r="E1279" s="40">
        <v>7276.7998049999997</v>
      </c>
      <c r="F1279" s="36">
        <f t="shared" si="78"/>
        <v>8087.4978359091983</v>
      </c>
      <c r="G1279" s="36">
        <f t="shared" si="79"/>
        <v>7201.8670568908001</v>
      </c>
      <c r="I1279" s="40">
        <v>7276.7998049999997</v>
      </c>
      <c r="J1279" s="36">
        <v>8087.4978359091983</v>
      </c>
      <c r="K1279" s="36">
        <v>7201.8670568908001</v>
      </c>
    </row>
    <row r="1280" spans="1:11" x14ac:dyDescent="0.25">
      <c r="A1280" s="39">
        <v>42391</v>
      </c>
      <c r="B1280" s="36">
        <v>7422.4501950000003</v>
      </c>
      <c r="C1280" s="36">
        <f t="shared" si="76"/>
        <v>7622.507446399999</v>
      </c>
      <c r="D1280" s="36">
        <f t="shared" si="77"/>
        <v>220.28678952270269</v>
      </c>
      <c r="E1280" s="40">
        <v>7422.4501950000003</v>
      </c>
      <c r="F1280" s="36">
        <f t="shared" si="78"/>
        <v>8063.0810254454045</v>
      </c>
      <c r="G1280" s="36">
        <f t="shared" si="79"/>
        <v>7181.9338673545935</v>
      </c>
      <c r="I1280" s="40">
        <v>7422.4501950000003</v>
      </c>
      <c r="J1280" s="36">
        <v>8063.0810254454045</v>
      </c>
      <c r="K1280" s="36">
        <v>7181.9338673545935</v>
      </c>
    </row>
    <row r="1281" spans="1:11" x14ac:dyDescent="0.25">
      <c r="A1281" s="39">
        <v>42394</v>
      </c>
      <c r="B1281" s="36">
        <v>7436.1499020000001</v>
      </c>
      <c r="C1281" s="36">
        <f t="shared" si="76"/>
        <v>7601.2624512500015</v>
      </c>
      <c r="D1281" s="36">
        <f t="shared" si="77"/>
        <v>216.52747537535171</v>
      </c>
      <c r="E1281" s="40">
        <v>7436.1499020000001</v>
      </c>
      <c r="F1281" s="36">
        <f t="shared" si="78"/>
        <v>8034.3174020007045</v>
      </c>
      <c r="G1281" s="36">
        <f t="shared" si="79"/>
        <v>7168.2075004992985</v>
      </c>
      <c r="I1281" s="40">
        <v>7436.1499020000001</v>
      </c>
      <c r="J1281" s="36">
        <v>8034.3174020007045</v>
      </c>
      <c r="K1281" s="36">
        <v>7168.2075004992985</v>
      </c>
    </row>
    <row r="1282" spans="1:11" x14ac:dyDescent="0.25">
      <c r="A1282" s="39">
        <v>42396</v>
      </c>
      <c r="B1282" s="36">
        <v>7437.75</v>
      </c>
      <c r="C1282" s="36">
        <f t="shared" si="76"/>
        <v>7576.8924561500007</v>
      </c>
      <c r="D1282" s="36">
        <f t="shared" si="77"/>
        <v>205.29236045890832</v>
      </c>
      <c r="E1282" s="40">
        <v>7437.75</v>
      </c>
      <c r="F1282" s="36">
        <f t="shared" si="78"/>
        <v>7987.4771770678171</v>
      </c>
      <c r="G1282" s="36">
        <f t="shared" si="79"/>
        <v>7166.3077352321843</v>
      </c>
      <c r="I1282" s="40">
        <v>7437.75</v>
      </c>
      <c r="J1282" s="36">
        <v>7987.4771770678171</v>
      </c>
      <c r="K1282" s="36">
        <v>7166.3077352321843</v>
      </c>
    </row>
    <row r="1283" spans="1:11" x14ac:dyDescent="0.25">
      <c r="A1283" s="39">
        <v>42397</v>
      </c>
      <c r="B1283" s="36">
        <v>7424.6499020000001</v>
      </c>
      <c r="C1283" s="36">
        <f t="shared" si="76"/>
        <v>7551.6774415000009</v>
      </c>
      <c r="D1283" s="36">
        <f t="shared" si="77"/>
        <v>190.18983819870783</v>
      </c>
      <c r="E1283" s="40">
        <v>7424.6499020000001</v>
      </c>
      <c r="F1283" s="36">
        <f t="shared" si="78"/>
        <v>7932.0571178974169</v>
      </c>
      <c r="G1283" s="36">
        <f t="shared" si="79"/>
        <v>7171.2977651025849</v>
      </c>
      <c r="I1283" s="40">
        <v>7424.6499020000001</v>
      </c>
      <c r="J1283" s="36">
        <v>7932.0571178974169</v>
      </c>
      <c r="K1283" s="36">
        <v>7171.2977651025849</v>
      </c>
    </row>
    <row r="1284" spans="1:11" x14ac:dyDescent="0.25">
      <c r="A1284" s="39">
        <v>42398</v>
      </c>
      <c r="B1284" s="36">
        <v>7563.5498049999997</v>
      </c>
      <c r="C1284" s="36">
        <f t="shared" si="76"/>
        <v>7535.0424317500001</v>
      </c>
      <c r="D1284" s="36">
        <f t="shared" si="77"/>
        <v>172.16081076212177</v>
      </c>
      <c r="E1284" s="40">
        <v>7563.5498049999997</v>
      </c>
      <c r="F1284" s="36">
        <f t="shared" si="78"/>
        <v>7879.3640532742438</v>
      </c>
      <c r="G1284" s="36">
        <f t="shared" si="79"/>
        <v>7190.7208102257564</v>
      </c>
      <c r="I1284" s="40">
        <v>7563.5498049999997</v>
      </c>
      <c r="J1284" s="36">
        <v>7879.3640532742438</v>
      </c>
      <c r="K1284" s="36">
        <v>7190.7208102257564</v>
      </c>
    </row>
    <row r="1285" spans="1:11" x14ac:dyDescent="0.25">
      <c r="A1285" s="39">
        <v>42401</v>
      </c>
      <c r="B1285" s="36">
        <v>7555.9501950000003</v>
      </c>
      <c r="C1285" s="36">
        <f t="shared" si="76"/>
        <v>7515.5224365999993</v>
      </c>
      <c r="D1285" s="36">
        <f t="shared" si="77"/>
        <v>142.67926573043161</v>
      </c>
      <c r="E1285" s="40">
        <v>7555.9501950000003</v>
      </c>
      <c r="F1285" s="36">
        <f t="shared" si="78"/>
        <v>7800.8809680608629</v>
      </c>
      <c r="G1285" s="36">
        <f t="shared" si="79"/>
        <v>7230.1639051391357</v>
      </c>
      <c r="I1285" s="40">
        <v>7555.9501950000003</v>
      </c>
      <c r="J1285" s="36">
        <v>7800.8809680608629</v>
      </c>
      <c r="K1285" s="36">
        <v>7230.1639051391357</v>
      </c>
    </row>
    <row r="1286" spans="1:11" x14ac:dyDescent="0.25">
      <c r="A1286" s="39">
        <v>42402</v>
      </c>
      <c r="B1286" s="36">
        <v>7455.5498049999997</v>
      </c>
      <c r="C1286" s="36">
        <f t="shared" si="76"/>
        <v>7498.7349365999999</v>
      </c>
      <c r="D1286" s="36">
        <f t="shared" si="77"/>
        <v>127.46459591269118</v>
      </c>
      <c r="E1286" s="40">
        <v>7455.5498049999997</v>
      </c>
      <c r="F1286" s="36">
        <f t="shared" si="78"/>
        <v>7753.6641284253819</v>
      </c>
      <c r="G1286" s="36">
        <f t="shared" si="79"/>
        <v>7243.8057447746178</v>
      </c>
      <c r="I1286" s="40">
        <v>7455.5498049999997</v>
      </c>
      <c r="J1286" s="36">
        <v>7753.6641284253819</v>
      </c>
      <c r="K1286" s="36">
        <v>7243.8057447746178</v>
      </c>
    </row>
    <row r="1287" spans="1:11" x14ac:dyDescent="0.25">
      <c r="A1287" s="39">
        <v>42403</v>
      </c>
      <c r="B1287" s="36">
        <v>7361.7998049999997</v>
      </c>
      <c r="C1287" s="36">
        <f t="shared" si="76"/>
        <v>7477.5924317500003</v>
      </c>
      <c r="D1287" s="36">
        <f t="shared" si="77"/>
        <v>111.62931929817587</v>
      </c>
      <c r="E1287" s="40">
        <v>7361.7998049999997</v>
      </c>
      <c r="F1287" s="36">
        <f t="shared" si="78"/>
        <v>7700.8510703463517</v>
      </c>
      <c r="G1287" s="36">
        <f t="shared" si="79"/>
        <v>7254.3337931536489</v>
      </c>
      <c r="I1287" s="40">
        <v>7361.7998049999997</v>
      </c>
      <c r="J1287" s="36">
        <v>7700.8510703463517</v>
      </c>
      <c r="K1287" s="36">
        <v>7254.3337931536489</v>
      </c>
    </row>
    <row r="1288" spans="1:11" x14ac:dyDescent="0.25">
      <c r="A1288" s="39">
        <v>42404</v>
      </c>
      <c r="B1288" s="36">
        <v>7404</v>
      </c>
      <c r="C1288" s="36">
        <f t="shared" si="76"/>
        <v>7460.7424317499999</v>
      </c>
      <c r="D1288" s="36">
        <f t="shared" si="77"/>
        <v>93.784423185361319</v>
      </c>
      <c r="E1288" s="40">
        <v>7404</v>
      </c>
      <c r="F1288" s="36">
        <f t="shared" si="78"/>
        <v>7648.3112781207228</v>
      </c>
      <c r="G1288" s="36">
        <f t="shared" si="79"/>
        <v>7273.173585379277</v>
      </c>
      <c r="I1288" s="40">
        <v>7404</v>
      </c>
      <c r="J1288" s="36">
        <v>7648.3112781207228</v>
      </c>
      <c r="K1288" s="36">
        <v>7273.173585379277</v>
      </c>
    </row>
    <row r="1289" spans="1:11" x14ac:dyDescent="0.25">
      <c r="A1289" s="39">
        <v>42405</v>
      </c>
      <c r="B1289" s="36">
        <v>7489.1000979999999</v>
      </c>
      <c r="C1289" s="36">
        <f t="shared" si="76"/>
        <v>7456.7824464000005</v>
      </c>
      <c r="D1289" s="36">
        <f t="shared" si="77"/>
        <v>90.622636194876591</v>
      </c>
      <c r="E1289" s="40">
        <v>7489.1000979999999</v>
      </c>
      <c r="F1289" s="36">
        <f t="shared" si="78"/>
        <v>7638.0277187897536</v>
      </c>
      <c r="G1289" s="36">
        <f t="shared" si="79"/>
        <v>7275.5371740102473</v>
      </c>
      <c r="I1289" s="40">
        <v>7489.1000979999999</v>
      </c>
      <c r="J1289" s="36">
        <v>7638.0277187897536</v>
      </c>
      <c r="K1289" s="36">
        <v>7275.5371740102473</v>
      </c>
    </row>
    <row r="1290" spans="1:11" x14ac:dyDescent="0.25">
      <c r="A1290" s="39">
        <v>42408</v>
      </c>
      <c r="B1290" s="36">
        <v>7387.25</v>
      </c>
      <c r="C1290" s="36">
        <f t="shared" si="76"/>
        <v>7446.0774415000005</v>
      </c>
      <c r="D1290" s="36">
        <f t="shared" si="77"/>
        <v>85.125231042987963</v>
      </c>
      <c r="E1290" s="40">
        <v>7387.25</v>
      </c>
      <c r="F1290" s="36">
        <f t="shared" si="78"/>
        <v>7616.3279035859769</v>
      </c>
      <c r="G1290" s="36">
        <f t="shared" si="79"/>
        <v>7275.8269794140242</v>
      </c>
      <c r="I1290" s="40">
        <v>7387.25</v>
      </c>
      <c r="J1290" s="36">
        <v>7616.3279035859769</v>
      </c>
      <c r="K1290" s="36">
        <v>7275.8269794140242</v>
      </c>
    </row>
    <row r="1291" spans="1:11" x14ac:dyDescent="0.25">
      <c r="A1291" s="39">
        <v>42409</v>
      </c>
      <c r="B1291" s="36">
        <v>7298.2001950000003</v>
      </c>
      <c r="C1291" s="36">
        <f t="shared" si="76"/>
        <v>7432.7949463500017</v>
      </c>
      <c r="D1291" s="36">
        <f t="shared" si="77"/>
        <v>86.495689611946844</v>
      </c>
      <c r="E1291" s="40">
        <v>7298.2001950000003</v>
      </c>
      <c r="F1291" s="36">
        <f t="shared" si="78"/>
        <v>7605.7863255738957</v>
      </c>
      <c r="G1291" s="36">
        <f t="shared" si="79"/>
        <v>7259.8035671261077</v>
      </c>
      <c r="I1291" s="40">
        <v>7298.2001950000003</v>
      </c>
      <c r="J1291" s="36">
        <v>7605.7863255738957</v>
      </c>
      <c r="K1291" s="36">
        <v>7259.8035671261077</v>
      </c>
    </row>
    <row r="1292" spans="1:11" x14ac:dyDescent="0.25">
      <c r="A1292" s="39">
        <v>42410</v>
      </c>
      <c r="B1292" s="36">
        <v>7215.7001950000003</v>
      </c>
      <c r="C1292" s="36">
        <f t="shared" si="76"/>
        <v>7418.0649658500015</v>
      </c>
      <c r="D1292" s="36">
        <f t="shared" si="77"/>
        <v>97.043740421857635</v>
      </c>
      <c r="E1292" s="40">
        <v>7215.7001950000003</v>
      </c>
      <c r="F1292" s="36">
        <f t="shared" si="78"/>
        <v>7612.1524466937171</v>
      </c>
      <c r="G1292" s="36">
        <f t="shared" si="79"/>
        <v>7223.9774850062859</v>
      </c>
      <c r="I1292" s="40">
        <v>7215.7001950000003</v>
      </c>
      <c r="J1292" s="36">
        <v>7612.1524466937171</v>
      </c>
      <c r="K1292" s="36">
        <v>7223.9774850062859</v>
      </c>
    </row>
    <row r="1293" spans="1:11" x14ac:dyDescent="0.25">
      <c r="A1293" s="39">
        <v>42411</v>
      </c>
      <c r="B1293" s="36">
        <v>6976.3500979999999</v>
      </c>
      <c r="C1293" s="36">
        <f t="shared" si="76"/>
        <v>7388.7624756500009</v>
      </c>
      <c r="D1293" s="36">
        <f t="shared" si="77"/>
        <v>132.98970985007375</v>
      </c>
      <c r="E1293" s="40">
        <v>6976.3500979999999</v>
      </c>
      <c r="F1293" s="36">
        <f t="shared" si="78"/>
        <v>7654.7418953501483</v>
      </c>
      <c r="G1293" s="36">
        <f t="shared" si="79"/>
        <v>7122.7830559498534</v>
      </c>
      <c r="I1293" s="40">
        <v>6976.3500979999999</v>
      </c>
      <c r="J1293" s="36">
        <v>7654.7418953501483</v>
      </c>
      <c r="K1293" s="36">
        <v>7122.7830559498534</v>
      </c>
    </row>
    <row r="1294" spans="1:11" x14ac:dyDescent="0.25">
      <c r="A1294" s="39">
        <v>42412</v>
      </c>
      <c r="B1294" s="36">
        <v>6980.9501950000003</v>
      </c>
      <c r="C1294" s="36">
        <f t="shared" si="76"/>
        <v>7360.9699951500006</v>
      </c>
      <c r="D1294" s="36">
        <f t="shared" si="77"/>
        <v>156.43837890854653</v>
      </c>
      <c r="E1294" s="40">
        <v>6980.9501950000003</v>
      </c>
      <c r="F1294" s="36">
        <f t="shared" si="78"/>
        <v>7673.8467529670934</v>
      </c>
      <c r="G1294" s="36">
        <f t="shared" si="79"/>
        <v>7048.0932373329078</v>
      </c>
      <c r="I1294" s="40">
        <v>6980.9501950000003</v>
      </c>
      <c r="J1294" s="36">
        <v>7673.8467529670934</v>
      </c>
      <c r="K1294" s="36">
        <v>7048.0932373329078</v>
      </c>
    </row>
    <row r="1295" spans="1:11" x14ac:dyDescent="0.25">
      <c r="A1295" s="39">
        <v>42415</v>
      </c>
      <c r="B1295" s="36">
        <v>7162.9501950000003</v>
      </c>
      <c r="C1295" s="36">
        <f t="shared" si="76"/>
        <v>7347.2275146500006</v>
      </c>
      <c r="D1295" s="36">
        <f t="shared" si="77"/>
        <v>161.32971594306758</v>
      </c>
      <c r="E1295" s="40">
        <v>7162.9501950000003</v>
      </c>
      <c r="F1295" s="36">
        <f t="shared" si="78"/>
        <v>7669.8869465361358</v>
      </c>
      <c r="G1295" s="36">
        <f t="shared" si="79"/>
        <v>7024.5680827638653</v>
      </c>
      <c r="I1295" s="40">
        <v>7162.9501950000003</v>
      </c>
      <c r="J1295" s="36">
        <v>7669.8869465361358</v>
      </c>
      <c r="K1295" s="36">
        <v>7024.5680827638653</v>
      </c>
    </row>
    <row r="1296" spans="1:11" x14ac:dyDescent="0.25">
      <c r="A1296" s="39">
        <v>42416</v>
      </c>
      <c r="B1296" s="36">
        <v>7048.25</v>
      </c>
      <c r="C1296" s="36">
        <f t="shared" si="76"/>
        <v>7332.0900146500007</v>
      </c>
      <c r="D1296" s="36">
        <f t="shared" si="77"/>
        <v>174.6136656156161</v>
      </c>
      <c r="E1296" s="40">
        <v>7048.25</v>
      </c>
      <c r="F1296" s="36">
        <f t="shared" si="78"/>
        <v>7681.3173458812325</v>
      </c>
      <c r="G1296" s="36">
        <f t="shared" si="79"/>
        <v>6982.8626834187689</v>
      </c>
      <c r="I1296" s="40">
        <v>7048.25</v>
      </c>
      <c r="J1296" s="36">
        <v>7681.3173458812325</v>
      </c>
      <c r="K1296" s="36">
        <v>6982.8626834187689</v>
      </c>
    </row>
    <row r="1297" spans="1:11" x14ac:dyDescent="0.25">
      <c r="A1297" s="39">
        <v>42417</v>
      </c>
      <c r="B1297" s="36">
        <v>7108.4501950000003</v>
      </c>
      <c r="C1297" s="36">
        <f t="shared" si="76"/>
        <v>7315.7575194999999</v>
      </c>
      <c r="D1297" s="36">
        <f t="shared" si="77"/>
        <v>179.67476404816867</v>
      </c>
      <c r="E1297" s="40">
        <v>7108.4501950000003</v>
      </c>
      <c r="F1297" s="36">
        <f t="shared" si="78"/>
        <v>7675.107047596337</v>
      </c>
      <c r="G1297" s="36">
        <f t="shared" si="79"/>
        <v>6956.4079914036629</v>
      </c>
      <c r="I1297" s="40">
        <v>7108.4501950000003</v>
      </c>
      <c r="J1297" s="36">
        <v>7675.107047596337</v>
      </c>
      <c r="K1297" s="36">
        <v>6956.4079914036629</v>
      </c>
    </row>
    <row r="1298" spans="1:11" x14ac:dyDescent="0.25">
      <c r="A1298" s="39">
        <v>42418</v>
      </c>
      <c r="B1298" s="36">
        <v>7191.75</v>
      </c>
      <c r="C1298" s="36">
        <f t="shared" si="76"/>
        <v>7309.8800292499991</v>
      </c>
      <c r="D1298" s="36">
        <f t="shared" si="77"/>
        <v>181.80710727563331</v>
      </c>
      <c r="E1298" s="40">
        <v>7191.75</v>
      </c>
      <c r="F1298" s="36">
        <f t="shared" si="78"/>
        <v>7673.4942438012658</v>
      </c>
      <c r="G1298" s="36">
        <f t="shared" si="79"/>
        <v>6946.2658146987324</v>
      </c>
      <c r="I1298" s="40">
        <v>7191.75</v>
      </c>
      <c r="J1298" s="36">
        <v>7673.4942438012658</v>
      </c>
      <c r="K1298" s="36">
        <v>6946.2658146987324</v>
      </c>
    </row>
    <row r="1299" spans="1:11" x14ac:dyDescent="0.25">
      <c r="A1299" s="39">
        <v>42419</v>
      </c>
      <c r="B1299" s="36">
        <v>7210.75</v>
      </c>
      <c r="C1299" s="36">
        <f t="shared" si="76"/>
        <v>7306.5775389999999</v>
      </c>
      <c r="D1299" s="36">
        <f t="shared" si="77"/>
        <v>183.0353709688502</v>
      </c>
      <c r="E1299" s="40">
        <v>7210.75</v>
      </c>
      <c r="F1299" s="36">
        <f t="shared" si="78"/>
        <v>7672.6482809377003</v>
      </c>
      <c r="G1299" s="36">
        <f t="shared" si="79"/>
        <v>6940.5067970622995</v>
      </c>
      <c r="I1299" s="40">
        <v>7210.75</v>
      </c>
      <c r="J1299" s="36">
        <v>7672.6482809377003</v>
      </c>
      <c r="K1299" s="36">
        <v>6940.5067970622995</v>
      </c>
    </row>
    <row r="1300" spans="1:11" x14ac:dyDescent="0.25">
      <c r="A1300" s="39">
        <v>42422</v>
      </c>
      <c r="B1300" s="36">
        <v>7234.5498049999997</v>
      </c>
      <c r="C1300" s="36">
        <f t="shared" si="76"/>
        <v>7297.1825195000001</v>
      </c>
      <c r="D1300" s="36">
        <f t="shared" si="77"/>
        <v>181.59138452160005</v>
      </c>
      <c r="E1300" s="40">
        <v>7234.5498049999997</v>
      </c>
      <c r="F1300" s="36">
        <f t="shared" si="78"/>
        <v>7660.3652885432002</v>
      </c>
      <c r="G1300" s="36">
        <f t="shared" si="79"/>
        <v>6933.9997504568</v>
      </c>
      <c r="I1300" s="40">
        <v>7234.5498049999997</v>
      </c>
      <c r="J1300" s="36">
        <v>7660.3652885432002</v>
      </c>
      <c r="K1300" s="36">
        <v>6933.9997504568</v>
      </c>
    </row>
    <row r="1301" spans="1:11" x14ac:dyDescent="0.25">
      <c r="A1301" s="39">
        <v>42423</v>
      </c>
      <c r="B1301" s="36">
        <v>7109.5498049999997</v>
      </c>
      <c r="C1301" s="36">
        <f t="shared" si="76"/>
        <v>7280.8525146499978</v>
      </c>
      <c r="D1301" s="36">
        <f t="shared" si="77"/>
        <v>183.1154235794113</v>
      </c>
      <c r="E1301" s="40">
        <v>7109.5498049999997</v>
      </c>
      <c r="F1301" s="36">
        <f t="shared" si="78"/>
        <v>7647.08336180882</v>
      </c>
      <c r="G1301" s="36">
        <f t="shared" si="79"/>
        <v>6914.6216674911757</v>
      </c>
      <c r="I1301" s="40">
        <v>7109.5498049999997</v>
      </c>
      <c r="J1301" s="36">
        <v>7647.08336180882</v>
      </c>
      <c r="K1301" s="36">
        <v>6914.6216674911757</v>
      </c>
    </row>
    <row r="1302" spans="1:11" x14ac:dyDescent="0.25">
      <c r="A1302" s="39">
        <v>42424</v>
      </c>
      <c r="B1302" s="36">
        <v>7018.7001950000003</v>
      </c>
      <c r="C1302" s="36">
        <f t="shared" ref="C1302:C1365" si="80">AVERAGE(B1283:B1302)</f>
        <v>7259.9000243999999</v>
      </c>
      <c r="D1302" s="36">
        <f t="shared" ref="D1302:D1365" si="81">_xlfn.STDEV.S(B1283:B1302)</f>
        <v>188.12380995054585</v>
      </c>
      <c r="E1302" s="40">
        <v>7018.7001950000003</v>
      </c>
      <c r="F1302" s="36">
        <f t="shared" ref="F1302:F1365" si="82">C1302+2*D1302</f>
        <v>7636.1476443010915</v>
      </c>
      <c r="G1302" s="36">
        <f t="shared" ref="G1302:G1365" si="83">C1302-2*D1302</f>
        <v>6883.6524044989083</v>
      </c>
      <c r="I1302" s="40">
        <v>7018.7001950000003</v>
      </c>
      <c r="J1302" s="36">
        <v>7636.1476443010915</v>
      </c>
      <c r="K1302" s="36">
        <v>6883.6524044989083</v>
      </c>
    </row>
    <row r="1303" spans="1:11" x14ac:dyDescent="0.25">
      <c r="A1303" s="39">
        <v>42425</v>
      </c>
      <c r="B1303" s="36">
        <v>6970.6000979999999</v>
      </c>
      <c r="C1303" s="36">
        <f t="shared" si="80"/>
        <v>7237.1975341999987</v>
      </c>
      <c r="D1303" s="36">
        <f t="shared" si="81"/>
        <v>194.4851034149404</v>
      </c>
      <c r="E1303" s="40">
        <v>6970.6000979999999</v>
      </c>
      <c r="F1303" s="36">
        <f t="shared" si="82"/>
        <v>7626.1677410298798</v>
      </c>
      <c r="G1303" s="36">
        <f t="shared" si="83"/>
        <v>6848.2273273701176</v>
      </c>
      <c r="I1303" s="40">
        <v>6970.6000979999999</v>
      </c>
      <c r="J1303" s="36">
        <v>7626.1677410298798</v>
      </c>
      <c r="K1303" s="36">
        <v>6848.2273273701176</v>
      </c>
    </row>
    <row r="1304" spans="1:11" x14ac:dyDescent="0.25">
      <c r="A1304" s="39">
        <v>42426</v>
      </c>
      <c r="B1304" s="36">
        <v>7029.75</v>
      </c>
      <c r="C1304" s="36">
        <f t="shared" si="80"/>
        <v>7210.5075439499997</v>
      </c>
      <c r="D1304" s="36">
        <f t="shared" si="81"/>
        <v>183.66821011849817</v>
      </c>
      <c r="E1304" s="40">
        <v>7029.75</v>
      </c>
      <c r="F1304" s="36">
        <f t="shared" si="82"/>
        <v>7577.8439641869963</v>
      </c>
      <c r="G1304" s="36">
        <f t="shared" si="83"/>
        <v>6843.171123713003</v>
      </c>
      <c r="I1304" s="40">
        <v>7029.75</v>
      </c>
      <c r="J1304" s="36">
        <v>7577.8439641869963</v>
      </c>
      <c r="K1304" s="36">
        <v>6843.171123713003</v>
      </c>
    </row>
    <row r="1305" spans="1:11" x14ac:dyDescent="0.25">
      <c r="A1305" s="39">
        <v>42429</v>
      </c>
      <c r="B1305" s="36">
        <v>6987.0498049999997</v>
      </c>
      <c r="C1305" s="36">
        <f t="shared" si="80"/>
        <v>7182.0625244499988</v>
      </c>
      <c r="D1305" s="36">
        <f t="shared" si="81"/>
        <v>170.96730527695541</v>
      </c>
      <c r="E1305" s="40">
        <v>6987.0498049999997</v>
      </c>
      <c r="F1305" s="36">
        <f t="shared" si="82"/>
        <v>7523.9971350039095</v>
      </c>
      <c r="G1305" s="36">
        <f t="shared" si="83"/>
        <v>6840.1279138960881</v>
      </c>
      <c r="I1305" s="40">
        <v>6987.0498049999997</v>
      </c>
      <c r="J1305" s="36">
        <v>7523.9971350039095</v>
      </c>
      <c r="K1305" s="36">
        <v>6840.1279138960881</v>
      </c>
    </row>
    <row r="1306" spans="1:11" x14ac:dyDescent="0.25">
      <c r="A1306" s="39">
        <v>42430</v>
      </c>
      <c r="B1306" s="36">
        <v>7222.2998049999997</v>
      </c>
      <c r="C1306" s="36">
        <f t="shared" si="80"/>
        <v>7170.4000244499985</v>
      </c>
      <c r="D1306" s="36">
        <f t="shared" si="81"/>
        <v>158.85611463771647</v>
      </c>
      <c r="E1306" s="40">
        <v>7222.2998049999997</v>
      </c>
      <c r="F1306" s="36">
        <f t="shared" si="82"/>
        <v>7488.1122537254314</v>
      </c>
      <c r="G1306" s="36">
        <f t="shared" si="83"/>
        <v>6852.6877951745655</v>
      </c>
      <c r="I1306" s="40">
        <v>7222.2998049999997</v>
      </c>
      <c r="J1306" s="36">
        <v>7488.1122537254314</v>
      </c>
      <c r="K1306" s="36">
        <v>6852.6877951745655</v>
      </c>
    </row>
    <row r="1307" spans="1:11" x14ac:dyDescent="0.25">
      <c r="A1307" s="39">
        <v>42431</v>
      </c>
      <c r="B1307" s="36">
        <v>7368.8500979999999</v>
      </c>
      <c r="C1307" s="36">
        <f t="shared" si="80"/>
        <v>7170.752539099999</v>
      </c>
      <c r="D1307" s="36">
        <f t="shared" si="81"/>
        <v>159.31037372703074</v>
      </c>
      <c r="E1307" s="40">
        <v>7368.8500979999999</v>
      </c>
      <c r="F1307" s="36">
        <f t="shared" si="82"/>
        <v>7489.3732865540605</v>
      </c>
      <c r="G1307" s="36">
        <f t="shared" si="83"/>
        <v>6852.1317916459375</v>
      </c>
      <c r="I1307" s="40">
        <v>7368.8500979999999</v>
      </c>
      <c r="J1307" s="36">
        <v>7489.3732865540605</v>
      </c>
      <c r="K1307" s="36">
        <v>6852.1317916459375</v>
      </c>
    </row>
    <row r="1308" spans="1:11" x14ac:dyDescent="0.25">
      <c r="A1308" s="39">
        <v>42432</v>
      </c>
      <c r="B1308" s="36">
        <v>7475.6000979999999</v>
      </c>
      <c r="C1308" s="36">
        <f t="shared" si="80"/>
        <v>7174.3325439999999</v>
      </c>
      <c r="D1308" s="36">
        <f t="shared" si="81"/>
        <v>165.5115572070882</v>
      </c>
      <c r="E1308" s="40">
        <v>7475.6000979999999</v>
      </c>
      <c r="F1308" s="36">
        <f t="shared" si="82"/>
        <v>7505.3556584141761</v>
      </c>
      <c r="G1308" s="36">
        <f t="shared" si="83"/>
        <v>6843.3094295858236</v>
      </c>
      <c r="I1308" s="40">
        <v>7475.6000979999999</v>
      </c>
      <c r="J1308" s="36">
        <v>7505.3556584141761</v>
      </c>
      <c r="K1308" s="36">
        <v>6843.3094295858236</v>
      </c>
    </row>
    <row r="1309" spans="1:11" x14ac:dyDescent="0.25">
      <c r="A1309" s="39">
        <v>42433</v>
      </c>
      <c r="B1309" s="36">
        <v>7485.3500979999999</v>
      </c>
      <c r="C1309" s="36">
        <f t="shared" si="80"/>
        <v>7174.1450439999999</v>
      </c>
      <c r="D1309" s="36">
        <f t="shared" si="81"/>
        <v>165.13790704696507</v>
      </c>
      <c r="E1309" s="40">
        <v>7485.3500979999999</v>
      </c>
      <c r="F1309" s="36">
        <f t="shared" si="82"/>
        <v>7504.4208580939303</v>
      </c>
      <c r="G1309" s="36">
        <f t="shared" si="83"/>
        <v>6843.8692299060694</v>
      </c>
      <c r="I1309" s="40">
        <v>7485.3500979999999</v>
      </c>
      <c r="J1309" s="36">
        <v>7504.4208580939303</v>
      </c>
      <c r="K1309" s="36">
        <v>6843.8692299060694</v>
      </c>
    </row>
    <row r="1310" spans="1:11" x14ac:dyDescent="0.25">
      <c r="A1310" s="39">
        <v>42437</v>
      </c>
      <c r="B1310" s="36">
        <v>7485.2998049999997</v>
      </c>
      <c r="C1310" s="36">
        <f t="shared" si="80"/>
        <v>7179.0475342499994</v>
      </c>
      <c r="D1310" s="36">
        <f t="shared" si="81"/>
        <v>173.06264660389789</v>
      </c>
      <c r="E1310" s="40">
        <v>7485.2998049999997</v>
      </c>
      <c r="F1310" s="36">
        <f t="shared" si="82"/>
        <v>7525.1728274577954</v>
      </c>
      <c r="G1310" s="36">
        <f t="shared" si="83"/>
        <v>6832.9222410422035</v>
      </c>
      <c r="I1310" s="40">
        <v>7485.2998049999997</v>
      </c>
      <c r="J1310" s="36">
        <v>7525.1728274577954</v>
      </c>
      <c r="K1310" s="36">
        <v>6832.9222410422035</v>
      </c>
    </row>
    <row r="1311" spans="1:11" x14ac:dyDescent="0.25">
      <c r="A1311" s="39">
        <v>42438</v>
      </c>
      <c r="B1311" s="36">
        <v>7531.7998049999997</v>
      </c>
      <c r="C1311" s="36">
        <f t="shared" si="80"/>
        <v>7190.7275147499986</v>
      </c>
      <c r="D1311" s="36">
        <f t="shared" si="81"/>
        <v>188.70351046956904</v>
      </c>
      <c r="E1311" s="40">
        <v>7531.7998049999997</v>
      </c>
      <c r="F1311" s="36">
        <f t="shared" si="82"/>
        <v>7568.134535689137</v>
      </c>
      <c r="G1311" s="36">
        <f t="shared" si="83"/>
        <v>6813.3204938108602</v>
      </c>
      <c r="I1311" s="40">
        <v>7531.7998049999997</v>
      </c>
      <c r="J1311" s="36">
        <v>7568.134535689137</v>
      </c>
      <c r="K1311" s="36">
        <v>6813.3204938108602</v>
      </c>
    </row>
    <row r="1312" spans="1:11" x14ac:dyDescent="0.25">
      <c r="A1312" s="39">
        <v>42439</v>
      </c>
      <c r="B1312" s="36">
        <v>7486.1499020000001</v>
      </c>
      <c r="C1312" s="36">
        <f t="shared" si="80"/>
        <v>7204.2500000999989</v>
      </c>
      <c r="D1312" s="36">
        <f t="shared" si="81"/>
        <v>199.94273947887618</v>
      </c>
      <c r="E1312" s="40">
        <v>7486.1499020000001</v>
      </c>
      <c r="F1312" s="36">
        <f t="shared" si="82"/>
        <v>7604.1354790577516</v>
      </c>
      <c r="G1312" s="36">
        <f t="shared" si="83"/>
        <v>6804.3645211422463</v>
      </c>
      <c r="I1312" s="40">
        <v>7486.1499020000001</v>
      </c>
      <c r="J1312" s="36">
        <v>7604.1354790577516</v>
      </c>
      <c r="K1312" s="36">
        <v>6804.3645211422463</v>
      </c>
    </row>
    <row r="1313" spans="1:11" x14ac:dyDescent="0.25">
      <c r="A1313" s="39">
        <v>42440</v>
      </c>
      <c r="B1313" s="36">
        <v>7510.2001950000003</v>
      </c>
      <c r="C1313" s="36">
        <f t="shared" si="80"/>
        <v>7230.9425049500005</v>
      </c>
      <c r="D1313" s="36">
        <f t="shared" si="81"/>
        <v>203.51933083084327</v>
      </c>
      <c r="E1313" s="40">
        <v>7510.2001950000003</v>
      </c>
      <c r="F1313" s="36">
        <f t="shared" si="82"/>
        <v>7637.9811666116875</v>
      </c>
      <c r="G1313" s="36">
        <f t="shared" si="83"/>
        <v>6823.9038432883135</v>
      </c>
      <c r="I1313" s="40">
        <v>7510.2001950000003</v>
      </c>
      <c r="J1313" s="36">
        <v>7637.9811666116875</v>
      </c>
      <c r="K1313" s="36">
        <v>6823.9038432883135</v>
      </c>
    </row>
    <row r="1314" spans="1:11" x14ac:dyDescent="0.25">
      <c r="A1314" s="39">
        <v>42443</v>
      </c>
      <c r="B1314" s="36">
        <v>7538.75</v>
      </c>
      <c r="C1314" s="36">
        <f t="shared" si="80"/>
        <v>7258.8324952000012</v>
      </c>
      <c r="D1314" s="36">
        <f t="shared" si="81"/>
        <v>205.66637653027544</v>
      </c>
      <c r="E1314" s="40">
        <v>7538.75</v>
      </c>
      <c r="F1314" s="36">
        <f t="shared" si="82"/>
        <v>7670.1652482605523</v>
      </c>
      <c r="G1314" s="36">
        <f t="shared" si="83"/>
        <v>6847.4997421394501</v>
      </c>
      <c r="I1314" s="40">
        <v>7538.75</v>
      </c>
      <c r="J1314" s="36">
        <v>7670.1652482605523</v>
      </c>
      <c r="K1314" s="36">
        <v>6847.4997421394501</v>
      </c>
    </row>
    <row r="1315" spans="1:11" x14ac:dyDescent="0.25">
      <c r="A1315" s="39">
        <v>42444</v>
      </c>
      <c r="B1315" s="36">
        <v>7460.6000979999999</v>
      </c>
      <c r="C1315" s="36">
        <f t="shared" si="80"/>
        <v>7273.7149903500003</v>
      </c>
      <c r="D1315" s="36">
        <f t="shared" si="81"/>
        <v>209.10353606174544</v>
      </c>
      <c r="E1315" s="40">
        <v>7460.6000979999999</v>
      </c>
      <c r="F1315" s="36">
        <f t="shared" si="82"/>
        <v>7691.9220624734917</v>
      </c>
      <c r="G1315" s="36">
        <f t="shared" si="83"/>
        <v>6855.507918226509</v>
      </c>
      <c r="I1315" s="40">
        <v>7460.6000979999999</v>
      </c>
      <c r="J1315" s="36">
        <v>7691.9220624734917</v>
      </c>
      <c r="K1315" s="36">
        <v>6855.507918226509</v>
      </c>
    </row>
    <row r="1316" spans="1:11" x14ac:dyDescent="0.25">
      <c r="A1316" s="39">
        <v>42445</v>
      </c>
      <c r="B1316" s="36">
        <v>7498.75</v>
      </c>
      <c r="C1316" s="36">
        <f t="shared" si="80"/>
        <v>7296.23999035</v>
      </c>
      <c r="D1316" s="36">
        <f t="shared" si="81"/>
        <v>207.7980127902091</v>
      </c>
      <c r="E1316" s="40">
        <v>7498.75</v>
      </c>
      <c r="F1316" s="36">
        <f t="shared" si="82"/>
        <v>7711.8360159304184</v>
      </c>
      <c r="G1316" s="36">
        <f t="shared" si="83"/>
        <v>6880.6439647695815</v>
      </c>
      <c r="I1316" s="40">
        <v>7498.75</v>
      </c>
      <c r="J1316" s="36">
        <v>7711.8360159304184</v>
      </c>
      <c r="K1316" s="36">
        <v>6880.6439647695815</v>
      </c>
    </row>
    <row r="1317" spans="1:11" x14ac:dyDescent="0.25">
      <c r="A1317" s="39">
        <v>42446</v>
      </c>
      <c r="B1317" s="36">
        <v>7512.5498049999997</v>
      </c>
      <c r="C1317" s="36">
        <f t="shared" si="80"/>
        <v>7316.4449708499988</v>
      </c>
      <c r="D1317" s="36">
        <f t="shared" si="81"/>
        <v>208.22310557464593</v>
      </c>
      <c r="E1317" s="40">
        <v>7512.5498049999997</v>
      </c>
      <c r="F1317" s="36">
        <f t="shared" si="82"/>
        <v>7732.8911819992909</v>
      </c>
      <c r="G1317" s="36">
        <f t="shared" si="83"/>
        <v>6899.9987597007066</v>
      </c>
      <c r="I1317" s="40">
        <v>7512.5498049999997</v>
      </c>
      <c r="J1317" s="36">
        <v>7732.8911819992909</v>
      </c>
      <c r="K1317" s="36">
        <v>6899.9987597007066</v>
      </c>
    </row>
    <row r="1318" spans="1:11" x14ac:dyDescent="0.25">
      <c r="A1318" s="39">
        <v>42447</v>
      </c>
      <c r="B1318" s="36">
        <v>7604.3500979999999</v>
      </c>
      <c r="C1318" s="36">
        <f t="shared" si="80"/>
        <v>7337.0749757499989</v>
      </c>
      <c r="D1318" s="36">
        <f t="shared" si="81"/>
        <v>215.52981923968662</v>
      </c>
      <c r="E1318" s="40">
        <v>7604.3500979999999</v>
      </c>
      <c r="F1318" s="36">
        <f t="shared" si="82"/>
        <v>7768.1346142293723</v>
      </c>
      <c r="G1318" s="36">
        <f t="shared" si="83"/>
        <v>6906.0153372706254</v>
      </c>
      <c r="I1318" s="40">
        <v>7604.3500979999999</v>
      </c>
      <c r="J1318" s="36">
        <v>7768.1346142293723</v>
      </c>
      <c r="K1318" s="36">
        <v>6906.0153372706254</v>
      </c>
    </row>
    <row r="1319" spans="1:11" x14ac:dyDescent="0.25">
      <c r="A1319" s="39">
        <v>42450</v>
      </c>
      <c r="B1319" s="36">
        <v>7704.25</v>
      </c>
      <c r="C1319" s="36">
        <f t="shared" si="80"/>
        <v>7361.74997575</v>
      </c>
      <c r="D1319" s="36">
        <f t="shared" si="81"/>
        <v>228.18406041050764</v>
      </c>
      <c r="E1319" s="40">
        <v>7704.25</v>
      </c>
      <c r="F1319" s="36">
        <f t="shared" si="82"/>
        <v>7818.1180965710155</v>
      </c>
      <c r="G1319" s="36">
        <f t="shared" si="83"/>
        <v>6905.3818549289845</v>
      </c>
      <c r="I1319" s="40">
        <v>7704.25</v>
      </c>
      <c r="J1319" s="36">
        <v>7818.1180965710155</v>
      </c>
      <c r="K1319" s="36">
        <v>6905.3818549289845</v>
      </c>
    </row>
    <row r="1320" spans="1:11" x14ac:dyDescent="0.25">
      <c r="A1320" s="39">
        <v>42451</v>
      </c>
      <c r="B1320" s="36">
        <v>7714.8999020000001</v>
      </c>
      <c r="C1320" s="36">
        <f t="shared" si="80"/>
        <v>7385.7674806000014</v>
      </c>
      <c r="D1320" s="36">
        <f t="shared" si="81"/>
        <v>239.1090391289531</v>
      </c>
      <c r="E1320" s="40">
        <v>7714.8999020000001</v>
      </c>
      <c r="F1320" s="36">
        <f t="shared" si="82"/>
        <v>7863.9855588579076</v>
      </c>
      <c r="G1320" s="36">
        <f t="shared" si="83"/>
        <v>6907.5494023420952</v>
      </c>
      <c r="I1320" s="40">
        <v>7714.8999020000001</v>
      </c>
      <c r="J1320" s="36">
        <v>7863.9855588579076</v>
      </c>
      <c r="K1320" s="36">
        <v>6907.5494023420952</v>
      </c>
    </row>
    <row r="1321" spans="1:11" x14ac:dyDescent="0.25">
      <c r="A1321" s="39">
        <v>42452</v>
      </c>
      <c r="B1321" s="36">
        <v>7716.5</v>
      </c>
      <c r="C1321" s="36">
        <f t="shared" si="80"/>
        <v>7416.11499035</v>
      </c>
      <c r="D1321" s="36">
        <f t="shared" si="81"/>
        <v>240.7179926129472</v>
      </c>
      <c r="E1321" s="40">
        <v>7716.5</v>
      </c>
      <c r="F1321" s="36">
        <f t="shared" si="82"/>
        <v>7897.550975575894</v>
      </c>
      <c r="G1321" s="36">
        <f t="shared" si="83"/>
        <v>6934.679005124106</v>
      </c>
      <c r="I1321" s="40">
        <v>7716.5</v>
      </c>
      <c r="J1321" s="36">
        <v>7897.550975575894</v>
      </c>
      <c r="K1321" s="36">
        <v>6934.679005124106</v>
      </c>
    </row>
    <row r="1322" spans="1:11" x14ac:dyDescent="0.25">
      <c r="A1322" s="39">
        <v>42457</v>
      </c>
      <c r="B1322" s="36">
        <v>7615.1000979999999</v>
      </c>
      <c r="C1322" s="36">
        <f t="shared" si="80"/>
        <v>7445.9349854999991</v>
      </c>
      <c r="D1322" s="36">
        <f t="shared" si="81"/>
        <v>225.34532548875325</v>
      </c>
      <c r="E1322" s="40">
        <v>7615.1000979999999</v>
      </c>
      <c r="F1322" s="36">
        <f t="shared" si="82"/>
        <v>7896.6256364775054</v>
      </c>
      <c r="G1322" s="36">
        <f t="shared" si="83"/>
        <v>6995.2443345224929</v>
      </c>
      <c r="I1322" s="40">
        <v>7615.1000979999999</v>
      </c>
      <c r="J1322" s="36">
        <v>7896.6256364775054</v>
      </c>
      <c r="K1322" s="36">
        <v>6995.2443345224929</v>
      </c>
    </row>
    <row r="1323" spans="1:11" x14ac:dyDescent="0.25">
      <c r="A1323" s="39">
        <v>42458</v>
      </c>
      <c r="B1323" s="36">
        <v>7597</v>
      </c>
      <c r="C1323" s="36">
        <f t="shared" si="80"/>
        <v>7477.2549805999997</v>
      </c>
      <c r="D1323" s="36">
        <f t="shared" si="81"/>
        <v>197.62915032999746</v>
      </c>
      <c r="E1323" s="40">
        <v>7597</v>
      </c>
      <c r="F1323" s="36">
        <f t="shared" si="82"/>
        <v>7872.513281259995</v>
      </c>
      <c r="G1323" s="36">
        <f t="shared" si="83"/>
        <v>7081.9966799400045</v>
      </c>
      <c r="I1323" s="40">
        <v>7597</v>
      </c>
      <c r="J1323" s="36">
        <v>7872.513281259995</v>
      </c>
      <c r="K1323" s="36">
        <v>7081.9966799400045</v>
      </c>
    </row>
    <row r="1324" spans="1:11" x14ac:dyDescent="0.25">
      <c r="A1324" s="39">
        <v>42459</v>
      </c>
      <c r="B1324" s="36">
        <v>7735.2001950000003</v>
      </c>
      <c r="C1324" s="36">
        <f t="shared" si="80"/>
        <v>7512.5274903500003</v>
      </c>
      <c r="D1324" s="36">
        <f t="shared" si="81"/>
        <v>175.24124232667873</v>
      </c>
      <c r="E1324" s="40">
        <v>7735.2001950000003</v>
      </c>
      <c r="F1324" s="36">
        <f t="shared" si="82"/>
        <v>7863.0099750033578</v>
      </c>
      <c r="G1324" s="36">
        <f t="shared" si="83"/>
        <v>7162.0450056966429</v>
      </c>
      <c r="I1324" s="40">
        <v>7735.2001950000003</v>
      </c>
      <c r="J1324" s="36">
        <v>7863.0099750033578</v>
      </c>
      <c r="K1324" s="36">
        <v>7162.0450056966429</v>
      </c>
    </row>
    <row r="1325" spans="1:11" x14ac:dyDescent="0.25">
      <c r="A1325" s="39">
        <v>42460</v>
      </c>
      <c r="B1325" s="36">
        <v>7738.3999020000001</v>
      </c>
      <c r="C1325" s="36">
        <f t="shared" si="80"/>
        <v>7550.0949951999992</v>
      </c>
      <c r="D1325" s="36">
        <f t="shared" si="81"/>
        <v>131.81836932977427</v>
      </c>
      <c r="E1325" s="40">
        <v>7738.3999020000001</v>
      </c>
      <c r="F1325" s="36">
        <f t="shared" si="82"/>
        <v>7813.7317338595476</v>
      </c>
      <c r="G1325" s="36">
        <f t="shared" si="83"/>
        <v>7286.4582565404507</v>
      </c>
      <c r="I1325" s="40">
        <v>7738.3999020000001</v>
      </c>
      <c r="J1325" s="36">
        <v>7813.7317338595476</v>
      </c>
      <c r="K1325" s="36">
        <v>7286.4582565404507</v>
      </c>
    </row>
    <row r="1326" spans="1:11" x14ac:dyDescent="0.25">
      <c r="A1326" s="39">
        <v>42461</v>
      </c>
      <c r="B1326" s="36">
        <v>7713.0498049999997</v>
      </c>
      <c r="C1326" s="36">
        <f t="shared" si="80"/>
        <v>7574.6324951999995</v>
      </c>
      <c r="D1326" s="36">
        <f t="shared" si="81"/>
        <v>111.73473581284389</v>
      </c>
      <c r="E1326" s="40">
        <v>7713.0498049999997</v>
      </c>
      <c r="F1326" s="36">
        <f t="shared" si="82"/>
        <v>7798.1019668256877</v>
      </c>
      <c r="G1326" s="36">
        <f t="shared" si="83"/>
        <v>7351.1630235743114</v>
      </c>
      <c r="I1326" s="40">
        <v>7713.0498049999997</v>
      </c>
      <c r="J1326" s="36">
        <v>7798.1019668256877</v>
      </c>
      <c r="K1326" s="36">
        <v>7351.1630235743114</v>
      </c>
    </row>
    <row r="1327" spans="1:11" x14ac:dyDescent="0.25">
      <c r="A1327" s="39">
        <v>42464</v>
      </c>
      <c r="B1327" s="36">
        <v>7758.7998049999997</v>
      </c>
      <c r="C1327" s="36">
        <f t="shared" si="80"/>
        <v>7594.1299805499993</v>
      </c>
      <c r="D1327" s="36">
        <f t="shared" si="81"/>
        <v>107.89286519952037</v>
      </c>
      <c r="E1327" s="40">
        <v>7758.7998049999997</v>
      </c>
      <c r="F1327" s="36">
        <f t="shared" si="82"/>
        <v>7809.9157109490397</v>
      </c>
      <c r="G1327" s="36">
        <f t="shared" si="83"/>
        <v>7378.3442501509589</v>
      </c>
      <c r="I1327" s="40">
        <v>7758.7998049999997</v>
      </c>
      <c r="J1327" s="36">
        <v>7809.9157109490397</v>
      </c>
      <c r="K1327" s="36">
        <v>7378.3442501509589</v>
      </c>
    </row>
    <row r="1328" spans="1:11" x14ac:dyDescent="0.25">
      <c r="A1328" s="39">
        <v>42465</v>
      </c>
      <c r="B1328" s="36">
        <v>7603.2001950000003</v>
      </c>
      <c r="C1328" s="36">
        <f t="shared" si="80"/>
        <v>7600.5099854</v>
      </c>
      <c r="D1328" s="36">
        <f t="shared" si="81"/>
        <v>104.22530841085205</v>
      </c>
      <c r="E1328" s="40">
        <v>7603.2001950000003</v>
      </c>
      <c r="F1328" s="36">
        <f t="shared" si="82"/>
        <v>7808.960602221704</v>
      </c>
      <c r="G1328" s="36">
        <f t="shared" si="83"/>
        <v>7392.059368578296</v>
      </c>
      <c r="I1328" s="40">
        <v>7603.2001950000003</v>
      </c>
      <c r="J1328" s="36">
        <v>7808.960602221704</v>
      </c>
      <c r="K1328" s="36">
        <v>7392.059368578296</v>
      </c>
    </row>
    <row r="1329" spans="1:11" x14ac:dyDescent="0.25">
      <c r="A1329" s="39">
        <v>42466</v>
      </c>
      <c r="B1329" s="36">
        <v>7614.3500979999999</v>
      </c>
      <c r="C1329" s="36">
        <f t="shared" si="80"/>
        <v>7606.9599853999998</v>
      </c>
      <c r="D1329" s="36">
        <f t="shared" si="81"/>
        <v>100.6539361544263</v>
      </c>
      <c r="E1329" s="40">
        <v>7614.3500979999999</v>
      </c>
      <c r="F1329" s="36">
        <f t="shared" si="82"/>
        <v>7808.2678577088527</v>
      </c>
      <c r="G1329" s="36">
        <f t="shared" si="83"/>
        <v>7405.6521130911469</v>
      </c>
      <c r="I1329" s="40">
        <v>7614.3500979999999</v>
      </c>
      <c r="J1329" s="36">
        <v>7808.2678577088527</v>
      </c>
      <c r="K1329" s="36">
        <v>7405.6521130911469</v>
      </c>
    </row>
    <row r="1330" spans="1:11" x14ac:dyDescent="0.25">
      <c r="A1330" s="39">
        <v>42467</v>
      </c>
      <c r="B1330" s="36">
        <v>7546.4501950000003</v>
      </c>
      <c r="C1330" s="36">
        <f t="shared" si="80"/>
        <v>7610.0175049000009</v>
      </c>
      <c r="D1330" s="36">
        <f t="shared" si="81"/>
        <v>97.647688180692384</v>
      </c>
      <c r="E1330" s="40">
        <v>7546.4501950000003</v>
      </c>
      <c r="F1330" s="36">
        <f t="shared" si="82"/>
        <v>7805.3128812613859</v>
      </c>
      <c r="G1330" s="36">
        <f t="shared" si="83"/>
        <v>7414.7221285386158</v>
      </c>
      <c r="I1330" s="40">
        <v>7546.4501950000003</v>
      </c>
      <c r="J1330" s="36">
        <v>7805.3128812613859</v>
      </c>
      <c r="K1330" s="36">
        <v>7414.7221285386158</v>
      </c>
    </row>
    <row r="1331" spans="1:11" x14ac:dyDescent="0.25">
      <c r="A1331" s="39">
        <v>42468</v>
      </c>
      <c r="B1331" s="36">
        <v>7555.2001950000003</v>
      </c>
      <c r="C1331" s="36">
        <f t="shared" si="80"/>
        <v>7611.1875244000012</v>
      </c>
      <c r="D1331" s="36">
        <f t="shared" si="81"/>
        <v>96.79764544441187</v>
      </c>
      <c r="E1331" s="40">
        <v>7555.2001950000003</v>
      </c>
      <c r="F1331" s="36">
        <f t="shared" si="82"/>
        <v>7804.7828152888251</v>
      </c>
      <c r="G1331" s="36">
        <f t="shared" si="83"/>
        <v>7417.5922335111773</v>
      </c>
      <c r="I1331" s="40">
        <v>7555.2001950000003</v>
      </c>
      <c r="J1331" s="36">
        <v>7804.7828152888251</v>
      </c>
      <c r="K1331" s="36">
        <v>7417.5922335111773</v>
      </c>
    </row>
    <row r="1332" spans="1:11" x14ac:dyDescent="0.25">
      <c r="A1332" s="39">
        <v>42471</v>
      </c>
      <c r="B1332" s="36">
        <v>7671.3999020000001</v>
      </c>
      <c r="C1332" s="36">
        <f t="shared" si="80"/>
        <v>7620.450024400001</v>
      </c>
      <c r="D1332" s="36">
        <f t="shared" si="81"/>
        <v>92.991551507554036</v>
      </c>
      <c r="E1332" s="40">
        <v>7671.3999020000001</v>
      </c>
      <c r="F1332" s="36">
        <f t="shared" si="82"/>
        <v>7806.4331274151091</v>
      </c>
      <c r="G1332" s="36">
        <f t="shared" si="83"/>
        <v>7434.4669213848929</v>
      </c>
      <c r="I1332" s="40">
        <v>7671.3999020000001</v>
      </c>
      <c r="J1332" s="36">
        <v>7806.4331274151091</v>
      </c>
      <c r="K1332" s="36">
        <v>7434.4669213848929</v>
      </c>
    </row>
    <row r="1333" spans="1:11" x14ac:dyDescent="0.25">
      <c r="A1333" s="39">
        <v>42472</v>
      </c>
      <c r="B1333" s="36">
        <v>7708.9501950000003</v>
      </c>
      <c r="C1333" s="36">
        <f t="shared" si="80"/>
        <v>7630.387524400001</v>
      </c>
      <c r="D1333" s="36">
        <f t="shared" si="81"/>
        <v>91.191909143750706</v>
      </c>
      <c r="E1333" s="40">
        <v>7708.9501950000003</v>
      </c>
      <c r="F1333" s="36">
        <f t="shared" si="82"/>
        <v>7812.7713426875025</v>
      </c>
      <c r="G1333" s="36">
        <f t="shared" si="83"/>
        <v>7448.0037061124995</v>
      </c>
      <c r="I1333" s="40">
        <v>7708.9501950000003</v>
      </c>
      <c r="J1333" s="36">
        <v>7812.7713426875025</v>
      </c>
      <c r="K1333" s="36">
        <v>7448.0037061124995</v>
      </c>
    </row>
    <row r="1334" spans="1:11" x14ac:dyDescent="0.25">
      <c r="A1334" s="39">
        <v>42473</v>
      </c>
      <c r="B1334" s="36">
        <v>7850.4501950000003</v>
      </c>
      <c r="C1334" s="36">
        <f t="shared" si="80"/>
        <v>7645.9725341499998</v>
      </c>
      <c r="D1334" s="36">
        <f t="shared" si="81"/>
        <v>100.83222493138403</v>
      </c>
      <c r="E1334" s="40">
        <v>7850.4501950000003</v>
      </c>
      <c r="F1334" s="36">
        <f t="shared" si="82"/>
        <v>7847.6369840127682</v>
      </c>
      <c r="G1334" s="36">
        <f t="shared" si="83"/>
        <v>7444.3080842872314</v>
      </c>
      <c r="I1334" s="40">
        <v>7850.4501950000003</v>
      </c>
      <c r="J1334" s="36">
        <v>7847.6369840127682</v>
      </c>
      <c r="K1334" s="36">
        <v>7444.3080842872314</v>
      </c>
    </row>
    <row r="1335" spans="1:11" x14ac:dyDescent="0.25">
      <c r="A1335" s="39">
        <v>42478</v>
      </c>
      <c r="B1335" s="36">
        <v>7914.7001950000003</v>
      </c>
      <c r="C1335" s="36">
        <f t="shared" si="80"/>
        <v>7668.6775390000012</v>
      </c>
      <c r="D1335" s="36">
        <f t="shared" si="81"/>
        <v>107.78069469373243</v>
      </c>
      <c r="E1335" s="40">
        <v>7914.7001950000003</v>
      </c>
      <c r="F1335" s="36">
        <f t="shared" si="82"/>
        <v>7884.2389283874663</v>
      </c>
      <c r="G1335" s="36">
        <f t="shared" si="83"/>
        <v>7453.116149612536</v>
      </c>
      <c r="I1335" s="40">
        <v>7914.7001950000003</v>
      </c>
      <c r="J1335" s="36">
        <v>7884.2389283874663</v>
      </c>
      <c r="K1335" s="36">
        <v>7453.116149612536</v>
      </c>
    </row>
    <row r="1336" spans="1:11" x14ac:dyDescent="0.25">
      <c r="A1336" s="39">
        <v>42480</v>
      </c>
      <c r="B1336" s="36">
        <v>7914.75</v>
      </c>
      <c r="C1336" s="36">
        <f t="shared" si="80"/>
        <v>7689.4775390000013</v>
      </c>
      <c r="D1336" s="36">
        <f t="shared" si="81"/>
        <v>113.26270635739021</v>
      </c>
      <c r="E1336" s="40">
        <v>7914.75</v>
      </c>
      <c r="F1336" s="36">
        <f t="shared" si="82"/>
        <v>7916.0029517147814</v>
      </c>
      <c r="G1336" s="36">
        <f t="shared" si="83"/>
        <v>7462.9521262852213</v>
      </c>
      <c r="I1336" s="40">
        <v>7914.75</v>
      </c>
      <c r="J1336" s="36">
        <v>7916.0029517147814</v>
      </c>
      <c r="K1336" s="36">
        <v>7462.9521262852213</v>
      </c>
    </row>
    <row r="1337" spans="1:11" x14ac:dyDescent="0.25">
      <c r="A1337" s="39">
        <v>42481</v>
      </c>
      <c r="B1337" s="36">
        <v>7912.0498049999997</v>
      </c>
      <c r="C1337" s="36">
        <f t="shared" si="80"/>
        <v>7709.4525389999999</v>
      </c>
      <c r="D1337" s="36">
        <f t="shared" si="81"/>
        <v>115.62083003248325</v>
      </c>
      <c r="E1337" s="40">
        <v>7912.0498049999997</v>
      </c>
      <c r="F1337" s="36">
        <f t="shared" si="82"/>
        <v>7940.6941990649666</v>
      </c>
      <c r="G1337" s="36">
        <f t="shared" si="83"/>
        <v>7478.2108789350332</v>
      </c>
      <c r="I1337" s="40">
        <v>7912.0498049999997</v>
      </c>
      <c r="J1337" s="36">
        <v>7940.6941990649666</v>
      </c>
      <c r="K1337" s="36">
        <v>7478.2108789350332</v>
      </c>
    </row>
    <row r="1338" spans="1:11" x14ac:dyDescent="0.25">
      <c r="A1338" s="39">
        <v>42482</v>
      </c>
      <c r="B1338" s="36">
        <v>7899.2998049999997</v>
      </c>
      <c r="C1338" s="36">
        <f t="shared" si="80"/>
        <v>7724.2000243499979</v>
      </c>
      <c r="D1338" s="36">
        <f t="shared" si="81"/>
        <v>120.22808263576054</v>
      </c>
      <c r="E1338" s="40">
        <v>7899.2998049999997</v>
      </c>
      <c r="F1338" s="36">
        <f t="shared" si="82"/>
        <v>7964.6561896215189</v>
      </c>
      <c r="G1338" s="36">
        <f t="shared" si="83"/>
        <v>7483.7438590784768</v>
      </c>
      <c r="I1338" s="40">
        <v>7899.2998049999997</v>
      </c>
      <c r="J1338" s="36">
        <v>7964.6561896215189</v>
      </c>
      <c r="K1338" s="36">
        <v>7483.7438590784768</v>
      </c>
    </row>
    <row r="1339" spans="1:11" x14ac:dyDescent="0.25">
      <c r="A1339" s="39">
        <v>42485</v>
      </c>
      <c r="B1339" s="36">
        <v>7855.0498049999997</v>
      </c>
      <c r="C1339" s="36">
        <f t="shared" si="80"/>
        <v>7731.7400145999982</v>
      </c>
      <c r="D1339" s="36">
        <f t="shared" si="81"/>
        <v>123.59264111042151</v>
      </c>
      <c r="E1339" s="40">
        <v>7855.0498049999997</v>
      </c>
      <c r="F1339" s="36">
        <f t="shared" si="82"/>
        <v>7978.9252968208411</v>
      </c>
      <c r="G1339" s="36">
        <f t="shared" si="83"/>
        <v>7484.5547323791552</v>
      </c>
      <c r="I1339" s="40">
        <v>7855.0498049999997</v>
      </c>
      <c r="J1339" s="36">
        <v>7978.9252968208411</v>
      </c>
      <c r="K1339" s="36">
        <v>7484.5547323791552</v>
      </c>
    </row>
    <row r="1340" spans="1:11" x14ac:dyDescent="0.25">
      <c r="A1340" s="39">
        <v>42486</v>
      </c>
      <c r="B1340" s="36">
        <v>7962.6499020000001</v>
      </c>
      <c r="C1340" s="36">
        <f t="shared" si="80"/>
        <v>7744.1275145999989</v>
      </c>
      <c r="D1340" s="36">
        <f t="shared" si="81"/>
        <v>133.80946024656018</v>
      </c>
      <c r="E1340" s="40">
        <v>7962.6499020000001</v>
      </c>
      <c r="F1340" s="36">
        <f t="shared" si="82"/>
        <v>8011.7464350931195</v>
      </c>
      <c r="G1340" s="36">
        <f t="shared" si="83"/>
        <v>7476.5085941068783</v>
      </c>
      <c r="I1340" s="40">
        <v>7962.6499020000001</v>
      </c>
      <c r="J1340" s="36">
        <v>8011.7464350931195</v>
      </c>
      <c r="K1340" s="36">
        <v>7476.5085941068783</v>
      </c>
    </row>
    <row r="1341" spans="1:11" x14ac:dyDescent="0.25">
      <c r="A1341" s="39">
        <v>42487</v>
      </c>
      <c r="B1341" s="36">
        <v>7979.8999020000001</v>
      </c>
      <c r="C1341" s="36">
        <f t="shared" si="80"/>
        <v>7757.2975096999999</v>
      </c>
      <c r="D1341" s="36">
        <f t="shared" si="81"/>
        <v>143.55465217427815</v>
      </c>
      <c r="E1341" s="40">
        <v>7979.8999020000001</v>
      </c>
      <c r="F1341" s="36">
        <f t="shared" si="82"/>
        <v>8044.406814048556</v>
      </c>
      <c r="G1341" s="36">
        <f t="shared" si="83"/>
        <v>7470.1882053514437</v>
      </c>
      <c r="I1341" s="40">
        <v>7979.8999020000001</v>
      </c>
      <c r="J1341" s="36">
        <v>8044.406814048556</v>
      </c>
      <c r="K1341" s="36">
        <v>7470.1882053514437</v>
      </c>
    </row>
    <row r="1342" spans="1:11" x14ac:dyDescent="0.25">
      <c r="A1342" s="39">
        <v>42488</v>
      </c>
      <c r="B1342" s="36">
        <v>7847.25</v>
      </c>
      <c r="C1342" s="36">
        <f t="shared" si="80"/>
        <v>7768.9050048000008</v>
      </c>
      <c r="D1342" s="36">
        <f t="shared" si="81"/>
        <v>140.81108898164598</v>
      </c>
      <c r="E1342" s="40">
        <v>7847.25</v>
      </c>
      <c r="F1342" s="36">
        <f t="shared" si="82"/>
        <v>8050.5271827632932</v>
      </c>
      <c r="G1342" s="36">
        <f t="shared" si="83"/>
        <v>7487.2828268367084</v>
      </c>
      <c r="I1342" s="40">
        <v>7847.25</v>
      </c>
      <c r="J1342" s="36">
        <v>8050.5271827632932</v>
      </c>
      <c r="K1342" s="36">
        <v>7487.2828268367084</v>
      </c>
    </row>
    <row r="1343" spans="1:11" x14ac:dyDescent="0.25">
      <c r="A1343" s="39">
        <v>42489</v>
      </c>
      <c r="B1343" s="36">
        <v>7849.7998049999997</v>
      </c>
      <c r="C1343" s="36">
        <f t="shared" si="80"/>
        <v>7781.5449950499997</v>
      </c>
      <c r="D1343" s="36">
        <f t="shared" si="81"/>
        <v>135.82588385550457</v>
      </c>
      <c r="E1343" s="40">
        <v>7849.7998049999997</v>
      </c>
      <c r="F1343" s="36">
        <f t="shared" si="82"/>
        <v>8053.1967627610084</v>
      </c>
      <c r="G1343" s="36">
        <f t="shared" si="83"/>
        <v>7509.893227338991</v>
      </c>
      <c r="I1343" s="40">
        <v>7849.7998049999997</v>
      </c>
      <c r="J1343" s="36">
        <v>8053.1967627610084</v>
      </c>
      <c r="K1343" s="36">
        <v>7509.893227338991</v>
      </c>
    </row>
    <row r="1344" spans="1:11" x14ac:dyDescent="0.25">
      <c r="A1344" s="39">
        <v>42492</v>
      </c>
      <c r="B1344" s="36">
        <v>7805.8999020000001</v>
      </c>
      <c r="C1344" s="36">
        <f t="shared" si="80"/>
        <v>7785.0799803999998</v>
      </c>
      <c r="D1344" s="36">
        <f t="shared" si="81"/>
        <v>135.47579747918968</v>
      </c>
      <c r="E1344" s="40">
        <v>7805.8999020000001</v>
      </c>
      <c r="F1344" s="36">
        <f t="shared" si="82"/>
        <v>8056.0315753583791</v>
      </c>
      <c r="G1344" s="36">
        <f t="shared" si="83"/>
        <v>7514.1283854416206</v>
      </c>
      <c r="I1344" s="40">
        <v>7805.8999020000001</v>
      </c>
      <c r="J1344" s="36">
        <v>8056.0315753583791</v>
      </c>
      <c r="K1344" s="36">
        <v>7514.1283854416206</v>
      </c>
    </row>
    <row r="1345" spans="1:11" x14ac:dyDescent="0.25">
      <c r="A1345" s="39">
        <v>42493</v>
      </c>
      <c r="B1345" s="36">
        <v>7747</v>
      </c>
      <c r="C1345" s="36">
        <f t="shared" si="80"/>
        <v>7785.5099852999992</v>
      </c>
      <c r="D1345" s="36">
        <f t="shared" si="81"/>
        <v>135.33340884710572</v>
      </c>
      <c r="E1345" s="40">
        <v>7747</v>
      </c>
      <c r="F1345" s="36">
        <f t="shared" si="82"/>
        <v>8056.1768029942104</v>
      </c>
      <c r="G1345" s="36">
        <f t="shared" si="83"/>
        <v>7514.843167605788</v>
      </c>
      <c r="I1345" s="40">
        <v>7747</v>
      </c>
      <c r="J1345" s="36">
        <v>8056.1768029942104</v>
      </c>
      <c r="K1345" s="36">
        <v>7514.843167605788</v>
      </c>
    </row>
    <row r="1346" spans="1:11" x14ac:dyDescent="0.25">
      <c r="A1346" s="39">
        <v>42494</v>
      </c>
      <c r="B1346" s="36">
        <v>7706.5498049999997</v>
      </c>
      <c r="C1346" s="36">
        <f t="shared" si="80"/>
        <v>7785.1849852999994</v>
      </c>
      <c r="D1346" s="36">
        <f t="shared" si="81"/>
        <v>135.52424900466289</v>
      </c>
      <c r="E1346" s="40">
        <v>7706.5498049999997</v>
      </c>
      <c r="F1346" s="36">
        <f t="shared" si="82"/>
        <v>8056.2334833093255</v>
      </c>
      <c r="G1346" s="36">
        <f t="shared" si="83"/>
        <v>7514.1364872906734</v>
      </c>
      <c r="I1346" s="40">
        <v>7706.5498049999997</v>
      </c>
      <c r="J1346" s="36">
        <v>8056.2334833093255</v>
      </c>
      <c r="K1346" s="36">
        <v>7514.1364872906734</v>
      </c>
    </row>
    <row r="1347" spans="1:11" x14ac:dyDescent="0.25">
      <c r="A1347" s="39">
        <v>42495</v>
      </c>
      <c r="B1347" s="36">
        <v>7735.5</v>
      </c>
      <c r="C1347" s="36">
        <f t="shared" si="80"/>
        <v>7784.01999505</v>
      </c>
      <c r="D1347" s="36">
        <f t="shared" si="81"/>
        <v>135.86272004769825</v>
      </c>
      <c r="E1347" s="40">
        <v>7735.5</v>
      </c>
      <c r="F1347" s="36">
        <f t="shared" si="82"/>
        <v>8055.7454351453962</v>
      </c>
      <c r="G1347" s="36">
        <f t="shared" si="83"/>
        <v>7512.2945549546039</v>
      </c>
      <c r="I1347" s="40">
        <v>7735.5</v>
      </c>
      <c r="J1347" s="36">
        <v>8055.7454351453962</v>
      </c>
      <c r="K1347" s="36">
        <v>7512.2945549546039</v>
      </c>
    </row>
    <row r="1348" spans="1:11" x14ac:dyDescent="0.25">
      <c r="A1348" s="39">
        <v>42496</v>
      </c>
      <c r="B1348" s="36">
        <v>7733.4501950000003</v>
      </c>
      <c r="C1348" s="36">
        <f t="shared" si="80"/>
        <v>7790.5324950500017</v>
      </c>
      <c r="D1348" s="36">
        <f t="shared" si="81"/>
        <v>129.72199966373444</v>
      </c>
      <c r="E1348" s="40">
        <v>7733.4501950000003</v>
      </c>
      <c r="F1348" s="36">
        <f t="shared" si="82"/>
        <v>8049.9764943774708</v>
      </c>
      <c r="G1348" s="36">
        <f t="shared" si="83"/>
        <v>7531.0884957225326</v>
      </c>
      <c r="I1348" s="40">
        <v>7733.4501950000003</v>
      </c>
      <c r="J1348" s="36">
        <v>8049.9764943774708</v>
      </c>
      <c r="K1348" s="36">
        <v>7531.0884957225326</v>
      </c>
    </row>
    <row r="1349" spans="1:11" x14ac:dyDescent="0.25">
      <c r="A1349" s="39">
        <v>42499</v>
      </c>
      <c r="B1349" s="36">
        <v>7866.0498049999997</v>
      </c>
      <c r="C1349" s="36">
        <f t="shared" si="80"/>
        <v>7803.1174804000011</v>
      </c>
      <c r="D1349" s="36">
        <f t="shared" si="81"/>
        <v>123.80441635796836</v>
      </c>
      <c r="E1349" s="40">
        <v>7866.0498049999997</v>
      </c>
      <c r="F1349" s="36">
        <f t="shared" si="82"/>
        <v>8050.726313115938</v>
      </c>
      <c r="G1349" s="36">
        <f t="shared" si="83"/>
        <v>7555.5086476840643</v>
      </c>
      <c r="I1349" s="40">
        <v>7866.0498049999997</v>
      </c>
      <c r="J1349" s="36">
        <v>8050.726313115938</v>
      </c>
      <c r="K1349" s="36">
        <v>7555.5086476840643</v>
      </c>
    </row>
    <row r="1350" spans="1:11" x14ac:dyDescent="0.25">
      <c r="A1350" s="39">
        <v>42500</v>
      </c>
      <c r="B1350" s="36">
        <v>7887.7998049999997</v>
      </c>
      <c r="C1350" s="36">
        <f t="shared" si="80"/>
        <v>7820.184960900001</v>
      </c>
      <c r="D1350" s="36">
        <f t="shared" si="81"/>
        <v>109.22939636565545</v>
      </c>
      <c r="E1350" s="40">
        <v>7887.7998049999997</v>
      </c>
      <c r="F1350" s="36">
        <f t="shared" si="82"/>
        <v>8038.6437536313115</v>
      </c>
      <c r="G1350" s="36">
        <f t="shared" si="83"/>
        <v>7601.7261681686905</v>
      </c>
      <c r="I1350" s="40">
        <v>7887.7998049999997</v>
      </c>
      <c r="J1350" s="36">
        <v>8038.6437536313115</v>
      </c>
      <c r="K1350" s="36">
        <v>7601.7261681686905</v>
      </c>
    </row>
    <row r="1351" spans="1:11" x14ac:dyDescent="0.25">
      <c r="A1351" s="39">
        <v>42501</v>
      </c>
      <c r="B1351" s="36">
        <v>7848.8500979999999</v>
      </c>
      <c r="C1351" s="36">
        <f t="shared" si="80"/>
        <v>7834.8674560500003</v>
      </c>
      <c r="D1351" s="36">
        <f t="shared" si="81"/>
        <v>89.731591053539262</v>
      </c>
      <c r="E1351" s="40">
        <v>7848.8500979999999</v>
      </c>
      <c r="F1351" s="36">
        <f t="shared" si="82"/>
        <v>8014.3306381570792</v>
      </c>
      <c r="G1351" s="36">
        <f t="shared" si="83"/>
        <v>7655.4042739429215</v>
      </c>
      <c r="I1351" s="40">
        <v>7848.8500979999999</v>
      </c>
      <c r="J1351" s="36">
        <v>8014.3306381570792</v>
      </c>
      <c r="K1351" s="36">
        <v>7655.4042739429215</v>
      </c>
    </row>
    <row r="1352" spans="1:11" x14ac:dyDescent="0.25">
      <c r="A1352" s="39">
        <v>42502</v>
      </c>
      <c r="B1352" s="36">
        <v>7900.3999020000001</v>
      </c>
      <c r="C1352" s="36">
        <f t="shared" si="80"/>
        <v>7846.3174560500001</v>
      </c>
      <c r="D1352" s="36">
        <f t="shared" si="81"/>
        <v>82.057175340411135</v>
      </c>
      <c r="E1352" s="40">
        <v>7900.3999020000001</v>
      </c>
      <c r="F1352" s="36">
        <f t="shared" si="82"/>
        <v>8010.4318067308222</v>
      </c>
      <c r="G1352" s="36">
        <f t="shared" si="83"/>
        <v>7682.203105369178</v>
      </c>
      <c r="I1352" s="40">
        <v>7900.3999020000001</v>
      </c>
      <c r="J1352" s="36">
        <v>8010.4318067308222</v>
      </c>
      <c r="K1352" s="36">
        <v>7682.203105369178</v>
      </c>
    </row>
    <row r="1353" spans="1:11" x14ac:dyDescent="0.25">
      <c r="A1353" s="39">
        <v>42503</v>
      </c>
      <c r="B1353" s="36">
        <v>7814.8999020000001</v>
      </c>
      <c r="C1353" s="36">
        <f t="shared" si="80"/>
        <v>7851.6149414000001</v>
      </c>
      <c r="D1353" s="36">
        <f t="shared" si="81"/>
        <v>75.912086183374399</v>
      </c>
      <c r="E1353" s="40">
        <v>7814.8999020000001</v>
      </c>
      <c r="F1353" s="36">
        <f t="shared" si="82"/>
        <v>8003.439113766749</v>
      </c>
      <c r="G1353" s="36">
        <f t="shared" si="83"/>
        <v>7699.7907690332513</v>
      </c>
      <c r="I1353" s="40">
        <v>7814.8999020000001</v>
      </c>
      <c r="J1353" s="36">
        <v>8003.439113766749</v>
      </c>
      <c r="K1353" s="36">
        <v>7699.7907690332513</v>
      </c>
    </row>
    <row r="1354" spans="1:11" x14ac:dyDescent="0.25">
      <c r="A1354" s="39">
        <v>42506</v>
      </c>
      <c r="B1354" s="36">
        <v>7860.75</v>
      </c>
      <c r="C1354" s="36">
        <f t="shared" si="80"/>
        <v>7852.1299316500008</v>
      </c>
      <c r="D1354" s="36">
        <f t="shared" si="81"/>
        <v>75.938701078333892</v>
      </c>
      <c r="E1354" s="40">
        <v>7860.75</v>
      </c>
      <c r="F1354" s="36">
        <f t="shared" si="82"/>
        <v>8004.0073338066686</v>
      </c>
      <c r="G1354" s="36">
        <f t="shared" si="83"/>
        <v>7700.252529493333</v>
      </c>
      <c r="I1354" s="40">
        <v>7860.75</v>
      </c>
      <c r="J1354" s="36">
        <v>8004.0073338066686</v>
      </c>
      <c r="K1354" s="36">
        <v>7700.252529493333</v>
      </c>
    </row>
    <row r="1355" spans="1:11" x14ac:dyDescent="0.25">
      <c r="A1355" s="39">
        <v>42507</v>
      </c>
      <c r="B1355" s="36">
        <v>7890.75</v>
      </c>
      <c r="C1355" s="36">
        <f t="shared" si="80"/>
        <v>7850.9324219</v>
      </c>
      <c r="D1355" s="36">
        <f t="shared" si="81"/>
        <v>75.084104190416738</v>
      </c>
      <c r="E1355" s="40">
        <v>7890.75</v>
      </c>
      <c r="F1355" s="36">
        <f t="shared" si="82"/>
        <v>8001.1006302808337</v>
      </c>
      <c r="G1355" s="36">
        <f t="shared" si="83"/>
        <v>7700.7642135191663</v>
      </c>
      <c r="I1355" s="40">
        <v>7890.75</v>
      </c>
      <c r="J1355" s="36">
        <v>8001.1006302808337</v>
      </c>
      <c r="K1355" s="36">
        <v>7700.7642135191663</v>
      </c>
    </row>
    <row r="1356" spans="1:11" x14ac:dyDescent="0.25">
      <c r="A1356" s="39">
        <v>42508</v>
      </c>
      <c r="B1356" s="36">
        <v>7870.1499020000001</v>
      </c>
      <c r="C1356" s="36">
        <f t="shared" si="80"/>
        <v>7848.7024170000004</v>
      </c>
      <c r="D1356" s="36">
        <f t="shared" si="81"/>
        <v>73.739227998054986</v>
      </c>
      <c r="E1356" s="40">
        <v>7870.1499020000001</v>
      </c>
      <c r="F1356" s="36">
        <f t="shared" si="82"/>
        <v>7996.1808729961103</v>
      </c>
      <c r="G1356" s="36">
        <f t="shared" si="83"/>
        <v>7701.2239610038905</v>
      </c>
      <c r="I1356" s="40">
        <v>7870.1499020000001</v>
      </c>
      <c r="J1356" s="36">
        <v>7996.1808729961103</v>
      </c>
      <c r="K1356" s="36">
        <v>7701.2239610038905</v>
      </c>
    </row>
    <row r="1357" spans="1:11" x14ac:dyDescent="0.25">
      <c r="A1357" s="39">
        <v>42509</v>
      </c>
      <c r="B1357" s="36">
        <v>7783.3999020000001</v>
      </c>
      <c r="C1357" s="36">
        <f t="shared" si="80"/>
        <v>7842.2699218500002</v>
      </c>
      <c r="D1357" s="36">
        <f t="shared" si="81"/>
        <v>73.533375233377356</v>
      </c>
      <c r="E1357" s="40">
        <v>7783.3999020000001</v>
      </c>
      <c r="F1357" s="36">
        <f t="shared" si="82"/>
        <v>7989.3366723167546</v>
      </c>
      <c r="G1357" s="36">
        <f t="shared" si="83"/>
        <v>7695.2031713832457</v>
      </c>
      <c r="I1357" s="40">
        <v>7783.3999020000001</v>
      </c>
      <c r="J1357" s="36">
        <v>7989.3366723167546</v>
      </c>
      <c r="K1357" s="36">
        <v>7695.2031713832457</v>
      </c>
    </row>
    <row r="1358" spans="1:11" x14ac:dyDescent="0.25">
      <c r="A1358" s="39">
        <v>42510</v>
      </c>
      <c r="B1358" s="36">
        <v>7749.7001950000003</v>
      </c>
      <c r="C1358" s="36">
        <f t="shared" si="80"/>
        <v>7834.7899413500027</v>
      </c>
      <c r="D1358" s="36">
        <f t="shared" si="81"/>
        <v>75.020605163344456</v>
      </c>
      <c r="E1358" s="40">
        <v>7749.7001950000003</v>
      </c>
      <c r="F1358" s="36">
        <f t="shared" si="82"/>
        <v>7984.8311516766917</v>
      </c>
      <c r="G1358" s="36">
        <f t="shared" si="83"/>
        <v>7684.7487310233137</v>
      </c>
      <c r="I1358" s="40">
        <v>7749.7001950000003</v>
      </c>
      <c r="J1358" s="36">
        <v>7984.8311516766917</v>
      </c>
      <c r="K1358" s="36">
        <v>7684.7487310233137</v>
      </c>
    </row>
    <row r="1359" spans="1:11" x14ac:dyDescent="0.25">
      <c r="A1359" s="39">
        <v>42513</v>
      </c>
      <c r="B1359" s="36">
        <v>7731.0498049999997</v>
      </c>
      <c r="C1359" s="36">
        <f t="shared" si="80"/>
        <v>7828.589941350001</v>
      </c>
      <c r="D1359" s="36">
        <f t="shared" si="81"/>
        <v>78.309939745930564</v>
      </c>
      <c r="E1359" s="40">
        <v>7731.0498049999997</v>
      </c>
      <c r="F1359" s="36">
        <f t="shared" si="82"/>
        <v>7985.209820841862</v>
      </c>
      <c r="G1359" s="36">
        <f t="shared" si="83"/>
        <v>7671.9700618581401</v>
      </c>
      <c r="I1359" s="40">
        <v>7731.0498049999997</v>
      </c>
      <c r="J1359" s="36">
        <v>7985.209820841862</v>
      </c>
      <c r="K1359" s="36">
        <v>7671.9700618581401</v>
      </c>
    </row>
    <row r="1360" spans="1:11" x14ac:dyDescent="0.25">
      <c r="A1360" s="39">
        <v>42514</v>
      </c>
      <c r="B1360" s="36">
        <v>7748.8500979999999</v>
      </c>
      <c r="C1360" s="36">
        <f t="shared" si="80"/>
        <v>7817.8999511500006</v>
      </c>
      <c r="D1360" s="36">
        <f t="shared" si="81"/>
        <v>73.490901103718912</v>
      </c>
      <c r="E1360" s="40">
        <v>7748.8500979999999</v>
      </c>
      <c r="F1360" s="36">
        <f t="shared" si="82"/>
        <v>7964.8817533574384</v>
      </c>
      <c r="G1360" s="36">
        <f t="shared" si="83"/>
        <v>7670.9181489425628</v>
      </c>
      <c r="I1360" s="40">
        <v>7748.8500979999999</v>
      </c>
      <c r="J1360" s="36">
        <v>7964.8817533574384</v>
      </c>
      <c r="K1360" s="36">
        <v>7670.9181489425628</v>
      </c>
    </row>
    <row r="1361" spans="1:11" x14ac:dyDescent="0.25">
      <c r="A1361" s="39">
        <v>42515</v>
      </c>
      <c r="B1361" s="36">
        <v>7934.8999020000001</v>
      </c>
      <c r="C1361" s="36">
        <f t="shared" si="80"/>
        <v>7815.6499511500006</v>
      </c>
      <c r="D1361" s="36">
        <f t="shared" si="81"/>
        <v>68.809842005339249</v>
      </c>
      <c r="E1361" s="40">
        <v>7934.8999020000001</v>
      </c>
      <c r="F1361" s="36">
        <f t="shared" si="82"/>
        <v>7953.2696351606792</v>
      </c>
      <c r="G1361" s="36">
        <f t="shared" si="83"/>
        <v>7678.0302671393219</v>
      </c>
      <c r="I1361" s="40">
        <v>7934.8999020000001</v>
      </c>
      <c r="J1361" s="36">
        <v>7953.2696351606792</v>
      </c>
      <c r="K1361" s="36">
        <v>7678.0302671393219</v>
      </c>
    </row>
    <row r="1362" spans="1:11" x14ac:dyDescent="0.25">
      <c r="A1362" s="39">
        <v>42516</v>
      </c>
      <c r="B1362" s="36">
        <v>8069.6499020000001</v>
      </c>
      <c r="C1362" s="36">
        <f t="shared" si="80"/>
        <v>7826.7699462500004</v>
      </c>
      <c r="D1362" s="36">
        <f t="shared" si="81"/>
        <v>89.149613720329384</v>
      </c>
      <c r="E1362" s="40">
        <v>8069.6499020000001</v>
      </c>
      <c r="F1362" s="36">
        <f t="shared" si="82"/>
        <v>8005.0691736906592</v>
      </c>
      <c r="G1362" s="36">
        <f t="shared" si="83"/>
        <v>7648.4707188093416</v>
      </c>
      <c r="I1362" s="40">
        <v>8069.6499020000001</v>
      </c>
      <c r="J1362" s="36">
        <v>8005.0691736906592</v>
      </c>
      <c r="K1362" s="36">
        <v>7648.4707188093416</v>
      </c>
    </row>
    <row r="1363" spans="1:11" x14ac:dyDescent="0.25">
      <c r="A1363" s="39">
        <v>42517</v>
      </c>
      <c r="B1363" s="36">
        <v>8156.6499020000001</v>
      </c>
      <c r="C1363" s="36">
        <f t="shared" si="80"/>
        <v>7842.1124511000016</v>
      </c>
      <c r="D1363" s="36">
        <f t="shared" si="81"/>
        <v>115.75563658285239</v>
      </c>
      <c r="E1363" s="40">
        <v>8156.6499020000001</v>
      </c>
      <c r="F1363" s="36">
        <f t="shared" si="82"/>
        <v>8073.6237242657062</v>
      </c>
      <c r="G1363" s="36">
        <f t="shared" si="83"/>
        <v>7610.6011779342971</v>
      </c>
      <c r="I1363" s="40">
        <v>8156.6499020000001</v>
      </c>
      <c r="J1363" s="36">
        <v>8073.6237242657062</v>
      </c>
      <c r="K1363" s="36">
        <v>7610.6011779342971</v>
      </c>
    </row>
    <row r="1364" spans="1:11" x14ac:dyDescent="0.25">
      <c r="A1364" s="39">
        <v>42520</v>
      </c>
      <c r="B1364" s="36">
        <v>8178.5</v>
      </c>
      <c r="C1364" s="36">
        <f t="shared" si="80"/>
        <v>7860.7424560000018</v>
      </c>
      <c r="D1364" s="36">
        <f t="shared" si="81"/>
        <v>137.55222420755729</v>
      </c>
      <c r="E1364" s="40">
        <v>8178.5</v>
      </c>
      <c r="F1364" s="36">
        <f t="shared" si="82"/>
        <v>8135.8469044151161</v>
      </c>
      <c r="G1364" s="36">
        <f t="shared" si="83"/>
        <v>7585.6380075848874</v>
      </c>
      <c r="I1364" s="40">
        <v>8178.5</v>
      </c>
      <c r="J1364" s="36">
        <v>8135.8469044151161</v>
      </c>
      <c r="K1364" s="36">
        <v>7585.6380075848874</v>
      </c>
    </row>
    <row r="1365" spans="1:11" x14ac:dyDescent="0.25">
      <c r="A1365" s="39">
        <v>42521</v>
      </c>
      <c r="B1365" s="36">
        <v>8160.1000979999999</v>
      </c>
      <c r="C1365" s="36">
        <f t="shared" si="80"/>
        <v>7881.3974608999997</v>
      </c>
      <c r="D1365" s="36">
        <f t="shared" si="81"/>
        <v>150.0239876053131</v>
      </c>
      <c r="E1365" s="40">
        <v>8160.1000979999999</v>
      </c>
      <c r="F1365" s="36">
        <f t="shared" si="82"/>
        <v>8181.4454361106255</v>
      </c>
      <c r="G1365" s="36">
        <f t="shared" si="83"/>
        <v>7581.349485689374</v>
      </c>
      <c r="I1365" s="40">
        <v>8160.1000979999999</v>
      </c>
      <c r="J1365" s="36">
        <v>8181.4454361106255</v>
      </c>
      <c r="K1365" s="36">
        <v>7581.349485689374</v>
      </c>
    </row>
    <row r="1366" spans="1:11" x14ac:dyDescent="0.25">
      <c r="A1366" s="39">
        <v>42522</v>
      </c>
      <c r="B1366" s="36">
        <v>8179.9501950000003</v>
      </c>
      <c r="C1366" s="36">
        <f t="shared" ref="C1366:C1429" si="84">AVERAGE(B1347:B1366)</f>
        <v>7905.0674804000009</v>
      </c>
      <c r="D1366" s="36">
        <f t="shared" ref="D1366:D1429" si="85">_xlfn.STDEV.S(B1347:B1366)</f>
        <v>158.11278054890818</v>
      </c>
      <c r="E1366" s="40">
        <v>8179.9501950000003</v>
      </c>
      <c r="F1366" s="36">
        <f t="shared" ref="F1366:F1429" si="86">C1366+2*D1366</f>
        <v>8221.2930414978182</v>
      </c>
      <c r="G1366" s="36">
        <f t="shared" ref="G1366:G1429" si="87">C1366-2*D1366</f>
        <v>7588.8419193021846</v>
      </c>
      <c r="I1366" s="40">
        <v>8179.9501950000003</v>
      </c>
      <c r="J1366" s="36">
        <v>8221.2930414978182</v>
      </c>
      <c r="K1366" s="36">
        <v>7588.8419193021846</v>
      </c>
    </row>
    <row r="1367" spans="1:11" x14ac:dyDescent="0.25">
      <c r="A1367" s="39">
        <v>42523</v>
      </c>
      <c r="B1367" s="36">
        <v>8218.9501949999994</v>
      </c>
      <c r="C1367" s="36">
        <f t="shared" si="84"/>
        <v>7929.2399901500012</v>
      </c>
      <c r="D1367" s="36">
        <f t="shared" si="85"/>
        <v>167.50120182576225</v>
      </c>
      <c r="E1367" s="40">
        <v>8218.9501949999994</v>
      </c>
      <c r="F1367" s="36">
        <f t="shared" si="86"/>
        <v>8264.2423938015254</v>
      </c>
      <c r="G1367" s="36">
        <f t="shared" si="87"/>
        <v>7594.237586498477</v>
      </c>
      <c r="I1367" s="40">
        <v>8218.9501949999994</v>
      </c>
      <c r="J1367" s="36">
        <v>8264.2423938015254</v>
      </c>
      <c r="K1367" s="36">
        <v>7594.237586498477</v>
      </c>
    </row>
    <row r="1368" spans="1:11" x14ac:dyDescent="0.25">
      <c r="A1368" s="39">
        <v>42524</v>
      </c>
      <c r="B1368" s="36">
        <v>8220.7998050000006</v>
      </c>
      <c r="C1368" s="36">
        <f t="shared" si="84"/>
        <v>7953.6074706500021</v>
      </c>
      <c r="D1368" s="36">
        <f t="shared" si="85"/>
        <v>172.88182749474768</v>
      </c>
      <c r="E1368" s="40">
        <v>8220.7998050000006</v>
      </c>
      <c r="F1368" s="36">
        <f t="shared" si="86"/>
        <v>8299.3711256394981</v>
      </c>
      <c r="G1368" s="36">
        <f t="shared" si="87"/>
        <v>7607.8438156605071</v>
      </c>
      <c r="I1368" s="40">
        <v>8220.7998050000006</v>
      </c>
      <c r="J1368" s="36">
        <v>8299.3711256394981</v>
      </c>
      <c r="K1368" s="36">
        <v>7607.8438156605071</v>
      </c>
    </row>
    <row r="1369" spans="1:11" x14ac:dyDescent="0.25">
      <c r="A1369" s="39">
        <v>42527</v>
      </c>
      <c r="B1369" s="36">
        <v>8201.0498050000006</v>
      </c>
      <c r="C1369" s="36">
        <f t="shared" si="84"/>
        <v>7970.3574706500003</v>
      </c>
      <c r="D1369" s="36">
        <f t="shared" si="85"/>
        <v>180.03282058895033</v>
      </c>
      <c r="E1369" s="40">
        <v>8201.0498050000006</v>
      </c>
      <c r="F1369" s="36">
        <f t="shared" si="86"/>
        <v>8330.4231118279004</v>
      </c>
      <c r="G1369" s="36">
        <f t="shared" si="87"/>
        <v>7610.2918294720994</v>
      </c>
      <c r="I1369" s="40">
        <v>8201.0498050000006</v>
      </c>
      <c r="J1369" s="36">
        <v>8330.4231118279004</v>
      </c>
      <c r="K1369" s="36">
        <v>7610.2918294720994</v>
      </c>
    </row>
    <row r="1370" spans="1:11" x14ac:dyDescent="0.25">
      <c r="A1370" s="39">
        <v>42528</v>
      </c>
      <c r="B1370" s="36">
        <v>8266.4501949999994</v>
      </c>
      <c r="C1370" s="36">
        <f t="shared" si="84"/>
        <v>7989.2899901500004</v>
      </c>
      <c r="D1370" s="36">
        <f t="shared" si="85"/>
        <v>190.4994599602955</v>
      </c>
      <c r="E1370" s="40">
        <v>8266.4501949999994</v>
      </c>
      <c r="F1370" s="36">
        <f t="shared" si="86"/>
        <v>8370.2889100705906</v>
      </c>
      <c r="G1370" s="36">
        <f t="shared" si="87"/>
        <v>7608.2910702294093</v>
      </c>
      <c r="I1370" s="40">
        <v>8266.4501949999994</v>
      </c>
      <c r="J1370" s="36">
        <v>8370.2889100705906</v>
      </c>
      <c r="K1370" s="36">
        <v>7608.2910702294093</v>
      </c>
    </row>
    <row r="1371" spans="1:11" x14ac:dyDescent="0.25">
      <c r="A1371" s="39">
        <v>42529</v>
      </c>
      <c r="B1371" s="36">
        <v>8273.0498050000006</v>
      </c>
      <c r="C1371" s="36">
        <f t="shared" si="84"/>
        <v>8010.4999754999999</v>
      </c>
      <c r="D1371" s="36">
        <f t="shared" si="85"/>
        <v>197.52546009162825</v>
      </c>
      <c r="E1371" s="40">
        <v>8273.0498050000006</v>
      </c>
      <c r="F1371" s="36">
        <f t="shared" si="86"/>
        <v>8405.5508956832564</v>
      </c>
      <c r="G1371" s="36">
        <f t="shared" si="87"/>
        <v>7615.4490553167434</v>
      </c>
      <c r="I1371" s="40">
        <v>8273.0498050000006</v>
      </c>
      <c r="J1371" s="36">
        <v>8405.5508956832564</v>
      </c>
      <c r="K1371" s="36">
        <v>7615.4490553167434</v>
      </c>
    </row>
    <row r="1372" spans="1:11" x14ac:dyDescent="0.25">
      <c r="A1372" s="39">
        <v>42530</v>
      </c>
      <c r="B1372" s="36">
        <v>8203.5996090000008</v>
      </c>
      <c r="C1372" s="36">
        <f t="shared" si="84"/>
        <v>8025.6599608499992</v>
      </c>
      <c r="D1372" s="36">
        <f t="shared" si="85"/>
        <v>200.2470552330511</v>
      </c>
      <c r="E1372" s="40">
        <v>8203.5996090000008</v>
      </c>
      <c r="F1372" s="36">
        <f t="shared" si="86"/>
        <v>8426.1540713161012</v>
      </c>
      <c r="G1372" s="36">
        <f t="shared" si="87"/>
        <v>7625.1658503838971</v>
      </c>
      <c r="I1372" s="40">
        <v>8203.5996090000008</v>
      </c>
      <c r="J1372" s="36">
        <v>8426.1540713161012</v>
      </c>
      <c r="K1372" s="36">
        <v>7625.1658503838971</v>
      </c>
    </row>
    <row r="1373" spans="1:11" x14ac:dyDescent="0.25">
      <c r="A1373" s="39">
        <v>42531</v>
      </c>
      <c r="B1373" s="36">
        <v>8170.0498049999997</v>
      </c>
      <c r="C1373" s="36">
        <f t="shared" si="84"/>
        <v>8043.4174559999983</v>
      </c>
      <c r="D1373" s="36">
        <f t="shared" si="85"/>
        <v>196.28132756566049</v>
      </c>
      <c r="E1373" s="40">
        <v>8170.0498049999997</v>
      </c>
      <c r="F1373" s="36">
        <f t="shared" si="86"/>
        <v>8435.9801111313191</v>
      </c>
      <c r="G1373" s="36">
        <f t="shared" si="87"/>
        <v>7650.8548008686776</v>
      </c>
      <c r="I1373" s="40">
        <v>8170.0498049999997</v>
      </c>
      <c r="J1373" s="36">
        <v>8435.9801111313191</v>
      </c>
      <c r="K1373" s="36">
        <v>7650.8548008686776</v>
      </c>
    </row>
    <row r="1374" spans="1:11" x14ac:dyDescent="0.25">
      <c r="A1374" s="39">
        <v>42534</v>
      </c>
      <c r="B1374" s="36">
        <v>8110.6000979999999</v>
      </c>
      <c r="C1374" s="36">
        <f t="shared" si="84"/>
        <v>8055.9099608999986</v>
      </c>
      <c r="D1374" s="36">
        <f t="shared" si="85"/>
        <v>191.94649553276446</v>
      </c>
      <c r="E1374" s="40">
        <v>8110.6000979999999</v>
      </c>
      <c r="F1374" s="36">
        <f t="shared" si="86"/>
        <v>8439.8029519655283</v>
      </c>
      <c r="G1374" s="36">
        <f t="shared" si="87"/>
        <v>7672.0169698344698</v>
      </c>
      <c r="I1374" s="40">
        <v>8110.6000979999999</v>
      </c>
      <c r="J1374" s="36">
        <v>8439.8029519655283</v>
      </c>
      <c r="K1374" s="36">
        <v>7672.0169698344698</v>
      </c>
    </row>
    <row r="1375" spans="1:11" x14ac:dyDescent="0.25">
      <c r="A1375" s="39">
        <v>42535</v>
      </c>
      <c r="B1375" s="36">
        <v>8108.8500979999999</v>
      </c>
      <c r="C1375" s="36">
        <f t="shared" si="84"/>
        <v>8066.8149657999984</v>
      </c>
      <c r="D1375" s="36">
        <f t="shared" si="85"/>
        <v>188.22888482868802</v>
      </c>
      <c r="E1375" s="40">
        <v>8108.8500979999999</v>
      </c>
      <c r="F1375" s="36">
        <f t="shared" si="86"/>
        <v>8443.2727354573744</v>
      </c>
      <c r="G1375" s="36">
        <f t="shared" si="87"/>
        <v>7690.3571961426223</v>
      </c>
      <c r="I1375" s="40">
        <v>8108.8500979999999</v>
      </c>
      <c r="J1375" s="36">
        <v>8443.2727354573744</v>
      </c>
      <c r="K1375" s="36">
        <v>7690.3571961426223</v>
      </c>
    </row>
    <row r="1376" spans="1:11" x14ac:dyDescent="0.25">
      <c r="A1376" s="39">
        <v>42536</v>
      </c>
      <c r="B1376" s="36">
        <v>8206.5996090000008</v>
      </c>
      <c r="C1376" s="36">
        <f t="shared" si="84"/>
        <v>8083.6374511499989</v>
      </c>
      <c r="D1376" s="36">
        <f t="shared" si="85"/>
        <v>184.72950744281738</v>
      </c>
      <c r="E1376" s="40">
        <v>8206.5996090000008</v>
      </c>
      <c r="F1376" s="36">
        <f t="shared" si="86"/>
        <v>8453.0964660356331</v>
      </c>
      <c r="G1376" s="36">
        <f t="shared" si="87"/>
        <v>7714.1784362643639</v>
      </c>
      <c r="I1376" s="40">
        <v>8206.5996090000008</v>
      </c>
      <c r="J1376" s="36">
        <v>8453.0964660356331</v>
      </c>
      <c r="K1376" s="36">
        <v>7714.1784362643639</v>
      </c>
    </row>
    <row r="1377" spans="1:11" x14ac:dyDescent="0.25">
      <c r="A1377" s="39">
        <v>42537</v>
      </c>
      <c r="B1377" s="36">
        <v>8140.75</v>
      </c>
      <c r="C1377" s="36">
        <f t="shared" si="84"/>
        <v>8101.5049560500001</v>
      </c>
      <c r="D1377" s="36">
        <f t="shared" si="85"/>
        <v>170.92767478962483</v>
      </c>
      <c r="E1377" s="40">
        <v>8140.75</v>
      </c>
      <c r="F1377" s="36">
        <f t="shared" si="86"/>
        <v>8443.3603056292504</v>
      </c>
      <c r="G1377" s="36">
        <f t="shared" si="87"/>
        <v>7759.6496064707508</v>
      </c>
      <c r="I1377" s="40">
        <v>8140.75</v>
      </c>
      <c r="J1377" s="36">
        <v>8443.3603056292504</v>
      </c>
      <c r="K1377" s="36">
        <v>7759.6496064707508</v>
      </c>
    </row>
    <row r="1378" spans="1:11" x14ac:dyDescent="0.25">
      <c r="A1378" s="39">
        <v>42538</v>
      </c>
      <c r="B1378" s="36">
        <v>8170.2001950000003</v>
      </c>
      <c r="C1378" s="36">
        <f t="shared" si="84"/>
        <v>8122.5299560500007</v>
      </c>
      <c r="D1378" s="36">
        <f t="shared" si="85"/>
        <v>149.95096806126807</v>
      </c>
      <c r="E1378" s="40">
        <v>8170.2001950000003</v>
      </c>
      <c r="F1378" s="36">
        <f t="shared" si="86"/>
        <v>8422.4318921725371</v>
      </c>
      <c r="G1378" s="36">
        <f t="shared" si="87"/>
        <v>7822.6280199274643</v>
      </c>
      <c r="I1378" s="40">
        <v>8170.2001950000003</v>
      </c>
      <c r="J1378" s="36">
        <v>8422.4318921725371</v>
      </c>
      <c r="K1378" s="36">
        <v>7822.6280199274643</v>
      </c>
    </row>
    <row r="1379" spans="1:11" x14ac:dyDescent="0.25">
      <c r="A1379" s="39">
        <v>42541</v>
      </c>
      <c r="B1379" s="36">
        <v>8238.5</v>
      </c>
      <c r="C1379" s="36">
        <f t="shared" si="84"/>
        <v>8147.9024658000008</v>
      </c>
      <c r="D1379" s="36">
        <f t="shared" si="85"/>
        <v>120.20544278663182</v>
      </c>
      <c r="E1379" s="40">
        <v>8238.5</v>
      </c>
      <c r="F1379" s="36">
        <f t="shared" si="86"/>
        <v>8388.3133513732646</v>
      </c>
      <c r="G1379" s="36">
        <f t="shared" si="87"/>
        <v>7907.4915802267369</v>
      </c>
      <c r="I1379" s="40">
        <v>8238.5</v>
      </c>
      <c r="J1379" s="36">
        <v>8388.3133513732646</v>
      </c>
      <c r="K1379" s="36">
        <v>7907.4915802267369</v>
      </c>
    </row>
    <row r="1380" spans="1:11" x14ac:dyDescent="0.25">
      <c r="A1380" s="39">
        <v>42542</v>
      </c>
      <c r="B1380" s="36">
        <v>8219.9003909999992</v>
      </c>
      <c r="C1380" s="36">
        <f t="shared" si="84"/>
        <v>8171.4549804500002</v>
      </c>
      <c r="D1380" s="36">
        <f t="shared" si="85"/>
        <v>75.875282395944737</v>
      </c>
      <c r="E1380" s="40">
        <v>8219.9003909999992</v>
      </c>
      <c r="F1380" s="36">
        <f t="shared" si="86"/>
        <v>8323.2055452418899</v>
      </c>
      <c r="G1380" s="36">
        <f t="shared" si="87"/>
        <v>8019.7044156581105</v>
      </c>
      <c r="I1380" s="40">
        <v>8219.9003909999992</v>
      </c>
      <c r="J1380" s="36">
        <v>8323.2055452418899</v>
      </c>
      <c r="K1380" s="36">
        <v>8019.7044156581105</v>
      </c>
    </row>
    <row r="1381" spans="1:11" x14ac:dyDescent="0.25">
      <c r="A1381" s="39">
        <v>42543</v>
      </c>
      <c r="B1381" s="36">
        <v>8203.7001949999994</v>
      </c>
      <c r="C1381" s="36">
        <f t="shared" si="84"/>
        <v>8184.8949951000004</v>
      </c>
      <c r="D1381" s="36">
        <f t="shared" si="85"/>
        <v>51.734585774370579</v>
      </c>
      <c r="E1381" s="40">
        <v>8203.7001949999994</v>
      </c>
      <c r="F1381" s="36">
        <f t="shared" si="86"/>
        <v>8288.364166648742</v>
      </c>
      <c r="G1381" s="36">
        <f t="shared" si="87"/>
        <v>8081.4258235512589</v>
      </c>
      <c r="I1381" s="40">
        <v>8203.7001949999994</v>
      </c>
      <c r="J1381" s="36">
        <v>8288.364166648742</v>
      </c>
      <c r="K1381" s="36">
        <v>8081.4258235512589</v>
      </c>
    </row>
    <row r="1382" spans="1:11" x14ac:dyDescent="0.25">
      <c r="A1382" s="39">
        <v>42544</v>
      </c>
      <c r="B1382" s="36">
        <v>8270.4501949999994</v>
      </c>
      <c r="C1382" s="36">
        <f t="shared" si="84"/>
        <v>8194.935009750001</v>
      </c>
      <c r="D1382" s="36">
        <f t="shared" si="85"/>
        <v>47.503519427802928</v>
      </c>
      <c r="E1382" s="40">
        <v>8270.4501949999994</v>
      </c>
      <c r="F1382" s="36">
        <f t="shared" si="86"/>
        <v>8289.942048605606</v>
      </c>
      <c r="G1382" s="36">
        <f t="shared" si="87"/>
        <v>8099.927970894395</v>
      </c>
      <c r="I1382" s="40">
        <v>8270.4501949999994</v>
      </c>
      <c r="J1382" s="36">
        <v>8289.942048605606</v>
      </c>
      <c r="K1382" s="36">
        <v>8099.927970894395</v>
      </c>
    </row>
    <row r="1383" spans="1:11" x14ac:dyDescent="0.25">
      <c r="A1383" s="39">
        <v>42545</v>
      </c>
      <c r="B1383" s="36">
        <v>8088.6000979999999</v>
      </c>
      <c r="C1383" s="36">
        <f t="shared" si="84"/>
        <v>8191.53251955</v>
      </c>
      <c r="D1383" s="36">
        <f t="shared" si="85"/>
        <v>52.558202320832976</v>
      </c>
      <c r="E1383" s="40">
        <v>8088.6000979999999</v>
      </c>
      <c r="F1383" s="36">
        <f t="shared" si="86"/>
        <v>8296.6489241916661</v>
      </c>
      <c r="G1383" s="36">
        <f t="shared" si="87"/>
        <v>8086.4161149083338</v>
      </c>
      <c r="I1383" s="40">
        <v>8088.6000979999999</v>
      </c>
      <c r="J1383" s="36">
        <v>8296.6489241916661</v>
      </c>
      <c r="K1383" s="36">
        <v>8086.4161149083338</v>
      </c>
    </row>
    <row r="1384" spans="1:11" x14ac:dyDescent="0.25">
      <c r="A1384" s="39">
        <v>42548</v>
      </c>
      <c r="B1384" s="36">
        <v>8094.7001950000003</v>
      </c>
      <c r="C1384" s="36">
        <f t="shared" si="84"/>
        <v>8187.3425293000009</v>
      </c>
      <c r="D1384" s="36">
        <f t="shared" si="85"/>
        <v>56.819409275902629</v>
      </c>
      <c r="E1384" s="40">
        <v>8094.7001950000003</v>
      </c>
      <c r="F1384" s="36">
        <f t="shared" si="86"/>
        <v>8300.9813478518063</v>
      </c>
      <c r="G1384" s="36">
        <f t="shared" si="87"/>
        <v>8073.7037107481956</v>
      </c>
      <c r="I1384" s="40">
        <v>8094.7001950000003</v>
      </c>
      <c r="J1384" s="36">
        <v>8300.9813478518063</v>
      </c>
      <c r="K1384" s="36">
        <v>8073.7037107481956</v>
      </c>
    </row>
    <row r="1385" spans="1:11" x14ac:dyDescent="0.25">
      <c r="A1385" s="39">
        <v>42549</v>
      </c>
      <c r="B1385" s="36">
        <v>8127.8500979999999</v>
      </c>
      <c r="C1385" s="36">
        <f t="shared" si="84"/>
        <v>8185.7300293000008</v>
      </c>
      <c r="D1385" s="36">
        <f t="shared" si="85"/>
        <v>58.076925544188057</v>
      </c>
      <c r="E1385" s="40">
        <v>8127.8500979999999</v>
      </c>
      <c r="F1385" s="36">
        <f t="shared" si="86"/>
        <v>8301.8838803883773</v>
      </c>
      <c r="G1385" s="36">
        <f t="shared" si="87"/>
        <v>8069.5761782116242</v>
      </c>
      <c r="I1385" s="40">
        <v>8127.8500979999999</v>
      </c>
      <c r="J1385" s="36">
        <v>8301.8838803883773</v>
      </c>
      <c r="K1385" s="36">
        <v>8069.5761782116242</v>
      </c>
    </row>
    <row r="1386" spans="1:11" x14ac:dyDescent="0.25">
      <c r="A1386" s="39">
        <v>42550</v>
      </c>
      <c r="B1386" s="36">
        <v>8204</v>
      </c>
      <c r="C1386" s="36">
        <f t="shared" si="84"/>
        <v>8186.9325195500005</v>
      </c>
      <c r="D1386" s="36">
        <f t="shared" si="85"/>
        <v>58.199801962700953</v>
      </c>
      <c r="E1386" s="40">
        <v>8204</v>
      </c>
      <c r="F1386" s="36">
        <f t="shared" si="86"/>
        <v>8303.3321234754021</v>
      </c>
      <c r="G1386" s="36">
        <f t="shared" si="87"/>
        <v>8070.5329156245989</v>
      </c>
      <c r="I1386" s="40">
        <v>8204</v>
      </c>
      <c r="J1386" s="36">
        <v>8303.3321234754021</v>
      </c>
      <c r="K1386" s="36">
        <v>8070.5329156245989</v>
      </c>
    </row>
    <row r="1387" spans="1:11" x14ac:dyDescent="0.25">
      <c r="A1387" s="39">
        <v>42551</v>
      </c>
      <c r="B1387" s="36">
        <v>8287.75</v>
      </c>
      <c r="C1387" s="36">
        <f t="shared" si="84"/>
        <v>8190.3725098000014</v>
      </c>
      <c r="D1387" s="36">
        <f t="shared" si="85"/>
        <v>62.094785011183689</v>
      </c>
      <c r="E1387" s="40">
        <v>8287.75</v>
      </c>
      <c r="F1387" s="36">
        <f t="shared" si="86"/>
        <v>8314.5620798223681</v>
      </c>
      <c r="G1387" s="36">
        <f t="shared" si="87"/>
        <v>8066.1829397776337</v>
      </c>
      <c r="I1387" s="40">
        <v>8287.75</v>
      </c>
      <c r="J1387" s="36">
        <v>8314.5620798223681</v>
      </c>
      <c r="K1387" s="36">
        <v>8066.1829397776337</v>
      </c>
    </row>
    <row r="1388" spans="1:11" x14ac:dyDescent="0.25">
      <c r="A1388" s="39">
        <v>42552</v>
      </c>
      <c r="B1388" s="36">
        <v>8328.3496090000008</v>
      </c>
      <c r="C1388" s="36">
        <f t="shared" si="84"/>
        <v>8195.75</v>
      </c>
      <c r="D1388" s="36">
        <f t="shared" si="85"/>
        <v>69.127264702429088</v>
      </c>
      <c r="E1388" s="40">
        <v>8328.3496090000008</v>
      </c>
      <c r="F1388" s="36">
        <f t="shared" si="86"/>
        <v>8334.0045294048577</v>
      </c>
      <c r="G1388" s="36">
        <f t="shared" si="87"/>
        <v>8057.4954705951423</v>
      </c>
      <c r="I1388" s="40">
        <v>8328.3496090000008</v>
      </c>
      <c r="J1388" s="36">
        <v>8334.0045294048577</v>
      </c>
      <c r="K1388" s="36">
        <v>8057.4954705951423</v>
      </c>
    </row>
    <row r="1389" spans="1:11" x14ac:dyDescent="0.25">
      <c r="A1389" s="39">
        <v>42555</v>
      </c>
      <c r="B1389" s="36">
        <v>8370.7001949999994</v>
      </c>
      <c r="C1389" s="36">
        <f t="shared" si="84"/>
        <v>8204.2325194999994</v>
      </c>
      <c r="D1389" s="36">
        <f t="shared" si="85"/>
        <v>79.449890144568641</v>
      </c>
      <c r="E1389" s="40">
        <v>8370.7001949999994</v>
      </c>
      <c r="F1389" s="36">
        <f t="shared" si="86"/>
        <v>8363.1322997891366</v>
      </c>
      <c r="G1389" s="36">
        <f t="shared" si="87"/>
        <v>8045.3327392108622</v>
      </c>
      <c r="I1389" s="40">
        <v>8370.7001949999994</v>
      </c>
      <c r="J1389" s="36">
        <v>8363.1322997891366</v>
      </c>
      <c r="K1389" s="36">
        <v>8045.3327392108622</v>
      </c>
    </row>
    <row r="1390" spans="1:11" x14ac:dyDescent="0.25">
      <c r="A1390" s="39">
        <v>42556</v>
      </c>
      <c r="B1390" s="36">
        <v>8335.9501949999994</v>
      </c>
      <c r="C1390" s="36">
        <f t="shared" si="84"/>
        <v>8207.7075194999998</v>
      </c>
      <c r="D1390" s="36">
        <f t="shared" si="85"/>
        <v>83.719585280172168</v>
      </c>
      <c r="E1390" s="40">
        <v>8335.9501949999994</v>
      </c>
      <c r="F1390" s="36">
        <f t="shared" si="86"/>
        <v>8375.1466900603446</v>
      </c>
      <c r="G1390" s="36">
        <f t="shared" si="87"/>
        <v>8040.268348939655</v>
      </c>
      <c r="I1390" s="40">
        <v>8335.9501949999994</v>
      </c>
      <c r="J1390" s="36">
        <v>8375.1466900603446</v>
      </c>
      <c r="K1390" s="36">
        <v>8040.268348939655</v>
      </c>
    </row>
    <row r="1391" spans="1:11" x14ac:dyDescent="0.25">
      <c r="A1391" s="39">
        <v>42558</v>
      </c>
      <c r="B1391" s="36">
        <v>8337.9003909999992</v>
      </c>
      <c r="C1391" s="36">
        <f t="shared" si="84"/>
        <v>8210.9500488000012</v>
      </c>
      <c r="D1391" s="36">
        <f t="shared" si="85"/>
        <v>87.551698958543454</v>
      </c>
      <c r="E1391" s="40">
        <v>8337.9003909999992</v>
      </c>
      <c r="F1391" s="36">
        <f t="shared" si="86"/>
        <v>8386.0534467170874</v>
      </c>
      <c r="G1391" s="36">
        <f t="shared" si="87"/>
        <v>8035.8466508829142</v>
      </c>
      <c r="I1391" s="40">
        <v>8337.9003909999992</v>
      </c>
      <c r="J1391" s="36">
        <v>8386.0534467170874</v>
      </c>
      <c r="K1391" s="36">
        <v>8035.8466508829142</v>
      </c>
    </row>
    <row r="1392" spans="1:11" x14ac:dyDescent="0.25">
      <c r="A1392" s="39">
        <v>42559</v>
      </c>
      <c r="B1392" s="36">
        <v>8323.2001949999994</v>
      </c>
      <c r="C1392" s="36">
        <f t="shared" si="84"/>
        <v>8216.930078100002</v>
      </c>
      <c r="D1392" s="36">
        <f t="shared" si="85"/>
        <v>91.038323673434562</v>
      </c>
      <c r="E1392" s="40">
        <v>8323.2001949999994</v>
      </c>
      <c r="F1392" s="36">
        <f t="shared" si="86"/>
        <v>8399.0067254468704</v>
      </c>
      <c r="G1392" s="36">
        <f t="shared" si="87"/>
        <v>8034.8534307531327</v>
      </c>
      <c r="I1392" s="40">
        <v>8323.2001949999994</v>
      </c>
      <c r="J1392" s="36">
        <v>8399.0067254468704</v>
      </c>
      <c r="K1392" s="36">
        <v>8034.8534307531327</v>
      </c>
    </row>
    <row r="1393" spans="1:11" x14ac:dyDescent="0.25">
      <c r="A1393" s="39">
        <v>42562</v>
      </c>
      <c r="B1393" s="36">
        <v>8467.9003909999992</v>
      </c>
      <c r="C1393" s="36">
        <f t="shared" si="84"/>
        <v>8231.8226074000013</v>
      </c>
      <c r="D1393" s="36">
        <f t="shared" si="85"/>
        <v>106.08441041783101</v>
      </c>
      <c r="E1393" s="40">
        <v>8467.9003909999992</v>
      </c>
      <c r="F1393" s="36">
        <f t="shared" si="86"/>
        <v>8443.991428235664</v>
      </c>
      <c r="G1393" s="36">
        <f t="shared" si="87"/>
        <v>8019.6537865643395</v>
      </c>
      <c r="I1393" s="40">
        <v>8467.9003909999992</v>
      </c>
      <c r="J1393" s="36">
        <v>8443.991428235664</v>
      </c>
      <c r="K1393" s="36">
        <v>8019.6537865643395</v>
      </c>
    </row>
    <row r="1394" spans="1:11" x14ac:dyDescent="0.25">
      <c r="A1394" s="39">
        <v>42563</v>
      </c>
      <c r="B1394" s="36">
        <v>8521.0498050000006</v>
      </c>
      <c r="C1394" s="36">
        <f t="shared" si="84"/>
        <v>8252.3450927499998</v>
      </c>
      <c r="D1394" s="36">
        <f t="shared" si="85"/>
        <v>120.16614977600038</v>
      </c>
      <c r="E1394" s="40">
        <v>8521.0498050000006</v>
      </c>
      <c r="F1394" s="36">
        <f t="shared" si="86"/>
        <v>8492.677392302001</v>
      </c>
      <c r="G1394" s="36">
        <f t="shared" si="87"/>
        <v>8012.0127931979987</v>
      </c>
      <c r="I1394" s="40">
        <v>8521.0498050000006</v>
      </c>
      <c r="J1394" s="36">
        <v>8492.677392302001</v>
      </c>
      <c r="K1394" s="36">
        <v>8012.0127931979987</v>
      </c>
    </row>
    <row r="1395" spans="1:11" x14ac:dyDescent="0.25">
      <c r="A1395" s="39">
        <v>42564</v>
      </c>
      <c r="B1395" s="36">
        <v>8519.5</v>
      </c>
      <c r="C1395" s="36">
        <f t="shared" si="84"/>
        <v>8272.8775878499982</v>
      </c>
      <c r="D1395" s="36">
        <f t="shared" si="85"/>
        <v>129.10775412658384</v>
      </c>
      <c r="E1395" s="40">
        <v>8519.5</v>
      </c>
      <c r="F1395" s="36">
        <f t="shared" si="86"/>
        <v>8531.0930961031663</v>
      </c>
      <c r="G1395" s="36">
        <f t="shared" si="87"/>
        <v>8014.6620795968302</v>
      </c>
      <c r="I1395" s="40">
        <v>8519.5</v>
      </c>
      <c r="J1395" s="36">
        <v>8531.0930961031663</v>
      </c>
      <c r="K1395" s="36">
        <v>8014.6620795968302</v>
      </c>
    </row>
    <row r="1396" spans="1:11" x14ac:dyDescent="0.25">
      <c r="A1396" s="39">
        <v>42565</v>
      </c>
      <c r="B1396" s="36">
        <v>8565</v>
      </c>
      <c r="C1396" s="36">
        <f t="shared" si="84"/>
        <v>8290.7976073999998</v>
      </c>
      <c r="D1396" s="36">
        <f t="shared" si="85"/>
        <v>143.49539191630106</v>
      </c>
      <c r="E1396" s="40">
        <v>8565</v>
      </c>
      <c r="F1396" s="36">
        <f t="shared" si="86"/>
        <v>8577.7883912326015</v>
      </c>
      <c r="G1396" s="36">
        <f t="shared" si="87"/>
        <v>8003.8068235673982</v>
      </c>
      <c r="I1396" s="40">
        <v>8565</v>
      </c>
      <c r="J1396" s="36">
        <v>8577.7883912326015</v>
      </c>
      <c r="K1396" s="36">
        <v>8003.8068235673982</v>
      </c>
    </row>
    <row r="1397" spans="1:11" x14ac:dyDescent="0.25">
      <c r="A1397" s="39">
        <v>42566</v>
      </c>
      <c r="B1397" s="36">
        <v>8541.4003909999992</v>
      </c>
      <c r="C1397" s="36">
        <f t="shared" si="84"/>
        <v>8310.8301269499989</v>
      </c>
      <c r="D1397" s="36">
        <f t="shared" si="85"/>
        <v>149.29466736946506</v>
      </c>
      <c r="E1397" s="40">
        <v>8541.4003909999992</v>
      </c>
      <c r="F1397" s="36">
        <f t="shared" si="86"/>
        <v>8609.419461688929</v>
      </c>
      <c r="G1397" s="36">
        <f t="shared" si="87"/>
        <v>8012.2407922110688</v>
      </c>
      <c r="I1397" s="40">
        <v>8541.4003909999992</v>
      </c>
      <c r="J1397" s="36">
        <v>8609.419461688929</v>
      </c>
      <c r="K1397" s="36">
        <v>8012.2407922110688</v>
      </c>
    </row>
    <row r="1398" spans="1:11" x14ac:dyDescent="0.25">
      <c r="A1398" s="39">
        <v>42569</v>
      </c>
      <c r="B1398" s="36">
        <v>8508.7001949999994</v>
      </c>
      <c r="C1398" s="36">
        <f t="shared" si="84"/>
        <v>8327.75512695</v>
      </c>
      <c r="D1398" s="36">
        <f t="shared" si="85"/>
        <v>151.68105907567943</v>
      </c>
      <c r="E1398" s="40">
        <v>8508.7001949999994</v>
      </c>
      <c r="F1398" s="36">
        <f t="shared" si="86"/>
        <v>8631.117245101359</v>
      </c>
      <c r="G1398" s="36">
        <f t="shared" si="87"/>
        <v>8024.3930087986409</v>
      </c>
      <c r="I1398" s="40">
        <v>8508.7001949999994</v>
      </c>
      <c r="J1398" s="36">
        <v>8631.117245101359</v>
      </c>
      <c r="K1398" s="36">
        <v>8024.3930087986409</v>
      </c>
    </row>
    <row r="1399" spans="1:11" x14ac:dyDescent="0.25">
      <c r="A1399" s="39">
        <v>42570</v>
      </c>
      <c r="B1399" s="36">
        <v>8528.5498050000006</v>
      </c>
      <c r="C1399" s="36">
        <f t="shared" si="84"/>
        <v>8342.2576172000008</v>
      </c>
      <c r="D1399" s="36">
        <f t="shared" si="85"/>
        <v>156.48798685041058</v>
      </c>
      <c r="E1399" s="40">
        <v>8528.5498050000006</v>
      </c>
      <c r="F1399" s="36">
        <f t="shared" si="86"/>
        <v>8655.2335909008216</v>
      </c>
      <c r="G1399" s="36">
        <f t="shared" si="87"/>
        <v>8029.2816434991801</v>
      </c>
      <c r="I1399" s="40">
        <v>8528.5498050000006</v>
      </c>
      <c r="J1399" s="36">
        <v>8655.2335909008216</v>
      </c>
      <c r="K1399" s="36">
        <v>8029.2816434991801</v>
      </c>
    </row>
    <row r="1400" spans="1:11" x14ac:dyDescent="0.25">
      <c r="A1400" s="39">
        <v>42571</v>
      </c>
      <c r="B1400" s="36">
        <v>8565.8496090000008</v>
      </c>
      <c r="C1400" s="36">
        <f t="shared" si="84"/>
        <v>8359.5550781000002</v>
      </c>
      <c r="D1400" s="36">
        <f t="shared" si="85"/>
        <v>161.29726650592494</v>
      </c>
      <c r="E1400" s="40">
        <v>8565.8496090000008</v>
      </c>
      <c r="F1400" s="36">
        <f t="shared" si="86"/>
        <v>8682.1496111118504</v>
      </c>
      <c r="G1400" s="36">
        <f t="shared" si="87"/>
        <v>8036.96054508815</v>
      </c>
      <c r="I1400" s="40">
        <v>8565.8496090000008</v>
      </c>
      <c r="J1400" s="36">
        <v>8682.1496111118504</v>
      </c>
      <c r="K1400" s="36">
        <v>8036.96054508815</v>
      </c>
    </row>
    <row r="1401" spans="1:11" x14ac:dyDescent="0.25">
      <c r="A1401" s="39">
        <v>42572</v>
      </c>
      <c r="B1401" s="36">
        <v>8510.0996090000008</v>
      </c>
      <c r="C1401" s="36">
        <f t="shared" si="84"/>
        <v>8374.8750487999987</v>
      </c>
      <c r="D1401" s="36">
        <f t="shared" si="85"/>
        <v>160.26265228256321</v>
      </c>
      <c r="E1401" s="40">
        <v>8510.0996090000008</v>
      </c>
      <c r="F1401" s="36">
        <f t="shared" si="86"/>
        <v>8695.4003533651248</v>
      </c>
      <c r="G1401" s="36">
        <f t="shared" si="87"/>
        <v>8054.3497442348726</v>
      </c>
      <c r="I1401" s="40">
        <v>8510.0996090000008</v>
      </c>
      <c r="J1401" s="36">
        <v>8695.4003533651248</v>
      </c>
      <c r="K1401" s="36">
        <v>8054.3497442348726</v>
      </c>
    </row>
    <row r="1402" spans="1:11" x14ac:dyDescent="0.25">
      <c r="A1402" s="39">
        <v>42573</v>
      </c>
      <c r="B1402" s="36">
        <v>8541.2001949999994</v>
      </c>
      <c r="C1402" s="36">
        <f t="shared" si="84"/>
        <v>8388.4125488000009</v>
      </c>
      <c r="D1402" s="36">
        <f t="shared" si="85"/>
        <v>162.39854527778795</v>
      </c>
      <c r="E1402" s="40">
        <v>8541.2001949999994</v>
      </c>
      <c r="F1402" s="36">
        <f t="shared" si="86"/>
        <v>8713.2096393555767</v>
      </c>
      <c r="G1402" s="36">
        <f t="shared" si="87"/>
        <v>8063.6154582444251</v>
      </c>
      <c r="I1402" s="40">
        <v>8541.2001949999994</v>
      </c>
      <c r="J1402" s="36">
        <v>8713.2096393555767</v>
      </c>
      <c r="K1402" s="36">
        <v>8063.6154582444251</v>
      </c>
    </row>
    <row r="1403" spans="1:11" x14ac:dyDescent="0.25">
      <c r="A1403" s="39">
        <v>42576</v>
      </c>
      <c r="B1403" s="36">
        <v>8635.6503909999992</v>
      </c>
      <c r="C1403" s="36">
        <f t="shared" si="84"/>
        <v>8415.7650634500005</v>
      </c>
      <c r="D1403" s="36">
        <f t="shared" si="85"/>
        <v>155.15159080649468</v>
      </c>
      <c r="E1403" s="40">
        <v>8635.6503909999992</v>
      </c>
      <c r="F1403" s="36">
        <f t="shared" si="86"/>
        <v>8726.0682450629902</v>
      </c>
      <c r="G1403" s="36">
        <f t="shared" si="87"/>
        <v>8105.4618818370109</v>
      </c>
      <c r="I1403" s="40">
        <v>8635.6503909999992</v>
      </c>
      <c r="J1403" s="36">
        <v>8726.0682450629902</v>
      </c>
      <c r="K1403" s="36">
        <v>8105.4618818370109</v>
      </c>
    </row>
    <row r="1404" spans="1:11" x14ac:dyDescent="0.25">
      <c r="A1404" s="39">
        <v>42577</v>
      </c>
      <c r="B1404" s="36">
        <v>8590.6503909999992</v>
      </c>
      <c r="C1404" s="36">
        <f t="shared" si="84"/>
        <v>8440.5625732500012</v>
      </c>
      <c r="D1404" s="36">
        <f t="shared" si="85"/>
        <v>140.03236555577288</v>
      </c>
      <c r="E1404" s="40">
        <v>8590.6503909999992</v>
      </c>
      <c r="F1404" s="36">
        <f t="shared" si="86"/>
        <v>8720.6273043615474</v>
      </c>
      <c r="G1404" s="36">
        <f t="shared" si="87"/>
        <v>8160.4978421384558</v>
      </c>
      <c r="I1404" s="40">
        <v>8590.6503909999992</v>
      </c>
      <c r="J1404" s="36">
        <v>8720.6273043615474</v>
      </c>
      <c r="K1404" s="36">
        <v>8160.4978421384558</v>
      </c>
    </row>
    <row r="1405" spans="1:11" x14ac:dyDescent="0.25">
      <c r="A1405" s="39">
        <v>42578</v>
      </c>
      <c r="B1405" s="36">
        <v>8615.7998050000006</v>
      </c>
      <c r="C1405" s="36">
        <f t="shared" si="84"/>
        <v>8464.9600585999997</v>
      </c>
      <c r="D1405" s="36">
        <f t="shared" si="85"/>
        <v>124.30574658480698</v>
      </c>
      <c r="E1405" s="40">
        <v>8615.7998050000006</v>
      </c>
      <c r="F1405" s="36">
        <f t="shared" si="86"/>
        <v>8713.5715517696135</v>
      </c>
      <c r="G1405" s="36">
        <f t="shared" si="87"/>
        <v>8216.3485654303859</v>
      </c>
      <c r="I1405" s="40">
        <v>8615.7998050000006</v>
      </c>
      <c r="J1405" s="36">
        <v>8713.5715517696135</v>
      </c>
      <c r="K1405" s="36">
        <v>8216.3485654303859</v>
      </c>
    </row>
    <row r="1406" spans="1:11" x14ac:dyDescent="0.25">
      <c r="A1406" s="39">
        <v>42579</v>
      </c>
      <c r="B1406" s="36">
        <v>8666.2998050000006</v>
      </c>
      <c r="C1406" s="36">
        <f t="shared" si="84"/>
        <v>8488.0750488499998</v>
      </c>
      <c r="D1406" s="36">
        <f t="shared" si="85"/>
        <v>115.92600631366183</v>
      </c>
      <c r="E1406" s="40">
        <v>8666.2998050000006</v>
      </c>
      <c r="F1406" s="36">
        <f t="shared" si="86"/>
        <v>8719.9270614773232</v>
      </c>
      <c r="G1406" s="36">
        <f t="shared" si="87"/>
        <v>8256.2230362226765</v>
      </c>
      <c r="I1406" s="40">
        <v>8666.2998050000006</v>
      </c>
      <c r="J1406" s="36">
        <v>8719.9270614773232</v>
      </c>
      <c r="K1406" s="36">
        <v>8256.2230362226765</v>
      </c>
    </row>
    <row r="1407" spans="1:11" x14ac:dyDescent="0.25">
      <c r="A1407" s="39">
        <v>42580</v>
      </c>
      <c r="B1407" s="36">
        <v>8638.5</v>
      </c>
      <c r="C1407" s="36">
        <f t="shared" si="84"/>
        <v>8505.6125488499983</v>
      </c>
      <c r="D1407" s="36">
        <f t="shared" si="85"/>
        <v>110.42601773504597</v>
      </c>
      <c r="E1407" s="40">
        <v>8638.5</v>
      </c>
      <c r="F1407" s="36">
        <f t="shared" si="86"/>
        <v>8726.4645843200906</v>
      </c>
      <c r="G1407" s="36">
        <f t="shared" si="87"/>
        <v>8284.7605133799061</v>
      </c>
      <c r="I1407" s="40">
        <v>8638.5</v>
      </c>
      <c r="J1407" s="36">
        <v>8726.4645843200906</v>
      </c>
      <c r="K1407" s="36">
        <v>8284.7605133799061</v>
      </c>
    </row>
    <row r="1408" spans="1:11" x14ac:dyDescent="0.25">
      <c r="A1408" s="39">
        <v>42583</v>
      </c>
      <c r="B1408" s="36">
        <v>8636.5498050000006</v>
      </c>
      <c r="C1408" s="36">
        <f t="shared" si="84"/>
        <v>8521.0225586499982</v>
      </c>
      <c r="D1408" s="36">
        <f t="shared" si="85"/>
        <v>105.79455006028324</v>
      </c>
      <c r="E1408" s="40">
        <v>8636.5498050000006</v>
      </c>
      <c r="F1408" s="36">
        <f t="shared" si="86"/>
        <v>8732.6116587705656</v>
      </c>
      <c r="G1408" s="36">
        <f t="shared" si="87"/>
        <v>8309.4334585294309</v>
      </c>
      <c r="I1408" s="40">
        <v>8636.5498050000006</v>
      </c>
      <c r="J1408" s="36">
        <v>8732.6116587705656</v>
      </c>
      <c r="K1408" s="36">
        <v>8309.4334585294309</v>
      </c>
    </row>
    <row r="1409" spans="1:11" x14ac:dyDescent="0.25">
      <c r="A1409" s="39">
        <v>42584</v>
      </c>
      <c r="B1409" s="36">
        <v>8622.9003909999992</v>
      </c>
      <c r="C1409" s="36">
        <f t="shared" si="84"/>
        <v>8533.6325684499989</v>
      </c>
      <c r="D1409" s="36">
        <f t="shared" si="85"/>
        <v>101.89243099687027</v>
      </c>
      <c r="E1409" s="40">
        <v>8622.9003909999992</v>
      </c>
      <c r="F1409" s="36">
        <f t="shared" si="86"/>
        <v>8737.4174304437402</v>
      </c>
      <c r="G1409" s="36">
        <f t="shared" si="87"/>
        <v>8329.8477064562576</v>
      </c>
      <c r="I1409" s="40">
        <v>8622.9003909999992</v>
      </c>
      <c r="J1409" s="36">
        <v>8737.4174304437402</v>
      </c>
      <c r="K1409" s="36">
        <v>8329.8477064562576</v>
      </c>
    </row>
    <row r="1410" spans="1:11" x14ac:dyDescent="0.25">
      <c r="A1410" s="39">
        <v>42585</v>
      </c>
      <c r="B1410" s="36">
        <v>8544.8496090000008</v>
      </c>
      <c r="C1410" s="36">
        <f t="shared" si="84"/>
        <v>8544.0775391499992</v>
      </c>
      <c r="D1410" s="36">
        <f t="shared" si="85"/>
        <v>90.648202398057606</v>
      </c>
      <c r="E1410" s="40">
        <v>8544.8496090000008</v>
      </c>
      <c r="F1410" s="36">
        <f t="shared" si="86"/>
        <v>8725.3739439461151</v>
      </c>
      <c r="G1410" s="36">
        <f t="shared" si="87"/>
        <v>8362.7811343538833</v>
      </c>
      <c r="I1410" s="40">
        <v>8544.8496090000008</v>
      </c>
      <c r="J1410" s="36">
        <v>8725.3739439461151</v>
      </c>
      <c r="K1410" s="36">
        <v>8362.7811343538833</v>
      </c>
    </row>
    <row r="1411" spans="1:11" x14ac:dyDescent="0.25">
      <c r="A1411" s="39">
        <v>42586</v>
      </c>
      <c r="B1411" s="36">
        <v>8551.0996090000008</v>
      </c>
      <c r="C1411" s="36">
        <f t="shared" si="84"/>
        <v>8554.7375000499997</v>
      </c>
      <c r="D1411" s="36">
        <f t="shared" si="85"/>
        <v>76.568659618570422</v>
      </c>
      <c r="E1411" s="40">
        <v>8551.0996090000008</v>
      </c>
      <c r="F1411" s="36">
        <f t="shared" si="86"/>
        <v>8707.8748192871408</v>
      </c>
      <c r="G1411" s="36">
        <f t="shared" si="87"/>
        <v>8401.6001808128585</v>
      </c>
      <c r="I1411" s="40">
        <v>8551.0996090000008</v>
      </c>
      <c r="J1411" s="36">
        <v>8707.8748192871408</v>
      </c>
      <c r="K1411" s="36">
        <v>8401.6001808128585</v>
      </c>
    </row>
    <row r="1412" spans="1:11" x14ac:dyDescent="0.25">
      <c r="A1412" s="39">
        <v>42587</v>
      </c>
      <c r="B1412" s="36">
        <v>8683.1503909999992</v>
      </c>
      <c r="C1412" s="36">
        <f t="shared" si="84"/>
        <v>8572.7350098499992</v>
      </c>
      <c r="D1412" s="36">
        <f t="shared" si="85"/>
        <v>59.733871565646957</v>
      </c>
      <c r="E1412" s="40">
        <v>8683.1503909999992</v>
      </c>
      <c r="F1412" s="36">
        <f t="shared" si="86"/>
        <v>8692.2027529812931</v>
      </c>
      <c r="G1412" s="36">
        <f t="shared" si="87"/>
        <v>8453.2672667187053</v>
      </c>
      <c r="I1412" s="40">
        <v>8683.1503909999992</v>
      </c>
      <c r="J1412" s="36">
        <v>8692.2027529812931</v>
      </c>
      <c r="K1412" s="36">
        <v>8453.2672667187053</v>
      </c>
    </row>
    <row r="1413" spans="1:11" x14ac:dyDescent="0.25">
      <c r="A1413" s="39">
        <v>42590</v>
      </c>
      <c r="B1413" s="36">
        <v>8711.3496090000008</v>
      </c>
      <c r="C1413" s="36">
        <f t="shared" si="84"/>
        <v>8584.9074707500004</v>
      </c>
      <c r="D1413" s="36">
        <f t="shared" si="85"/>
        <v>62.008024324977384</v>
      </c>
      <c r="E1413" s="40">
        <v>8711.3496090000008</v>
      </c>
      <c r="F1413" s="36">
        <f t="shared" si="86"/>
        <v>8708.9235193999557</v>
      </c>
      <c r="G1413" s="36">
        <f t="shared" si="87"/>
        <v>8460.891422100045</v>
      </c>
      <c r="I1413" s="40">
        <v>8711.3496090000008</v>
      </c>
      <c r="J1413" s="36">
        <v>8708.9235193999557</v>
      </c>
      <c r="K1413" s="36">
        <v>8460.891422100045</v>
      </c>
    </row>
    <row r="1414" spans="1:11" x14ac:dyDescent="0.25">
      <c r="A1414" s="39">
        <v>42591</v>
      </c>
      <c r="B1414" s="36">
        <v>8678.25</v>
      </c>
      <c r="C1414" s="36">
        <f t="shared" si="84"/>
        <v>8592.7674805000006</v>
      </c>
      <c r="D1414" s="36">
        <f t="shared" si="85"/>
        <v>63.434316530192035</v>
      </c>
      <c r="E1414" s="40">
        <v>8678.25</v>
      </c>
      <c r="F1414" s="36">
        <f t="shared" si="86"/>
        <v>8719.6361135603838</v>
      </c>
      <c r="G1414" s="36">
        <f t="shared" si="87"/>
        <v>8465.8988474396174</v>
      </c>
      <c r="I1414" s="40">
        <v>8678.25</v>
      </c>
      <c r="J1414" s="36">
        <v>8719.6361135603838</v>
      </c>
      <c r="K1414" s="36">
        <v>8465.8988474396174</v>
      </c>
    </row>
    <row r="1415" spans="1:11" x14ac:dyDescent="0.25">
      <c r="A1415" s="39">
        <v>42592</v>
      </c>
      <c r="B1415" s="36">
        <v>8575.2998050000006</v>
      </c>
      <c r="C1415" s="36">
        <f t="shared" si="84"/>
        <v>8595.55747075</v>
      </c>
      <c r="D1415" s="36">
        <f t="shared" si="85"/>
        <v>61.231077780062328</v>
      </c>
      <c r="E1415" s="40">
        <v>8575.2998050000006</v>
      </c>
      <c r="F1415" s="36">
        <f t="shared" si="86"/>
        <v>8718.0196263101243</v>
      </c>
      <c r="G1415" s="36">
        <f t="shared" si="87"/>
        <v>8473.0953151898757</v>
      </c>
      <c r="I1415" s="40">
        <v>8575.2998050000006</v>
      </c>
      <c r="J1415" s="36">
        <v>8718.0196263101243</v>
      </c>
      <c r="K1415" s="36">
        <v>8473.0953151898757</v>
      </c>
    </row>
    <row r="1416" spans="1:11" x14ac:dyDescent="0.25">
      <c r="A1416" s="39">
        <v>42593</v>
      </c>
      <c r="B1416" s="36">
        <v>8592.1503909999992</v>
      </c>
      <c r="C1416" s="36">
        <f t="shared" si="84"/>
        <v>8596.9149902999998</v>
      </c>
      <c r="D1416" s="36">
        <f t="shared" si="85"/>
        <v>60.817520338894859</v>
      </c>
      <c r="E1416" s="40">
        <v>8592.1503909999992</v>
      </c>
      <c r="F1416" s="36">
        <f t="shared" si="86"/>
        <v>8718.550030977789</v>
      </c>
      <c r="G1416" s="36">
        <f t="shared" si="87"/>
        <v>8475.2799496222106</v>
      </c>
      <c r="I1416" s="40">
        <v>8592.1503909999992</v>
      </c>
      <c r="J1416" s="36">
        <v>8718.550030977789</v>
      </c>
      <c r="K1416" s="36">
        <v>8475.2799496222106</v>
      </c>
    </row>
    <row r="1417" spans="1:11" x14ac:dyDescent="0.25">
      <c r="A1417" s="39">
        <v>42598</v>
      </c>
      <c r="B1417" s="36">
        <v>8642.5498050000006</v>
      </c>
      <c r="C1417" s="36">
        <f t="shared" si="84"/>
        <v>8601.9724609999994</v>
      </c>
      <c r="D1417" s="36">
        <f t="shared" si="85"/>
        <v>60.160202880966708</v>
      </c>
      <c r="E1417" s="40">
        <v>8642.5498050000006</v>
      </c>
      <c r="F1417" s="36">
        <f t="shared" si="86"/>
        <v>8722.2928667619326</v>
      </c>
      <c r="G1417" s="36">
        <f t="shared" si="87"/>
        <v>8481.6520552380662</v>
      </c>
      <c r="I1417" s="40">
        <v>8642.5498050000006</v>
      </c>
      <c r="J1417" s="36">
        <v>8722.2928667619326</v>
      </c>
      <c r="K1417" s="36">
        <v>8481.6520552380662</v>
      </c>
    </row>
    <row r="1418" spans="1:11" x14ac:dyDescent="0.25">
      <c r="A1418" s="39">
        <v>42599</v>
      </c>
      <c r="B1418" s="36">
        <v>8624.0498050000006</v>
      </c>
      <c r="C1418" s="36">
        <f t="shared" si="84"/>
        <v>8607.7399415</v>
      </c>
      <c r="D1418" s="36">
        <f t="shared" si="85"/>
        <v>56.142753710549187</v>
      </c>
      <c r="E1418" s="40">
        <v>8624.0498050000006</v>
      </c>
      <c r="F1418" s="36">
        <f t="shared" si="86"/>
        <v>8720.0254489210984</v>
      </c>
      <c r="G1418" s="36">
        <f t="shared" si="87"/>
        <v>8495.4544340789016</v>
      </c>
      <c r="I1418" s="40">
        <v>8624.0498050000006</v>
      </c>
      <c r="J1418" s="36">
        <v>8720.0254489210984</v>
      </c>
      <c r="K1418" s="36">
        <v>8495.4544340789016</v>
      </c>
    </row>
    <row r="1419" spans="1:11" x14ac:dyDescent="0.25">
      <c r="A1419" s="39">
        <v>42600</v>
      </c>
      <c r="B1419" s="36">
        <v>8673.25</v>
      </c>
      <c r="C1419" s="36">
        <f t="shared" si="84"/>
        <v>8614.9749512499984</v>
      </c>
      <c r="D1419" s="36">
        <f t="shared" si="85"/>
        <v>54.705791964113885</v>
      </c>
      <c r="E1419" s="40">
        <v>8673.25</v>
      </c>
      <c r="F1419" s="36">
        <f t="shared" si="86"/>
        <v>8724.386535178226</v>
      </c>
      <c r="G1419" s="36">
        <f t="shared" si="87"/>
        <v>8505.5633673217708</v>
      </c>
      <c r="I1419" s="40">
        <v>8673.25</v>
      </c>
      <c r="J1419" s="36">
        <v>8724.386535178226</v>
      </c>
      <c r="K1419" s="36">
        <v>8505.5633673217708</v>
      </c>
    </row>
    <row r="1420" spans="1:11" x14ac:dyDescent="0.25">
      <c r="A1420" s="39">
        <v>42601</v>
      </c>
      <c r="B1420" s="36">
        <v>8666.9003909999992</v>
      </c>
      <c r="C1420" s="36">
        <f t="shared" si="84"/>
        <v>8620.0274903499994</v>
      </c>
      <c r="D1420" s="36">
        <f t="shared" si="85"/>
        <v>54.596191706838752</v>
      </c>
      <c r="E1420" s="40">
        <v>8666.9003909999992</v>
      </c>
      <c r="F1420" s="36">
        <f t="shared" si="86"/>
        <v>8729.2198737636772</v>
      </c>
      <c r="G1420" s="36">
        <f t="shared" si="87"/>
        <v>8510.8351069363216</v>
      </c>
      <c r="I1420" s="40">
        <v>8666.9003909999992</v>
      </c>
      <c r="J1420" s="36">
        <v>8729.2198737636772</v>
      </c>
      <c r="K1420" s="36">
        <v>8510.8351069363216</v>
      </c>
    </row>
    <row r="1421" spans="1:11" x14ac:dyDescent="0.25">
      <c r="A1421" s="39">
        <v>42604</v>
      </c>
      <c r="B1421" s="36">
        <v>8629.1503909999992</v>
      </c>
      <c r="C1421" s="36">
        <f t="shared" si="84"/>
        <v>8625.9800294499983</v>
      </c>
      <c r="D1421" s="36">
        <f t="shared" si="85"/>
        <v>48.081385287610644</v>
      </c>
      <c r="E1421" s="40">
        <v>8629.1503909999992</v>
      </c>
      <c r="F1421" s="36">
        <f t="shared" si="86"/>
        <v>8722.1428000252199</v>
      </c>
      <c r="G1421" s="36">
        <f t="shared" si="87"/>
        <v>8529.8172588747766</v>
      </c>
      <c r="I1421" s="40">
        <v>8629.1503909999992</v>
      </c>
      <c r="J1421" s="36">
        <v>8722.1428000252199</v>
      </c>
      <c r="K1421" s="36">
        <v>8529.8172588747766</v>
      </c>
    </row>
    <row r="1422" spans="1:11" x14ac:dyDescent="0.25">
      <c r="A1422" s="39">
        <v>42605</v>
      </c>
      <c r="B1422" s="36">
        <v>8632.5996090000008</v>
      </c>
      <c r="C1422" s="36">
        <f t="shared" si="84"/>
        <v>8630.5500001500004</v>
      </c>
      <c r="D1422" s="36">
        <f t="shared" si="85"/>
        <v>43.747528334638325</v>
      </c>
      <c r="E1422" s="40">
        <v>8632.5996090000008</v>
      </c>
      <c r="F1422" s="36">
        <f t="shared" si="86"/>
        <v>8718.0450568192773</v>
      </c>
      <c r="G1422" s="36">
        <f t="shared" si="87"/>
        <v>8543.0549434807235</v>
      </c>
      <c r="I1422" s="40">
        <v>8632.5996090000008</v>
      </c>
      <c r="J1422" s="36">
        <v>8718.0450568192773</v>
      </c>
      <c r="K1422" s="36">
        <v>8543.0549434807235</v>
      </c>
    </row>
    <row r="1423" spans="1:11" x14ac:dyDescent="0.25">
      <c r="A1423" s="39">
        <v>42606</v>
      </c>
      <c r="B1423" s="36">
        <v>8650.2998050000006</v>
      </c>
      <c r="C1423" s="36">
        <f t="shared" si="84"/>
        <v>8631.2824708500011</v>
      </c>
      <c r="D1423" s="36">
        <f t="shared" si="85"/>
        <v>43.95954420689003</v>
      </c>
      <c r="E1423" s="40">
        <v>8650.2998050000006</v>
      </c>
      <c r="F1423" s="36">
        <f t="shared" si="86"/>
        <v>8719.2015592637817</v>
      </c>
      <c r="G1423" s="36">
        <f t="shared" si="87"/>
        <v>8543.3633824362205</v>
      </c>
      <c r="I1423" s="40">
        <v>8650.2998050000006</v>
      </c>
      <c r="J1423" s="36">
        <v>8719.2015592637817</v>
      </c>
      <c r="K1423" s="36">
        <v>8543.3633824362205</v>
      </c>
    </row>
    <row r="1424" spans="1:11" x14ac:dyDescent="0.25">
      <c r="A1424" s="39">
        <v>42607</v>
      </c>
      <c r="B1424" s="36">
        <v>8592.2001949999994</v>
      </c>
      <c r="C1424" s="36">
        <f t="shared" si="84"/>
        <v>8631.3599610499987</v>
      </c>
      <c r="D1424" s="36">
        <f t="shared" si="85"/>
        <v>43.885453343862096</v>
      </c>
      <c r="E1424" s="40">
        <v>8592.2001949999994</v>
      </c>
      <c r="F1424" s="36">
        <f t="shared" si="86"/>
        <v>8719.1308677377237</v>
      </c>
      <c r="G1424" s="36">
        <f t="shared" si="87"/>
        <v>8543.5890543622736</v>
      </c>
      <c r="I1424" s="40">
        <v>8592.2001949999994</v>
      </c>
      <c r="J1424" s="36">
        <v>8719.1308677377237</v>
      </c>
      <c r="K1424" s="36">
        <v>8543.5890543622736</v>
      </c>
    </row>
    <row r="1425" spans="1:11" x14ac:dyDescent="0.25">
      <c r="A1425" s="39">
        <v>42608</v>
      </c>
      <c r="B1425" s="36">
        <v>8572.5498050000006</v>
      </c>
      <c r="C1425" s="36">
        <f t="shared" si="84"/>
        <v>8629.1974610500001</v>
      </c>
      <c r="D1425" s="36">
        <f t="shared" si="85"/>
        <v>45.719807501813406</v>
      </c>
      <c r="E1425" s="40">
        <v>8572.5498050000006</v>
      </c>
      <c r="F1425" s="36">
        <f t="shared" si="86"/>
        <v>8720.6370760536265</v>
      </c>
      <c r="G1425" s="36">
        <f t="shared" si="87"/>
        <v>8537.7578460463737</v>
      </c>
      <c r="I1425" s="40">
        <v>8572.5498050000006</v>
      </c>
      <c r="J1425" s="36">
        <v>8720.6370760536265</v>
      </c>
      <c r="K1425" s="36">
        <v>8537.7578460463737</v>
      </c>
    </row>
    <row r="1426" spans="1:11" x14ac:dyDescent="0.25">
      <c r="A1426" s="39">
        <v>42611</v>
      </c>
      <c r="B1426" s="36">
        <v>8607.4501949999994</v>
      </c>
      <c r="C1426" s="36">
        <f t="shared" si="84"/>
        <v>8626.2549805500003</v>
      </c>
      <c r="D1426" s="36">
        <f t="shared" si="85"/>
        <v>45.095752505239439</v>
      </c>
      <c r="E1426" s="40">
        <v>8607.4501949999994</v>
      </c>
      <c r="F1426" s="36">
        <f t="shared" si="86"/>
        <v>8716.4464855604783</v>
      </c>
      <c r="G1426" s="36">
        <f t="shared" si="87"/>
        <v>8536.0634755395222</v>
      </c>
      <c r="I1426" s="40">
        <v>8607.4501949999994</v>
      </c>
      <c r="J1426" s="36">
        <v>8716.4464855604783</v>
      </c>
      <c r="K1426" s="36">
        <v>8536.0634755395222</v>
      </c>
    </row>
    <row r="1427" spans="1:11" x14ac:dyDescent="0.25">
      <c r="A1427" s="39">
        <v>42612</v>
      </c>
      <c r="B1427" s="36">
        <v>8744.3496090000008</v>
      </c>
      <c r="C1427" s="36">
        <f t="shared" si="84"/>
        <v>8631.5474610000001</v>
      </c>
      <c r="D1427" s="36">
        <f t="shared" si="85"/>
        <v>52.251972900250912</v>
      </c>
      <c r="E1427" s="40">
        <v>8744.3496090000008</v>
      </c>
      <c r="F1427" s="36">
        <f t="shared" si="86"/>
        <v>8736.0514068005014</v>
      </c>
      <c r="G1427" s="36">
        <f t="shared" si="87"/>
        <v>8527.0435151994989</v>
      </c>
      <c r="I1427" s="40">
        <v>8744.3496090000008</v>
      </c>
      <c r="J1427" s="36">
        <v>8736.0514068005014</v>
      </c>
      <c r="K1427" s="36">
        <v>8527.0435151994989</v>
      </c>
    </row>
    <row r="1428" spans="1:11" x14ac:dyDescent="0.25">
      <c r="A1428" s="39">
        <v>42613</v>
      </c>
      <c r="B1428" s="36">
        <v>8786.2001949999994</v>
      </c>
      <c r="C1428" s="36">
        <f t="shared" si="84"/>
        <v>8639.0299805000013</v>
      </c>
      <c r="D1428" s="36">
        <f t="shared" si="85"/>
        <v>62.680387050086829</v>
      </c>
      <c r="E1428" s="40">
        <v>8786.2001949999994</v>
      </c>
      <c r="F1428" s="36">
        <f t="shared" si="86"/>
        <v>8764.3907546001756</v>
      </c>
      <c r="G1428" s="36">
        <f t="shared" si="87"/>
        <v>8513.6692063998271</v>
      </c>
      <c r="I1428" s="40">
        <v>8786.2001949999994</v>
      </c>
      <c r="J1428" s="36">
        <v>8764.3907546001756</v>
      </c>
      <c r="K1428" s="36">
        <v>8513.6692063998271</v>
      </c>
    </row>
    <row r="1429" spans="1:11" x14ac:dyDescent="0.25">
      <c r="A1429" s="39">
        <v>42614</v>
      </c>
      <c r="B1429" s="36">
        <v>8774.6503909999992</v>
      </c>
      <c r="C1429" s="36">
        <f t="shared" si="84"/>
        <v>8646.617480500001</v>
      </c>
      <c r="D1429" s="36">
        <f t="shared" si="85"/>
        <v>69.444834772863118</v>
      </c>
      <c r="E1429" s="40">
        <v>8774.6503909999992</v>
      </c>
      <c r="F1429" s="36">
        <f t="shared" si="86"/>
        <v>8785.507150045727</v>
      </c>
      <c r="G1429" s="36">
        <f t="shared" si="87"/>
        <v>8507.7278109542749</v>
      </c>
      <c r="I1429" s="40">
        <v>8774.6503909999992</v>
      </c>
      <c r="J1429" s="36">
        <v>8785.507150045727</v>
      </c>
      <c r="K1429" s="36">
        <v>8507.7278109542749</v>
      </c>
    </row>
    <row r="1430" spans="1:11" x14ac:dyDescent="0.25">
      <c r="A1430" s="39">
        <v>42615</v>
      </c>
      <c r="B1430" s="36">
        <v>8809.6503909999992</v>
      </c>
      <c r="C1430" s="36">
        <f t="shared" ref="C1430:C1493" si="88">AVERAGE(B1411:B1430)</f>
        <v>8659.857519600002</v>
      </c>
      <c r="D1430" s="36">
        <f t="shared" ref="D1430:D1493" si="89">_xlfn.STDEV.S(B1411:B1430)</f>
        <v>74.107380833151311</v>
      </c>
      <c r="E1430" s="40">
        <v>8809.6503909999992</v>
      </c>
      <c r="F1430" s="36">
        <f t="shared" ref="F1430:F1493" si="90">C1430+2*D1430</f>
        <v>8808.0722812663043</v>
      </c>
      <c r="G1430" s="36">
        <f t="shared" ref="G1430:G1493" si="91">C1430-2*D1430</f>
        <v>8511.6427579336996</v>
      </c>
      <c r="I1430" s="40">
        <v>8809.6503909999992</v>
      </c>
      <c r="J1430" s="36">
        <v>8808.0722812663043</v>
      </c>
      <c r="K1430" s="36">
        <v>8511.6427579336996</v>
      </c>
    </row>
    <row r="1431" spans="1:11" x14ac:dyDescent="0.25">
      <c r="A1431" s="39">
        <v>42619</v>
      </c>
      <c r="B1431" s="36">
        <v>8943</v>
      </c>
      <c r="C1431" s="36">
        <f t="shared" si="88"/>
        <v>8679.4525391500028</v>
      </c>
      <c r="D1431" s="36">
        <f t="shared" si="89"/>
        <v>93.191443940540211</v>
      </c>
      <c r="E1431" s="40">
        <v>8943</v>
      </c>
      <c r="F1431" s="36">
        <f t="shared" si="90"/>
        <v>8865.8354270310829</v>
      </c>
      <c r="G1431" s="36">
        <f t="shared" si="91"/>
        <v>8493.0696512689228</v>
      </c>
      <c r="I1431" s="40">
        <v>8943</v>
      </c>
      <c r="J1431" s="36">
        <v>8865.8354270310829</v>
      </c>
      <c r="K1431" s="36">
        <v>8493.0696512689228</v>
      </c>
    </row>
    <row r="1432" spans="1:11" x14ac:dyDescent="0.25">
      <c r="A1432" s="39">
        <v>42620</v>
      </c>
      <c r="B1432" s="36">
        <v>8917.9501949999994</v>
      </c>
      <c r="C1432" s="36">
        <f t="shared" si="88"/>
        <v>8691.1925293500008</v>
      </c>
      <c r="D1432" s="36">
        <f t="shared" si="89"/>
        <v>107.38988720164348</v>
      </c>
      <c r="E1432" s="40">
        <v>8917.9501949999994</v>
      </c>
      <c r="F1432" s="36">
        <f t="shared" si="90"/>
        <v>8905.9723037532876</v>
      </c>
      <c r="G1432" s="36">
        <f t="shared" si="91"/>
        <v>8476.4127549467139</v>
      </c>
      <c r="I1432" s="40">
        <v>8917.9501949999994</v>
      </c>
      <c r="J1432" s="36">
        <v>8905.9723037532876</v>
      </c>
      <c r="K1432" s="36">
        <v>8476.4127549467139</v>
      </c>
    </row>
    <row r="1433" spans="1:11" x14ac:dyDescent="0.25">
      <c r="A1433" s="39">
        <v>42621</v>
      </c>
      <c r="B1433" s="36">
        <v>8952.5</v>
      </c>
      <c r="C1433" s="36">
        <f t="shared" si="88"/>
        <v>8703.2500488999995</v>
      </c>
      <c r="D1433" s="36">
        <f t="shared" si="89"/>
        <v>122.27810846675963</v>
      </c>
      <c r="E1433" s="40">
        <v>8952.5</v>
      </c>
      <c r="F1433" s="36">
        <f t="shared" si="90"/>
        <v>8947.8062658335184</v>
      </c>
      <c r="G1433" s="36">
        <f t="shared" si="91"/>
        <v>8458.6938319664805</v>
      </c>
      <c r="I1433" s="40">
        <v>8952.5</v>
      </c>
      <c r="J1433" s="36">
        <v>8947.8062658335184</v>
      </c>
      <c r="K1433" s="36">
        <v>8458.6938319664805</v>
      </c>
    </row>
    <row r="1434" spans="1:11" x14ac:dyDescent="0.25">
      <c r="A1434" s="39">
        <v>42622</v>
      </c>
      <c r="B1434" s="36">
        <v>8866.7001949999994</v>
      </c>
      <c r="C1434" s="36">
        <f t="shared" si="88"/>
        <v>8712.6725586499997</v>
      </c>
      <c r="D1434" s="36">
        <f t="shared" si="89"/>
        <v>127.40363838671747</v>
      </c>
      <c r="E1434" s="40">
        <v>8866.7001949999994</v>
      </c>
      <c r="F1434" s="36">
        <f t="shared" si="90"/>
        <v>8967.4798354234354</v>
      </c>
      <c r="G1434" s="36">
        <f t="shared" si="91"/>
        <v>8457.865281876564</v>
      </c>
      <c r="I1434" s="40">
        <v>8866.7001949999994</v>
      </c>
      <c r="J1434" s="36">
        <v>8967.4798354234354</v>
      </c>
      <c r="K1434" s="36">
        <v>8457.865281876564</v>
      </c>
    </row>
    <row r="1435" spans="1:11" x14ac:dyDescent="0.25">
      <c r="A1435" s="39">
        <v>42625</v>
      </c>
      <c r="B1435" s="36">
        <v>8715.5996090000008</v>
      </c>
      <c r="C1435" s="36">
        <f t="shared" si="88"/>
        <v>8719.6875488500009</v>
      </c>
      <c r="D1435" s="36">
        <f t="shared" si="89"/>
        <v>123.23600525597047</v>
      </c>
      <c r="E1435" s="40">
        <v>8715.5996090000008</v>
      </c>
      <c r="F1435" s="36">
        <f t="shared" si="90"/>
        <v>8966.1595593619422</v>
      </c>
      <c r="G1435" s="36">
        <f t="shared" si="91"/>
        <v>8473.2155383380596</v>
      </c>
      <c r="I1435" s="40">
        <v>8715.5996090000008</v>
      </c>
      <c r="J1435" s="36">
        <v>8966.1595593619422</v>
      </c>
      <c r="K1435" s="36">
        <v>8473.2155383380596</v>
      </c>
    </row>
    <row r="1436" spans="1:11" x14ac:dyDescent="0.25">
      <c r="A1436" s="39">
        <v>42627</v>
      </c>
      <c r="B1436" s="36">
        <v>8726.5996090000008</v>
      </c>
      <c r="C1436" s="36">
        <f t="shared" si="88"/>
        <v>8726.4100097500013</v>
      </c>
      <c r="D1436" s="36">
        <f t="shared" si="89"/>
        <v>119.52391682477142</v>
      </c>
      <c r="E1436" s="40">
        <v>8726.5996090000008</v>
      </c>
      <c r="F1436" s="36">
        <f t="shared" si="90"/>
        <v>8965.4578433995448</v>
      </c>
      <c r="G1436" s="36">
        <f t="shared" si="91"/>
        <v>8487.3621761004579</v>
      </c>
      <c r="I1436" s="40">
        <v>8726.5996090000008</v>
      </c>
      <c r="J1436" s="36">
        <v>8965.4578433995448</v>
      </c>
      <c r="K1436" s="36">
        <v>8487.3621761004579</v>
      </c>
    </row>
    <row r="1437" spans="1:11" x14ac:dyDescent="0.25">
      <c r="A1437" s="39">
        <v>42628</v>
      </c>
      <c r="B1437" s="36">
        <v>8742.5498050000006</v>
      </c>
      <c r="C1437" s="36">
        <f t="shared" si="88"/>
        <v>8731.4100097499995</v>
      </c>
      <c r="D1437" s="36">
        <f t="shared" si="89"/>
        <v>117.91194891005094</v>
      </c>
      <c r="E1437" s="40">
        <v>8742.5498050000006</v>
      </c>
      <c r="F1437" s="36">
        <f t="shared" si="90"/>
        <v>8967.233907570102</v>
      </c>
      <c r="G1437" s="36">
        <f t="shared" si="91"/>
        <v>8495.586111929897</v>
      </c>
      <c r="I1437" s="40">
        <v>8742.5498050000006</v>
      </c>
      <c r="J1437" s="36">
        <v>8967.233907570102</v>
      </c>
      <c r="K1437" s="36">
        <v>8495.586111929897</v>
      </c>
    </row>
    <row r="1438" spans="1:11" x14ac:dyDescent="0.25">
      <c r="A1438" s="39">
        <v>42629</v>
      </c>
      <c r="B1438" s="36">
        <v>8779.8496090000008</v>
      </c>
      <c r="C1438" s="36">
        <f t="shared" si="88"/>
        <v>8739.1999999500003</v>
      </c>
      <c r="D1438" s="36">
        <f t="shared" si="89"/>
        <v>115.56903347869157</v>
      </c>
      <c r="E1438" s="40">
        <v>8779.8496090000008</v>
      </c>
      <c r="F1438" s="36">
        <f t="shared" si="90"/>
        <v>8970.3380669073831</v>
      </c>
      <c r="G1438" s="36">
        <f t="shared" si="91"/>
        <v>8508.0619329926176</v>
      </c>
      <c r="I1438" s="40">
        <v>8779.8496090000008</v>
      </c>
      <c r="J1438" s="36">
        <v>8970.3380669073831</v>
      </c>
      <c r="K1438" s="36">
        <v>8508.0619329926176</v>
      </c>
    </row>
    <row r="1439" spans="1:11" x14ac:dyDescent="0.25">
      <c r="A1439" s="39">
        <v>42632</v>
      </c>
      <c r="B1439" s="36">
        <v>8808.4003909999992</v>
      </c>
      <c r="C1439" s="36">
        <f t="shared" si="88"/>
        <v>8745.9575194999998</v>
      </c>
      <c r="D1439" s="36">
        <f t="shared" si="89"/>
        <v>115.46105260478073</v>
      </c>
      <c r="E1439" s="40">
        <v>8808.4003909999992</v>
      </c>
      <c r="F1439" s="36">
        <f t="shared" si="90"/>
        <v>8976.8796247095615</v>
      </c>
      <c r="G1439" s="36">
        <f t="shared" si="91"/>
        <v>8515.035414290438</v>
      </c>
      <c r="I1439" s="40">
        <v>8808.4003909999992</v>
      </c>
      <c r="J1439" s="36">
        <v>8976.8796247095615</v>
      </c>
      <c r="K1439" s="36">
        <v>8515.035414290438</v>
      </c>
    </row>
    <row r="1440" spans="1:11" x14ac:dyDescent="0.25">
      <c r="A1440" s="39">
        <v>42633</v>
      </c>
      <c r="B1440" s="36">
        <v>8775.9003909999992</v>
      </c>
      <c r="C1440" s="36">
        <f t="shared" si="88"/>
        <v>8751.4075195000005</v>
      </c>
      <c r="D1440" s="36">
        <f t="shared" si="89"/>
        <v>114.09745019764436</v>
      </c>
      <c r="E1440" s="40">
        <v>8775.9003909999992</v>
      </c>
      <c r="F1440" s="36">
        <f t="shared" si="90"/>
        <v>8979.6024198952891</v>
      </c>
      <c r="G1440" s="36">
        <f t="shared" si="91"/>
        <v>8523.2126191047118</v>
      </c>
      <c r="I1440" s="40">
        <v>8775.9003909999992</v>
      </c>
      <c r="J1440" s="36">
        <v>8979.6024198952891</v>
      </c>
      <c r="K1440" s="36">
        <v>8523.2126191047118</v>
      </c>
    </row>
    <row r="1441" spans="1:11" x14ac:dyDescent="0.25">
      <c r="A1441" s="39">
        <v>42634</v>
      </c>
      <c r="B1441" s="36">
        <v>8777.1503909999992</v>
      </c>
      <c r="C1441" s="36">
        <f t="shared" si="88"/>
        <v>8758.8075195000001</v>
      </c>
      <c r="D1441" s="36">
        <f t="shared" si="89"/>
        <v>110.49339695786411</v>
      </c>
      <c r="E1441" s="40">
        <v>8777.1503909999992</v>
      </c>
      <c r="F1441" s="36">
        <f t="shared" si="90"/>
        <v>8979.7943134157285</v>
      </c>
      <c r="G1441" s="36">
        <f t="shared" si="91"/>
        <v>8537.8207255842717</v>
      </c>
      <c r="I1441" s="40">
        <v>8777.1503909999992</v>
      </c>
      <c r="J1441" s="36">
        <v>8979.7943134157285</v>
      </c>
      <c r="K1441" s="36">
        <v>8537.8207255842717</v>
      </c>
    </row>
    <row r="1442" spans="1:11" x14ac:dyDescent="0.25">
      <c r="A1442" s="39">
        <v>42635</v>
      </c>
      <c r="B1442" s="36">
        <v>8867.4501949999994</v>
      </c>
      <c r="C1442" s="36">
        <f t="shared" si="88"/>
        <v>8770.5500487999998</v>
      </c>
      <c r="D1442" s="36">
        <f t="shared" si="89"/>
        <v>108.84176806487427</v>
      </c>
      <c r="E1442" s="40">
        <v>8867.4501949999994</v>
      </c>
      <c r="F1442" s="36">
        <f t="shared" si="90"/>
        <v>8988.2335849297488</v>
      </c>
      <c r="G1442" s="36">
        <f t="shared" si="91"/>
        <v>8552.8665126702508</v>
      </c>
      <c r="I1442" s="40">
        <v>8867.4501949999994</v>
      </c>
      <c r="J1442" s="36">
        <v>8988.2335849297488</v>
      </c>
      <c r="K1442" s="36">
        <v>8552.8665126702508</v>
      </c>
    </row>
    <row r="1443" spans="1:11" x14ac:dyDescent="0.25">
      <c r="A1443" s="39">
        <v>42636</v>
      </c>
      <c r="B1443" s="36">
        <v>8831.5498050000006</v>
      </c>
      <c r="C1443" s="36">
        <f t="shared" si="88"/>
        <v>8779.6125487999998</v>
      </c>
      <c r="D1443" s="36">
        <f t="shared" si="89"/>
        <v>105.80576793345388</v>
      </c>
      <c r="E1443" s="40">
        <v>8831.5498050000006</v>
      </c>
      <c r="F1443" s="36">
        <f t="shared" si="90"/>
        <v>8991.2240846669083</v>
      </c>
      <c r="G1443" s="36">
        <f t="shared" si="91"/>
        <v>8568.0010129330913</v>
      </c>
      <c r="I1443" s="40">
        <v>8831.5498050000006</v>
      </c>
      <c r="J1443" s="36">
        <v>8991.2240846669083</v>
      </c>
      <c r="K1443" s="36">
        <v>8568.0010129330913</v>
      </c>
    </row>
    <row r="1444" spans="1:11" x14ac:dyDescent="0.25">
      <c r="A1444" s="39">
        <v>42639</v>
      </c>
      <c r="B1444" s="36">
        <v>8723.0498050000006</v>
      </c>
      <c r="C1444" s="36">
        <f t="shared" si="88"/>
        <v>8786.1550293</v>
      </c>
      <c r="D1444" s="36">
        <f t="shared" si="89"/>
        <v>97.311821816381439</v>
      </c>
      <c r="E1444" s="40">
        <v>8723.0498050000006</v>
      </c>
      <c r="F1444" s="36">
        <f t="shared" si="90"/>
        <v>8980.7786729327636</v>
      </c>
      <c r="G1444" s="36">
        <f t="shared" si="91"/>
        <v>8591.5313856672365</v>
      </c>
      <c r="I1444" s="40">
        <v>8723.0498050000006</v>
      </c>
      <c r="J1444" s="36">
        <v>8980.7786729327636</v>
      </c>
      <c r="K1444" s="36">
        <v>8591.5313856672365</v>
      </c>
    </row>
    <row r="1445" spans="1:11" x14ac:dyDescent="0.25">
      <c r="A1445" s="39">
        <v>42640</v>
      </c>
      <c r="B1445" s="36">
        <v>8706.4003909999992</v>
      </c>
      <c r="C1445" s="36">
        <f t="shared" si="88"/>
        <v>8792.8475585999986</v>
      </c>
      <c r="D1445" s="36">
        <f t="shared" si="89"/>
        <v>85.765909726394199</v>
      </c>
      <c r="E1445" s="40">
        <v>8706.4003909999992</v>
      </c>
      <c r="F1445" s="36">
        <f t="shared" si="90"/>
        <v>8964.3793780527867</v>
      </c>
      <c r="G1445" s="36">
        <f t="shared" si="91"/>
        <v>8621.3157391472105</v>
      </c>
      <c r="I1445" s="40">
        <v>8706.4003909999992</v>
      </c>
      <c r="J1445" s="36">
        <v>8964.3793780527867</v>
      </c>
      <c r="K1445" s="36">
        <v>8621.3157391472105</v>
      </c>
    </row>
    <row r="1446" spans="1:11" x14ac:dyDescent="0.25">
      <c r="A1446" s="39">
        <v>42641</v>
      </c>
      <c r="B1446" s="36">
        <v>8745.1503909999992</v>
      </c>
      <c r="C1446" s="36">
        <f t="shared" si="88"/>
        <v>8799.7325683999989</v>
      </c>
      <c r="D1446" s="36">
        <f t="shared" si="89"/>
        <v>74.943769911017057</v>
      </c>
      <c r="E1446" s="40">
        <v>8745.1503909999992</v>
      </c>
      <c r="F1446" s="36">
        <f t="shared" si="90"/>
        <v>8949.6201082220323</v>
      </c>
      <c r="G1446" s="36">
        <f t="shared" si="91"/>
        <v>8649.8450285779654</v>
      </c>
      <c r="I1446" s="40">
        <v>8745.1503909999992</v>
      </c>
      <c r="J1446" s="36">
        <v>8949.6201082220323</v>
      </c>
      <c r="K1446" s="36">
        <v>8649.8450285779654</v>
      </c>
    </row>
    <row r="1447" spans="1:11" x14ac:dyDescent="0.25">
      <c r="A1447" s="39">
        <v>42642</v>
      </c>
      <c r="B1447" s="36">
        <v>8591.25</v>
      </c>
      <c r="C1447" s="36">
        <f t="shared" si="88"/>
        <v>8792.0775879499997</v>
      </c>
      <c r="D1447" s="36">
        <f t="shared" si="89"/>
        <v>87.641776550610274</v>
      </c>
      <c r="E1447" s="40">
        <v>8591.25</v>
      </c>
      <c r="F1447" s="36">
        <f t="shared" si="90"/>
        <v>8967.3611410512203</v>
      </c>
      <c r="G1447" s="36">
        <f t="shared" si="91"/>
        <v>8616.7940348487791</v>
      </c>
      <c r="I1447" s="40">
        <v>8591.25</v>
      </c>
      <c r="J1447" s="36">
        <v>8967.3611410512203</v>
      </c>
      <c r="K1447" s="36">
        <v>8616.7940348487791</v>
      </c>
    </row>
    <row r="1448" spans="1:11" x14ac:dyDescent="0.25">
      <c r="A1448" s="39">
        <v>42643</v>
      </c>
      <c r="B1448" s="36">
        <v>8611.1503909999992</v>
      </c>
      <c r="C1448" s="36">
        <f t="shared" si="88"/>
        <v>8783.3250977499993</v>
      </c>
      <c r="D1448" s="36">
        <f t="shared" si="89"/>
        <v>96.54792213312858</v>
      </c>
      <c r="E1448" s="40">
        <v>8611.1503909999992</v>
      </c>
      <c r="F1448" s="36">
        <f t="shared" si="90"/>
        <v>8976.420942016257</v>
      </c>
      <c r="G1448" s="36">
        <f t="shared" si="91"/>
        <v>8590.2292534837416</v>
      </c>
      <c r="I1448" s="40">
        <v>8611.1503909999992</v>
      </c>
      <c r="J1448" s="36">
        <v>8976.420942016257</v>
      </c>
      <c r="K1448" s="36">
        <v>8590.2292534837416</v>
      </c>
    </row>
    <row r="1449" spans="1:11" x14ac:dyDescent="0.25">
      <c r="A1449" s="39">
        <v>42646</v>
      </c>
      <c r="B1449" s="36">
        <v>8738.0996090000008</v>
      </c>
      <c r="C1449" s="36">
        <f t="shared" si="88"/>
        <v>8781.4975586500004</v>
      </c>
      <c r="D1449" s="36">
        <f t="shared" si="89"/>
        <v>97.065311818086727</v>
      </c>
      <c r="E1449" s="40">
        <v>8738.0996090000008</v>
      </c>
      <c r="F1449" s="36">
        <f t="shared" si="90"/>
        <v>8975.6281822861747</v>
      </c>
      <c r="G1449" s="36">
        <f t="shared" si="91"/>
        <v>8587.3669350138262</v>
      </c>
      <c r="I1449" s="40">
        <v>8738.0996090000008</v>
      </c>
      <c r="J1449" s="36">
        <v>8975.6281822861747</v>
      </c>
      <c r="K1449" s="36">
        <v>8587.3669350138262</v>
      </c>
    </row>
    <row r="1450" spans="1:11" x14ac:dyDescent="0.25">
      <c r="A1450" s="39">
        <v>42647</v>
      </c>
      <c r="B1450" s="36">
        <v>8769.1503909999992</v>
      </c>
      <c r="C1450" s="36">
        <f t="shared" si="88"/>
        <v>8779.4725586500008</v>
      </c>
      <c r="D1450" s="36">
        <f t="shared" si="89"/>
        <v>96.86933100238852</v>
      </c>
      <c r="E1450" s="40">
        <v>8769.1503909999992</v>
      </c>
      <c r="F1450" s="36">
        <f t="shared" si="90"/>
        <v>8973.2112206547772</v>
      </c>
      <c r="G1450" s="36">
        <f t="shared" si="91"/>
        <v>8585.7338966452244</v>
      </c>
      <c r="I1450" s="40">
        <v>8769.1503909999992</v>
      </c>
      <c r="J1450" s="36">
        <v>8973.2112206547772</v>
      </c>
      <c r="K1450" s="36">
        <v>8585.7338966452244</v>
      </c>
    </row>
    <row r="1451" spans="1:11" x14ac:dyDescent="0.25">
      <c r="A1451" s="39">
        <v>42648</v>
      </c>
      <c r="B1451" s="36">
        <v>8743.9501949999994</v>
      </c>
      <c r="C1451" s="36">
        <f t="shared" si="88"/>
        <v>8769.520068400001</v>
      </c>
      <c r="D1451" s="36">
        <f t="shared" si="89"/>
        <v>89.097596248937236</v>
      </c>
      <c r="E1451" s="40">
        <v>8743.9501949999994</v>
      </c>
      <c r="F1451" s="36">
        <f t="shared" si="90"/>
        <v>8947.7152608978759</v>
      </c>
      <c r="G1451" s="36">
        <f t="shared" si="91"/>
        <v>8591.3248759021262</v>
      </c>
      <c r="I1451" s="40">
        <v>8743.9501949999994</v>
      </c>
      <c r="J1451" s="36">
        <v>8947.7152608978759</v>
      </c>
      <c r="K1451" s="36">
        <v>8591.3248759021262</v>
      </c>
    </row>
    <row r="1452" spans="1:11" x14ac:dyDescent="0.25">
      <c r="A1452" s="39">
        <v>42649</v>
      </c>
      <c r="B1452" s="36">
        <v>8709.5498050000006</v>
      </c>
      <c r="C1452" s="36">
        <f t="shared" si="88"/>
        <v>8759.1000489000016</v>
      </c>
      <c r="D1452" s="36">
        <f t="shared" si="89"/>
        <v>82.787821813419626</v>
      </c>
      <c r="E1452" s="40">
        <v>8709.5498050000006</v>
      </c>
      <c r="F1452" s="36">
        <f t="shared" si="90"/>
        <v>8924.6756925268401</v>
      </c>
      <c r="G1452" s="36">
        <f t="shared" si="91"/>
        <v>8593.5244052731632</v>
      </c>
      <c r="I1452" s="40">
        <v>8709.5498050000006</v>
      </c>
      <c r="J1452" s="36">
        <v>8924.6756925268401</v>
      </c>
      <c r="K1452" s="36">
        <v>8593.5244052731632</v>
      </c>
    </row>
    <row r="1453" spans="1:11" x14ac:dyDescent="0.25">
      <c r="A1453" s="39">
        <v>42650</v>
      </c>
      <c r="B1453" s="36">
        <v>8697.5996090000008</v>
      </c>
      <c r="C1453" s="36">
        <f t="shared" si="88"/>
        <v>8746.3550293500011</v>
      </c>
      <c r="D1453" s="36">
        <f t="shared" si="89"/>
        <v>70.094934844940724</v>
      </c>
      <c r="E1453" s="40">
        <v>8697.5996090000008</v>
      </c>
      <c r="F1453" s="36">
        <f t="shared" si="90"/>
        <v>8886.5448990398818</v>
      </c>
      <c r="G1453" s="36">
        <f t="shared" si="91"/>
        <v>8606.1651596601205</v>
      </c>
      <c r="I1453" s="40">
        <v>8697.5996090000008</v>
      </c>
      <c r="J1453" s="36">
        <v>8886.5448990398818</v>
      </c>
      <c r="K1453" s="36">
        <v>8606.1651596601205</v>
      </c>
    </row>
    <row r="1454" spans="1:11" x14ac:dyDescent="0.25">
      <c r="A1454" s="39">
        <v>42653</v>
      </c>
      <c r="B1454" s="36">
        <v>8708.7998050000006</v>
      </c>
      <c r="C1454" s="36">
        <f t="shared" si="88"/>
        <v>8738.4600098500014</v>
      </c>
      <c r="D1454" s="36">
        <f t="shared" si="89"/>
        <v>64.495412831561978</v>
      </c>
      <c r="E1454" s="40">
        <v>8708.7998050000006</v>
      </c>
      <c r="F1454" s="36">
        <f t="shared" si="90"/>
        <v>8867.4508355131256</v>
      </c>
      <c r="G1454" s="36">
        <f t="shared" si="91"/>
        <v>8609.4691841868771</v>
      </c>
      <c r="I1454" s="40">
        <v>8708.7998050000006</v>
      </c>
      <c r="J1454" s="36">
        <v>8867.4508355131256</v>
      </c>
      <c r="K1454" s="36">
        <v>8609.4691841868771</v>
      </c>
    </row>
    <row r="1455" spans="1:11" x14ac:dyDescent="0.25">
      <c r="A1455" s="39">
        <v>42656</v>
      </c>
      <c r="B1455" s="36">
        <v>8573.3496090000008</v>
      </c>
      <c r="C1455" s="36">
        <f t="shared" si="88"/>
        <v>8731.3475098500003</v>
      </c>
      <c r="D1455" s="36">
        <f t="shared" si="89"/>
        <v>74.254399361704799</v>
      </c>
      <c r="E1455" s="40">
        <v>8573.3496090000008</v>
      </c>
      <c r="F1455" s="36">
        <f t="shared" si="90"/>
        <v>8879.8563085734095</v>
      </c>
      <c r="G1455" s="36">
        <f t="shared" si="91"/>
        <v>8582.8387111265911</v>
      </c>
      <c r="I1455" s="40">
        <v>8573.3496090000008</v>
      </c>
      <c r="J1455" s="36">
        <v>8879.8563085734095</v>
      </c>
      <c r="K1455" s="36">
        <v>8582.8387111265911</v>
      </c>
    </row>
    <row r="1456" spans="1:11" x14ac:dyDescent="0.25">
      <c r="A1456" s="39">
        <v>42657</v>
      </c>
      <c r="B1456" s="36">
        <v>8583.4003909999992</v>
      </c>
      <c r="C1456" s="36">
        <f t="shared" si="88"/>
        <v>8724.187548949998</v>
      </c>
      <c r="D1456" s="36">
        <f t="shared" si="89"/>
        <v>81.305501619550427</v>
      </c>
      <c r="E1456" s="40">
        <v>8583.4003909999992</v>
      </c>
      <c r="F1456" s="36">
        <f t="shared" si="90"/>
        <v>8886.7985521890987</v>
      </c>
      <c r="G1456" s="36">
        <f t="shared" si="91"/>
        <v>8561.5765457108973</v>
      </c>
      <c r="I1456" s="40">
        <v>8583.4003909999992</v>
      </c>
      <c r="J1456" s="36">
        <v>8886.7985521890987</v>
      </c>
      <c r="K1456" s="36">
        <v>8561.5765457108973</v>
      </c>
    </row>
    <row r="1457" spans="1:11" x14ac:dyDescent="0.25">
      <c r="A1457" s="39">
        <v>42660</v>
      </c>
      <c r="B1457" s="36">
        <v>8520.4003909999992</v>
      </c>
      <c r="C1457" s="36">
        <f t="shared" si="88"/>
        <v>8713.0800782499991</v>
      </c>
      <c r="D1457" s="36">
        <f t="shared" si="89"/>
        <v>92.998478332088041</v>
      </c>
      <c r="E1457" s="40">
        <v>8520.4003909999992</v>
      </c>
      <c r="F1457" s="36">
        <f t="shared" si="90"/>
        <v>8899.0770349141749</v>
      </c>
      <c r="G1457" s="36">
        <f t="shared" si="91"/>
        <v>8527.0831215858234</v>
      </c>
      <c r="I1457" s="40">
        <v>8520.4003909999992</v>
      </c>
      <c r="J1457" s="36">
        <v>8899.0770349141749</v>
      </c>
      <c r="K1457" s="36">
        <v>8527.0831215858234</v>
      </c>
    </row>
    <row r="1458" spans="1:11" x14ac:dyDescent="0.25">
      <c r="A1458" s="39">
        <v>42661</v>
      </c>
      <c r="B1458" s="36">
        <v>8677.9003909999992</v>
      </c>
      <c r="C1458" s="36">
        <f t="shared" si="88"/>
        <v>8707.9826173500005</v>
      </c>
      <c r="D1458" s="36">
        <f t="shared" si="89"/>
        <v>91.934009649795485</v>
      </c>
      <c r="E1458" s="40">
        <v>8677.9003909999992</v>
      </c>
      <c r="F1458" s="36">
        <f t="shared" si="90"/>
        <v>8891.8506366495913</v>
      </c>
      <c r="G1458" s="36">
        <f t="shared" si="91"/>
        <v>8524.1145980504098</v>
      </c>
      <c r="I1458" s="40">
        <v>8677.9003909999992</v>
      </c>
      <c r="J1458" s="36">
        <v>8891.8506366495913</v>
      </c>
      <c r="K1458" s="36">
        <v>8524.1145980504098</v>
      </c>
    </row>
    <row r="1459" spans="1:11" x14ac:dyDescent="0.25">
      <c r="A1459" s="39">
        <v>42662</v>
      </c>
      <c r="B1459" s="36">
        <v>8659.0996090000008</v>
      </c>
      <c r="C1459" s="36">
        <f t="shared" si="88"/>
        <v>8700.517578250001</v>
      </c>
      <c r="D1459" s="36">
        <f t="shared" si="89"/>
        <v>89.376985010188605</v>
      </c>
      <c r="E1459" s="40">
        <v>8659.0996090000008</v>
      </c>
      <c r="F1459" s="36">
        <f t="shared" si="90"/>
        <v>8879.2715482703788</v>
      </c>
      <c r="G1459" s="36">
        <f t="shared" si="91"/>
        <v>8521.7636082296231</v>
      </c>
      <c r="I1459" s="40">
        <v>8659.0996090000008</v>
      </c>
      <c r="J1459" s="36">
        <v>8879.2715482703788</v>
      </c>
      <c r="K1459" s="36">
        <v>8521.7636082296231</v>
      </c>
    </row>
    <row r="1460" spans="1:11" x14ac:dyDescent="0.25">
      <c r="A1460" s="39">
        <v>42663</v>
      </c>
      <c r="B1460" s="36">
        <v>8699.4003909999992</v>
      </c>
      <c r="C1460" s="36">
        <f t="shared" si="88"/>
        <v>8696.6925782500002</v>
      </c>
      <c r="D1460" s="36">
        <f t="shared" si="89"/>
        <v>87.600387733451029</v>
      </c>
      <c r="E1460" s="40">
        <v>8699.4003909999992</v>
      </c>
      <c r="F1460" s="36">
        <f t="shared" si="90"/>
        <v>8871.8933537169014</v>
      </c>
      <c r="G1460" s="36">
        <f t="shared" si="91"/>
        <v>8521.491802783099</v>
      </c>
      <c r="I1460" s="40">
        <v>8699.4003909999992</v>
      </c>
      <c r="J1460" s="36">
        <v>8871.8933537169014</v>
      </c>
      <c r="K1460" s="36">
        <v>8521.491802783099</v>
      </c>
    </row>
    <row r="1461" spans="1:11" x14ac:dyDescent="0.25">
      <c r="A1461" s="39">
        <v>42664</v>
      </c>
      <c r="B1461" s="36">
        <v>8693.0498050000006</v>
      </c>
      <c r="C1461" s="36">
        <f t="shared" si="88"/>
        <v>8692.4875489500009</v>
      </c>
      <c r="D1461" s="36">
        <f t="shared" si="89"/>
        <v>85.528971830764974</v>
      </c>
      <c r="E1461" s="40">
        <v>8693.0498050000006</v>
      </c>
      <c r="F1461" s="36">
        <f t="shared" si="90"/>
        <v>8863.5454926115308</v>
      </c>
      <c r="G1461" s="36">
        <f t="shared" si="91"/>
        <v>8521.4296052884711</v>
      </c>
      <c r="I1461" s="40">
        <v>8693.0498050000006</v>
      </c>
      <c r="J1461" s="36">
        <v>8863.5454926115308</v>
      </c>
      <c r="K1461" s="36">
        <v>8521.4296052884711</v>
      </c>
    </row>
    <row r="1462" spans="1:11" x14ac:dyDescent="0.25">
      <c r="A1462" s="39">
        <v>42667</v>
      </c>
      <c r="B1462" s="36">
        <v>8708.9501949999994</v>
      </c>
      <c r="C1462" s="36">
        <f t="shared" si="88"/>
        <v>8684.5625489499998</v>
      </c>
      <c r="D1462" s="36">
        <f t="shared" si="89"/>
        <v>75.181140597149238</v>
      </c>
      <c r="E1462" s="40">
        <v>8708.9501949999994</v>
      </c>
      <c r="F1462" s="36">
        <f t="shared" si="90"/>
        <v>8834.9248301442985</v>
      </c>
      <c r="G1462" s="36">
        <f t="shared" si="91"/>
        <v>8534.2002677557011</v>
      </c>
      <c r="I1462" s="40">
        <v>8708.9501949999994</v>
      </c>
      <c r="J1462" s="36">
        <v>8834.9248301442985</v>
      </c>
      <c r="K1462" s="36">
        <v>8534.2002677557011</v>
      </c>
    </row>
    <row r="1463" spans="1:11" x14ac:dyDescent="0.25">
      <c r="A1463" s="39">
        <v>42668</v>
      </c>
      <c r="B1463" s="36">
        <v>8691.2998050000006</v>
      </c>
      <c r="C1463" s="36">
        <f t="shared" si="88"/>
        <v>8677.5500489500009</v>
      </c>
      <c r="D1463" s="36">
        <f t="shared" si="89"/>
        <v>66.825975166158642</v>
      </c>
      <c r="E1463" s="40">
        <v>8691.2998050000006</v>
      </c>
      <c r="F1463" s="36">
        <f t="shared" si="90"/>
        <v>8811.2019992823189</v>
      </c>
      <c r="G1463" s="36">
        <f t="shared" si="91"/>
        <v>8543.898098617683</v>
      </c>
      <c r="I1463" s="40">
        <v>8691.2998050000006</v>
      </c>
      <c r="J1463" s="36">
        <v>8811.2019992823189</v>
      </c>
      <c r="K1463" s="36">
        <v>8543.898098617683</v>
      </c>
    </row>
    <row r="1464" spans="1:11" x14ac:dyDescent="0.25">
      <c r="A1464" s="39">
        <v>42669</v>
      </c>
      <c r="B1464" s="36">
        <v>8615.25</v>
      </c>
      <c r="C1464" s="36">
        <f t="shared" si="88"/>
        <v>8672.1600586999994</v>
      </c>
      <c r="D1464" s="36">
        <f t="shared" si="89"/>
        <v>67.308612329960724</v>
      </c>
      <c r="E1464" s="40">
        <v>8615.25</v>
      </c>
      <c r="F1464" s="36">
        <f t="shared" si="90"/>
        <v>8806.7772833599211</v>
      </c>
      <c r="G1464" s="36">
        <f t="shared" si="91"/>
        <v>8537.5428340400777</v>
      </c>
      <c r="I1464" s="40">
        <v>8615.25</v>
      </c>
      <c r="J1464" s="36">
        <v>8806.7772833599211</v>
      </c>
      <c r="K1464" s="36">
        <v>8537.5428340400777</v>
      </c>
    </row>
    <row r="1465" spans="1:11" x14ac:dyDescent="0.25">
      <c r="A1465" s="39">
        <v>42670</v>
      </c>
      <c r="B1465" s="36">
        <v>8615.25</v>
      </c>
      <c r="C1465" s="36">
        <f t="shared" si="88"/>
        <v>8667.6025391500007</v>
      </c>
      <c r="D1465" s="36">
        <f t="shared" si="89"/>
        <v>67.95101614908242</v>
      </c>
      <c r="E1465" s="40">
        <v>8615.25</v>
      </c>
      <c r="F1465" s="36">
        <f t="shared" si="90"/>
        <v>8803.5045714481657</v>
      </c>
      <c r="G1465" s="36">
        <f t="shared" si="91"/>
        <v>8531.7005068518356</v>
      </c>
      <c r="I1465" s="40">
        <v>8615.25</v>
      </c>
      <c r="J1465" s="36">
        <v>8803.5045714481657</v>
      </c>
      <c r="K1465" s="36">
        <v>8531.7005068518356</v>
      </c>
    </row>
    <row r="1466" spans="1:11" x14ac:dyDescent="0.25">
      <c r="A1466" s="39">
        <v>42671</v>
      </c>
      <c r="B1466" s="36">
        <v>8638</v>
      </c>
      <c r="C1466" s="36">
        <f t="shared" si="88"/>
        <v>8662.2450196000009</v>
      </c>
      <c r="D1466" s="36">
        <f t="shared" si="89"/>
        <v>65.701899356174778</v>
      </c>
      <c r="E1466" s="40">
        <v>8638</v>
      </c>
      <c r="F1466" s="36">
        <f t="shared" si="90"/>
        <v>8793.6488183123511</v>
      </c>
      <c r="G1466" s="36">
        <f t="shared" si="91"/>
        <v>8530.8412208876507</v>
      </c>
      <c r="I1466" s="40">
        <v>8638</v>
      </c>
      <c r="J1466" s="36">
        <v>8793.6488183123511</v>
      </c>
      <c r="K1466" s="36">
        <v>8530.8412208876507</v>
      </c>
    </row>
    <row r="1467" spans="1:11" x14ac:dyDescent="0.25">
      <c r="A1467" s="39">
        <v>42675</v>
      </c>
      <c r="B1467" s="36">
        <v>8626.25</v>
      </c>
      <c r="C1467" s="36">
        <f t="shared" si="88"/>
        <v>8663.9950196000009</v>
      </c>
      <c r="D1467" s="36">
        <f t="shared" si="89"/>
        <v>64.159402899985011</v>
      </c>
      <c r="E1467" s="40">
        <v>8626.25</v>
      </c>
      <c r="F1467" s="36">
        <f t="shared" si="90"/>
        <v>8792.3138253999714</v>
      </c>
      <c r="G1467" s="36">
        <f t="shared" si="91"/>
        <v>8535.6762138000304</v>
      </c>
      <c r="I1467" s="40">
        <v>8626.25</v>
      </c>
      <c r="J1467" s="36">
        <v>8792.3138253999714</v>
      </c>
      <c r="K1467" s="36">
        <v>8535.6762138000304</v>
      </c>
    </row>
    <row r="1468" spans="1:11" x14ac:dyDescent="0.25">
      <c r="A1468" s="39">
        <v>42676</v>
      </c>
      <c r="B1468" s="36">
        <v>8514</v>
      </c>
      <c r="C1468" s="36">
        <f t="shared" si="88"/>
        <v>8659.1375000500011</v>
      </c>
      <c r="D1468" s="36">
        <f t="shared" si="89"/>
        <v>71.615270291118492</v>
      </c>
      <c r="E1468" s="40">
        <v>8514</v>
      </c>
      <c r="F1468" s="36">
        <f t="shared" si="90"/>
        <v>8802.3680406322383</v>
      </c>
      <c r="G1468" s="36">
        <f t="shared" si="91"/>
        <v>8515.906959467764</v>
      </c>
      <c r="I1468" s="40">
        <v>8514</v>
      </c>
      <c r="J1468" s="36">
        <v>8802.3680406322383</v>
      </c>
      <c r="K1468" s="36">
        <v>8515.906959467764</v>
      </c>
    </row>
    <row r="1469" spans="1:11" x14ac:dyDescent="0.25">
      <c r="A1469" s="39">
        <v>42677</v>
      </c>
      <c r="B1469" s="36">
        <v>8484.9501949999994</v>
      </c>
      <c r="C1469" s="36">
        <f t="shared" si="88"/>
        <v>8646.4800293500011</v>
      </c>
      <c r="D1469" s="36">
        <f t="shared" si="89"/>
        <v>78.923068183633958</v>
      </c>
      <c r="E1469" s="40">
        <v>8484.9501949999994</v>
      </c>
      <c r="F1469" s="36">
        <f t="shared" si="90"/>
        <v>8804.3261657172698</v>
      </c>
      <c r="G1469" s="36">
        <f t="shared" si="91"/>
        <v>8488.6338929827325</v>
      </c>
      <c r="I1469" s="40">
        <v>8484.9501949999994</v>
      </c>
      <c r="J1469" s="36">
        <v>8804.3261657172698</v>
      </c>
      <c r="K1469" s="36">
        <v>8488.6338929827325</v>
      </c>
    </row>
    <row r="1470" spans="1:11" x14ac:dyDescent="0.25">
      <c r="A1470" s="39">
        <v>42678</v>
      </c>
      <c r="B1470" s="36">
        <v>8433.75</v>
      </c>
      <c r="C1470" s="36">
        <f t="shared" si="88"/>
        <v>8629.710009800001</v>
      </c>
      <c r="D1470" s="36">
        <f t="shared" si="89"/>
        <v>86.732965803580072</v>
      </c>
      <c r="E1470" s="40">
        <v>8433.75</v>
      </c>
      <c r="F1470" s="36">
        <f t="shared" si="90"/>
        <v>8803.1759414071603</v>
      </c>
      <c r="G1470" s="36">
        <f t="shared" si="91"/>
        <v>8456.2440781928417</v>
      </c>
      <c r="I1470" s="40">
        <v>8433.75</v>
      </c>
      <c r="J1470" s="36">
        <v>8803.1759414071603</v>
      </c>
      <c r="K1470" s="36">
        <v>8456.2440781928417</v>
      </c>
    </row>
    <row r="1471" spans="1:11" x14ac:dyDescent="0.25">
      <c r="A1471" s="39">
        <v>42681</v>
      </c>
      <c r="B1471" s="36">
        <v>8497.0498050000006</v>
      </c>
      <c r="C1471" s="36">
        <f t="shared" si="88"/>
        <v>8617.3649903000005</v>
      </c>
      <c r="D1471" s="36">
        <f t="shared" si="89"/>
        <v>87.186871198579126</v>
      </c>
      <c r="E1471" s="40">
        <v>8497.0498050000006</v>
      </c>
      <c r="F1471" s="36">
        <f t="shared" si="90"/>
        <v>8791.7387326971584</v>
      </c>
      <c r="G1471" s="36">
        <f t="shared" si="91"/>
        <v>8442.9912479028426</v>
      </c>
      <c r="I1471" s="40">
        <v>8497.0498050000006</v>
      </c>
      <c r="J1471" s="36">
        <v>8791.7387326971584</v>
      </c>
      <c r="K1471" s="36">
        <v>8442.9912479028426</v>
      </c>
    </row>
    <row r="1472" spans="1:11" x14ac:dyDescent="0.25">
      <c r="A1472" s="39">
        <v>42682</v>
      </c>
      <c r="B1472" s="36">
        <v>8543.5498050000006</v>
      </c>
      <c r="C1472" s="36">
        <f t="shared" si="88"/>
        <v>8609.0649902999994</v>
      </c>
      <c r="D1472" s="36">
        <f t="shared" si="89"/>
        <v>85.84021300255452</v>
      </c>
      <c r="E1472" s="40">
        <v>8543.5498050000006</v>
      </c>
      <c r="F1472" s="36">
        <f t="shared" si="90"/>
        <v>8780.7454163051079</v>
      </c>
      <c r="G1472" s="36">
        <f t="shared" si="91"/>
        <v>8437.3845642948909</v>
      </c>
      <c r="I1472" s="40">
        <v>8543.5498050000006</v>
      </c>
      <c r="J1472" s="36">
        <v>8780.7454163051079</v>
      </c>
      <c r="K1472" s="36">
        <v>8437.3845642948909</v>
      </c>
    </row>
    <row r="1473" spans="1:11" x14ac:dyDescent="0.25">
      <c r="A1473" s="39">
        <v>42683</v>
      </c>
      <c r="B1473" s="36">
        <v>8432</v>
      </c>
      <c r="C1473" s="36">
        <f t="shared" si="88"/>
        <v>8595.7850098499985</v>
      </c>
      <c r="D1473" s="36">
        <f t="shared" si="89"/>
        <v>91.763074692868869</v>
      </c>
      <c r="E1473" s="40">
        <v>8432</v>
      </c>
      <c r="F1473" s="36">
        <f t="shared" si="90"/>
        <v>8779.3111592357363</v>
      </c>
      <c r="G1473" s="36">
        <f t="shared" si="91"/>
        <v>8412.2588604642606</v>
      </c>
      <c r="I1473" s="40">
        <v>8432</v>
      </c>
      <c r="J1473" s="36">
        <v>8779.3111592357363</v>
      </c>
      <c r="K1473" s="36">
        <v>8412.2588604642606</v>
      </c>
    </row>
    <row r="1474" spans="1:11" x14ac:dyDescent="0.25">
      <c r="A1474" s="39">
        <v>42684</v>
      </c>
      <c r="B1474" s="36">
        <v>8525.75</v>
      </c>
      <c r="C1474" s="36">
        <f t="shared" si="88"/>
        <v>8586.6325195999998</v>
      </c>
      <c r="D1474" s="36">
        <f t="shared" si="89"/>
        <v>88.98431937294454</v>
      </c>
      <c r="E1474" s="40">
        <v>8525.75</v>
      </c>
      <c r="F1474" s="36">
        <f t="shared" si="90"/>
        <v>8764.6011583458894</v>
      </c>
      <c r="G1474" s="36">
        <f t="shared" si="91"/>
        <v>8408.6638808541102</v>
      </c>
      <c r="I1474" s="40">
        <v>8525.75</v>
      </c>
      <c r="J1474" s="36">
        <v>8764.6011583458894</v>
      </c>
      <c r="K1474" s="36">
        <v>8408.6638808541102</v>
      </c>
    </row>
    <row r="1475" spans="1:11" x14ac:dyDescent="0.25">
      <c r="A1475" s="39">
        <v>42685</v>
      </c>
      <c r="B1475" s="36">
        <v>8296.2998050000006</v>
      </c>
      <c r="C1475" s="36">
        <f t="shared" si="88"/>
        <v>8572.780029399999</v>
      </c>
      <c r="D1475" s="36">
        <f t="shared" si="89"/>
        <v>110.19714213249884</v>
      </c>
      <c r="E1475" s="40">
        <v>8296.2998050000006</v>
      </c>
      <c r="F1475" s="36">
        <f t="shared" si="90"/>
        <v>8793.1743136649966</v>
      </c>
      <c r="G1475" s="36">
        <f t="shared" si="91"/>
        <v>8352.3857451350013</v>
      </c>
      <c r="I1475" s="40">
        <v>8296.2998050000006</v>
      </c>
      <c r="J1475" s="36">
        <v>8793.1743136649966</v>
      </c>
      <c r="K1475" s="36">
        <v>8352.3857451350013</v>
      </c>
    </row>
    <row r="1476" spans="1:11" x14ac:dyDescent="0.25">
      <c r="A1476" s="39">
        <v>42689</v>
      </c>
      <c r="B1476" s="36">
        <v>8108.4501950000003</v>
      </c>
      <c r="C1476" s="36">
        <f t="shared" si="88"/>
        <v>8549.0325195999994</v>
      </c>
      <c r="D1476" s="36">
        <f t="shared" si="89"/>
        <v>151.29881746304969</v>
      </c>
      <c r="E1476" s="40">
        <v>8108.4501950000003</v>
      </c>
      <c r="F1476" s="36">
        <f t="shared" si="90"/>
        <v>8851.6301545260994</v>
      </c>
      <c r="G1476" s="36">
        <f t="shared" si="91"/>
        <v>8246.4348846738994</v>
      </c>
      <c r="I1476" s="40">
        <v>8108.4501950000003</v>
      </c>
      <c r="J1476" s="36">
        <v>8851.6301545260994</v>
      </c>
      <c r="K1476" s="36">
        <v>8246.4348846738994</v>
      </c>
    </row>
    <row r="1477" spans="1:11" x14ac:dyDescent="0.25">
      <c r="A1477" s="39">
        <v>42690</v>
      </c>
      <c r="B1477" s="36">
        <v>8111.6000979999999</v>
      </c>
      <c r="C1477" s="36">
        <f t="shared" si="88"/>
        <v>8528.5925049500001</v>
      </c>
      <c r="D1477" s="36">
        <f t="shared" si="89"/>
        <v>180.22015072937532</v>
      </c>
      <c r="E1477" s="40">
        <v>8111.6000979999999</v>
      </c>
      <c r="F1477" s="36">
        <f t="shared" si="90"/>
        <v>8889.0328064087516</v>
      </c>
      <c r="G1477" s="36">
        <f t="shared" si="91"/>
        <v>8168.1522034912496</v>
      </c>
      <c r="I1477" s="40">
        <v>8111.6000979999999</v>
      </c>
      <c r="J1477" s="36">
        <v>8889.0328064087516</v>
      </c>
      <c r="K1477" s="36">
        <v>8168.1522034912496</v>
      </c>
    </row>
    <row r="1478" spans="1:11" x14ac:dyDescent="0.25">
      <c r="A1478" s="39">
        <v>42691</v>
      </c>
      <c r="B1478" s="36">
        <v>8079.9501950000003</v>
      </c>
      <c r="C1478" s="36">
        <f t="shared" si="88"/>
        <v>8498.694995150001</v>
      </c>
      <c r="D1478" s="36">
        <f t="shared" si="89"/>
        <v>202.38272854397567</v>
      </c>
      <c r="E1478" s="40">
        <v>8079.9501950000003</v>
      </c>
      <c r="F1478" s="36">
        <f t="shared" si="90"/>
        <v>8903.4604522379523</v>
      </c>
      <c r="G1478" s="36">
        <f t="shared" si="91"/>
        <v>8093.9295380620497</v>
      </c>
      <c r="I1478" s="40">
        <v>8079.9501950000003</v>
      </c>
      <c r="J1478" s="36">
        <v>8903.4604522379523</v>
      </c>
      <c r="K1478" s="36">
        <v>8093.9295380620497</v>
      </c>
    </row>
    <row r="1479" spans="1:11" x14ac:dyDescent="0.25">
      <c r="A1479" s="39">
        <v>42692</v>
      </c>
      <c r="B1479" s="36">
        <v>8074.1000979999999</v>
      </c>
      <c r="C1479" s="36">
        <f t="shared" si="88"/>
        <v>8469.4450195999998</v>
      </c>
      <c r="D1479" s="36">
        <f t="shared" si="89"/>
        <v>219.52779138212068</v>
      </c>
      <c r="E1479" s="40">
        <v>8074.1000979999999</v>
      </c>
      <c r="F1479" s="36">
        <f t="shared" si="90"/>
        <v>8908.5006023642418</v>
      </c>
      <c r="G1479" s="36">
        <f t="shared" si="91"/>
        <v>8030.3894368357587</v>
      </c>
      <c r="I1479" s="40">
        <v>8074.1000979999999</v>
      </c>
      <c r="J1479" s="36">
        <v>8908.5006023642418</v>
      </c>
      <c r="K1479" s="36">
        <v>8030.3894368357587</v>
      </c>
    </row>
    <row r="1480" spans="1:11" x14ac:dyDescent="0.25">
      <c r="A1480" s="39">
        <v>42695</v>
      </c>
      <c r="B1480" s="36">
        <v>7929.1000979999999</v>
      </c>
      <c r="C1480" s="36">
        <f t="shared" si="88"/>
        <v>8430.9300049499998</v>
      </c>
      <c r="D1480" s="36">
        <f t="shared" si="89"/>
        <v>243.34095713698449</v>
      </c>
      <c r="E1480" s="40">
        <v>7929.1000979999999</v>
      </c>
      <c r="F1480" s="36">
        <f t="shared" si="90"/>
        <v>8917.6119192239694</v>
      </c>
      <c r="G1480" s="36">
        <f t="shared" si="91"/>
        <v>7944.2480906760311</v>
      </c>
      <c r="I1480" s="40">
        <v>7929.1000979999999</v>
      </c>
      <c r="J1480" s="36">
        <v>8917.6119192239694</v>
      </c>
      <c r="K1480" s="36">
        <v>7944.2480906760311</v>
      </c>
    </row>
    <row r="1481" spans="1:11" x14ac:dyDescent="0.25">
      <c r="A1481" s="39">
        <v>42696</v>
      </c>
      <c r="B1481" s="36">
        <v>8002.2998049999997</v>
      </c>
      <c r="C1481" s="36">
        <f t="shared" si="88"/>
        <v>8396.3925049499994</v>
      </c>
      <c r="D1481" s="36">
        <f t="shared" si="89"/>
        <v>253.00737326394014</v>
      </c>
      <c r="E1481" s="40">
        <v>8002.2998049999997</v>
      </c>
      <c r="F1481" s="36">
        <f t="shared" si="90"/>
        <v>8902.40725147788</v>
      </c>
      <c r="G1481" s="36">
        <f t="shared" si="91"/>
        <v>7890.3777584221189</v>
      </c>
      <c r="I1481" s="40">
        <v>8002.2998049999997</v>
      </c>
      <c r="J1481" s="36">
        <v>8902.40725147788</v>
      </c>
      <c r="K1481" s="36">
        <v>7890.3777584221189</v>
      </c>
    </row>
    <row r="1482" spans="1:11" x14ac:dyDescent="0.25">
      <c r="A1482" s="39">
        <v>42697</v>
      </c>
      <c r="B1482" s="36">
        <v>8033.2998049999997</v>
      </c>
      <c r="C1482" s="36">
        <f t="shared" si="88"/>
        <v>8362.6099854499989</v>
      </c>
      <c r="D1482" s="36">
        <f t="shared" si="89"/>
        <v>254.18194004592436</v>
      </c>
      <c r="E1482" s="40">
        <v>8033.2998049999997</v>
      </c>
      <c r="F1482" s="36">
        <f t="shared" si="90"/>
        <v>8870.9738655418478</v>
      </c>
      <c r="G1482" s="36">
        <f t="shared" si="91"/>
        <v>7854.2461053581501</v>
      </c>
      <c r="I1482" s="40">
        <v>8033.2998049999997</v>
      </c>
      <c r="J1482" s="36">
        <v>8870.9738655418478</v>
      </c>
      <c r="K1482" s="36">
        <v>7854.2461053581501</v>
      </c>
    </row>
    <row r="1483" spans="1:11" x14ac:dyDescent="0.25">
      <c r="A1483" s="39">
        <v>42698</v>
      </c>
      <c r="B1483" s="36">
        <v>7965.5</v>
      </c>
      <c r="C1483" s="36">
        <f t="shared" si="88"/>
        <v>8326.3199951999977</v>
      </c>
      <c r="D1483" s="36">
        <f t="shared" si="89"/>
        <v>256.58493920256268</v>
      </c>
      <c r="E1483" s="40">
        <v>7965.5</v>
      </c>
      <c r="F1483" s="36">
        <f t="shared" si="90"/>
        <v>8839.4898736051236</v>
      </c>
      <c r="G1483" s="36">
        <f t="shared" si="91"/>
        <v>7813.1501167948727</v>
      </c>
      <c r="I1483" s="40">
        <v>7965.5</v>
      </c>
      <c r="J1483" s="36">
        <v>8839.4898736051236</v>
      </c>
      <c r="K1483" s="36">
        <v>7813.1501167948727</v>
      </c>
    </row>
    <row r="1484" spans="1:11" x14ac:dyDescent="0.25">
      <c r="A1484" s="39">
        <v>42699</v>
      </c>
      <c r="B1484" s="36">
        <v>8114.2998049999997</v>
      </c>
      <c r="C1484" s="36">
        <f t="shared" si="88"/>
        <v>8301.2724854499975</v>
      </c>
      <c r="D1484" s="36">
        <f t="shared" si="89"/>
        <v>251.29195098543536</v>
      </c>
      <c r="E1484" s="40">
        <v>8114.2998049999997</v>
      </c>
      <c r="F1484" s="36">
        <f t="shared" si="90"/>
        <v>8803.8563874208685</v>
      </c>
      <c r="G1484" s="36">
        <f t="shared" si="91"/>
        <v>7798.6885834791265</v>
      </c>
      <c r="I1484" s="40">
        <v>8114.2998049999997</v>
      </c>
      <c r="J1484" s="36">
        <v>8803.8563874208685</v>
      </c>
      <c r="K1484" s="36">
        <v>7798.6885834791265</v>
      </c>
    </row>
    <row r="1485" spans="1:11" x14ac:dyDescent="0.25">
      <c r="A1485" s="39">
        <v>42702</v>
      </c>
      <c r="B1485" s="36">
        <v>8126.8999020000001</v>
      </c>
      <c r="C1485" s="36">
        <f t="shared" si="88"/>
        <v>8276.854980549997</v>
      </c>
      <c r="D1485" s="36">
        <f t="shared" si="89"/>
        <v>242.75880116046568</v>
      </c>
      <c r="E1485" s="40">
        <v>8126.8999020000001</v>
      </c>
      <c r="F1485" s="36">
        <f t="shared" si="90"/>
        <v>8762.3725828709285</v>
      </c>
      <c r="G1485" s="36">
        <f t="shared" si="91"/>
        <v>7791.3373782290655</v>
      </c>
      <c r="I1485" s="40">
        <v>8126.8999020000001</v>
      </c>
      <c r="J1485" s="36">
        <v>8762.3725828709285</v>
      </c>
      <c r="K1485" s="36">
        <v>7791.3373782290655</v>
      </c>
    </row>
    <row r="1486" spans="1:11" x14ac:dyDescent="0.25">
      <c r="A1486" s="39">
        <v>42703</v>
      </c>
      <c r="B1486" s="36">
        <v>8142.1499020000001</v>
      </c>
      <c r="C1486" s="36">
        <f t="shared" si="88"/>
        <v>8252.0624756500001</v>
      </c>
      <c r="D1486" s="36">
        <f t="shared" si="89"/>
        <v>228.85656763062593</v>
      </c>
      <c r="E1486" s="40">
        <v>8142.1499020000001</v>
      </c>
      <c r="F1486" s="36">
        <f t="shared" si="90"/>
        <v>8709.7756109112524</v>
      </c>
      <c r="G1486" s="36">
        <f t="shared" si="91"/>
        <v>7794.3493403887478</v>
      </c>
      <c r="I1486" s="40">
        <v>8142.1499020000001</v>
      </c>
      <c r="J1486" s="36">
        <v>8709.7756109112524</v>
      </c>
      <c r="K1486" s="36">
        <v>7794.3493403887478</v>
      </c>
    </row>
    <row r="1487" spans="1:11" x14ac:dyDescent="0.25">
      <c r="A1487" s="39">
        <v>42704</v>
      </c>
      <c r="B1487" s="36">
        <v>8224.5</v>
      </c>
      <c r="C1487" s="36">
        <f t="shared" si="88"/>
        <v>8231.9749756499987</v>
      </c>
      <c r="D1487" s="36">
        <f t="shared" si="89"/>
        <v>211.23751610145405</v>
      </c>
      <c r="E1487" s="40">
        <v>8224.5</v>
      </c>
      <c r="F1487" s="36">
        <f t="shared" si="90"/>
        <v>8654.4500078529072</v>
      </c>
      <c r="G1487" s="36">
        <f t="shared" si="91"/>
        <v>7809.4999434470901</v>
      </c>
      <c r="I1487" s="40">
        <v>8224.5</v>
      </c>
      <c r="J1487" s="36">
        <v>8654.4500078529072</v>
      </c>
      <c r="K1487" s="36">
        <v>7809.4999434470901</v>
      </c>
    </row>
    <row r="1488" spans="1:11" x14ac:dyDescent="0.25">
      <c r="A1488" s="39">
        <v>42705</v>
      </c>
      <c r="B1488" s="36">
        <v>8192.9003909999992</v>
      </c>
      <c r="C1488" s="36">
        <f t="shared" si="88"/>
        <v>8215.9199951999999</v>
      </c>
      <c r="D1488" s="36">
        <f t="shared" si="89"/>
        <v>200.60932664817943</v>
      </c>
      <c r="E1488" s="40">
        <v>8192.9003909999992</v>
      </c>
      <c r="F1488" s="36">
        <f t="shared" si="90"/>
        <v>8617.1386484963587</v>
      </c>
      <c r="G1488" s="36">
        <f t="shared" si="91"/>
        <v>7814.7013419036412</v>
      </c>
      <c r="I1488" s="40">
        <v>8192.9003909999992</v>
      </c>
      <c r="J1488" s="36">
        <v>8617.1386484963587</v>
      </c>
      <c r="K1488" s="36">
        <v>7814.7013419036412</v>
      </c>
    </row>
    <row r="1489" spans="1:11" x14ac:dyDescent="0.25">
      <c r="A1489" s="39">
        <v>42706</v>
      </c>
      <c r="B1489" s="36">
        <v>8086.7998049999997</v>
      </c>
      <c r="C1489" s="36">
        <f t="shared" si="88"/>
        <v>8196.0124756999994</v>
      </c>
      <c r="D1489" s="36">
        <f t="shared" si="89"/>
        <v>192.08092117187468</v>
      </c>
      <c r="E1489" s="40">
        <v>8086.7998049999997</v>
      </c>
      <c r="F1489" s="36">
        <f t="shared" si="90"/>
        <v>8580.1743180437479</v>
      </c>
      <c r="G1489" s="36">
        <f t="shared" si="91"/>
        <v>7811.85063335625</v>
      </c>
      <c r="I1489" s="40">
        <v>8086.7998049999997</v>
      </c>
      <c r="J1489" s="36">
        <v>8580.1743180437479</v>
      </c>
      <c r="K1489" s="36">
        <v>7811.85063335625</v>
      </c>
    </row>
    <row r="1490" spans="1:11" x14ac:dyDescent="0.25">
      <c r="A1490" s="39">
        <v>42709</v>
      </c>
      <c r="B1490" s="36">
        <v>8128.75</v>
      </c>
      <c r="C1490" s="36">
        <f t="shared" si="88"/>
        <v>8180.7624757000012</v>
      </c>
      <c r="D1490" s="36">
        <f t="shared" si="89"/>
        <v>184.15673894288534</v>
      </c>
      <c r="E1490" s="40">
        <v>8128.75</v>
      </c>
      <c r="F1490" s="36">
        <f t="shared" si="90"/>
        <v>8549.0759535857724</v>
      </c>
      <c r="G1490" s="36">
        <f t="shared" si="91"/>
        <v>7812.4489978142301</v>
      </c>
      <c r="I1490" s="40">
        <v>8128.75</v>
      </c>
      <c r="J1490" s="36">
        <v>8549.0759535857724</v>
      </c>
      <c r="K1490" s="36">
        <v>7812.4489978142301</v>
      </c>
    </row>
    <row r="1491" spans="1:11" x14ac:dyDescent="0.25">
      <c r="A1491" s="39">
        <v>42710</v>
      </c>
      <c r="B1491" s="36">
        <v>8143.1499020000001</v>
      </c>
      <c r="C1491" s="36">
        <f t="shared" si="88"/>
        <v>8163.0674805500003</v>
      </c>
      <c r="D1491" s="36">
        <f t="shared" si="89"/>
        <v>168.50349979512728</v>
      </c>
      <c r="E1491" s="40">
        <v>8143.1499020000001</v>
      </c>
      <c r="F1491" s="36">
        <f t="shared" si="90"/>
        <v>8500.0744801402543</v>
      </c>
      <c r="G1491" s="36">
        <f t="shared" si="91"/>
        <v>7826.0604809597453</v>
      </c>
      <c r="I1491" s="40">
        <v>8143.1499020000001</v>
      </c>
      <c r="J1491" s="36">
        <v>8500.0744801402543</v>
      </c>
      <c r="K1491" s="36">
        <v>7826.0604809597453</v>
      </c>
    </row>
    <row r="1492" spans="1:11" x14ac:dyDescent="0.25">
      <c r="A1492" s="39">
        <v>42711</v>
      </c>
      <c r="B1492" s="36">
        <v>8102.0498049999997</v>
      </c>
      <c r="C1492" s="36">
        <f t="shared" si="88"/>
        <v>8140.9924805500004</v>
      </c>
      <c r="D1492" s="36">
        <f t="shared" si="89"/>
        <v>143.02841168463746</v>
      </c>
      <c r="E1492" s="40">
        <v>8102.0498049999997</v>
      </c>
      <c r="F1492" s="36">
        <f t="shared" si="90"/>
        <v>8427.0493039192752</v>
      </c>
      <c r="G1492" s="36">
        <f t="shared" si="91"/>
        <v>7854.9356571807257</v>
      </c>
      <c r="I1492" s="40">
        <v>8102.0498049999997</v>
      </c>
      <c r="J1492" s="36">
        <v>8427.0493039192752</v>
      </c>
      <c r="K1492" s="36">
        <v>7854.9356571807257</v>
      </c>
    </row>
    <row r="1493" spans="1:11" x14ac:dyDescent="0.25">
      <c r="A1493" s="39">
        <v>42712</v>
      </c>
      <c r="B1493" s="36">
        <v>8246.8496090000008</v>
      </c>
      <c r="C1493" s="36">
        <f t="shared" si="88"/>
        <v>8131.7349610000001</v>
      </c>
      <c r="D1493" s="36">
        <f t="shared" si="89"/>
        <v>128.45063076496658</v>
      </c>
      <c r="E1493" s="40">
        <v>8246.8496090000008</v>
      </c>
      <c r="F1493" s="36">
        <f t="shared" si="90"/>
        <v>8388.6362225299326</v>
      </c>
      <c r="G1493" s="36">
        <f t="shared" si="91"/>
        <v>7874.8336994700667</v>
      </c>
      <c r="I1493" s="40">
        <v>8246.8496090000008</v>
      </c>
      <c r="J1493" s="36">
        <v>8388.6362225299326</v>
      </c>
      <c r="K1493" s="36">
        <v>7874.8336994700667</v>
      </c>
    </row>
    <row r="1494" spans="1:11" x14ac:dyDescent="0.25">
      <c r="A1494" s="39">
        <v>42713</v>
      </c>
      <c r="B1494" s="36">
        <v>8261.75</v>
      </c>
      <c r="C1494" s="36">
        <f t="shared" ref="C1494:C1557" si="92">AVERAGE(B1475:B1494)</f>
        <v>8118.5349610000003</v>
      </c>
      <c r="D1494" s="36">
        <f t="shared" ref="D1494:D1557" si="93">_xlfn.STDEV.S(B1475:B1494)</f>
        <v>95.052059348780475</v>
      </c>
      <c r="E1494" s="40">
        <v>8261.75</v>
      </c>
      <c r="F1494" s="36">
        <f t="shared" ref="F1494:F1557" si="94">C1494+2*D1494</f>
        <v>8308.6390796975611</v>
      </c>
      <c r="G1494" s="36">
        <f t="shared" ref="G1494:G1557" si="95">C1494-2*D1494</f>
        <v>7928.4308423024395</v>
      </c>
      <c r="I1494" s="40">
        <v>8261.75</v>
      </c>
      <c r="J1494" s="36">
        <v>8308.6390796975611</v>
      </c>
      <c r="K1494" s="36">
        <v>7928.4308423024395</v>
      </c>
    </row>
    <row r="1495" spans="1:11" x14ac:dyDescent="0.25">
      <c r="A1495" s="39">
        <v>42716</v>
      </c>
      <c r="B1495" s="36">
        <v>8170.7998049999997</v>
      </c>
      <c r="C1495" s="36">
        <f t="shared" si="92"/>
        <v>8112.2599610000007</v>
      </c>
      <c r="D1495" s="36">
        <f t="shared" si="93"/>
        <v>86.45252649147892</v>
      </c>
      <c r="E1495" s="40">
        <v>8170.7998049999997</v>
      </c>
      <c r="F1495" s="36">
        <f t="shared" si="94"/>
        <v>8285.165013982958</v>
      </c>
      <c r="G1495" s="36">
        <f t="shared" si="95"/>
        <v>7939.3549080170433</v>
      </c>
      <c r="I1495" s="40">
        <v>8170.7998049999997</v>
      </c>
      <c r="J1495" s="36">
        <v>8285.165013982958</v>
      </c>
      <c r="K1495" s="36">
        <v>7939.3549080170433</v>
      </c>
    </row>
    <row r="1496" spans="1:11" x14ac:dyDescent="0.25">
      <c r="A1496" s="39">
        <v>42717</v>
      </c>
      <c r="B1496" s="36">
        <v>8221.7998050000006</v>
      </c>
      <c r="C1496" s="36">
        <f t="shared" si="92"/>
        <v>8117.9274415000009</v>
      </c>
      <c r="D1496" s="36">
        <f t="shared" si="93"/>
        <v>89.838686954554248</v>
      </c>
      <c r="E1496" s="40">
        <v>8221.7998050000006</v>
      </c>
      <c r="F1496" s="36">
        <f t="shared" si="94"/>
        <v>8297.6048154091095</v>
      </c>
      <c r="G1496" s="36">
        <f t="shared" si="95"/>
        <v>7938.2500675908923</v>
      </c>
      <c r="I1496" s="40">
        <v>8221.7998050000006</v>
      </c>
      <c r="J1496" s="36">
        <v>8297.6048154091095</v>
      </c>
      <c r="K1496" s="36">
        <v>7938.2500675908923</v>
      </c>
    </row>
    <row r="1497" spans="1:11" x14ac:dyDescent="0.25">
      <c r="A1497" s="39">
        <v>42718</v>
      </c>
      <c r="B1497" s="36">
        <v>8182.4501950000003</v>
      </c>
      <c r="C1497" s="36">
        <f t="shared" si="92"/>
        <v>8121.4699463500001</v>
      </c>
      <c r="D1497" s="36">
        <f t="shared" si="93"/>
        <v>90.965860406921436</v>
      </c>
      <c r="E1497" s="40">
        <v>8182.4501950000003</v>
      </c>
      <c r="F1497" s="36">
        <f t="shared" si="94"/>
        <v>8303.4016671638437</v>
      </c>
      <c r="G1497" s="36">
        <f t="shared" si="95"/>
        <v>7939.5382255361574</v>
      </c>
      <c r="I1497" s="40">
        <v>8182.4501950000003</v>
      </c>
      <c r="J1497" s="36">
        <v>8303.4016671638437</v>
      </c>
      <c r="K1497" s="36">
        <v>7939.5382255361574</v>
      </c>
    </row>
    <row r="1498" spans="1:11" x14ac:dyDescent="0.25">
      <c r="A1498" s="39">
        <v>42719</v>
      </c>
      <c r="B1498" s="36">
        <v>8153.6000979999999</v>
      </c>
      <c r="C1498" s="36">
        <f t="shared" si="92"/>
        <v>8125.1524414999994</v>
      </c>
      <c r="D1498" s="36">
        <f t="shared" si="93"/>
        <v>90.686913381366409</v>
      </c>
      <c r="E1498" s="40">
        <v>8153.6000979999999</v>
      </c>
      <c r="F1498" s="36">
        <f t="shared" si="94"/>
        <v>8306.5262682627326</v>
      </c>
      <c r="G1498" s="36">
        <f t="shared" si="95"/>
        <v>7943.7786147372663</v>
      </c>
      <c r="I1498" s="40">
        <v>8153.6000979999999</v>
      </c>
      <c r="J1498" s="36">
        <v>8306.5262682627326</v>
      </c>
      <c r="K1498" s="36">
        <v>7943.7786147372663</v>
      </c>
    </row>
    <row r="1499" spans="1:11" x14ac:dyDescent="0.25">
      <c r="A1499" s="39">
        <v>42720</v>
      </c>
      <c r="B1499" s="36">
        <v>8139.4501950000003</v>
      </c>
      <c r="C1499" s="36">
        <f t="shared" si="92"/>
        <v>8128.4199463500017</v>
      </c>
      <c r="D1499" s="36">
        <f t="shared" si="93"/>
        <v>89.92475250059114</v>
      </c>
      <c r="E1499" s="40">
        <v>8139.4501950000003</v>
      </c>
      <c r="F1499" s="36">
        <f t="shared" si="94"/>
        <v>8308.2694513511833</v>
      </c>
      <c r="G1499" s="36">
        <f t="shared" si="95"/>
        <v>7948.5704413488193</v>
      </c>
      <c r="I1499" s="40">
        <v>8139.4501950000003</v>
      </c>
      <c r="J1499" s="36">
        <v>8308.2694513511833</v>
      </c>
      <c r="K1499" s="36">
        <v>7948.5704413488193</v>
      </c>
    </row>
    <row r="1500" spans="1:11" x14ac:dyDescent="0.25">
      <c r="A1500" s="39">
        <v>42723</v>
      </c>
      <c r="B1500" s="36">
        <v>8104.3500979999999</v>
      </c>
      <c r="C1500" s="36">
        <f t="shared" si="92"/>
        <v>8137.1824463499997</v>
      </c>
      <c r="D1500" s="36">
        <f t="shared" si="93"/>
        <v>77.104880268059446</v>
      </c>
      <c r="E1500" s="40">
        <v>8104.3500979999999</v>
      </c>
      <c r="F1500" s="36">
        <f t="shared" si="94"/>
        <v>8291.3922068861193</v>
      </c>
      <c r="G1500" s="36">
        <f t="shared" si="95"/>
        <v>7982.9726858138811</v>
      </c>
      <c r="I1500" s="40">
        <v>8104.3500979999999</v>
      </c>
      <c r="J1500" s="36">
        <v>8291.3922068861193</v>
      </c>
      <c r="K1500" s="36">
        <v>7982.9726858138811</v>
      </c>
    </row>
    <row r="1501" spans="1:11" x14ac:dyDescent="0.25">
      <c r="A1501" s="39">
        <v>42724</v>
      </c>
      <c r="B1501" s="36">
        <v>8082.3999020000001</v>
      </c>
      <c r="C1501" s="36">
        <f t="shared" si="92"/>
        <v>8141.1874512000013</v>
      </c>
      <c r="D1501" s="36">
        <f t="shared" si="93"/>
        <v>71.614864530538512</v>
      </c>
      <c r="E1501" s="40">
        <v>8082.3999020000001</v>
      </c>
      <c r="F1501" s="36">
        <f t="shared" si="94"/>
        <v>8284.4171802610781</v>
      </c>
      <c r="G1501" s="36">
        <f t="shared" si="95"/>
        <v>7997.9577221389245</v>
      </c>
      <c r="I1501" s="40">
        <v>8082.3999020000001</v>
      </c>
      <c r="J1501" s="36">
        <v>8284.4171802610781</v>
      </c>
      <c r="K1501" s="36">
        <v>7997.9577221389245</v>
      </c>
    </row>
    <row r="1502" spans="1:11" x14ac:dyDescent="0.25">
      <c r="A1502" s="39">
        <v>42725</v>
      </c>
      <c r="B1502" s="36">
        <v>8061.2998049999997</v>
      </c>
      <c r="C1502" s="36">
        <f t="shared" si="92"/>
        <v>8142.5874511999991</v>
      </c>
      <c r="D1502" s="36">
        <f t="shared" si="93"/>
        <v>69.641253437138843</v>
      </c>
      <c r="E1502" s="40">
        <v>8061.2998049999997</v>
      </c>
      <c r="F1502" s="36">
        <f t="shared" si="94"/>
        <v>8281.8699580742759</v>
      </c>
      <c r="G1502" s="36">
        <f t="shared" si="95"/>
        <v>8003.3049443257214</v>
      </c>
      <c r="I1502" s="40">
        <v>8061.2998049999997</v>
      </c>
      <c r="J1502" s="36">
        <v>8281.8699580742759</v>
      </c>
      <c r="K1502" s="36">
        <v>8003.3049443257214</v>
      </c>
    </row>
    <row r="1503" spans="1:11" x14ac:dyDescent="0.25">
      <c r="A1503" s="39">
        <v>42726</v>
      </c>
      <c r="B1503" s="36">
        <v>7979.1000979999999</v>
      </c>
      <c r="C1503" s="36">
        <f t="shared" si="92"/>
        <v>8143.2674560999994</v>
      </c>
      <c r="D1503" s="36">
        <f t="shared" si="93"/>
        <v>67.864834927953439</v>
      </c>
      <c r="E1503" s="40">
        <v>7979.1000979999999</v>
      </c>
      <c r="F1503" s="36">
        <f t="shared" si="94"/>
        <v>8278.9971259559061</v>
      </c>
      <c r="G1503" s="36">
        <f t="shared" si="95"/>
        <v>8007.5377862440928</v>
      </c>
      <c r="I1503" s="40">
        <v>7979.1000979999999</v>
      </c>
      <c r="J1503" s="36">
        <v>8278.9971259559061</v>
      </c>
      <c r="K1503" s="36">
        <v>8007.5377862440928</v>
      </c>
    </row>
    <row r="1504" spans="1:11" x14ac:dyDescent="0.25">
      <c r="A1504" s="39">
        <v>42727</v>
      </c>
      <c r="B1504" s="36">
        <v>7985.75</v>
      </c>
      <c r="C1504" s="36">
        <f t="shared" si="92"/>
        <v>8136.8399658499984</v>
      </c>
      <c r="D1504" s="36">
        <f t="shared" si="93"/>
        <v>76.314257522795756</v>
      </c>
      <c r="E1504" s="40">
        <v>7985.75</v>
      </c>
      <c r="F1504" s="36">
        <f t="shared" si="94"/>
        <v>8289.4684808955899</v>
      </c>
      <c r="G1504" s="36">
        <f t="shared" si="95"/>
        <v>7984.2114508044069</v>
      </c>
      <c r="I1504" s="40">
        <v>7985.75</v>
      </c>
      <c r="J1504" s="36">
        <v>8289.4684808955899</v>
      </c>
      <c r="K1504" s="36">
        <v>7984.2114508044069</v>
      </c>
    </row>
    <row r="1505" spans="1:11" x14ac:dyDescent="0.25">
      <c r="A1505" s="39">
        <v>42730</v>
      </c>
      <c r="B1505" s="36">
        <v>7908.25</v>
      </c>
      <c r="C1505" s="36">
        <f t="shared" si="92"/>
        <v>8125.9074707499994</v>
      </c>
      <c r="D1505" s="36">
        <f t="shared" si="93"/>
        <v>91.885979332393489</v>
      </c>
      <c r="E1505" s="40">
        <v>7908.25</v>
      </c>
      <c r="F1505" s="36">
        <f t="shared" si="94"/>
        <v>8309.6794294147858</v>
      </c>
      <c r="G1505" s="36">
        <f t="shared" si="95"/>
        <v>7942.1355120852122</v>
      </c>
      <c r="I1505" s="40">
        <v>7908.25</v>
      </c>
      <c r="J1505" s="36">
        <v>8309.6794294147858</v>
      </c>
      <c r="K1505" s="36">
        <v>7942.1355120852122</v>
      </c>
    </row>
    <row r="1506" spans="1:11" x14ac:dyDescent="0.25">
      <c r="A1506" s="39">
        <v>42731</v>
      </c>
      <c r="B1506" s="36">
        <v>8032.8500979999999</v>
      </c>
      <c r="C1506" s="36">
        <f t="shared" si="92"/>
        <v>8120.4424805499993</v>
      </c>
      <c r="D1506" s="36">
        <f t="shared" si="93"/>
        <v>94.092945776220134</v>
      </c>
      <c r="E1506" s="40">
        <v>8032.8500979999999</v>
      </c>
      <c r="F1506" s="36">
        <f t="shared" si="94"/>
        <v>8308.6283721024392</v>
      </c>
      <c r="G1506" s="36">
        <f t="shared" si="95"/>
        <v>7932.2565889975594</v>
      </c>
      <c r="I1506" s="40">
        <v>8032.8500979999999</v>
      </c>
      <c r="J1506" s="36">
        <v>8308.6283721024392</v>
      </c>
      <c r="K1506" s="36">
        <v>7932.2565889975594</v>
      </c>
    </row>
    <row r="1507" spans="1:11" x14ac:dyDescent="0.25">
      <c r="A1507" s="39">
        <v>42732</v>
      </c>
      <c r="B1507" s="36">
        <v>8034.8500979999999</v>
      </c>
      <c r="C1507" s="36">
        <f t="shared" si="92"/>
        <v>8110.9599854499993</v>
      </c>
      <c r="D1507" s="36">
        <f t="shared" si="93"/>
        <v>92.598710000721098</v>
      </c>
      <c r="E1507" s="40">
        <v>8034.8500979999999</v>
      </c>
      <c r="F1507" s="36">
        <f t="shared" si="94"/>
        <v>8296.1574054514422</v>
      </c>
      <c r="G1507" s="36">
        <f t="shared" si="95"/>
        <v>7925.7625654485573</v>
      </c>
      <c r="I1507" s="40">
        <v>8034.8500979999999</v>
      </c>
      <c r="J1507" s="36">
        <v>8296.1574054514422</v>
      </c>
      <c r="K1507" s="36">
        <v>7925.7625654485573</v>
      </c>
    </row>
    <row r="1508" spans="1:11" x14ac:dyDescent="0.25">
      <c r="A1508" s="39">
        <v>42733</v>
      </c>
      <c r="B1508" s="36">
        <v>8103.6000979999999</v>
      </c>
      <c r="C1508" s="36">
        <f t="shared" si="92"/>
        <v>8106.4949707999986</v>
      </c>
      <c r="D1508" s="36">
        <f t="shared" si="93"/>
        <v>90.570447006224555</v>
      </c>
      <c r="E1508" s="40">
        <v>8103.6000979999999</v>
      </c>
      <c r="F1508" s="36">
        <f t="shared" si="94"/>
        <v>8287.6358648124478</v>
      </c>
      <c r="G1508" s="36">
        <f t="shared" si="95"/>
        <v>7925.3540767875493</v>
      </c>
      <c r="I1508" s="40">
        <v>8103.6000979999999</v>
      </c>
      <c r="J1508" s="36">
        <v>8287.6358648124478</v>
      </c>
      <c r="K1508" s="36">
        <v>7925.3540767875493</v>
      </c>
    </row>
    <row r="1509" spans="1:11" x14ac:dyDescent="0.25">
      <c r="A1509" s="39">
        <v>42734</v>
      </c>
      <c r="B1509" s="36">
        <v>8185.7998049999997</v>
      </c>
      <c r="C1509" s="36">
        <f t="shared" si="92"/>
        <v>8111.4449707999984</v>
      </c>
      <c r="D1509" s="36">
        <f t="shared" si="93"/>
        <v>92.129319499917358</v>
      </c>
      <c r="E1509" s="40">
        <v>8185.7998049999997</v>
      </c>
      <c r="F1509" s="36">
        <f t="shared" si="94"/>
        <v>8295.7036097998334</v>
      </c>
      <c r="G1509" s="36">
        <f t="shared" si="95"/>
        <v>7927.1863318001633</v>
      </c>
      <c r="I1509" s="40">
        <v>8185.7998049999997</v>
      </c>
      <c r="J1509" s="36">
        <v>8295.7036097998334</v>
      </c>
      <c r="K1509" s="36">
        <v>7927.1863318001633</v>
      </c>
    </row>
    <row r="1510" spans="1:11" x14ac:dyDescent="0.25">
      <c r="A1510" s="39">
        <v>42737</v>
      </c>
      <c r="B1510" s="36">
        <v>8179.5</v>
      </c>
      <c r="C1510" s="36">
        <f t="shared" si="92"/>
        <v>8113.9824707999987</v>
      </c>
      <c r="D1510" s="36">
        <f t="shared" si="93"/>
        <v>93.322210240040263</v>
      </c>
      <c r="E1510" s="40">
        <v>8179.5</v>
      </c>
      <c r="F1510" s="36">
        <f t="shared" si="94"/>
        <v>8300.6268912800788</v>
      </c>
      <c r="G1510" s="36">
        <f t="shared" si="95"/>
        <v>7927.3380503199178</v>
      </c>
      <c r="I1510" s="40">
        <v>8179.5</v>
      </c>
      <c r="J1510" s="36">
        <v>8300.6268912800788</v>
      </c>
      <c r="K1510" s="36">
        <v>7927.3380503199178</v>
      </c>
    </row>
    <row r="1511" spans="1:11" x14ac:dyDescent="0.25">
      <c r="A1511" s="39">
        <v>42738</v>
      </c>
      <c r="B1511" s="36">
        <v>8192.25</v>
      </c>
      <c r="C1511" s="36">
        <f t="shared" si="92"/>
        <v>8116.4374756999996</v>
      </c>
      <c r="D1511" s="36">
        <f t="shared" si="93"/>
        <v>94.764580786373443</v>
      </c>
      <c r="E1511" s="40">
        <v>8192.25</v>
      </c>
      <c r="F1511" s="36">
        <f t="shared" si="94"/>
        <v>8305.9666372727461</v>
      </c>
      <c r="G1511" s="36">
        <f t="shared" si="95"/>
        <v>7926.9083141272531</v>
      </c>
      <c r="I1511" s="40">
        <v>8192.25</v>
      </c>
      <c r="J1511" s="36">
        <v>8305.9666372727461</v>
      </c>
      <c r="K1511" s="36">
        <v>7926.9083141272531</v>
      </c>
    </row>
    <row r="1512" spans="1:11" x14ac:dyDescent="0.25">
      <c r="A1512" s="39">
        <v>42739</v>
      </c>
      <c r="B1512" s="36">
        <v>8190.5</v>
      </c>
      <c r="C1512" s="36">
        <f t="shared" si="92"/>
        <v>8120.8599854499989</v>
      </c>
      <c r="D1512" s="36">
        <f t="shared" si="93"/>
        <v>96.112124830287996</v>
      </c>
      <c r="E1512" s="40">
        <v>8190.5</v>
      </c>
      <c r="F1512" s="36">
        <f t="shared" si="94"/>
        <v>8313.0842351105748</v>
      </c>
      <c r="G1512" s="36">
        <f t="shared" si="95"/>
        <v>7928.6357357894231</v>
      </c>
      <c r="I1512" s="40">
        <v>8190.5</v>
      </c>
      <c r="J1512" s="36">
        <v>8313.0842351105748</v>
      </c>
      <c r="K1512" s="36">
        <v>7928.6357357894231</v>
      </c>
    </row>
    <row r="1513" spans="1:11" x14ac:dyDescent="0.25">
      <c r="A1513" s="39">
        <v>42740</v>
      </c>
      <c r="B1513" s="36">
        <v>8273.7998050000006</v>
      </c>
      <c r="C1513" s="36">
        <f t="shared" si="92"/>
        <v>8122.2074952499988</v>
      </c>
      <c r="D1513" s="36">
        <f t="shared" si="93"/>
        <v>98.139041471233782</v>
      </c>
      <c r="E1513" s="40">
        <v>8273.7998050000006</v>
      </c>
      <c r="F1513" s="36">
        <f t="shared" si="94"/>
        <v>8318.4855781924671</v>
      </c>
      <c r="G1513" s="36">
        <f t="shared" si="95"/>
        <v>7925.9294123075315</v>
      </c>
      <c r="I1513" s="40">
        <v>8273.7998050000006</v>
      </c>
      <c r="J1513" s="36">
        <v>8318.4855781924671</v>
      </c>
      <c r="K1513" s="36">
        <v>7925.9294123075315</v>
      </c>
    </row>
    <row r="1514" spans="1:11" x14ac:dyDescent="0.25">
      <c r="A1514" s="39">
        <v>42741</v>
      </c>
      <c r="B1514" s="36">
        <v>8243.7998050000006</v>
      </c>
      <c r="C1514" s="36">
        <f t="shared" si="92"/>
        <v>8121.3099854999982</v>
      </c>
      <c r="D1514" s="36">
        <f t="shared" si="93"/>
        <v>96.869588525357045</v>
      </c>
      <c r="E1514" s="40">
        <v>8243.7998050000006</v>
      </c>
      <c r="F1514" s="36">
        <f t="shared" si="94"/>
        <v>8315.0491625507129</v>
      </c>
      <c r="G1514" s="36">
        <f t="shared" si="95"/>
        <v>7927.5708084492844</v>
      </c>
      <c r="I1514" s="40">
        <v>8243.7998050000006</v>
      </c>
      <c r="J1514" s="36">
        <v>8315.0491625507129</v>
      </c>
      <c r="K1514" s="36">
        <v>7927.5708084492844</v>
      </c>
    </row>
    <row r="1515" spans="1:11" x14ac:dyDescent="0.25">
      <c r="A1515" s="39">
        <v>42744</v>
      </c>
      <c r="B1515" s="36">
        <v>8236.0498050000006</v>
      </c>
      <c r="C1515" s="36">
        <f t="shared" si="92"/>
        <v>8124.572485499998</v>
      </c>
      <c r="D1515" s="36">
        <f t="shared" si="93"/>
        <v>99.682055678124584</v>
      </c>
      <c r="E1515" s="40">
        <v>8236.0498050000006</v>
      </c>
      <c r="F1515" s="36">
        <f t="shared" si="94"/>
        <v>8323.936596856247</v>
      </c>
      <c r="G1515" s="36">
        <f t="shared" si="95"/>
        <v>7925.2083741437491</v>
      </c>
      <c r="I1515" s="40">
        <v>8236.0498050000006</v>
      </c>
      <c r="J1515" s="36">
        <v>8323.936596856247</v>
      </c>
      <c r="K1515" s="36">
        <v>7925.2083741437491</v>
      </c>
    </row>
    <row r="1516" spans="1:11" x14ac:dyDescent="0.25">
      <c r="A1516" s="39">
        <v>42745</v>
      </c>
      <c r="B1516" s="36">
        <v>8288.5996090000008</v>
      </c>
      <c r="C1516" s="36">
        <f t="shared" si="92"/>
        <v>8127.9124756999981</v>
      </c>
      <c r="D1516" s="36">
        <f t="shared" si="93"/>
        <v>104.13108316871963</v>
      </c>
      <c r="E1516" s="40">
        <v>8288.5996090000008</v>
      </c>
      <c r="F1516" s="36">
        <f t="shared" si="94"/>
        <v>8336.1746420374366</v>
      </c>
      <c r="G1516" s="36">
        <f t="shared" si="95"/>
        <v>7919.6503093625588</v>
      </c>
      <c r="I1516" s="40">
        <v>8288.5996090000008</v>
      </c>
      <c r="J1516" s="36">
        <v>8336.1746420374366</v>
      </c>
      <c r="K1516" s="36">
        <v>7919.6503093625588</v>
      </c>
    </row>
    <row r="1517" spans="1:11" x14ac:dyDescent="0.25">
      <c r="A1517" s="39">
        <v>42746</v>
      </c>
      <c r="B1517" s="36">
        <v>8380.6503909999992</v>
      </c>
      <c r="C1517" s="36">
        <f t="shared" si="92"/>
        <v>8137.8224854999989</v>
      </c>
      <c r="D1517" s="36">
        <f t="shared" si="93"/>
        <v>118.09012888800952</v>
      </c>
      <c r="E1517" s="40">
        <v>8380.6503909999992</v>
      </c>
      <c r="F1517" s="36">
        <f t="shared" si="94"/>
        <v>8374.002743276018</v>
      </c>
      <c r="G1517" s="36">
        <f t="shared" si="95"/>
        <v>7901.6422277239799</v>
      </c>
      <c r="I1517" s="40">
        <v>8380.6503909999992</v>
      </c>
      <c r="J1517" s="36">
        <v>8374.002743276018</v>
      </c>
      <c r="K1517" s="36">
        <v>7901.6422277239799</v>
      </c>
    </row>
    <row r="1518" spans="1:11" x14ac:dyDescent="0.25">
      <c r="A1518" s="39">
        <v>42747</v>
      </c>
      <c r="B1518" s="36">
        <v>8407.2001949999994</v>
      </c>
      <c r="C1518" s="36">
        <f t="shared" si="92"/>
        <v>8150.5024903499998</v>
      </c>
      <c r="D1518" s="36">
        <f t="shared" si="93"/>
        <v>132.59754287123536</v>
      </c>
      <c r="E1518" s="40">
        <v>8407.2001949999994</v>
      </c>
      <c r="F1518" s="36">
        <f t="shared" si="94"/>
        <v>8415.6975760924706</v>
      </c>
      <c r="G1518" s="36">
        <f t="shared" si="95"/>
        <v>7885.307404607529</v>
      </c>
      <c r="I1518" s="40">
        <v>8407.2001949999994</v>
      </c>
      <c r="J1518" s="36">
        <v>8415.6975760924706</v>
      </c>
      <c r="K1518" s="36">
        <v>7885.307404607529</v>
      </c>
    </row>
    <row r="1519" spans="1:11" x14ac:dyDescent="0.25">
      <c r="A1519" s="39">
        <v>42748</v>
      </c>
      <c r="B1519" s="36">
        <v>8400.3496090000008</v>
      </c>
      <c r="C1519" s="36">
        <f t="shared" si="92"/>
        <v>8163.5474610500005</v>
      </c>
      <c r="D1519" s="36">
        <f t="shared" si="93"/>
        <v>143.81238936969956</v>
      </c>
      <c r="E1519" s="40">
        <v>8400.3496090000008</v>
      </c>
      <c r="F1519" s="36">
        <f t="shared" si="94"/>
        <v>8451.1722397893991</v>
      </c>
      <c r="G1519" s="36">
        <f t="shared" si="95"/>
        <v>7875.922682310601</v>
      </c>
      <c r="I1519" s="40">
        <v>8400.3496090000008</v>
      </c>
      <c r="J1519" s="36">
        <v>8451.1722397893991</v>
      </c>
      <c r="K1519" s="36">
        <v>7875.922682310601</v>
      </c>
    </row>
    <row r="1520" spans="1:11" x14ac:dyDescent="0.25">
      <c r="A1520" s="39">
        <v>42751</v>
      </c>
      <c r="B1520" s="36">
        <v>8412.7998050000006</v>
      </c>
      <c r="C1520" s="36">
        <f t="shared" si="92"/>
        <v>8178.9699464000005</v>
      </c>
      <c r="D1520" s="36">
        <f t="shared" si="93"/>
        <v>153.35260461009389</v>
      </c>
      <c r="E1520" s="40">
        <v>8412.7998050000006</v>
      </c>
      <c r="F1520" s="36">
        <f t="shared" si="94"/>
        <v>8485.6751556201889</v>
      </c>
      <c r="G1520" s="36">
        <f t="shared" si="95"/>
        <v>7872.264737179813</v>
      </c>
      <c r="I1520" s="40">
        <v>8412.7998050000006</v>
      </c>
      <c r="J1520" s="36">
        <v>8485.6751556201889</v>
      </c>
      <c r="K1520" s="36">
        <v>7872.264737179813</v>
      </c>
    </row>
    <row r="1521" spans="1:11" x14ac:dyDescent="0.25">
      <c r="A1521" s="39">
        <v>42752</v>
      </c>
      <c r="B1521" s="36">
        <v>8398</v>
      </c>
      <c r="C1521" s="36">
        <f t="shared" si="92"/>
        <v>8194.7499513000002</v>
      </c>
      <c r="D1521" s="36">
        <f t="shared" si="93"/>
        <v>159.02525871614768</v>
      </c>
      <c r="E1521" s="40">
        <v>8398</v>
      </c>
      <c r="F1521" s="36">
        <f t="shared" si="94"/>
        <v>8512.8004687322955</v>
      </c>
      <c r="G1521" s="36">
        <f t="shared" si="95"/>
        <v>7876.699433867705</v>
      </c>
      <c r="I1521" s="40">
        <v>8398</v>
      </c>
      <c r="J1521" s="36">
        <v>8512.8004687322955</v>
      </c>
      <c r="K1521" s="36">
        <v>7876.699433867705</v>
      </c>
    </row>
    <row r="1522" spans="1:11" x14ac:dyDescent="0.25">
      <c r="A1522" s="39">
        <v>42753</v>
      </c>
      <c r="B1522" s="36">
        <v>8417</v>
      </c>
      <c r="C1522" s="36">
        <f t="shared" si="92"/>
        <v>8212.5349610499998</v>
      </c>
      <c r="D1522" s="36">
        <f t="shared" si="93"/>
        <v>163.15179184275402</v>
      </c>
      <c r="E1522" s="40">
        <v>8417</v>
      </c>
      <c r="F1522" s="36">
        <f t="shared" si="94"/>
        <v>8538.8385447355085</v>
      </c>
      <c r="G1522" s="36">
        <f t="shared" si="95"/>
        <v>7886.2313773644919</v>
      </c>
      <c r="I1522" s="40">
        <v>8417</v>
      </c>
      <c r="J1522" s="36">
        <v>8538.8385447355085</v>
      </c>
      <c r="K1522" s="36">
        <v>7886.2313773644919</v>
      </c>
    </row>
    <row r="1523" spans="1:11" x14ac:dyDescent="0.25">
      <c r="A1523" s="39">
        <v>42754</v>
      </c>
      <c r="B1523" s="36">
        <v>8435.0996090000008</v>
      </c>
      <c r="C1523" s="36">
        <f t="shared" si="92"/>
        <v>8235.3349366000002</v>
      </c>
      <c r="D1523" s="36">
        <f t="shared" si="93"/>
        <v>160.65622761805943</v>
      </c>
      <c r="E1523" s="40">
        <v>8435.0996090000008</v>
      </c>
      <c r="F1523" s="36">
        <f t="shared" si="94"/>
        <v>8556.6473918361189</v>
      </c>
      <c r="G1523" s="36">
        <f t="shared" si="95"/>
        <v>7914.0224813638815</v>
      </c>
      <c r="I1523" s="40">
        <v>8435.0996090000008</v>
      </c>
      <c r="J1523" s="36">
        <v>8556.6473918361189</v>
      </c>
      <c r="K1523" s="36">
        <v>7914.0224813638815</v>
      </c>
    </row>
    <row r="1524" spans="1:11" x14ac:dyDescent="0.25">
      <c r="A1524" s="39">
        <v>42755</v>
      </c>
      <c r="B1524" s="36">
        <v>8349.3496090000008</v>
      </c>
      <c r="C1524" s="36">
        <f t="shared" si="92"/>
        <v>8253.514917049999</v>
      </c>
      <c r="D1524" s="36">
        <f t="shared" si="93"/>
        <v>151.22212960070127</v>
      </c>
      <c r="E1524" s="40">
        <v>8349.3496090000008</v>
      </c>
      <c r="F1524" s="36">
        <f t="shared" si="94"/>
        <v>8555.959176251401</v>
      </c>
      <c r="G1524" s="36">
        <f t="shared" si="95"/>
        <v>7951.0706578485961</v>
      </c>
      <c r="I1524" s="40">
        <v>8349.3496090000008</v>
      </c>
      <c r="J1524" s="36">
        <v>8555.959176251401</v>
      </c>
      <c r="K1524" s="36">
        <v>7951.0706578485961</v>
      </c>
    </row>
    <row r="1525" spans="1:11" x14ac:dyDescent="0.25">
      <c r="A1525" s="39">
        <v>42758</v>
      </c>
      <c r="B1525" s="36">
        <v>8391.5</v>
      </c>
      <c r="C1525" s="36">
        <f t="shared" si="92"/>
        <v>8277.6774170499993</v>
      </c>
      <c r="D1525" s="36">
        <f t="shared" si="93"/>
        <v>130.31338929968004</v>
      </c>
      <c r="E1525" s="40">
        <v>8391.5</v>
      </c>
      <c r="F1525" s="36">
        <f t="shared" si="94"/>
        <v>8538.3041956493598</v>
      </c>
      <c r="G1525" s="36">
        <f t="shared" si="95"/>
        <v>8017.0506384506389</v>
      </c>
      <c r="I1525" s="40">
        <v>8391.5</v>
      </c>
      <c r="J1525" s="36">
        <v>8538.3041956493598</v>
      </c>
      <c r="K1525" s="36">
        <v>8017.0506384506389</v>
      </c>
    </row>
    <row r="1526" spans="1:11" x14ac:dyDescent="0.25">
      <c r="A1526" s="39">
        <v>42759</v>
      </c>
      <c r="B1526" s="36">
        <v>8475.7998050000006</v>
      </c>
      <c r="C1526" s="36">
        <f t="shared" si="92"/>
        <v>8299.8249023999997</v>
      </c>
      <c r="D1526" s="36">
        <f t="shared" si="93"/>
        <v>124.00166626466628</v>
      </c>
      <c r="E1526" s="40">
        <v>8475.7998050000006</v>
      </c>
      <c r="F1526" s="36">
        <f t="shared" si="94"/>
        <v>8547.8282349293331</v>
      </c>
      <c r="G1526" s="36">
        <f t="shared" si="95"/>
        <v>8051.8215698706672</v>
      </c>
      <c r="I1526" s="40">
        <v>8475.7998050000006</v>
      </c>
      <c r="J1526" s="36">
        <v>8547.8282349293331</v>
      </c>
      <c r="K1526" s="36">
        <v>8051.8215698706672</v>
      </c>
    </row>
    <row r="1527" spans="1:11" x14ac:dyDescent="0.25">
      <c r="A1527" s="39">
        <v>42760</v>
      </c>
      <c r="B1527" s="36">
        <v>8602.75</v>
      </c>
      <c r="C1527" s="36">
        <f t="shared" si="92"/>
        <v>8328.2198974999992</v>
      </c>
      <c r="D1527" s="36">
        <f t="shared" si="93"/>
        <v>125.14797648477251</v>
      </c>
      <c r="E1527" s="40">
        <v>8602.75</v>
      </c>
      <c r="F1527" s="36">
        <f t="shared" si="94"/>
        <v>8578.5158504695446</v>
      </c>
      <c r="G1527" s="36">
        <f t="shared" si="95"/>
        <v>8077.9239445304538</v>
      </c>
      <c r="I1527" s="40">
        <v>8602.75</v>
      </c>
      <c r="J1527" s="36">
        <v>8578.5158504695446</v>
      </c>
      <c r="K1527" s="36">
        <v>8077.9239445304538</v>
      </c>
    </row>
    <row r="1528" spans="1:11" x14ac:dyDescent="0.25">
      <c r="A1528" s="39">
        <v>42762</v>
      </c>
      <c r="B1528" s="36">
        <v>8641.25</v>
      </c>
      <c r="C1528" s="36">
        <f t="shared" si="92"/>
        <v>8355.1023925999998</v>
      </c>
      <c r="D1528" s="36">
        <f t="shared" si="93"/>
        <v>131.92077451700035</v>
      </c>
      <c r="E1528" s="40">
        <v>8641.25</v>
      </c>
      <c r="F1528" s="36">
        <f t="shared" si="94"/>
        <v>8618.943941634001</v>
      </c>
      <c r="G1528" s="36">
        <f t="shared" si="95"/>
        <v>8091.2608435659995</v>
      </c>
      <c r="I1528" s="40">
        <v>8641.25</v>
      </c>
      <c r="J1528" s="36">
        <v>8618.943941634001</v>
      </c>
      <c r="K1528" s="36">
        <v>8091.2608435659995</v>
      </c>
    </row>
    <row r="1529" spans="1:11" x14ac:dyDescent="0.25">
      <c r="A1529" s="39">
        <v>42765</v>
      </c>
      <c r="B1529" s="36">
        <v>8632.75</v>
      </c>
      <c r="C1529" s="36">
        <f t="shared" si="92"/>
        <v>8377.4499023499993</v>
      </c>
      <c r="D1529" s="36">
        <f t="shared" si="93"/>
        <v>139.37743684355451</v>
      </c>
      <c r="E1529" s="40">
        <v>8632.75</v>
      </c>
      <c r="F1529" s="36">
        <f t="shared" si="94"/>
        <v>8656.2047760371079</v>
      </c>
      <c r="G1529" s="36">
        <f t="shared" si="95"/>
        <v>8098.6950286628908</v>
      </c>
      <c r="I1529" s="40">
        <v>8632.75</v>
      </c>
      <c r="J1529" s="36">
        <v>8656.2047760371079</v>
      </c>
      <c r="K1529" s="36">
        <v>8098.6950286628908</v>
      </c>
    </row>
    <row r="1530" spans="1:11" x14ac:dyDescent="0.25">
      <c r="A1530" s="39">
        <v>42766</v>
      </c>
      <c r="B1530" s="36">
        <v>8561.2998050000006</v>
      </c>
      <c r="C1530" s="36">
        <f t="shared" si="92"/>
        <v>8396.5398925999998</v>
      </c>
      <c r="D1530" s="36">
        <f t="shared" si="93"/>
        <v>136.96395922970308</v>
      </c>
      <c r="E1530" s="40">
        <v>8561.2998050000006</v>
      </c>
      <c r="F1530" s="36">
        <f t="shared" si="94"/>
        <v>8670.4678110594068</v>
      </c>
      <c r="G1530" s="36">
        <f t="shared" si="95"/>
        <v>8122.6119741405937</v>
      </c>
      <c r="I1530" s="40">
        <v>8561.2998050000006</v>
      </c>
      <c r="J1530" s="36">
        <v>8670.4678110594068</v>
      </c>
      <c r="K1530" s="36">
        <v>8122.6119741405937</v>
      </c>
    </row>
    <row r="1531" spans="1:11" x14ac:dyDescent="0.25">
      <c r="A1531" s="39">
        <v>42767</v>
      </c>
      <c r="B1531" s="36">
        <v>8716.4003909999992</v>
      </c>
      <c r="C1531" s="36">
        <f t="shared" si="92"/>
        <v>8422.7474121499999</v>
      </c>
      <c r="D1531" s="36">
        <f t="shared" si="93"/>
        <v>145.68587205797181</v>
      </c>
      <c r="E1531" s="40">
        <v>8716.4003909999992</v>
      </c>
      <c r="F1531" s="36">
        <f t="shared" si="94"/>
        <v>8714.1191562659442</v>
      </c>
      <c r="G1531" s="36">
        <f t="shared" si="95"/>
        <v>8131.3756680340566</v>
      </c>
      <c r="I1531" s="40">
        <v>8716.4003909999992</v>
      </c>
      <c r="J1531" s="36">
        <v>8714.1191562659442</v>
      </c>
      <c r="K1531" s="36">
        <v>8131.3756680340566</v>
      </c>
    </row>
    <row r="1532" spans="1:11" x14ac:dyDescent="0.25">
      <c r="A1532" s="39">
        <v>42768</v>
      </c>
      <c r="B1532" s="36">
        <v>8734.25</v>
      </c>
      <c r="C1532" s="36">
        <f t="shared" si="92"/>
        <v>8449.9349121499999</v>
      </c>
      <c r="D1532" s="36">
        <f t="shared" si="93"/>
        <v>150.71319777546424</v>
      </c>
      <c r="E1532" s="40">
        <v>8734.25</v>
      </c>
      <c r="F1532" s="36">
        <f t="shared" si="94"/>
        <v>8751.3613077009286</v>
      </c>
      <c r="G1532" s="36">
        <f t="shared" si="95"/>
        <v>8148.5085165990713</v>
      </c>
      <c r="I1532" s="40">
        <v>8734.25</v>
      </c>
      <c r="J1532" s="36">
        <v>8751.3613077009286</v>
      </c>
      <c r="K1532" s="36">
        <v>8148.5085165990713</v>
      </c>
    </row>
    <row r="1533" spans="1:11" x14ac:dyDescent="0.25">
      <c r="A1533" s="39">
        <v>42769</v>
      </c>
      <c r="B1533" s="36">
        <v>8740.9501949999994</v>
      </c>
      <c r="C1533" s="36">
        <f t="shared" si="92"/>
        <v>8473.2924316500012</v>
      </c>
      <c r="D1533" s="36">
        <f t="shared" si="93"/>
        <v>158.00228782955267</v>
      </c>
      <c r="E1533" s="40">
        <v>8740.9501949999994</v>
      </c>
      <c r="F1533" s="36">
        <f t="shared" si="94"/>
        <v>8789.2970073091074</v>
      </c>
      <c r="G1533" s="36">
        <f t="shared" si="95"/>
        <v>8157.2878559908959</v>
      </c>
      <c r="I1533" s="40">
        <v>8740.9501949999994</v>
      </c>
      <c r="J1533" s="36">
        <v>8789.2970073091074</v>
      </c>
      <c r="K1533" s="36">
        <v>8157.2878559908959</v>
      </c>
    </row>
    <row r="1534" spans="1:11" x14ac:dyDescent="0.25">
      <c r="A1534" s="39">
        <v>42772</v>
      </c>
      <c r="B1534" s="36">
        <v>8801.0498050000006</v>
      </c>
      <c r="C1534" s="36">
        <f t="shared" si="92"/>
        <v>8501.1549316499986</v>
      </c>
      <c r="D1534" s="36">
        <f t="shared" si="93"/>
        <v>164.40665055725614</v>
      </c>
      <c r="E1534" s="40">
        <v>8801.0498050000006</v>
      </c>
      <c r="F1534" s="36">
        <f t="shared" si="94"/>
        <v>8829.9682327645114</v>
      </c>
      <c r="G1534" s="36">
        <f t="shared" si="95"/>
        <v>8172.3416305354867</v>
      </c>
      <c r="I1534" s="40">
        <v>8801.0498050000006</v>
      </c>
      <c r="J1534" s="36">
        <v>8829.9682327645114</v>
      </c>
      <c r="K1534" s="36">
        <v>8172.3416305354867</v>
      </c>
    </row>
    <row r="1535" spans="1:11" x14ac:dyDescent="0.25">
      <c r="A1535" s="39">
        <v>42773</v>
      </c>
      <c r="B1535" s="36">
        <v>8768.2998050000006</v>
      </c>
      <c r="C1535" s="36">
        <f t="shared" si="92"/>
        <v>8527.7674316499997</v>
      </c>
      <c r="D1535" s="36">
        <f t="shared" si="93"/>
        <v>162.29968062000134</v>
      </c>
      <c r="E1535" s="40">
        <v>8768.2998050000006</v>
      </c>
      <c r="F1535" s="36">
        <f t="shared" si="94"/>
        <v>8852.3667928900031</v>
      </c>
      <c r="G1535" s="36">
        <f t="shared" si="95"/>
        <v>8203.1680704099963</v>
      </c>
      <c r="I1535" s="40">
        <v>8768.2998050000006</v>
      </c>
      <c r="J1535" s="36">
        <v>8852.3667928900031</v>
      </c>
      <c r="K1535" s="36">
        <v>8203.1680704099963</v>
      </c>
    </row>
    <row r="1536" spans="1:11" x14ac:dyDescent="0.25">
      <c r="A1536" s="39">
        <v>42774</v>
      </c>
      <c r="B1536" s="36">
        <v>8769.0498050000006</v>
      </c>
      <c r="C1536" s="36">
        <f t="shared" si="92"/>
        <v>8551.7899414499989</v>
      </c>
      <c r="D1536" s="36">
        <f t="shared" si="93"/>
        <v>160.58394378251614</v>
      </c>
      <c r="E1536" s="40">
        <v>8769.0498050000006</v>
      </c>
      <c r="F1536" s="36">
        <f t="shared" si="94"/>
        <v>8872.9578290150312</v>
      </c>
      <c r="G1536" s="36">
        <f t="shared" si="95"/>
        <v>8230.6220538849666</v>
      </c>
      <c r="I1536" s="40">
        <v>8769.0498050000006</v>
      </c>
      <c r="J1536" s="36">
        <v>8872.9578290150312</v>
      </c>
      <c r="K1536" s="36">
        <v>8230.6220538849666</v>
      </c>
    </row>
    <row r="1537" spans="1:11" x14ac:dyDescent="0.25">
      <c r="A1537" s="39">
        <v>42775</v>
      </c>
      <c r="B1537" s="36">
        <v>8778.4003909999992</v>
      </c>
      <c r="C1537" s="36">
        <f t="shared" si="92"/>
        <v>8571.6774414499996</v>
      </c>
      <c r="D1537" s="36">
        <f t="shared" si="93"/>
        <v>162.88681152489781</v>
      </c>
      <c r="E1537" s="40">
        <v>8778.4003909999992</v>
      </c>
      <c r="F1537" s="36">
        <f t="shared" si="94"/>
        <v>8897.4510644997954</v>
      </c>
      <c r="G1537" s="36">
        <f t="shared" si="95"/>
        <v>8245.9038184002038</v>
      </c>
      <c r="I1537" s="40">
        <v>8778.4003909999992</v>
      </c>
      <c r="J1537" s="36">
        <v>8897.4510644997954</v>
      </c>
      <c r="K1537" s="36">
        <v>8245.9038184002038</v>
      </c>
    </row>
    <row r="1538" spans="1:11" x14ac:dyDescent="0.25">
      <c r="A1538" s="39">
        <v>42776</v>
      </c>
      <c r="B1538" s="36">
        <v>8793.5498050000006</v>
      </c>
      <c r="C1538" s="36">
        <f t="shared" si="92"/>
        <v>8590.9949219499977</v>
      </c>
      <c r="D1538" s="36">
        <f t="shared" si="93"/>
        <v>165.24645613786379</v>
      </c>
      <c r="E1538" s="40">
        <v>8793.5498050000006</v>
      </c>
      <c r="F1538" s="36">
        <f t="shared" si="94"/>
        <v>8921.4878342257252</v>
      </c>
      <c r="G1538" s="36">
        <f t="shared" si="95"/>
        <v>8260.5020096742701</v>
      </c>
      <c r="I1538" s="40">
        <v>8793.5498050000006</v>
      </c>
      <c r="J1538" s="36">
        <v>8921.4878342257252</v>
      </c>
      <c r="K1538" s="36">
        <v>8260.5020096742701</v>
      </c>
    </row>
    <row r="1539" spans="1:11" x14ac:dyDescent="0.25">
      <c r="A1539" s="39">
        <v>42779</v>
      </c>
      <c r="B1539" s="36">
        <v>8805.0498050000006</v>
      </c>
      <c r="C1539" s="36">
        <f t="shared" si="92"/>
        <v>8611.2299317499983</v>
      </c>
      <c r="D1539" s="36">
        <f t="shared" si="93"/>
        <v>165.4509275684517</v>
      </c>
      <c r="E1539" s="40">
        <v>8805.0498050000006</v>
      </c>
      <c r="F1539" s="36">
        <f t="shared" si="94"/>
        <v>8942.131786886901</v>
      </c>
      <c r="G1539" s="36">
        <f t="shared" si="95"/>
        <v>8280.3280766130956</v>
      </c>
      <c r="I1539" s="40">
        <v>8805.0498050000006</v>
      </c>
      <c r="J1539" s="36">
        <v>8942.131786886901</v>
      </c>
      <c r="K1539" s="36">
        <v>8280.3280766130956</v>
      </c>
    </row>
    <row r="1540" spans="1:11" x14ac:dyDescent="0.25">
      <c r="A1540" s="39">
        <v>42780</v>
      </c>
      <c r="B1540" s="36">
        <v>8792.2998050000006</v>
      </c>
      <c r="C1540" s="36">
        <f t="shared" si="92"/>
        <v>8630.2049317499987</v>
      </c>
      <c r="D1540" s="36">
        <f t="shared" si="93"/>
        <v>163.24294947758887</v>
      </c>
      <c r="E1540" s="40">
        <v>8792.2998050000006</v>
      </c>
      <c r="F1540" s="36">
        <f t="shared" si="94"/>
        <v>8956.6908307051763</v>
      </c>
      <c r="G1540" s="36">
        <f t="shared" si="95"/>
        <v>8303.719032794821</v>
      </c>
      <c r="I1540" s="40">
        <v>8792.2998050000006</v>
      </c>
      <c r="J1540" s="36">
        <v>8956.6908307051763</v>
      </c>
      <c r="K1540" s="36">
        <v>8303.719032794821</v>
      </c>
    </row>
    <row r="1541" spans="1:11" x14ac:dyDescent="0.25">
      <c r="A1541" s="39">
        <v>42781</v>
      </c>
      <c r="B1541" s="36">
        <v>8724.7001949999994</v>
      </c>
      <c r="C1541" s="36">
        <f t="shared" si="92"/>
        <v>8646.5399414999993</v>
      </c>
      <c r="D1541" s="36">
        <f t="shared" si="93"/>
        <v>154.91772419165679</v>
      </c>
      <c r="E1541" s="40">
        <v>8724.7001949999994</v>
      </c>
      <c r="F1541" s="36">
        <f t="shared" si="94"/>
        <v>8956.3753898833129</v>
      </c>
      <c r="G1541" s="36">
        <f t="shared" si="95"/>
        <v>8336.7044931166856</v>
      </c>
      <c r="I1541" s="40">
        <v>8724.7001949999994</v>
      </c>
      <c r="J1541" s="36">
        <v>8956.3753898833129</v>
      </c>
      <c r="K1541" s="36">
        <v>8336.7044931166856</v>
      </c>
    </row>
    <row r="1542" spans="1:11" x14ac:dyDescent="0.25">
      <c r="A1542" s="39">
        <v>42782</v>
      </c>
      <c r="B1542" s="36">
        <v>8778</v>
      </c>
      <c r="C1542" s="36">
        <f t="shared" si="92"/>
        <v>8664.5899414999985</v>
      </c>
      <c r="D1542" s="36">
        <f t="shared" si="93"/>
        <v>147.62463714340583</v>
      </c>
      <c r="E1542" s="40">
        <v>8778</v>
      </c>
      <c r="F1542" s="36">
        <f t="shared" si="94"/>
        <v>8959.8392157868111</v>
      </c>
      <c r="G1542" s="36">
        <f t="shared" si="95"/>
        <v>8369.340667213186</v>
      </c>
      <c r="I1542" s="40">
        <v>8778</v>
      </c>
      <c r="J1542" s="36">
        <v>8959.8392157868111</v>
      </c>
      <c r="K1542" s="36">
        <v>8369.340667213186</v>
      </c>
    </row>
    <row r="1543" spans="1:11" x14ac:dyDescent="0.25">
      <c r="A1543" s="39">
        <v>42783</v>
      </c>
      <c r="B1543" s="36">
        <v>8821.7001949999994</v>
      </c>
      <c r="C1543" s="36">
        <f t="shared" si="92"/>
        <v>8683.9199708000015</v>
      </c>
      <c r="D1543" s="36">
        <f t="shared" si="93"/>
        <v>141.16292467101516</v>
      </c>
      <c r="E1543" s="40">
        <v>8821.7001949999994</v>
      </c>
      <c r="F1543" s="36">
        <f t="shared" si="94"/>
        <v>8966.2458201420322</v>
      </c>
      <c r="G1543" s="36">
        <f t="shared" si="95"/>
        <v>8401.5941214579707</v>
      </c>
      <c r="I1543" s="40">
        <v>8821.7001949999994</v>
      </c>
      <c r="J1543" s="36">
        <v>8966.2458201420322</v>
      </c>
      <c r="K1543" s="36">
        <v>8401.5941214579707</v>
      </c>
    </row>
    <row r="1544" spans="1:11" x14ac:dyDescent="0.25">
      <c r="A1544" s="39">
        <v>42786</v>
      </c>
      <c r="B1544" s="36">
        <v>8879.2001949999994</v>
      </c>
      <c r="C1544" s="36">
        <f t="shared" si="92"/>
        <v>8710.4125001000029</v>
      </c>
      <c r="D1544" s="36">
        <f t="shared" si="93"/>
        <v>123.70857340119363</v>
      </c>
      <c r="E1544" s="40">
        <v>8879.2001949999994</v>
      </c>
      <c r="F1544" s="36">
        <f t="shared" si="94"/>
        <v>8957.8296469023899</v>
      </c>
      <c r="G1544" s="36">
        <f t="shared" si="95"/>
        <v>8462.995353297616</v>
      </c>
      <c r="I1544" s="40">
        <v>8879.2001949999994</v>
      </c>
      <c r="J1544" s="36">
        <v>8957.8296469023899</v>
      </c>
      <c r="K1544" s="36">
        <v>8462.995353297616</v>
      </c>
    </row>
    <row r="1545" spans="1:11" x14ac:dyDescent="0.25">
      <c r="A1545" s="39">
        <v>42787</v>
      </c>
      <c r="B1545" s="36">
        <v>8907.8496090000008</v>
      </c>
      <c r="C1545" s="36">
        <f t="shared" si="92"/>
        <v>8736.2299805500024</v>
      </c>
      <c r="D1545" s="36">
        <f t="shared" si="93"/>
        <v>106.30586329357359</v>
      </c>
      <c r="E1545" s="40">
        <v>8907.8496090000008</v>
      </c>
      <c r="F1545" s="36">
        <f t="shared" si="94"/>
        <v>8948.8417071371496</v>
      </c>
      <c r="G1545" s="36">
        <f t="shared" si="95"/>
        <v>8523.6182539628553</v>
      </c>
      <c r="I1545" s="40">
        <v>8907.8496090000008</v>
      </c>
      <c r="J1545" s="36">
        <v>8948.8417071371496</v>
      </c>
      <c r="K1545" s="36">
        <v>8523.6182539628553</v>
      </c>
    </row>
    <row r="1546" spans="1:11" x14ac:dyDescent="0.25">
      <c r="A1546" s="39">
        <v>42788</v>
      </c>
      <c r="B1546" s="36">
        <v>8926.9003909999992</v>
      </c>
      <c r="C1546" s="36">
        <f t="shared" si="92"/>
        <v>8758.7850098500021</v>
      </c>
      <c r="D1546" s="36">
        <f t="shared" si="93"/>
        <v>95.442056544365059</v>
      </c>
      <c r="E1546" s="40">
        <v>8926.9003909999992</v>
      </c>
      <c r="F1546" s="36">
        <f t="shared" si="94"/>
        <v>8949.6691229387325</v>
      </c>
      <c r="G1546" s="36">
        <f t="shared" si="95"/>
        <v>8567.9008967612717</v>
      </c>
      <c r="I1546" s="40">
        <v>8926.9003909999992</v>
      </c>
      <c r="J1546" s="36">
        <v>8949.6691229387325</v>
      </c>
      <c r="K1546" s="36">
        <v>8567.9008967612717</v>
      </c>
    </row>
    <row r="1547" spans="1:11" x14ac:dyDescent="0.25">
      <c r="A1547" s="39">
        <v>42789</v>
      </c>
      <c r="B1547" s="36">
        <v>8939.5</v>
      </c>
      <c r="C1547" s="36">
        <f t="shared" si="92"/>
        <v>8775.6225098500017</v>
      </c>
      <c r="D1547" s="36">
        <f t="shared" si="93"/>
        <v>96.167477879386269</v>
      </c>
      <c r="E1547" s="40">
        <v>8939.5</v>
      </c>
      <c r="F1547" s="36">
        <f t="shared" si="94"/>
        <v>8967.9574656087734</v>
      </c>
      <c r="G1547" s="36">
        <f t="shared" si="95"/>
        <v>8583.28755409123</v>
      </c>
      <c r="I1547" s="40">
        <v>8939.5</v>
      </c>
      <c r="J1547" s="36">
        <v>8967.9574656087734</v>
      </c>
      <c r="K1547" s="36">
        <v>8583.28755409123</v>
      </c>
    </row>
    <row r="1548" spans="1:11" x14ac:dyDescent="0.25">
      <c r="A1548" s="39">
        <v>42793</v>
      </c>
      <c r="B1548" s="36">
        <v>8896.7001949999994</v>
      </c>
      <c r="C1548" s="36">
        <f t="shared" si="92"/>
        <v>8788.3950196000023</v>
      </c>
      <c r="D1548" s="36">
        <f t="shared" si="93"/>
        <v>94.327700503583131</v>
      </c>
      <c r="E1548" s="40">
        <v>8896.7001949999994</v>
      </c>
      <c r="F1548" s="36">
        <f t="shared" si="94"/>
        <v>8977.0504206071691</v>
      </c>
      <c r="G1548" s="36">
        <f t="shared" si="95"/>
        <v>8599.7396185928355</v>
      </c>
      <c r="I1548" s="40">
        <v>8896.7001949999994</v>
      </c>
      <c r="J1548" s="36">
        <v>8977.0504206071691</v>
      </c>
      <c r="K1548" s="36">
        <v>8599.7396185928355</v>
      </c>
    </row>
    <row r="1549" spans="1:11" x14ac:dyDescent="0.25">
      <c r="A1549" s="39">
        <v>42794</v>
      </c>
      <c r="B1549" s="36">
        <v>8879.5996090000008</v>
      </c>
      <c r="C1549" s="36">
        <f t="shared" si="92"/>
        <v>8800.7375000499997</v>
      </c>
      <c r="D1549" s="36">
        <f t="shared" si="93"/>
        <v>88.882759885304623</v>
      </c>
      <c r="E1549" s="40">
        <v>8879.5996090000008</v>
      </c>
      <c r="F1549" s="36">
        <f t="shared" si="94"/>
        <v>8978.5030198206096</v>
      </c>
      <c r="G1549" s="36">
        <f t="shared" si="95"/>
        <v>8622.9719802793898</v>
      </c>
      <c r="I1549" s="40">
        <v>8879.5996090000008</v>
      </c>
      <c r="J1549" s="36">
        <v>8978.5030198206096</v>
      </c>
      <c r="K1549" s="36">
        <v>8622.9719802793898</v>
      </c>
    </row>
    <row r="1550" spans="1:11" x14ac:dyDescent="0.25">
      <c r="A1550" s="39">
        <v>42795</v>
      </c>
      <c r="B1550" s="36">
        <v>8945.7998050000006</v>
      </c>
      <c r="C1550" s="36">
        <f t="shared" si="92"/>
        <v>8819.96250005</v>
      </c>
      <c r="D1550" s="36">
        <f t="shared" si="93"/>
        <v>74.841377908739332</v>
      </c>
      <c r="E1550" s="40">
        <v>8945.7998050000006</v>
      </c>
      <c r="F1550" s="36">
        <f t="shared" si="94"/>
        <v>8969.6452558674791</v>
      </c>
      <c r="G1550" s="36">
        <f t="shared" si="95"/>
        <v>8670.2797442325209</v>
      </c>
      <c r="I1550" s="40">
        <v>8945.7998050000006</v>
      </c>
      <c r="J1550" s="36">
        <v>8969.6452558674791</v>
      </c>
      <c r="K1550" s="36">
        <v>8670.2797442325209</v>
      </c>
    </row>
    <row r="1551" spans="1:11" x14ac:dyDescent="0.25">
      <c r="A1551" s="39">
        <v>42796</v>
      </c>
      <c r="B1551" s="36">
        <v>8899.75</v>
      </c>
      <c r="C1551" s="36">
        <f t="shared" si="92"/>
        <v>8829.1299804999999</v>
      </c>
      <c r="D1551" s="36">
        <f t="shared" si="93"/>
        <v>72.686596845874902</v>
      </c>
      <c r="E1551" s="40">
        <v>8899.75</v>
      </c>
      <c r="F1551" s="36">
        <f t="shared" si="94"/>
        <v>8974.5031741917501</v>
      </c>
      <c r="G1551" s="36">
        <f t="shared" si="95"/>
        <v>8683.7567868082497</v>
      </c>
      <c r="I1551" s="40">
        <v>8899.75</v>
      </c>
      <c r="J1551" s="36">
        <v>8974.5031741917501</v>
      </c>
      <c r="K1551" s="36">
        <v>8683.7567868082497</v>
      </c>
    </row>
    <row r="1552" spans="1:11" x14ac:dyDescent="0.25">
      <c r="A1552" s="39">
        <v>42797</v>
      </c>
      <c r="B1552" s="36">
        <v>8897.5498050000006</v>
      </c>
      <c r="C1552" s="36">
        <f t="shared" si="92"/>
        <v>8837.2949707499993</v>
      </c>
      <c r="D1552" s="36">
        <f t="shared" si="93"/>
        <v>70.609827193245138</v>
      </c>
      <c r="E1552" s="40">
        <v>8897.5498050000006</v>
      </c>
      <c r="F1552" s="36">
        <f t="shared" si="94"/>
        <v>8978.5146251364895</v>
      </c>
      <c r="G1552" s="36">
        <f t="shared" si="95"/>
        <v>8696.075316363509</v>
      </c>
      <c r="I1552" s="40">
        <v>8897.5498050000006</v>
      </c>
      <c r="J1552" s="36">
        <v>8978.5146251364895</v>
      </c>
      <c r="K1552" s="36">
        <v>8696.075316363509</v>
      </c>
    </row>
    <row r="1553" spans="1:11" x14ac:dyDescent="0.25">
      <c r="A1553" s="39">
        <v>42800</v>
      </c>
      <c r="B1553" s="36">
        <v>8963.4501949999994</v>
      </c>
      <c r="C1553" s="36">
        <f t="shared" si="92"/>
        <v>8848.4199707499993</v>
      </c>
      <c r="D1553" s="36">
        <f t="shared" si="93"/>
        <v>72.142665134034971</v>
      </c>
      <c r="E1553" s="40">
        <v>8963.4501949999994</v>
      </c>
      <c r="F1553" s="36">
        <f t="shared" si="94"/>
        <v>8992.7053010180698</v>
      </c>
      <c r="G1553" s="36">
        <f t="shared" si="95"/>
        <v>8704.1346404819287</v>
      </c>
      <c r="I1553" s="40">
        <v>8963.4501949999994</v>
      </c>
      <c r="J1553" s="36">
        <v>8992.7053010180698</v>
      </c>
      <c r="K1553" s="36">
        <v>8704.1346404819287</v>
      </c>
    </row>
    <row r="1554" spans="1:11" x14ac:dyDescent="0.25">
      <c r="A1554" s="39">
        <v>42801</v>
      </c>
      <c r="B1554" s="36">
        <v>8946.9003909999992</v>
      </c>
      <c r="C1554" s="36">
        <f t="shared" si="92"/>
        <v>8855.71250005</v>
      </c>
      <c r="D1554" s="36">
        <f t="shared" si="93"/>
        <v>74.437384289642864</v>
      </c>
      <c r="E1554" s="40">
        <v>8946.9003909999992</v>
      </c>
      <c r="F1554" s="36">
        <f t="shared" si="94"/>
        <v>9004.587268629286</v>
      </c>
      <c r="G1554" s="36">
        <f t="shared" si="95"/>
        <v>8706.8377314707141</v>
      </c>
      <c r="I1554" s="40">
        <v>8946.9003909999992</v>
      </c>
      <c r="J1554" s="36">
        <v>9004.587268629286</v>
      </c>
      <c r="K1554" s="36">
        <v>8706.8377314707141</v>
      </c>
    </row>
    <row r="1555" spans="1:11" x14ac:dyDescent="0.25">
      <c r="A1555" s="39">
        <v>42802</v>
      </c>
      <c r="B1555" s="36">
        <v>8924.2998050000006</v>
      </c>
      <c r="C1555" s="36">
        <f t="shared" si="92"/>
        <v>8863.5125000499993</v>
      </c>
      <c r="D1555" s="36">
        <f t="shared" si="93"/>
        <v>72.95420285219879</v>
      </c>
      <c r="E1555" s="40">
        <v>8924.2998050000006</v>
      </c>
      <c r="F1555" s="36">
        <f t="shared" si="94"/>
        <v>9009.4209057543976</v>
      </c>
      <c r="G1555" s="36">
        <f t="shared" si="95"/>
        <v>8717.604094345601</v>
      </c>
      <c r="I1555" s="40">
        <v>8924.2998050000006</v>
      </c>
      <c r="J1555" s="36">
        <v>9009.4209057543976</v>
      </c>
      <c r="K1555" s="36">
        <v>8717.604094345601</v>
      </c>
    </row>
    <row r="1556" spans="1:11" x14ac:dyDescent="0.25">
      <c r="A1556" s="39">
        <v>42803</v>
      </c>
      <c r="B1556" s="36">
        <v>8927</v>
      </c>
      <c r="C1556" s="36">
        <f t="shared" si="92"/>
        <v>8871.4100097999999</v>
      </c>
      <c r="D1556" s="36">
        <f t="shared" si="93"/>
        <v>70.704740870959398</v>
      </c>
      <c r="E1556" s="40">
        <v>8927</v>
      </c>
      <c r="F1556" s="36">
        <f t="shared" si="94"/>
        <v>9012.819491541919</v>
      </c>
      <c r="G1556" s="36">
        <f t="shared" si="95"/>
        <v>8730.0005280580808</v>
      </c>
      <c r="I1556" s="40">
        <v>8927</v>
      </c>
      <c r="J1556" s="36">
        <v>9012.819491541919</v>
      </c>
      <c r="K1556" s="36">
        <v>8730.0005280580808</v>
      </c>
    </row>
    <row r="1557" spans="1:11" x14ac:dyDescent="0.25">
      <c r="A1557" s="39">
        <v>42804</v>
      </c>
      <c r="B1557" s="36">
        <v>8934.5498050000006</v>
      </c>
      <c r="C1557" s="36">
        <f t="shared" si="92"/>
        <v>8879.2174804999995</v>
      </c>
      <c r="D1557" s="36">
        <f t="shared" si="93"/>
        <v>68.480023912052417</v>
      </c>
      <c r="E1557" s="40">
        <v>8934.5498050000006</v>
      </c>
      <c r="F1557" s="36">
        <f t="shared" si="94"/>
        <v>9016.1775283241041</v>
      </c>
      <c r="G1557" s="36">
        <f t="shared" si="95"/>
        <v>8742.257432675895</v>
      </c>
      <c r="I1557" s="40">
        <v>8934.5498050000006</v>
      </c>
      <c r="J1557" s="36">
        <v>9016.1775283241041</v>
      </c>
      <c r="K1557" s="36">
        <v>8742.257432675895</v>
      </c>
    </row>
    <row r="1558" spans="1:11" x14ac:dyDescent="0.25">
      <c r="A1558" s="39">
        <v>42808</v>
      </c>
      <c r="B1558" s="36">
        <v>9087</v>
      </c>
      <c r="C1558" s="36">
        <f t="shared" ref="C1558:C1621" si="96">AVERAGE(B1539:B1558)</f>
        <v>8893.8899902499998</v>
      </c>
      <c r="D1558" s="36">
        <f t="shared" ref="D1558:D1621" si="97">_xlfn.STDEV.S(B1539:B1558)</f>
        <v>79.680194251053877</v>
      </c>
      <c r="E1558" s="40">
        <v>9087</v>
      </c>
      <c r="F1558" s="36">
        <f t="shared" ref="F1558:F1621" si="98">C1558+2*D1558</f>
        <v>9053.2503787521073</v>
      </c>
      <c r="G1558" s="36">
        <f t="shared" ref="G1558:G1621" si="99">C1558-2*D1558</f>
        <v>8734.5296017478922</v>
      </c>
      <c r="I1558" s="40">
        <v>9087</v>
      </c>
      <c r="J1558" s="36">
        <v>9053.2503787521073</v>
      </c>
      <c r="K1558" s="36">
        <v>8734.5296017478922</v>
      </c>
    </row>
    <row r="1559" spans="1:11" x14ac:dyDescent="0.25">
      <c r="A1559" s="39">
        <v>42809</v>
      </c>
      <c r="B1559" s="36">
        <v>9084.7998050000006</v>
      </c>
      <c r="C1559" s="36">
        <f t="shared" si="96"/>
        <v>8907.8774902499972</v>
      </c>
      <c r="D1559" s="36">
        <f t="shared" si="97"/>
        <v>87.440418658846653</v>
      </c>
      <c r="E1559" s="40">
        <v>9084.7998050000006</v>
      </c>
      <c r="F1559" s="36">
        <f t="shared" si="98"/>
        <v>9082.7583275676898</v>
      </c>
      <c r="G1559" s="36">
        <f t="shared" si="99"/>
        <v>8732.9966529323046</v>
      </c>
      <c r="I1559" s="40">
        <v>9084.7998050000006</v>
      </c>
      <c r="J1559" s="36">
        <v>9082.7583275676898</v>
      </c>
      <c r="K1559" s="36">
        <v>8732.9966529323046</v>
      </c>
    </row>
    <row r="1560" spans="1:11" x14ac:dyDescent="0.25">
      <c r="A1560" s="39">
        <v>42810</v>
      </c>
      <c r="B1560" s="36">
        <v>9153.7001949999994</v>
      </c>
      <c r="C1560" s="36">
        <f t="shared" si="96"/>
        <v>8925.9475097499999</v>
      </c>
      <c r="D1560" s="36">
        <f t="shared" si="97"/>
        <v>98.891433889499325</v>
      </c>
      <c r="E1560" s="40">
        <v>9153.7001949999994</v>
      </c>
      <c r="F1560" s="36">
        <f t="shared" si="98"/>
        <v>9123.7303775289984</v>
      </c>
      <c r="G1560" s="36">
        <f t="shared" si="99"/>
        <v>8728.1646419710014</v>
      </c>
      <c r="I1560" s="40">
        <v>9153.7001949999994</v>
      </c>
      <c r="J1560" s="36">
        <v>9123.7303775289984</v>
      </c>
      <c r="K1560" s="36">
        <v>8728.1646419710014</v>
      </c>
    </row>
    <row r="1561" spans="1:11" x14ac:dyDescent="0.25">
      <c r="A1561" s="39">
        <v>42811</v>
      </c>
      <c r="B1561" s="36">
        <v>9160.0498050000006</v>
      </c>
      <c r="C1561" s="36">
        <f t="shared" si="96"/>
        <v>8947.7149902499987</v>
      </c>
      <c r="D1561" s="36">
        <f t="shared" si="97"/>
        <v>100.16768494526357</v>
      </c>
      <c r="E1561" s="40">
        <v>9160.0498050000006</v>
      </c>
      <c r="F1561" s="36">
        <f t="shared" si="98"/>
        <v>9148.0503601405253</v>
      </c>
      <c r="G1561" s="36">
        <f t="shared" si="99"/>
        <v>8747.379620359472</v>
      </c>
      <c r="I1561" s="40">
        <v>9160.0498050000006</v>
      </c>
      <c r="J1561" s="36">
        <v>9148.0503601405253</v>
      </c>
      <c r="K1561" s="36">
        <v>8747.379620359472</v>
      </c>
    </row>
    <row r="1562" spans="1:11" x14ac:dyDescent="0.25">
      <c r="A1562" s="39">
        <v>42814</v>
      </c>
      <c r="B1562" s="36">
        <v>9126.8496090000008</v>
      </c>
      <c r="C1562" s="36">
        <f t="shared" si="96"/>
        <v>8965.1574707</v>
      </c>
      <c r="D1562" s="36">
        <f t="shared" si="97"/>
        <v>99.429681122086407</v>
      </c>
      <c r="E1562" s="40">
        <v>9126.8496090000008</v>
      </c>
      <c r="F1562" s="36">
        <f t="shared" si="98"/>
        <v>9164.0168329441731</v>
      </c>
      <c r="G1562" s="36">
        <f t="shared" si="99"/>
        <v>8766.2981084558269</v>
      </c>
      <c r="I1562" s="40">
        <v>9126.8496090000008</v>
      </c>
      <c r="J1562" s="36">
        <v>9164.0168329441731</v>
      </c>
      <c r="K1562" s="36">
        <v>8766.2981084558269</v>
      </c>
    </row>
    <row r="1563" spans="1:11" x14ac:dyDescent="0.25">
      <c r="A1563" s="39">
        <v>42815</v>
      </c>
      <c r="B1563" s="36">
        <v>9121.5</v>
      </c>
      <c r="C1563" s="36">
        <f t="shared" si="96"/>
        <v>8980.1474609500001</v>
      </c>
      <c r="D1563" s="36">
        <f t="shared" si="97"/>
        <v>99.262535635637889</v>
      </c>
      <c r="E1563" s="40">
        <v>9121.5</v>
      </c>
      <c r="F1563" s="36">
        <f t="shared" si="98"/>
        <v>9178.6725322212751</v>
      </c>
      <c r="G1563" s="36">
        <f t="shared" si="99"/>
        <v>8781.6223896787251</v>
      </c>
      <c r="I1563" s="40">
        <v>9121.5</v>
      </c>
      <c r="J1563" s="36">
        <v>9178.6725322212751</v>
      </c>
      <c r="K1563" s="36">
        <v>8781.6223896787251</v>
      </c>
    </row>
    <row r="1564" spans="1:11" x14ac:dyDescent="0.25">
      <c r="A1564" s="39">
        <v>42816</v>
      </c>
      <c r="B1564" s="36">
        <v>9030.4501949999994</v>
      </c>
      <c r="C1564" s="36">
        <f t="shared" si="96"/>
        <v>8987.7099609500001</v>
      </c>
      <c r="D1564" s="36">
        <f t="shared" si="97"/>
        <v>96.900425033187148</v>
      </c>
      <c r="E1564" s="40">
        <v>9030.4501949999994</v>
      </c>
      <c r="F1564" s="36">
        <f t="shared" si="98"/>
        <v>9181.5108110163746</v>
      </c>
      <c r="G1564" s="36">
        <f t="shared" si="99"/>
        <v>8793.9091108836255</v>
      </c>
      <c r="I1564" s="40">
        <v>9030.4501949999994</v>
      </c>
      <c r="J1564" s="36">
        <v>9181.5108110163746</v>
      </c>
      <c r="K1564" s="36">
        <v>8793.9091108836255</v>
      </c>
    </row>
    <row r="1565" spans="1:11" x14ac:dyDescent="0.25">
      <c r="A1565" s="39">
        <v>42817</v>
      </c>
      <c r="B1565" s="36">
        <v>9086.2998050000006</v>
      </c>
      <c r="C1565" s="36">
        <f t="shared" si="96"/>
        <v>8996.6324707499989</v>
      </c>
      <c r="D1565" s="36">
        <f t="shared" si="97"/>
        <v>97.374538165038928</v>
      </c>
      <c r="E1565" s="40">
        <v>9086.2998050000006</v>
      </c>
      <c r="F1565" s="36">
        <f t="shared" si="98"/>
        <v>9191.3815470800764</v>
      </c>
      <c r="G1565" s="36">
        <f t="shared" si="99"/>
        <v>8801.8833944199214</v>
      </c>
      <c r="I1565" s="40">
        <v>9086.2998050000006</v>
      </c>
      <c r="J1565" s="36">
        <v>9191.3815470800764</v>
      </c>
      <c r="K1565" s="36">
        <v>8801.8833944199214</v>
      </c>
    </row>
    <row r="1566" spans="1:11" x14ac:dyDescent="0.25">
      <c r="A1566" s="39">
        <v>42818</v>
      </c>
      <c r="B1566" s="36">
        <v>9108</v>
      </c>
      <c r="C1566" s="36">
        <f t="shared" si="96"/>
        <v>9005.6874511999995</v>
      </c>
      <c r="D1566" s="36">
        <f t="shared" si="97"/>
        <v>98.956269762331019</v>
      </c>
      <c r="E1566" s="40">
        <v>9108</v>
      </c>
      <c r="F1566" s="36">
        <f t="shared" si="98"/>
        <v>9203.5999907246623</v>
      </c>
      <c r="G1566" s="36">
        <f t="shared" si="99"/>
        <v>8807.7749116753366</v>
      </c>
      <c r="I1566" s="40">
        <v>9108</v>
      </c>
      <c r="J1566" s="36">
        <v>9203.5999907246623</v>
      </c>
      <c r="K1566" s="36">
        <v>8807.7749116753366</v>
      </c>
    </row>
    <row r="1567" spans="1:11" x14ac:dyDescent="0.25">
      <c r="A1567" s="39">
        <v>42821</v>
      </c>
      <c r="B1567" s="36">
        <v>9045.2001949999994</v>
      </c>
      <c r="C1567" s="36">
        <f t="shared" si="96"/>
        <v>9010.9724609500008</v>
      </c>
      <c r="D1567" s="36">
        <f t="shared" si="97"/>
        <v>98.053791586511437</v>
      </c>
      <c r="E1567" s="40">
        <v>9045.2001949999994</v>
      </c>
      <c r="F1567" s="36">
        <f t="shared" si="98"/>
        <v>9207.080044123024</v>
      </c>
      <c r="G1567" s="36">
        <f t="shared" si="99"/>
        <v>8814.8648777769777</v>
      </c>
      <c r="I1567" s="40">
        <v>9045.2001949999994</v>
      </c>
      <c r="J1567" s="36">
        <v>9207.080044123024</v>
      </c>
      <c r="K1567" s="36">
        <v>8814.8648777769777</v>
      </c>
    </row>
    <row r="1568" spans="1:11" x14ac:dyDescent="0.25">
      <c r="A1568" s="39">
        <v>42822</v>
      </c>
      <c r="B1568" s="36">
        <v>9100.7998050000006</v>
      </c>
      <c r="C1568" s="36">
        <f t="shared" si="96"/>
        <v>9021.1774414499996</v>
      </c>
      <c r="D1568" s="36">
        <f t="shared" si="97"/>
        <v>96.137057666577817</v>
      </c>
      <c r="E1568" s="40">
        <v>9100.7998050000006</v>
      </c>
      <c r="F1568" s="36">
        <f t="shared" si="98"/>
        <v>9213.451556783155</v>
      </c>
      <c r="G1568" s="36">
        <f t="shared" si="99"/>
        <v>8828.9033261168443</v>
      </c>
      <c r="I1568" s="40">
        <v>9100.7998050000006</v>
      </c>
      <c r="J1568" s="36">
        <v>9213.451556783155</v>
      </c>
      <c r="K1568" s="36">
        <v>8828.9033261168443</v>
      </c>
    </row>
    <row r="1569" spans="1:11" x14ac:dyDescent="0.25">
      <c r="A1569" s="39">
        <v>42823</v>
      </c>
      <c r="B1569" s="36">
        <v>9143.7998050000006</v>
      </c>
      <c r="C1569" s="36">
        <f t="shared" si="96"/>
        <v>9034.3874512500006</v>
      </c>
      <c r="D1569" s="36">
        <f t="shared" si="97"/>
        <v>93.782002959264318</v>
      </c>
      <c r="E1569" s="40">
        <v>9143.7998050000006</v>
      </c>
      <c r="F1569" s="36">
        <f t="shared" si="98"/>
        <v>9221.9514571685286</v>
      </c>
      <c r="G1569" s="36">
        <f t="shared" si="99"/>
        <v>8846.8234453314726</v>
      </c>
      <c r="I1569" s="40">
        <v>9143.7998050000006</v>
      </c>
      <c r="J1569" s="36">
        <v>9221.9514571685286</v>
      </c>
      <c r="K1569" s="36">
        <v>8846.8234453314726</v>
      </c>
    </row>
    <row r="1570" spans="1:11" x14ac:dyDescent="0.25">
      <c r="A1570" s="39">
        <v>42824</v>
      </c>
      <c r="B1570" s="36">
        <v>9173.75</v>
      </c>
      <c r="C1570" s="36">
        <f t="shared" si="96"/>
        <v>9045.7849609999994</v>
      </c>
      <c r="D1570" s="36">
        <f t="shared" si="97"/>
        <v>96.267801322509172</v>
      </c>
      <c r="E1570" s="40">
        <v>9173.75</v>
      </c>
      <c r="F1570" s="36">
        <f t="shared" si="98"/>
        <v>9238.3205636450184</v>
      </c>
      <c r="G1570" s="36">
        <f t="shared" si="99"/>
        <v>8853.2493583549804</v>
      </c>
      <c r="I1570" s="40">
        <v>9173.75</v>
      </c>
      <c r="J1570" s="36">
        <v>9238.3205636450184</v>
      </c>
      <c r="K1570" s="36">
        <v>8853.2493583549804</v>
      </c>
    </row>
    <row r="1571" spans="1:11" x14ac:dyDescent="0.25">
      <c r="A1571" s="39">
        <v>42825</v>
      </c>
      <c r="B1571" s="36">
        <v>9173.75</v>
      </c>
      <c r="C1571" s="36">
        <f t="shared" si="96"/>
        <v>9059.4849609999983</v>
      </c>
      <c r="D1571" s="36">
        <f t="shared" si="97"/>
        <v>93.858051621621343</v>
      </c>
      <c r="E1571" s="40">
        <v>9173.75</v>
      </c>
      <c r="F1571" s="36">
        <f t="shared" si="98"/>
        <v>9247.2010642432415</v>
      </c>
      <c r="G1571" s="36">
        <f t="shared" si="99"/>
        <v>8871.7688577567551</v>
      </c>
      <c r="I1571" s="40">
        <v>9173.75</v>
      </c>
      <c r="J1571" s="36">
        <v>9247.2010642432415</v>
      </c>
      <c r="K1571" s="36">
        <v>8871.7688577567551</v>
      </c>
    </row>
    <row r="1572" spans="1:11" x14ac:dyDescent="0.25">
      <c r="A1572" s="39">
        <v>42828</v>
      </c>
      <c r="B1572" s="36">
        <v>9237.8496090000008</v>
      </c>
      <c r="C1572" s="36">
        <f t="shared" si="96"/>
        <v>9076.4999511999995</v>
      </c>
      <c r="D1572" s="36">
        <f t="shared" si="97"/>
        <v>93.802170973426229</v>
      </c>
      <c r="E1572" s="40">
        <v>9237.8496090000008</v>
      </c>
      <c r="F1572" s="36">
        <f t="shared" si="98"/>
        <v>9264.1042931468528</v>
      </c>
      <c r="G1572" s="36">
        <f t="shared" si="99"/>
        <v>8888.8956092531462</v>
      </c>
      <c r="I1572" s="40">
        <v>9237.8496090000008</v>
      </c>
      <c r="J1572" s="36">
        <v>9264.1042931468528</v>
      </c>
      <c r="K1572" s="36">
        <v>8888.8956092531462</v>
      </c>
    </row>
    <row r="1573" spans="1:11" x14ac:dyDescent="0.25">
      <c r="A1573" s="39">
        <v>42830</v>
      </c>
      <c r="B1573" s="36">
        <v>9265.1503909999992</v>
      </c>
      <c r="C1573" s="36">
        <f t="shared" si="96"/>
        <v>9091.5849609999987</v>
      </c>
      <c r="D1573" s="36">
        <f t="shared" si="97"/>
        <v>98.791563925415957</v>
      </c>
      <c r="E1573" s="40">
        <v>9265.1503909999992</v>
      </c>
      <c r="F1573" s="36">
        <f t="shared" si="98"/>
        <v>9289.1680888508308</v>
      </c>
      <c r="G1573" s="36">
        <f t="shared" si="99"/>
        <v>8894.0018331491665</v>
      </c>
      <c r="I1573" s="40">
        <v>9265.1503909999992</v>
      </c>
      <c r="J1573" s="36">
        <v>9289.1680888508308</v>
      </c>
      <c r="K1573" s="36">
        <v>8894.0018331491665</v>
      </c>
    </row>
    <row r="1574" spans="1:11" x14ac:dyDescent="0.25">
      <c r="A1574" s="39">
        <v>42831</v>
      </c>
      <c r="B1574" s="36">
        <v>9261.9501949999994</v>
      </c>
      <c r="C1574" s="36">
        <f t="shared" si="96"/>
        <v>9107.3374512000009</v>
      </c>
      <c r="D1574" s="36">
        <f t="shared" si="97"/>
        <v>99.621271815212566</v>
      </c>
      <c r="E1574" s="40">
        <v>9261.9501949999994</v>
      </c>
      <c r="F1574" s="36">
        <f t="shared" si="98"/>
        <v>9306.5799948304266</v>
      </c>
      <c r="G1574" s="36">
        <f t="shared" si="99"/>
        <v>8908.0949075695753</v>
      </c>
      <c r="I1574" s="40">
        <v>9261.9501949999994</v>
      </c>
      <c r="J1574" s="36">
        <v>9306.5799948304266</v>
      </c>
      <c r="K1574" s="36">
        <v>8908.0949075695753</v>
      </c>
    </row>
    <row r="1575" spans="1:11" x14ac:dyDescent="0.25">
      <c r="A1575" s="39">
        <v>42832</v>
      </c>
      <c r="B1575" s="36">
        <v>9198.2998050000006</v>
      </c>
      <c r="C1575" s="36">
        <f t="shared" si="96"/>
        <v>9121.0374512000017</v>
      </c>
      <c r="D1575" s="36">
        <f t="shared" si="97"/>
        <v>91.646095057342336</v>
      </c>
      <c r="E1575" s="40">
        <v>9198.2998050000006</v>
      </c>
      <c r="F1575" s="36">
        <f t="shared" si="98"/>
        <v>9304.3296413146854</v>
      </c>
      <c r="G1575" s="36">
        <f t="shared" si="99"/>
        <v>8937.7452610853179</v>
      </c>
      <c r="I1575" s="40">
        <v>9198.2998050000006</v>
      </c>
      <c r="J1575" s="36">
        <v>9304.3296413146854</v>
      </c>
      <c r="K1575" s="36">
        <v>8937.7452610853179</v>
      </c>
    </row>
    <row r="1576" spans="1:11" x14ac:dyDescent="0.25">
      <c r="A1576" s="39">
        <v>42835</v>
      </c>
      <c r="B1576" s="36">
        <v>9181.4501949999994</v>
      </c>
      <c r="C1576" s="36">
        <f t="shared" si="96"/>
        <v>9133.7599609500012</v>
      </c>
      <c r="D1576" s="36">
        <f t="shared" si="97"/>
        <v>80.244052117473458</v>
      </c>
      <c r="E1576" s="40">
        <v>9181.4501949999994</v>
      </c>
      <c r="F1576" s="36">
        <f t="shared" si="98"/>
        <v>9294.2480651849473</v>
      </c>
      <c r="G1576" s="36">
        <f t="shared" si="99"/>
        <v>8973.271856715055</v>
      </c>
      <c r="I1576" s="40">
        <v>9181.4501949999994</v>
      </c>
      <c r="J1576" s="36">
        <v>9294.2480651849473</v>
      </c>
      <c r="K1576" s="36">
        <v>8973.271856715055</v>
      </c>
    </row>
    <row r="1577" spans="1:11" x14ac:dyDescent="0.25">
      <c r="A1577" s="39">
        <v>42836</v>
      </c>
      <c r="B1577" s="36">
        <v>9237</v>
      </c>
      <c r="C1577" s="36">
        <f t="shared" si="96"/>
        <v>9148.8824707000003</v>
      </c>
      <c r="D1577" s="36">
        <f t="shared" si="97"/>
        <v>68.342428645850291</v>
      </c>
      <c r="E1577" s="40">
        <v>9237</v>
      </c>
      <c r="F1577" s="36">
        <f t="shared" si="98"/>
        <v>9285.5673279917009</v>
      </c>
      <c r="G1577" s="36">
        <f t="shared" si="99"/>
        <v>9012.1976134082997</v>
      </c>
      <c r="I1577" s="40">
        <v>9237</v>
      </c>
      <c r="J1577" s="36">
        <v>9285.5673279917009</v>
      </c>
      <c r="K1577" s="36">
        <v>9012.1976134082997</v>
      </c>
    </row>
    <row r="1578" spans="1:11" x14ac:dyDescent="0.25">
      <c r="A1578" s="39">
        <v>42837</v>
      </c>
      <c r="B1578" s="36">
        <v>9203.4501949999994</v>
      </c>
      <c r="C1578" s="36">
        <f t="shared" si="96"/>
        <v>9154.704980450002</v>
      </c>
      <c r="D1578" s="36">
        <f t="shared" si="97"/>
        <v>67.750792370824598</v>
      </c>
      <c r="E1578" s="40">
        <v>9203.4501949999994</v>
      </c>
      <c r="F1578" s="36">
        <f t="shared" si="98"/>
        <v>9290.206565191651</v>
      </c>
      <c r="G1578" s="36">
        <f t="shared" si="99"/>
        <v>9019.2033957083531</v>
      </c>
      <c r="I1578" s="40">
        <v>9203.4501949999994</v>
      </c>
      <c r="J1578" s="36">
        <v>9290.206565191651</v>
      </c>
      <c r="K1578" s="36">
        <v>9019.2033957083531</v>
      </c>
    </row>
    <row r="1579" spans="1:11" x14ac:dyDescent="0.25">
      <c r="A1579" s="39">
        <v>42838</v>
      </c>
      <c r="B1579" s="36">
        <v>9150.7998050000006</v>
      </c>
      <c r="C1579" s="36">
        <f t="shared" si="96"/>
        <v>9158.0049804499995</v>
      </c>
      <c r="D1579" s="36">
        <f t="shared" si="97"/>
        <v>65.744299056915295</v>
      </c>
      <c r="E1579" s="40">
        <v>9150.7998050000006</v>
      </c>
      <c r="F1579" s="36">
        <f t="shared" si="98"/>
        <v>9289.4935785638299</v>
      </c>
      <c r="G1579" s="36">
        <f t="shared" si="99"/>
        <v>9026.516382336169</v>
      </c>
      <c r="I1579" s="40">
        <v>9150.7998050000006</v>
      </c>
      <c r="J1579" s="36">
        <v>9289.4935785638299</v>
      </c>
      <c r="K1579" s="36">
        <v>9026.516382336169</v>
      </c>
    </row>
    <row r="1580" spans="1:11" x14ac:dyDescent="0.25">
      <c r="A1580" s="39">
        <v>42842</v>
      </c>
      <c r="B1580" s="36">
        <v>9139.2998050000006</v>
      </c>
      <c r="C1580" s="36">
        <f t="shared" si="96"/>
        <v>9157.2849609500008</v>
      </c>
      <c r="D1580" s="36">
        <f t="shared" si="97"/>
        <v>65.872655520231362</v>
      </c>
      <c r="E1580" s="40">
        <v>9139.2998050000006</v>
      </c>
      <c r="F1580" s="36">
        <f t="shared" si="98"/>
        <v>9289.030271990463</v>
      </c>
      <c r="G1580" s="36">
        <f t="shared" si="99"/>
        <v>9025.5396499095386</v>
      </c>
      <c r="I1580" s="40">
        <v>9139.2998050000006</v>
      </c>
      <c r="J1580" s="36">
        <v>9289.030271990463</v>
      </c>
      <c r="K1580" s="36">
        <v>9025.5396499095386</v>
      </c>
    </row>
    <row r="1581" spans="1:11" x14ac:dyDescent="0.25">
      <c r="A1581" s="39">
        <v>42843</v>
      </c>
      <c r="B1581" s="36">
        <v>9105.1503909999992</v>
      </c>
      <c r="C1581" s="36">
        <f t="shared" si="96"/>
        <v>9154.5399902499994</v>
      </c>
      <c r="D1581" s="36">
        <f t="shared" si="97"/>
        <v>66.887415187497126</v>
      </c>
      <c r="E1581" s="40">
        <v>9105.1503909999992</v>
      </c>
      <c r="F1581" s="36">
        <f t="shared" si="98"/>
        <v>9288.3148206249934</v>
      </c>
      <c r="G1581" s="36">
        <f t="shared" si="99"/>
        <v>9020.7651598750053</v>
      </c>
      <c r="I1581" s="40">
        <v>9105.1503909999992</v>
      </c>
      <c r="J1581" s="36">
        <v>9288.3148206249934</v>
      </c>
      <c r="K1581" s="36">
        <v>9020.7651598750053</v>
      </c>
    </row>
    <row r="1582" spans="1:11" x14ac:dyDescent="0.25">
      <c r="A1582" s="39">
        <v>42844</v>
      </c>
      <c r="B1582" s="36">
        <v>9103.5</v>
      </c>
      <c r="C1582" s="36">
        <f t="shared" si="96"/>
        <v>9153.3725097999995</v>
      </c>
      <c r="D1582" s="36">
        <f t="shared" si="97"/>
        <v>67.596193865816133</v>
      </c>
      <c r="E1582" s="40">
        <v>9103.5</v>
      </c>
      <c r="F1582" s="36">
        <f t="shared" si="98"/>
        <v>9288.5648975316326</v>
      </c>
      <c r="G1582" s="36">
        <f t="shared" si="99"/>
        <v>9018.1801220683665</v>
      </c>
      <c r="I1582" s="40">
        <v>9103.5</v>
      </c>
      <c r="J1582" s="36">
        <v>9288.5648975316326</v>
      </c>
      <c r="K1582" s="36">
        <v>9018.1801220683665</v>
      </c>
    </row>
    <row r="1583" spans="1:11" x14ac:dyDescent="0.25">
      <c r="A1583" s="39">
        <v>42845</v>
      </c>
      <c r="B1583" s="36">
        <v>9136.4003909999992</v>
      </c>
      <c r="C1583" s="36">
        <f t="shared" si="96"/>
        <v>9154.11752935</v>
      </c>
      <c r="D1583" s="36">
        <f t="shared" si="97"/>
        <v>67.307916923395538</v>
      </c>
      <c r="E1583" s="40">
        <v>9136.4003909999992</v>
      </c>
      <c r="F1583" s="36">
        <f t="shared" si="98"/>
        <v>9288.7333631967904</v>
      </c>
      <c r="G1583" s="36">
        <f t="shared" si="99"/>
        <v>9019.5016955032097</v>
      </c>
      <c r="I1583" s="40">
        <v>9136.4003909999992</v>
      </c>
      <c r="J1583" s="36">
        <v>9288.7333631967904</v>
      </c>
      <c r="K1583" s="36">
        <v>9019.5016955032097</v>
      </c>
    </row>
    <row r="1584" spans="1:11" x14ac:dyDescent="0.25">
      <c r="A1584" s="39">
        <v>42846</v>
      </c>
      <c r="B1584" s="36">
        <v>9119.4003909999992</v>
      </c>
      <c r="C1584" s="36">
        <f t="shared" si="96"/>
        <v>9158.5650391499985</v>
      </c>
      <c r="D1584" s="36">
        <f t="shared" si="97"/>
        <v>61.384389054514479</v>
      </c>
      <c r="E1584" s="40">
        <v>9119.4003909999992</v>
      </c>
      <c r="F1584" s="36">
        <f t="shared" si="98"/>
        <v>9281.3338172590265</v>
      </c>
      <c r="G1584" s="36">
        <f t="shared" si="99"/>
        <v>9035.7962610409704</v>
      </c>
      <c r="I1584" s="40">
        <v>9119.4003909999992</v>
      </c>
      <c r="J1584" s="36">
        <v>9281.3338172590265</v>
      </c>
      <c r="K1584" s="36">
        <v>9035.7962610409704</v>
      </c>
    </row>
    <row r="1585" spans="1:11" x14ac:dyDescent="0.25">
      <c r="A1585" s="39">
        <v>42849</v>
      </c>
      <c r="B1585" s="36">
        <v>9217.9501949999994</v>
      </c>
      <c r="C1585" s="36">
        <f t="shared" si="96"/>
        <v>9165.1475586500001</v>
      </c>
      <c r="D1585" s="36">
        <f t="shared" si="97"/>
        <v>60.275928066613979</v>
      </c>
      <c r="E1585" s="40">
        <v>9217.9501949999994</v>
      </c>
      <c r="F1585" s="36">
        <f t="shared" si="98"/>
        <v>9285.6994147832283</v>
      </c>
      <c r="G1585" s="36">
        <f t="shared" si="99"/>
        <v>9044.5957025167718</v>
      </c>
      <c r="I1585" s="40">
        <v>9217.9501949999994</v>
      </c>
      <c r="J1585" s="36">
        <v>9285.6994147832283</v>
      </c>
      <c r="K1585" s="36">
        <v>9044.5957025167718</v>
      </c>
    </row>
    <row r="1586" spans="1:11" x14ac:dyDescent="0.25">
      <c r="A1586" s="39">
        <v>42850</v>
      </c>
      <c r="B1586" s="36">
        <v>9306.5996090000008</v>
      </c>
      <c r="C1586" s="36">
        <f t="shared" si="96"/>
        <v>9175.0775391000006</v>
      </c>
      <c r="D1586" s="36">
        <f t="shared" si="97"/>
        <v>66.412313155792205</v>
      </c>
      <c r="E1586" s="40">
        <v>9306.5996090000008</v>
      </c>
      <c r="F1586" s="36">
        <f t="shared" si="98"/>
        <v>9307.9021654115859</v>
      </c>
      <c r="G1586" s="36">
        <f t="shared" si="99"/>
        <v>9042.2529127884154</v>
      </c>
      <c r="I1586" s="40">
        <v>9306.5996090000008</v>
      </c>
      <c r="J1586" s="36">
        <v>9307.9021654115859</v>
      </c>
      <c r="K1586" s="36">
        <v>9042.2529127884154</v>
      </c>
    </row>
    <row r="1587" spans="1:11" x14ac:dyDescent="0.25">
      <c r="A1587" s="39">
        <v>42851</v>
      </c>
      <c r="B1587" s="36">
        <v>9351.8496090000008</v>
      </c>
      <c r="C1587" s="36">
        <f t="shared" si="96"/>
        <v>9190.4100098000017</v>
      </c>
      <c r="D1587" s="36">
        <f t="shared" si="97"/>
        <v>70.142658567076083</v>
      </c>
      <c r="E1587" s="40">
        <v>9351.8496090000008</v>
      </c>
      <c r="F1587" s="36">
        <f t="shared" si="98"/>
        <v>9330.6953269341539</v>
      </c>
      <c r="G1587" s="36">
        <f t="shared" si="99"/>
        <v>9050.1246926658496</v>
      </c>
      <c r="I1587" s="40">
        <v>9351.8496090000008</v>
      </c>
      <c r="J1587" s="36">
        <v>9330.6953269341539</v>
      </c>
      <c r="K1587" s="36">
        <v>9050.1246926658496</v>
      </c>
    </row>
    <row r="1588" spans="1:11" x14ac:dyDescent="0.25">
      <c r="A1588" s="39">
        <v>42852</v>
      </c>
      <c r="B1588" s="36">
        <v>9342.1503909999992</v>
      </c>
      <c r="C1588" s="36">
        <f t="shared" si="96"/>
        <v>9202.4775391000003</v>
      </c>
      <c r="D1588" s="36">
        <f t="shared" si="97"/>
        <v>74.538053750235505</v>
      </c>
      <c r="E1588" s="40">
        <v>9342.1503909999992</v>
      </c>
      <c r="F1588" s="36">
        <f t="shared" si="98"/>
        <v>9351.5536466004705</v>
      </c>
      <c r="G1588" s="36">
        <f t="shared" si="99"/>
        <v>9053.40143159953</v>
      </c>
      <c r="I1588" s="40">
        <v>9342.1503909999992</v>
      </c>
      <c r="J1588" s="36">
        <v>9351.5536466004705</v>
      </c>
      <c r="K1588" s="36">
        <v>9053.40143159953</v>
      </c>
    </row>
    <row r="1589" spans="1:11" x14ac:dyDescent="0.25">
      <c r="A1589" s="39">
        <v>42853</v>
      </c>
      <c r="B1589" s="36">
        <v>9304.0498050000006</v>
      </c>
      <c r="C1589" s="36">
        <f t="shared" si="96"/>
        <v>9210.490039100001</v>
      </c>
      <c r="D1589" s="36">
        <f t="shared" si="97"/>
        <v>76.486102375920879</v>
      </c>
      <c r="E1589" s="40">
        <v>9304.0498050000006</v>
      </c>
      <c r="F1589" s="36">
        <f t="shared" si="98"/>
        <v>9363.4622438518436</v>
      </c>
      <c r="G1589" s="36">
        <f t="shared" si="99"/>
        <v>9057.5178343481584</v>
      </c>
      <c r="I1589" s="40">
        <v>9304.0498050000006</v>
      </c>
      <c r="J1589" s="36">
        <v>9363.4622438518436</v>
      </c>
      <c r="K1589" s="36">
        <v>9057.5178343481584</v>
      </c>
    </row>
    <row r="1590" spans="1:11" x14ac:dyDescent="0.25">
      <c r="A1590" s="39">
        <v>42857</v>
      </c>
      <c r="B1590" s="36">
        <v>9313.7998050000006</v>
      </c>
      <c r="C1590" s="36">
        <f t="shared" si="96"/>
        <v>9217.49252935</v>
      </c>
      <c r="D1590" s="36">
        <f t="shared" si="97"/>
        <v>79.304454358123323</v>
      </c>
      <c r="E1590" s="40">
        <v>9313.7998050000006</v>
      </c>
      <c r="F1590" s="36">
        <f t="shared" si="98"/>
        <v>9376.1014380662473</v>
      </c>
      <c r="G1590" s="36">
        <f t="shared" si="99"/>
        <v>9058.8836206337528</v>
      </c>
      <c r="I1590" s="40">
        <v>9313.7998050000006</v>
      </c>
      <c r="J1590" s="36">
        <v>9376.1014380662473</v>
      </c>
      <c r="K1590" s="36">
        <v>9058.8836206337528</v>
      </c>
    </row>
    <row r="1591" spans="1:11" x14ac:dyDescent="0.25">
      <c r="A1591" s="39">
        <v>42858</v>
      </c>
      <c r="B1591" s="36">
        <v>9311.9501949999994</v>
      </c>
      <c r="C1591" s="36">
        <f t="shared" si="96"/>
        <v>9224.4025390999996</v>
      </c>
      <c r="D1591" s="36">
        <f t="shared" si="97"/>
        <v>81.288508338789399</v>
      </c>
      <c r="E1591" s="40">
        <v>9311.9501949999994</v>
      </c>
      <c r="F1591" s="36">
        <f t="shared" si="98"/>
        <v>9386.9795557775778</v>
      </c>
      <c r="G1591" s="36">
        <f t="shared" si="99"/>
        <v>9061.8255224224213</v>
      </c>
      <c r="I1591" s="40">
        <v>9311.9501949999994</v>
      </c>
      <c r="J1591" s="36">
        <v>9386.9795557775778</v>
      </c>
      <c r="K1591" s="36">
        <v>9061.8255224224213</v>
      </c>
    </row>
    <row r="1592" spans="1:11" x14ac:dyDescent="0.25">
      <c r="A1592" s="39">
        <v>42859</v>
      </c>
      <c r="B1592" s="36">
        <v>9359.9003909999992</v>
      </c>
      <c r="C1592" s="36">
        <f t="shared" si="96"/>
        <v>9230.5050781999998</v>
      </c>
      <c r="D1592" s="36">
        <f t="shared" si="97"/>
        <v>86.749073916561898</v>
      </c>
      <c r="E1592" s="40">
        <v>9359.9003909999992</v>
      </c>
      <c r="F1592" s="36">
        <f t="shared" si="98"/>
        <v>9404.0032260331245</v>
      </c>
      <c r="G1592" s="36">
        <f t="shared" si="99"/>
        <v>9057.0069303668752</v>
      </c>
      <c r="I1592" s="40">
        <v>9359.9003909999992</v>
      </c>
      <c r="J1592" s="36">
        <v>9404.0032260331245</v>
      </c>
      <c r="K1592" s="36">
        <v>9057.0069303668752</v>
      </c>
    </row>
    <row r="1593" spans="1:11" x14ac:dyDescent="0.25">
      <c r="A1593" s="39">
        <v>42860</v>
      </c>
      <c r="B1593" s="36">
        <v>9285.2998050000006</v>
      </c>
      <c r="C1593" s="36">
        <f t="shared" si="96"/>
        <v>9231.5125488999984</v>
      </c>
      <c r="D1593" s="36">
        <f t="shared" si="97"/>
        <v>87.287938252806981</v>
      </c>
      <c r="E1593" s="40">
        <v>9285.2998050000006</v>
      </c>
      <c r="F1593" s="36">
        <f t="shared" si="98"/>
        <v>9406.0884254056127</v>
      </c>
      <c r="G1593" s="36">
        <f t="shared" si="99"/>
        <v>9056.936672394384</v>
      </c>
      <c r="I1593" s="40">
        <v>9285.2998050000006</v>
      </c>
      <c r="J1593" s="36">
        <v>9406.0884254056127</v>
      </c>
      <c r="K1593" s="36">
        <v>9056.936672394384</v>
      </c>
    </row>
    <row r="1594" spans="1:11" x14ac:dyDescent="0.25">
      <c r="A1594" s="39">
        <v>42863</v>
      </c>
      <c r="B1594" s="36">
        <v>9314.0498050000006</v>
      </c>
      <c r="C1594" s="36">
        <f t="shared" si="96"/>
        <v>9234.1175293999986</v>
      </c>
      <c r="D1594" s="36">
        <f t="shared" si="97"/>
        <v>89.004650676949908</v>
      </c>
      <c r="E1594" s="40">
        <v>9314.0498050000006</v>
      </c>
      <c r="F1594" s="36">
        <f t="shared" si="98"/>
        <v>9412.1268307538976</v>
      </c>
      <c r="G1594" s="36">
        <f t="shared" si="99"/>
        <v>9056.1082280460996</v>
      </c>
      <c r="I1594" s="40">
        <v>9314.0498050000006</v>
      </c>
      <c r="J1594" s="36">
        <v>9412.1268307538976</v>
      </c>
      <c r="K1594" s="36">
        <v>9056.1082280460996</v>
      </c>
    </row>
    <row r="1595" spans="1:11" x14ac:dyDescent="0.25">
      <c r="A1595" s="39">
        <v>42864</v>
      </c>
      <c r="B1595" s="36">
        <v>9316.8496090000008</v>
      </c>
      <c r="C1595" s="36">
        <f t="shared" si="96"/>
        <v>9240.0450195999983</v>
      </c>
      <c r="D1595" s="36">
        <f t="shared" si="97"/>
        <v>90.429883804413947</v>
      </c>
      <c r="E1595" s="40">
        <v>9316.8496090000008</v>
      </c>
      <c r="F1595" s="36">
        <f t="shared" si="98"/>
        <v>9420.9047872088267</v>
      </c>
      <c r="G1595" s="36">
        <f t="shared" si="99"/>
        <v>9059.1852519911699</v>
      </c>
      <c r="I1595" s="40">
        <v>9316.8496090000008</v>
      </c>
      <c r="J1595" s="36">
        <v>9420.9047872088267</v>
      </c>
      <c r="K1595" s="36">
        <v>9059.1852519911699</v>
      </c>
    </row>
    <row r="1596" spans="1:11" x14ac:dyDescent="0.25">
      <c r="A1596" s="39">
        <v>42865</v>
      </c>
      <c r="B1596" s="36">
        <v>9407.2998050000006</v>
      </c>
      <c r="C1596" s="36">
        <f t="shared" si="96"/>
        <v>9251.3375000999986</v>
      </c>
      <c r="D1596" s="36">
        <f t="shared" si="97"/>
        <v>96.617564401083854</v>
      </c>
      <c r="E1596" s="40">
        <v>9407.2998050000006</v>
      </c>
      <c r="F1596" s="36">
        <f t="shared" si="98"/>
        <v>9444.5726289021659</v>
      </c>
      <c r="G1596" s="36">
        <f t="shared" si="99"/>
        <v>9058.1023712978313</v>
      </c>
      <c r="I1596" s="40">
        <v>9407.2998050000006</v>
      </c>
      <c r="J1596" s="36">
        <v>9444.5726289021659</v>
      </c>
      <c r="K1596" s="36">
        <v>9058.1023712978313</v>
      </c>
    </row>
    <row r="1597" spans="1:11" x14ac:dyDescent="0.25">
      <c r="A1597" s="39">
        <v>42866</v>
      </c>
      <c r="B1597" s="36">
        <v>9422.4003909999992</v>
      </c>
      <c r="C1597" s="36">
        <f t="shared" si="96"/>
        <v>9260.6075196499987</v>
      </c>
      <c r="D1597" s="36">
        <f t="shared" si="97"/>
        <v>103.79696901313339</v>
      </c>
      <c r="E1597" s="40">
        <v>9422.4003909999992</v>
      </c>
      <c r="F1597" s="36">
        <f t="shared" si="98"/>
        <v>9468.2014576762649</v>
      </c>
      <c r="G1597" s="36">
        <f t="shared" si="99"/>
        <v>9053.0135816237325</v>
      </c>
      <c r="I1597" s="40">
        <v>9422.4003909999992</v>
      </c>
      <c r="J1597" s="36">
        <v>9468.2014576762649</v>
      </c>
      <c r="K1597" s="36">
        <v>9053.0135816237325</v>
      </c>
    </row>
    <row r="1598" spans="1:11" x14ac:dyDescent="0.25">
      <c r="A1598" s="39">
        <v>42867</v>
      </c>
      <c r="B1598" s="36">
        <v>9400.9003909999992</v>
      </c>
      <c r="C1598" s="36">
        <f t="shared" si="96"/>
        <v>9270.4800294499983</v>
      </c>
      <c r="D1598" s="36">
        <f t="shared" si="97"/>
        <v>107.40190279246848</v>
      </c>
      <c r="E1598" s="40">
        <v>9400.9003909999992</v>
      </c>
      <c r="F1598" s="36">
        <f t="shared" si="98"/>
        <v>9485.2838350349357</v>
      </c>
      <c r="G1598" s="36">
        <f t="shared" si="99"/>
        <v>9055.6762238650608</v>
      </c>
      <c r="I1598" s="40">
        <v>9400.9003909999992</v>
      </c>
      <c r="J1598" s="36">
        <v>9485.2838350349357</v>
      </c>
      <c r="K1598" s="36">
        <v>9055.6762238650608</v>
      </c>
    </row>
    <row r="1599" spans="1:11" x14ac:dyDescent="0.25">
      <c r="A1599" s="39">
        <v>42870</v>
      </c>
      <c r="B1599" s="36">
        <v>9445.4003909999992</v>
      </c>
      <c r="C1599" s="36">
        <f t="shared" si="96"/>
        <v>9285.210058749999</v>
      </c>
      <c r="D1599" s="36">
        <f t="shared" si="97"/>
        <v>110.28730595518928</v>
      </c>
      <c r="E1599" s="40">
        <v>9445.4003909999992</v>
      </c>
      <c r="F1599" s="36">
        <f t="shared" si="98"/>
        <v>9505.7846706603777</v>
      </c>
      <c r="G1599" s="36">
        <f t="shared" si="99"/>
        <v>9064.6354468396203</v>
      </c>
      <c r="I1599" s="40">
        <v>9445.4003909999992</v>
      </c>
      <c r="J1599" s="36">
        <v>9505.7846706603777</v>
      </c>
      <c r="K1599" s="36">
        <v>9064.6354468396203</v>
      </c>
    </row>
    <row r="1600" spans="1:11" x14ac:dyDescent="0.25">
      <c r="A1600" s="39">
        <v>42871</v>
      </c>
      <c r="B1600" s="36">
        <v>9512.25</v>
      </c>
      <c r="C1600" s="36">
        <f t="shared" si="96"/>
        <v>9303.8575684999996</v>
      </c>
      <c r="D1600" s="36">
        <f t="shared" si="97"/>
        <v>115.71408675972462</v>
      </c>
      <c r="E1600" s="40">
        <v>9512.25</v>
      </c>
      <c r="F1600" s="36">
        <f t="shared" si="98"/>
        <v>9535.2857420194487</v>
      </c>
      <c r="G1600" s="36">
        <f t="shared" si="99"/>
        <v>9072.4293949805506</v>
      </c>
      <c r="I1600" s="40">
        <v>9512.25</v>
      </c>
      <c r="J1600" s="36">
        <v>9535.2857420194487</v>
      </c>
      <c r="K1600" s="36">
        <v>9072.4293949805506</v>
      </c>
    </row>
    <row r="1601" spans="1:11" x14ac:dyDescent="0.25">
      <c r="A1601" s="39">
        <v>42872</v>
      </c>
      <c r="B1601" s="36">
        <v>9525.75</v>
      </c>
      <c r="C1601" s="36">
        <f t="shared" si="96"/>
        <v>9324.8875489500006</v>
      </c>
      <c r="D1601" s="36">
        <f t="shared" si="97"/>
        <v>115.92006202790697</v>
      </c>
      <c r="E1601" s="40">
        <v>9525.75</v>
      </c>
      <c r="F1601" s="36">
        <f t="shared" si="98"/>
        <v>9556.7276730058147</v>
      </c>
      <c r="G1601" s="36">
        <f t="shared" si="99"/>
        <v>9093.0474248941864</v>
      </c>
      <c r="I1601" s="40">
        <v>9525.75</v>
      </c>
      <c r="J1601" s="36">
        <v>9556.7276730058147</v>
      </c>
      <c r="K1601" s="36">
        <v>9093.0474248941864</v>
      </c>
    </row>
    <row r="1602" spans="1:11" x14ac:dyDescent="0.25">
      <c r="A1602" s="39">
        <v>42873</v>
      </c>
      <c r="B1602" s="36">
        <v>9429.4501949999994</v>
      </c>
      <c r="C1602" s="36">
        <f t="shared" si="96"/>
        <v>9341.1850587000008</v>
      </c>
      <c r="D1602" s="36">
        <f t="shared" si="97"/>
        <v>105.61112343438475</v>
      </c>
      <c r="E1602" s="40">
        <v>9429.4501949999994</v>
      </c>
      <c r="F1602" s="36">
        <f t="shared" si="98"/>
        <v>9552.4073055687695</v>
      </c>
      <c r="G1602" s="36">
        <f t="shared" si="99"/>
        <v>9129.9628118312321</v>
      </c>
      <c r="I1602" s="40">
        <v>9429.4501949999994</v>
      </c>
      <c r="J1602" s="36">
        <v>9552.4073055687695</v>
      </c>
      <c r="K1602" s="36">
        <v>9129.9628118312321</v>
      </c>
    </row>
    <row r="1603" spans="1:11" x14ac:dyDescent="0.25">
      <c r="A1603" s="39">
        <v>42874</v>
      </c>
      <c r="B1603" s="36">
        <v>9427.9003909999992</v>
      </c>
      <c r="C1603" s="36">
        <f t="shared" si="96"/>
        <v>9355.7600587000015</v>
      </c>
      <c r="D1603" s="36">
        <f t="shared" si="97"/>
        <v>95.491706638872117</v>
      </c>
      <c r="E1603" s="40">
        <v>9427.9003909999992</v>
      </c>
      <c r="F1603" s="36">
        <f t="shared" si="98"/>
        <v>9546.7434719777466</v>
      </c>
      <c r="G1603" s="36">
        <f t="shared" si="99"/>
        <v>9164.7766454222565</v>
      </c>
      <c r="I1603" s="40">
        <v>9427.9003909999992</v>
      </c>
      <c r="J1603" s="36">
        <v>9546.7434719777466</v>
      </c>
      <c r="K1603" s="36">
        <v>9164.7766454222565</v>
      </c>
    </row>
    <row r="1604" spans="1:11" x14ac:dyDescent="0.25">
      <c r="A1604" s="39">
        <v>42877</v>
      </c>
      <c r="B1604" s="36">
        <v>9438.25</v>
      </c>
      <c r="C1604" s="36">
        <f t="shared" si="96"/>
        <v>9371.702539150001</v>
      </c>
      <c r="D1604" s="36">
        <f t="shared" si="97"/>
        <v>79.176717385104638</v>
      </c>
      <c r="E1604" s="40">
        <v>9438.25</v>
      </c>
      <c r="F1604" s="36">
        <f t="shared" si="98"/>
        <v>9530.0559739202108</v>
      </c>
      <c r="G1604" s="36">
        <f t="shared" si="99"/>
        <v>9213.3491043797912</v>
      </c>
      <c r="I1604" s="40">
        <v>9438.25</v>
      </c>
      <c r="J1604" s="36">
        <v>9530.0559739202108</v>
      </c>
      <c r="K1604" s="36">
        <v>9213.3491043797912</v>
      </c>
    </row>
    <row r="1605" spans="1:11" x14ac:dyDescent="0.25">
      <c r="A1605" s="39">
        <v>42878</v>
      </c>
      <c r="B1605" s="36">
        <v>9386.1503909999992</v>
      </c>
      <c r="C1605" s="36">
        <f t="shared" si="96"/>
        <v>9380.1125489500009</v>
      </c>
      <c r="D1605" s="36">
        <f t="shared" si="97"/>
        <v>70.436418038753715</v>
      </c>
      <c r="E1605" s="40">
        <v>9386.1503909999992</v>
      </c>
      <c r="F1605" s="36">
        <f t="shared" si="98"/>
        <v>9520.9853850275085</v>
      </c>
      <c r="G1605" s="36">
        <f t="shared" si="99"/>
        <v>9239.2397128724933</v>
      </c>
      <c r="I1605" s="40">
        <v>9386.1503909999992</v>
      </c>
      <c r="J1605" s="36">
        <v>9520.9853850275085</v>
      </c>
      <c r="K1605" s="36">
        <v>9239.2397128724933</v>
      </c>
    </row>
    <row r="1606" spans="1:11" x14ac:dyDescent="0.25">
      <c r="A1606" s="39">
        <v>42879</v>
      </c>
      <c r="B1606" s="36">
        <v>9360.5498050000006</v>
      </c>
      <c r="C1606" s="36">
        <f t="shared" si="96"/>
        <v>9382.8100587500012</v>
      </c>
      <c r="D1606" s="36">
        <f t="shared" si="97"/>
        <v>68.478774339133906</v>
      </c>
      <c r="E1606" s="40">
        <v>9360.5498050000006</v>
      </c>
      <c r="F1606" s="36">
        <f t="shared" si="98"/>
        <v>9519.7676074282681</v>
      </c>
      <c r="G1606" s="36">
        <f t="shared" si="99"/>
        <v>9245.8525100717343</v>
      </c>
      <c r="I1606" s="40">
        <v>9360.5498050000006</v>
      </c>
      <c r="J1606" s="36">
        <v>9519.7676074282681</v>
      </c>
      <c r="K1606" s="36">
        <v>9245.8525100717343</v>
      </c>
    </row>
    <row r="1607" spans="1:11" x14ac:dyDescent="0.25">
      <c r="A1607" s="39">
        <v>42880</v>
      </c>
      <c r="B1607" s="36">
        <v>9509.75</v>
      </c>
      <c r="C1607" s="36">
        <f t="shared" si="96"/>
        <v>9390.7050783000013</v>
      </c>
      <c r="D1607" s="36">
        <f t="shared" si="97"/>
        <v>73.629971274126106</v>
      </c>
      <c r="E1607" s="40">
        <v>9509.75</v>
      </c>
      <c r="F1607" s="36">
        <f t="shared" si="98"/>
        <v>9537.9650208482544</v>
      </c>
      <c r="G1607" s="36">
        <f t="shared" si="99"/>
        <v>9243.4451357517482</v>
      </c>
      <c r="I1607" s="40">
        <v>9509.75</v>
      </c>
      <c r="J1607" s="36">
        <v>9537.9650208482544</v>
      </c>
      <c r="K1607" s="36">
        <v>9243.4451357517482</v>
      </c>
    </row>
    <row r="1608" spans="1:11" x14ac:dyDescent="0.25">
      <c r="A1608" s="39">
        <v>42881</v>
      </c>
      <c r="B1608" s="36">
        <v>9595.0996090000008</v>
      </c>
      <c r="C1608" s="36">
        <f t="shared" si="96"/>
        <v>9403.352539200001</v>
      </c>
      <c r="D1608" s="36">
        <f t="shared" si="97"/>
        <v>85.602041879138</v>
      </c>
      <c r="E1608" s="40">
        <v>9595.0996090000008</v>
      </c>
      <c r="F1608" s="36">
        <f t="shared" si="98"/>
        <v>9574.5566229582764</v>
      </c>
      <c r="G1608" s="36">
        <f t="shared" si="99"/>
        <v>9232.1484554417257</v>
      </c>
      <c r="I1608" s="40">
        <v>9595.0996090000008</v>
      </c>
      <c r="J1608" s="36">
        <v>9574.5566229582764</v>
      </c>
      <c r="K1608" s="36">
        <v>9232.1484554417257</v>
      </c>
    </row>
    <row r="1609" spans="1:11" x14ac:dyDescent="0.25">
      <c r="A1609" s="39">
        <v>42884</v>
      </c>
      <c r="B1609" s="36">
        <v>9604.9003909999992</v>
      </c>
      <c r="C1609" s="36">
        <f t="shared" si="96"/>
        <v>9418.3950685</v>
      </c>
      <c r="D1609" s="36">
        <f t="shared" si="97"/>
        <v>93.319324927749761</v>
      </c>
      <c r="E1609" s="40">
        <v>9604.9003909999992</v>
      </c>
      <c r="F1609" s="36">
        <f t="shared" si="98"/>
        <v>9605.0337183555002</v>
      </c>
      <c r="G1609" s="36">
        <f t="shared" si="99"/>
        <v>9231.7564186444997</v>
      </c>
      <c r="I1609" s="40">
        <v>9604.9003909999992</v>
      </c>
      <c r="J1609" s="36">
        <v>9605.0337183555002</v>
      </c>
      <c r="K1609" s="36">
        <v>9231.7564186444997</v>
      </c>
    </row>
    <row r="1610" spans="1:11" x14ac:dyDescent="0.25">
      <c r="A1610" s="39">
        <v>42885</v>
      </c>
      <c r="B1610" s="36">
        <v>9624.5498050000006</v>
      </c>
      <c r="C1610" s="36">
        <f t="shared" si="96"/>
        <v>9433.9325685000003</v>
      </c>
      <c r="D1610" s="36">
        <f t="shared" si="97"/>
        <v>100.57538670443816</v>
      </c>
      <c r="E1610" s="40">
        <v>9624.5498050000006</v>
      </c>
      <c r="F1610" s="36">
        <f t="shared" si="98"/>
        <v>9635.0833419088758</v>
      </c>
      <c r="G1610" s="36">
        <f t="shared" si="99"/>
        <v>9232.7817950911249</v>
      </c>
      <c r="I1610" s="40">
        <v>9624.5498050000006</v>
      </c>
      <c r="J1610" s="36">
        <v>9635.0833419088758</v>
      </c>
      <c r="K1610" s="36">
        <v>9232.7817950911249</v>
      </c>
    </row>
    <row r="1611" spans="1:11" x14ac:dyDescent="0.25">
      <c r="A1611" s="39">
        <v>42886</v>
      </c>
      <c r="B1611" s="36">
        <v>9621.25</v>
      </c>
      <c r="C1611" s="36">
        <f t="shared" si="96"/>
        <v>9449.397558749999</v>
      </c>
      <c r="D1611" s="36">
        <f t="shared" si="97"/>
        <v>104.53344013799955</v>
      </c>
      <c r="E1611" s="40">
        <v>9621.25</v>
      </c>
      <c r="F1611" s="36">
        <f t="shared" si="98"/>
        <v>9658.4644390259982</v>
      </c>
      <c r="G1611" s="36">
        <f t="shared" si="99"/>
        <v>9240.3306784739998</v>
      </c>
      <c r="I1611" s="40">
        <v>9621.25</v>
      </c>
      <c r="J1611" s="36">
        <v>9658.4644390259982</v>
      </c>
      <c r="K1611" s="36">
        <v>9240.3306784739998</v>
      </c>
    </row>
    <row r="1612" spans="1:11" x14ac:dyDescent="0.25">
      <c r="A1612" s="39">
        <v>42887</v>
      </c>
      <c r="B1612" s="36">
        <v>9616.0996090000008</v>
      </c>
      <c r="C1612" s="36">
        <f t="shared" si="96"/>
        <v>9462.2075196499991</v>
      </c>
      <c r="D1612" s="36">
        <f t="shared" si="97"/>
        <v>108.60733003073658</v>
      </c>
      <c r="E1612" s="40">
        <v>9616.0996090000008</v>
      </c>
      <c r="F1612" s="36">
        <f t="shared" si="98"/>
        <v>9679.4221797114715</v>
      </c>
      <c r="G1612" s="36">
        <f t="shared" si="99"/>
        <v>9244.9928595885267</v>
      </c>
      <c r="I1612" s="40">
        <v>9616.0996090000008</v>
      </c>
      <c r="J1612" s="36">
        <v>9679.4221797114715</v>
      </c>
      <c r="K1612" s="36">
        <v>9244.9928595885267</v>
      </c>
    </row>
    <row r="1613" spans="1:11" x14ac:dyDescent="0.25">
      <c r="A1613" s="39">
        <v>42888</v>
      </c>
      <c r="B1613" s="36">
        <v>9653.5</v>
      </c>
      <c r="C1613" s="36">
        <f t="shared" si="96"/>
        <v>9480.6175294000004</v>
      </c>
      <c r="D1613" s="36">
        <f t="shared" si="97"/>
        <v>108.24761938492519</v>
      </c>
      <c r="E1613" s="40">
        <v>9653.5</v>
      </c>
      <c r="F1613" s="36">
        <f t="shared" si="98"/>
        <v>9697.1127681698508</v>
      </c>
      <c r="G1613" s="36">
        <f t="shared" si="99"/>
        <v>9264.12229063015</v>
      </c>
      <c r="I1613" s="40">
        <v>9653.5</v>
      </c>
      <c r="J1613" s="36">
        <v>9697.1127681698508</v>
      </c>
      <c r="K1613" s="36">
        <v>9264.12229063015</v>
      </c>
    </row>
    <row r="1614" spans="1:11" x14ac:dyDescent="0.25">
      <c r="A1614" s="39">
        <v>42891</v>
      </c>
      <c r="B1614" s="36">
        <v>9675.0996090000008</v>
      </c>
      <c r="C1614" s="36">
        <f t="shared" si="96"/>
        <v>9498.6700195999983</v>
      </c>
      <c r="D1614" s="36">
        <f t="shared" si="97"/>
        <v>109.10979968841961</v>
      </c>
      <c r="E1614" s="40">
        <v>9675.0996090000008</v>
      </c>
      <c r="F1614" s="36">
        <f t="shared" si="98"/>
        <v>9716.8896189768384</v>
      </c>
      <c r="G1614" s="36">
        <f t="shared" si="99"/>
        <v>9280.4504202231583</v>
      </c>
      <c r="I1614" s="40">
        <v>9675.0996090000008</v>
      </c>
      <c r="J1614" s="36">
        <v>9716.8896189768384</v>
      </c>
      <c r="K1614" s="36">
        <v>9280.4504202231583</v>
      </c>
    </row>
    <row r="1615" spans="1:11" x14ac:dyDescent="0.25">
      <c r="A1615" s="39">
        <v>42892</v>
      </c>
      <c r="B1615" s="36">
        <v>9637.1503909999992</v>
      </c>
      <c r="C1615" s="36">
        <f t="shared" si="96"/>
        <v>9514.685058699999</v>
      </c>
      <c r="D1615" s="36">
        <f t="shared" si="97"/>
        <v>104.42386835890812</v>
      </c>
      <c r="E1615" s="40">
        <v>9637.1503909999992</v>
      </c>
      <c r="F1615" s="36">
        <f t="shared" si="98"/>
        <v>9723.5327954178156</v>
      </c>
      <c r="G1615" s="36">
        <f t="shared" si="99"/>
        <v>9305.8373219821824</v>
      </c>
      <c r="I1615" s="40">
        <v>9637.1503909999992</v>
      </c>
      <c r="J1615" s="36">
        <v>9723.5327954178156</v>
      </c>
      <c r="K1615" s="36">
        <v>9305.8373219821824</v>
      </c>
    </row>
    <row r="1616" spans="1:11" x14ac:dyDescent="0.25">
      <c r="A1616" s="39">
        <v>42893</v>
      </c>
      <c r="B1616" s="36">
        <v>9663.9003909999992</v>
      </c>
      <c r="C1616" s="36">
        <f t="shared" si="96"/>
        <v>9527.5150880000001</v>
      </c>
      <c r="D1616" s="36">
        <f t="shared" si="97"/>
        <v>106.28263486971693</v>
      </c>
      <c r="E1616" s="40">
        <v>9663.9003909999992</v>
      </c>
      <c r="F1616" s="36">
        <f t="shared" si="98"/>
        <v>9740.0803577394345</v>
      </c>
      <c r="G1616" s="36">
        <f t="shared" si="99"/>
        <v>9314.9498182605657</v>
      </c>
      <c r="I1616" s="40">
        <v>9663.9003909999992</v>
      </c>
      <c r="J1616" s="36">
        <v>9740.0803577394345</v>
      </c>
      <c r="K1616" s="36">
        <v>9314.9498182605657</v>
      </c>
    </row>
    <row r="1617" spans="1:11" x14ac:dyDescent="0.25">
      <c r="A1617" s="39">
        <v>42894</v>
      </c>
      <c r="B1617" s="36">
        <v>9647.25</v>
      </c>
      <c r="C1617" s="36">
        <f t="shared" si="96"/>
        <v>9538.7575684500007</v>
      </c>
      <c r="D1617" s="36">
        <f t="shared" si="97"/>
        <v>106.47051811232089</v>
      </c>
      <c r="E1617" s="40">
        <v>9647.25</v>
      </c>
      <c r="F1617" s="36">
        <f t="shared" si="98"/>
        <v>9751.6986046746424</v>
      </c>
      <c r="G1617" s="36">
        <f t="shared" si="99"/>
        <v>9325.816532225359</v>
      </c>
      <c r="I1617" s="40">
        <v>9647.25</v>
      </c>
      <c r="J1617" s="36">
        <v>9751.6986046746424</v>
      </c>
      <c r="K1617" s="36">
        <v>9325.816532225359</v>
      </c>
    </row>
    <row r="1618" spans="1:11" x14ac:dyDescent="0.25">
      <c r="A1618" s="39">
        <v>42895</v>
      </c>
      <c r="B1618" s="36">
        <v>9668.25</v>
      </c>
      <c r="C1618" s="36">
        <f t="shared" si="96"/>
        <v>9552.1250489000013</v>
      </c>
      <c r="D1618" s="36">
        <f t="shared" si="97"/>
        <v>105.02464650528535</v>
      </c>
      <c r="E1618" s="40">
        <v>9668.25</v>
      </c>
      <c r="F1618" s="36">
        <f t="shared" si="98"/>
        <v>9762.1743419105715</v>
      </c>
      <c r="G1618" s="36">
        <f t="shared" si="99"/>
        <v>9342.0757558894311</v>
      </c>
      <c r="I1618" s="40">
        <v>9668.25</v>
      </c>
      <c r="J1618" s="36">
        <v>9762.1743419105715</v>
      </c>
      <c r="K1618" s="36">
        <v>9342.0757558894311</v>
      </c>
    </row>
    <row r="1619" spans="1:11" x14ac:dyDescent="0.25">
      <c r="A1619" s="39">
        <v>42898</v>
      </c>
      <c r="B1619" s="36">
        <v>9616.4003909999992</v>
      </c>
      <c r="C1619" s="36">
        <f t="shared" si="96"/>
        <v>9560.6750489000005</v>
      </c>
      <c r="D1619" s="36">
        <f t="shared" si="97"/>
        <v>102.81625616292462</v>
      </c>
      <c r="E1619" s="40">
        <v>9616.4003909999992</v>
      </c>
      <c r="F1619" s="36">
        <f t="shared" si="98"/>
        <v>9766.307561225849</v>
      </c>
      <c r="G1619" s="36">
        <f t="shared" si="99"/>
        <v>9355.0425365741521</v>
      </c>
      <c r="I1619" s="40">
        <v>9616.4003909999992</v>
      </c>
      <c r="J1619" s="36">
        <v>9766.307561225849</v>
      </c>
      <c r="K1619" s="36">
        <v>9355.0425365741521</v>
      </c>
    </row>
    <row r="1620" spans="1:11" x14ac:dyDescent="0.25">
      <c r="A1620" s="39">
        <v>42899</v>
      </c>
      <c r="B1620" s="36">
        <v>9606.9003909999992</v>
      </c>
      <c r="C1620" s="36">
        <f t="shared" si="96"/>
        <v>9565.4075684500021</v>
      </c>
      <c r="D1620" s="36">
        <f t="shared" si="97"/>
        <v>102.64818048001951</v>
      </c>
      <c r="E1620" s="40">
        <v>9606.9003909999992</v>
      </c>
      <c r="F1620" s="36">
        <f t="shared" si="98"/>
        <v>9770.7039294100414</v>
      </c>
      <c r="G1620" s="36">
        <f t="shared" si="99"/>
        <v>9360.1112074899629</v>
      </c>
      <c r="I1620" s="40">
        <v>9606.9003909999992</v>
      </c>
      <c r="J1620" s="36">
        <v>9770.7039294100414</v>
      </c>
      <c r="K1620" s="36">
        <v>9360.1112074899629</v>
      </c>
    </row>
    <row r="1621" spans="1:11" x14ac:dyDescent="0.25">
      <c r="A1621" s="39">
        <v>42900</v>
      </c>
      <c r="B1621" s="36">
        <v>9618.1503909999992</v>
      </c>
      <c r="C1621" s="36">
        <f t="shared" si="96"/>
        <v>9570.0275880000008</v>
      </c>
      <c r="D1621" s="36">
        <f t="shared" si="97"/>
        <v>102.84851434170989</v>
      </c>
      <c r="E1621" s="40">
        <v>9618.1503909999992</v>
      </c>
      <c r="F1621" s="36">
        <f t="shared" si="98"/>
        <v>9775.7246166834211</v>
      </c>
      <c r="G1621" s="36">
        <f t="shared" si="99"/>
        <v>9364.3305593165805</v>
      </c>
      <c r="I1621" s="40">
        <v>9618.1503909999992</v>
      </c>
      <c r="J1621" s="36">
        <v>9775.7246166834211</v>
      </c>
      <c r="K1621" s="36">
        <v>9364.3305593165805</v>
      </c>
    </row>
    <row r="1622" spans="1:11" x14ac:dyDescent="0.25">
      <c r="A1622" s="39">
        <v>42901</v>
      </c>
      <c r="B1622" s="36">
        <v>9578.0498050000006</v>
      </c>
      <c r="C1622" s="36">
        <f t="shared" ref="C1622:C1685" si="100">AVERAGE(B1603:B1622)</f>
        <v>9577.4575685</v>
      </c>
      <c r="D1622" s="36">
        <f t="shared" ref="D1622:D1685" si="101">_xlfn.STDEV.S(B1603:B1622)</f>
        <v>97.380637187533907</v>
      </c>
      <c r="E1622" s="40">
        <v>9578.0498050000006</v>
      </c>
      <c r="F1622" s="36">
        <f t="shared" ref="F1622:F1685" si="102">C1622+2*D1622</f>
        <v>9772.2188428750669</v>
      </c>
      <c r="G1622" s="36">
        <f t="shared" ref="G1622:G1685" si="103">C1622-2*D1622</f>
        <v>9382.696294124933</v>
      </c>
      <c r="I1622" s="40">
        <v>9578.0498050000006</v>
      </c>
      <c r="J1622" s="36">
        <v>9772.2188428750669</v>
      </c>
      <c r="K1622" s="36">
        <v>9382.696294124933</v>
      </c>
    </row>
    <row r="1623" spans="1:11" x14ac:dyDescent="0.25">
      <c r="A1623" s="39">
        <v>42902</v>
      </c>
      <c r="B1623" s="36">
        <v>9588.0498050000006</v>
      </c>
      <c r="C1623" s="36">
        <f t="shared" si="100"/>
        <v>9585.4650392000003</v>
      </c>
      <c r="D1623" s="36">
        <f t="shared" si="101"/>
        <v>90.797413559855769</v>
      </c>
      <c r="E1623" s="40">
        <v>9588.0498050000006</v>
      </c>
      <c r="F1623" s="36">
        <f t="shared" si="102"/>
        <v>9767.0598663197125</v>
      </c>
      <c r="G1623" s="36">
        <f t="shared" si="103"/>
        <v>9403.8702120802882</v>
      </c>
      <c r="I1623" s="40">
        <v>9588.0498050000006</v>
      </c>
      <c r="J1623" s="36">
        <v>9767.0598663197125</v>
      </c>
      <c r="K1623" s="36">
        <v>9403.8702120802882</v>
      </c>
    </row>
    <row r="1624" spans="1:11" x14ac:dyDescent="0.25">
      <c r="A1624" s="39">
        <v>42905</v>
      </c>
      <c r="B1624" s="36">
        <v>9657.5498050000006</v>
      </c>
      <c r="C1624" s="36">
        <f t="shared" si="100"/>
        <v>9596.430029449999</v>
      </c>
      <c r="D1624" s="36">
        <f t="shared" si="101"/>
        <v>85.149577785571751</v>
      </c>
      <c r="E1624" s="40">
        <v>9657.5498050000006</v>
      </c>
      <c r="F1624" s="36">
        <f t="shared" si="102"/>
        <v>9766.7291850211423</v>
      </c>
      <c r="G1624" s="36">
        <f t="shared" si="103"/>
        <v>9426.1308738788557</v>
      </c>
      <c r="I1624" s="40">
        <v>9657.5498050000006</v>
      </c>
      <c r="J1624" s="36">
        <v>9766.7291850211423</v>
      </c>
      <c r="K1624" s="36">
        <v>9426.1308738788557</v>
      </c>
    </row>
    <row r="1625" spans="1:11" x14ac:dyDescent="0.25">
      <c r="A1625" s="39">
        <v>42906</v>
      </c>
      <c r="B1625" s="36">
        <v>9653.5</v>
      </c>
      <c r="C1625" s="36">
        <f t="shared" si="100"/>
        <v>9609.7975098999996</v>
      </c>
      <c r="D1625" s="36">
        <f t="shared" si="101"/>
        <v>70.046685884432165</v>
      </c>
      <c r="E1625" s="40">
        <v>9653.5</v>
      </c>
      <c r="F1625" s="36">
        <f t="shared" si="102"/>
        <v>9749.8908816688636</v>
      </c>
      <c r="G1625" s="36">
        <f t="shared" si="103"/>
        <v>9469.7041381311356</v>
      </c>
      <c r="I1625" s="40">
        <v>9653.5</v>
      </c>
      <c r="J1625" s="36">
        <v>9749.8908816688636</v>
      </c>
      <c r="K1625" s="36">
        <v>9469.7041381311356</v>
      </c>
    </row>
    <row r="1626" spans="1:11" x14ac:dyDescent="0.25">
      <c r="A1626" s="39">
        <v>42907</v>
      </c>
      <c r="B1626" s="36">
        <v>9633.5996090000008</v>
      </c>
      <c r="C1626" s="36">
        <f t="shared" si="100"/>
        <v>9623.4500000999979</v>
      </c>
      <c r="D1626" s="36">
        <f t="shared" si="101"/>
        <v>38.346438532823697</v>
      </c>
      <c r="E1626" s="40">
        <v>9633.5996090000008</v>
      </c>
      <c r="F1626" s="36">
        <f t="shared" si="102"/>
        <v>9700.1428771656447</v>
      </c>
      <c r="G1626" s="36">
        <f t="shared" si="103"/>
        <v>9546.757123034351</v>
      </c>
      <c r="I1626" s="40">
        <v>9633.5996090000008</v>
      </c>
      <c r="J1626" s="36">
        <v>9700.1428771656447</v>
      </c>
      <c r="K1626" s="36">
        <v>9546.757123034351</v>
      </c>
    </row>
    <row r="1627" spans="1:11" x14ac:dyDescent="0.25">
      <c r="A1627" s="39">
        <v>42908</v>
      </c>
      <c r="B1627" s="36">
        <v>9630</v>
      </c>
      <c r="C1627" s="36">
        <f t="shared" si="100"/>
        <v>9629.4625000999986</v>
      </c>
      <c r="D1627" s="36">
        <f t="shared" si="101"/>
        <v>27.463609382360659</v>
      </c>
      <c r="E1627" s="40">
        <v>9630</v>
      </c>
      <c r="F1627" s="36">
        <f t="shared" si="102"/>
        <v>9684.3897188647206</v>
      </c>
      <c r="G1627" s="36">
        <f t="shared" si="103"/>
        <v>9574.5352813352765</v>
      </c>
      <c r="I1627" s="40">
        <v>9630</v>
      </c>
      <c r="J1627" s="36">
        <v>9684.3897188647206</v>
      </c>
      <c r="K1627" s="36">
        <v>9574.5352813352765</v>
      </c>
    </row>
    <row r="1628" spans="1:11" x14ac:dyDescent="0.25">
      <c r="A1628" s="39">
        <v>42909</v>
      </c>
      <c r="B1628" s="36">
        <v>9574.9501949999994</v>
      </c>
      <c r="C1628" s="36">
        <f t="shared" si="100"/>
        <v>9628.4550294000001</v>
      </c>
      <c r="D1628" s="36">
        <f t="shared" si="101"/>
        <v>29.110705341550403</v>
      </c>
      <c r="E1628" s="40">
        <v>9574.9501949999994</v>
      </c>
      <c r="F1628" s="36">
        <f t="shared" si="102"/>
        <v>9686.6764400831016</v>
      </c>
      <c r="G1628" s="36">
        <f t="shared" si="103"/>
        <v>9570.2336187168985</v>
      </c>
      <c r="I1628" s="40">
        <v>9574.9501949999994</v>
      </c>
      <c r="J1628" s="36">
        <v>9686.6764400831016</v>
      </c>
      <c r="K1628" s="36">
        <v>9570.2336187168985</v>
      </c>
    </row>
    <row r="1629" spans="1:11" x14ac:dyDescent="0.25">
      <c r="A1629" s="39">
        <v>42913</v>
      </c>
      <c r="B1629" s="36">
        <v>9511.4003909999992</v>
      </c>
      <c r="C1629" s="36">
        <f t="shared" si="100"/>
        <v>9623.7800294000008</v>
      </c>
      <c r="D1629" s="36">
        <f t="shared" si="101"/>
        <v>38.940632969316248</v>
      </c>
      <c r="E1629" s="40">
        <v>9511.4003909999992</v>
      </c>
      <c r="F1629" s="36">
        <f t="shared" si="102"/>
        <v>9701.6612953386339</v>
      </c>
      <c r="G1629" s="36">
        <f t="shared" si="103"/>
        <v>9545.8987634613677</v>
      </c>
      <c r="I1629" s="40">
        <v>9511.4003909999992</v>
      </c>
      <c r="J1629" s="36">
        <v>9701.6612953386339</v>
      </c>
      <c r="K1629" s="36">
        <v>9545.8987634613677</v>
      </c>
    </row>
    <row r="1630" spans="1:11" x14ac:dyDescent="0.25">
      <c r="A1630" s="39">
        <v>42914</v>
      </c>
      <c r="B1630" s="36">
        <v>9491.25</v>
      </c>
      <c r="C1630" s="36">
        <f t="shared" si="100"/>
        <v>9617.1150391500014</v>
      </c>
      <c r="D1630" s="36">
        <f t="shared" si="101"/>
        <v>48.928658732898036</v>
      </c>
      <c r="E1630" s="40">
        <v>9491.25</v>
      </c>
      <c r="F1630" s="36">
        <f t="shared" si="102"/>
        <v>9714.9723566157973</v>
      </c>
      <c r="G1630" s="36">
        <f t="shared" si="103"/>
        <v>9519.2577216842055</v>
      </c>
      <c r="I1630" s="40">
        <v>9491.25</v>
      </c>
      <c r="J1630" s="36">
        <v>9714.9723566157973</v>
      </c>
      <c r="K1630" s="36">
        <v>9519.2577216842055</v>
      </c>
    </row>
    <row r="1631" spans="1:11" x14ac:dyDescent="0.25">
      <c r="A1631" s="39">
        <v>42915</v>
      </c>
      <c r="B1631" s="36">
        <v>9504.0996090000008</v>
      </c>
      <c r="C1631" s="36">
        <f t="shared" si="100"/>
        <v>9611.2575196000016</v>
      </c>
      <c r="D1631" s="36">
        <f t="shared" si="101"/>
        <v>55.038473676335698</v>
      </c>
      <c r="E1631" s="40">
        <v>9504.0996090000008</v>
      </c>
      <c r="F1631" s="36">
        <f t="shared" si="102"/>
        <v>9721.3344669526723</v>
      </c>
      <c r="G1631" s="36">
        <f t="shared" si="103"/>
        <v>9501.1805722473309</v>
      </c>
      <c r="I1631" s="40">
        <v>9504.0996090000008</v>
      </c>
      <c r="J1631" s="36">
        <v>9721.3344669526723</v>
      </c>
      <c r="K1631" s="36">
        <v>9501.1805722473309</v>
      </c>
    </row>
    <row r="1632" spans="1:11" x14ac:dyDescent="0.25">
      <c r="A1632" s="39">
        <v>42916</v>
      </c>
      <c r="B1632" s="36">
        <v>9520.9003909999992</v>
      </c>
      <c r="C1632" s="36">
        <f t="shared" si="100"/>
        <v>9606.4975587000026</v>
      </c>
      <c r="D1632" s="36">
        <f t="shared" si="101"/>
        <v>58.599110111566375</v>
      </c>
      <c r="E1632" s="40">
        <v>9520.9003909999992</v>
      </c>
      <c r="F1632" s="36">
        <f t="shared" si="102"/>
        <v>9723.6957789231346</v>
      </c>
      <c r="G1632" s="36">
        <f t="shared" si="103"/>
        <v>9489.2993384768706</v>
      </c>
      <c r="I1632" s="40">
        <v>9520.9003909999992</v>
      </c>
      <c r="J1632" s="36">
        <v>9723.6957789231346</v>
      </c>
      <c r="K1632" s="36">
        <v>9489.2993384768706</v>
      </c>
    </row>
    <row r="1633" spans="1:11" x14ac:dyDescent="0.25">
      <c r="A1633" s="39">
        <v>42919</v>
      </c>
      <c r="B1633" s="36">
        <v>9615</v>
      </c>
      <c r="C1633" s="36">
        <f t="shared" si="100"/>
        <v>9604.5725587000015</v>
      </c>
      <c r="D1633" s="36">
        <f t="shared" si="101"/>
        <v>57.597609568171151</v>
      </c>
      <c r="E1633" s="40">
        <v>9615</v>
      </c>
      <c r="F1633" s="36">
        <f t="shared" si="102"/>
        <v>9719.7677778363432</v>
      </c>
      <c r="G1633" s="36">
        <f t="shared" si="103"/>
        <v>9489.3773395636599</v>
      </c>
      <c r="I1633" s="40">
        <v>9615</v>
      </c>
      <c r="J1633" s="36">
        <v>9719.7677778363432</v>
      </c>
      <c r="K1633" s="36">
        <v>9489.3773395636599</v>
      </c>
    </row>
    <row r="1634" spans="1:11" x14ac:dyDescent="0.25">
      <c r="A1634" s="39">
        <v>42920</v>
      </c>
      <c r="B1634" s="36">
        <v>9613.2998050000006</v>
      </c>
      <c r="C1634" s="36">
        <f t="shared" si="100"/>
        <v>9601.4825684999996</v>
      </c>
      <c r="D1634" s="36">
        <f t="shared" si="101"/>
        <v>55.22363488418906</v>
      </c>
      <c r="E1634" s="40">
        <v>9613.2998050000006</v>
      </c>
      <c r="F1634" s="36">
        <f t="shared" si="102"/>
        <v>9711.9298382683774</v>
      </c>
      <c r="G1634" s="36">
        <f t="shared" si="103"/>
        <v>9491.0352987316219</v>
      </c>
      <c r="I1634" s="40">
        <v>9613.2998050000006</v>
      </c>
      <c r="J1634" s="36">
        <v>9711.9298382683774</v>
      </c>
      <c r="K1634" s="36">
        <v>9491.0352987316219</v>
      </c>
    </row>
    <row r="1635" spans="1:11" x14ac:dyDescent="0.25">
      <c r="A1635" s="39">
        <v>42921</v>
      </c>
      <c r="B1635" s="36">
        <v>9637.5996090000008</v>
      </c>
      <c r="C1635" s="36">
        <f t="shared" si="100"/>
        <v>9601.5050293999993</v>
      </c>
      <c r="D1635" s="36">
        <f t="shared" si="101"/>
        <v>55.238994669273694</v>
      </c>
      <c r="E1635" s="40">
        <v>9637.5996090000008</v>
      </c>
      <c r="F1635" s="36">
        <f t="shared" si="102"/>
        <v>9711.9830187385469</v>
      </c>
      <c r="G1635" s="36">
        <f t="shared" si="103"/>
        <v>9491.0270400614518</v>
      </c>
      <c r="I1635" s="40">
        <v>9637.5996090000008</v>
      </c>
      <c r="J1635" s="36">
        <v>9711.9830187385469</v>
      </c>
      <c r="K1635" s="36">
        <v>9491.0270400614518</v>
      </c>
    </row>
    <row r="1636" spans="1:11" x14ac:dyDescent="0.25">
      <c r="A1636" s="39">
        <v>42922</v>
      </c>
      <c r="B1636" s="36">
        <v>9674.5498050000006</v>
      </c>
      <c r="C1636" s="36">
        <f t="shared" si="100"/>
        <v>9602.0375000999993</v>
      </c>
      <c r="D1636" s="36">
        <f t="shared" si="101"/>
        <v>55.919242381407535</v>
      </c>
      <c r="E1636" s="40">
        <v>9674.5498050000006</v>
      </c>
      <c r="F1636" s="36">
        <f t="shared" si="102"/>
        <v>9713.8759848628142</v>
      </c>
      <c r="G1636" s="36">
        <f t="shared" si="103"/>
        <v>9490.1990153371844</v>
      </c>
      <c r="I1636" s="40">
        <v>9674.5498050000006</v>
      </c>
      <c r="J1636" s="36">
        <v>9713.8759848628142</v>
      </c>
      <c r="K1636" s="36">
        <v>9490.1990153371844</v>
      </c>
    </row>
    <row r="1637" spans="1:11" x14ac:dyDescent="0.25">
      <c r="A1637" s="39">
        <v>42923</v>
      </c>
      <c r="B1637" s="36">
        <v>9665.7998050000006</v>
      </c>
      <c r="C1637" s="36">
        <f t="shared" si="100"/>
        <v>9602.9649903499994</v>
      </c>
      <c r="D1637" s="36">
        <f t="shared" si="101"/>
        <v>56.854629176605798</v>
      </c>
      <c r="E1637" s="40">
        <v>9665.7998050000006</v>
      </c>
      <c r="F1637" s="36">
        <f t="shared" si="102"/>
        <v>9716.6742487032116</v>
      </c>
      <c r="G1637" s="36">
        <f t="shared" si="103"/>
        <v>9489.2557319967873</v>
      </c>
      <c r="I1637" s="40">
        <v>9665.7998050000006</v>
      </c>
      <c r="J1637" s="36">
        <v>9716.6742487032116</v>
      </c>
      <c r="K1637" s="36">
        <v>9489.2557319967873</v>
      </c>
    </row>
    <row r="1638" spans="1:11" x14ac:dyDescent="0.25">
      <c r="A1638" s="39">
        <v>42926</v>
      </c>
      <c r="B1638" s="36">
        <v>9771.0498050000006</v>
      </c>
      <c r="C1638" s="36">
        <f t="shared" si="100"/>
        <v>9608.1049805999974</v>
      </c>
      <c r="D1638" s="36">
        <f t="shared" si="101"/>
        <v>66.837789009110182</v>
      </c>
      <c r="E1638" s="40">
        <v>9771.0498050000006</v>
      </c>
      <c r="F1638" s="36">
        <f t="shared" si="102"/>
        <v>9741.7805586182185</v>
      </c>
      <c r="G1638" s="36">
        <f t="shared" si="103"/>
        <v>9474.4294025817762</v>
      </c>
      <c r="I1638" s="40">
        <v>9771.0498050000006</v>
      </c>
      <c r="J1638" s="36">
        <v>9741.7805586182185</v>
      </c>
      <c r="K1638" s="36">
        <v>9474.4294025817762</v>
      </c>
    </row>
    <row r="1639" spans="1:11" x14ac:dyDescent="0.25">
      <c r="A1639" s="39">
        <v>42927</v>
      </c>
      <c r="B1639" s="36">
        <v>9786.0498050000006</v>
      </c>
      <c r="C1639" s="36">
        <f t="shared" si="100"/>
        <v>9616.5874512999981</v>
      </c>
      <c r="D1639" s="36">
        <f t="shared" si="101"/>
        <v>77.810502357842239</v>
      </c>
      <c r="E1639" s="40">
        <v>9786.0498050000006</v>
      </c>
      <c r="F1639" s="36">
        <f t="shared" si="102"/>
        <v>9772.2084560156818</v>
      </c>
      <c r="G1639" s="36">
        <f t="shared" si="103"/>
        <v>9460.9664465843143</v>
      </c>
      <c r="I1639" s="40">
        <v>9786.0498050000006</v>
      </c>
      <c r="J1639" s="36">
        <v>9772.2084560156818</v>
      </c>
      <c r="K1639" s="36">
        <v>9460.9664465843143</v>
      </c>
    </row>
    <row r="1640" spans="1:11" x14ac:dyDescent="0.25">
      <c r="A1640" s="39">
        <v>42928</v>
      </c>
      <c r="B1640" s="36">
        <v>9816.0996090000008</v>
      </c>
      <c r="C1640" s="36">
        <f t="shared" si="100"/>
        <v>9627.0474121999978</v>
      </c>
      <c r="D1640" s="36">
        <f t="shared" si="101"/>
        <v>89.606760071195481</v>
      </c>
      <c r="E1640" s="40">
        <v>9816.0996090000008</v>
      </c>
      <c r="F1640" s="36">
        <f t="shared" si="102"/>
        <v>9806.2609323423894</v>
      </c>
      <c r="G1640" s="36">
        <f t="shared" si="103"/>
        <v>9447.8338920576061</v>
      </c>
      <c r="I1640" s="40">
        <v>9816.0996090000008</v>
      </c>
      <c r="J1640" s="36">
        <v>9806.2609323423894</v>
      </c>
      <c r="K1640" s="36">
        <v>9447.8338920576061</v>
      </c>
    </row>
    <row r="1641" spans="1:11" x14ac:dyDescent="0.25">
      <c r="A1641" s="39">
        <v>42929</v>
      </c>
      <c r="B1641" s="36">
        <v>9891.7001949999994</v>
      </c>
      <c r="C1641" s="36">
        <f t="shared" si="100"/>
        <v>9640.7249023999993</v>
      </c>
      <c r="D1641" s="36">
        <f t="shared" si="101"/>
        <v>107.30637918271988</v>
      </c>
      <c r="E1641" s="40">
        <v>9891.7001949999994</v>
      </c>
      <c r="F1641" s="36">
        <f t="shared" si="102"/>
        <v>9855.3376607654391</v>
      </c>
      <c r="G1641" s="36">
        <f t="shared" si="103"/>
        <v>9426.1121440345596</v>
      </c>
      <c r="I1641" s="40">
        <v>9891.7001949999994</v>
      </c>
      <c r="J1641" s="36">
        <v>9855.3376607654391</v>
      </c>
      <c r="K1641" s="36">
        <v>9426.1121440345596</v>
      </c>
    </row>
    <row r="1642" spans="1:11" x14ac:dyDescent="0.25">
      <c r="A1642" s="39">
        <v>42930</v>
      </c>
      <c r="B1642" s="36">
        <v>9886.3496090000008</v>
      </c>
      <c r="C1642" s="36">
        <f t="shared" si="100"/>
        <v>9656.1398925999983</v>
      </c>
      <c r="D1642" s="36">
        <f t="shared" si="101"/>
        <v>119.30266936920134</v>
      </c>
      <c r="E1642" s="40">
        <v>9886.3496090000008</v>
      </c>
      <c r="F1642" s="36">
        <f t="shared" si="102"/>
        <v>9894.7452313384019</v>
      </c>
      <c r="G1642" s="36">
        <f t="shared" si="103"/>
        <v>9417.5345538615948</v>
      </c>
      <c r="I1642" s="40">
        <v>9886.3496090000008</v>
      </c>
      <c r="J1642" s="36">
        <v>9894.7452313384019</v>
      </c>
      <c r="K1642" s="36">
        <v>9417.5345538615948</v>
      </c>
    </row>
    <row r="1643" spans="1:11" x14ac:dyDescent="0.25">
      <c r="A1643" s="39">
        <v>42933</v>
      </c>
      <c r="B1643" s="36">
        <v>9915.9501949999994</v>
      </c>
      <c r="C1643" s="36">
        <f t="shared" si="100"/>
        <v>9672.5349120999999</v>
      </c>
      <c r="D1643" s="36">
        <f t="shared" si="101"/>
        <v>131.37303483820781</v>
      </c>
      <c r="E1643" s="40">
        <v>9915.9501949999994</v>
      </c>
      <c r="F1643" s="36">
        <f t="shared" si="102"/>
        <v>9935.2809817764155</v>
      </c>
      <c r="G1643" s="36">
        <f t="shared" si="103"/>
        <v>9409.7888424235844</v>
      </c>
      <c r="I1643" s="40">
        <v>9915.9501949999994</v>
      </c>
      <c r="J1643" s="36">
        <v>9935.2809817764155</v>
      </c>
      <c r="K1643" s="36">
        <v>9409.7888424235844</v>
      </c>
    </row>
    <row r="1644" spans="1:11" x14ac:dyDescent="0.25">
      <c r="A1644" s="39">
        <v>42934</v>
      </c>
      <c r="B1644" s="36">
        <v>9827.1503909999992</v>
      </c>
      <c r="C1644" s="36">
        <f t="shared" si="100"/>
        <v>9681.0149414000007</v>
      </c>
      <c r="D1644" s="36">
        <f t="shared" si="101"/>
        <v>135.75554390376197</v>
      </c>
      <c r="E1644" s="40">
        <v>9827.1503909999992</v>
      </c>
      <c r="F1644" s="36">
        <f t="shared" si="102"/>
        <v>9952.5260292075254</v>
      </c>
      <c r="G1644" s="36">
        <f t="shared" si="103"/>
        <v>9409.5038535924759</v>
      </c>
      <c r="I1644" s="40">
        <v>9827.1503909999992</v>
      </c>
      <c r="J1644" s="36">
        <v>9952.5260292075254</v>
      </c>
      <c r="K1644" s="36">
        <v>9409.5038535924759</v>
      </c>
    </row>
    <row r="1645" spans="1:11" x14ac:dyDescent="0.25">
      <c r="A1645" s="39">
        <v>42935</v>
      </c>
      <c r="B1645" s="36">
        <v>9899.5996090000008</v>
      </c>
      <c r="C1645" s="36">
        <f t="shared" si="100"/>
        <v>9693.3199218500013</v>
      </c>
      <c r="D1645" s="36">
        <f t="shared" si="101"/>
        <v>144.03137822301053</v>
      </c>
      <c r="E1645" s="40">
        <v>9899.5996090000008</v>
      </c>
      <c r="F1645" s="36">
        <f t="shared" si="102"/>
        <v>9981.3826782960223</v>
      </c>
      <c r="G1645" s="36">
        <f t="shared" si="103"/>
        <v>9405.2571654039803</v>
      </c>
      <c r="I1645" s="40">
        <v>9899.5996090000008</v>
      </c>
      <c r="J1645" s="36">
        <v>9981.3826782960223</v>
      </c>
      <c r="K1645" s="36">
        <v>9405.2571654039803</v>
      </c>
    </row>
    <row r="1646" spans="1:11" x14ac:dyDescent="0.25">
      <c r="A1646" s="39">
        <v>42936</v>
      </c>
      <c r="B1646" s="36">
        <v>9873.2998050000006</v>
      </c>
      <c r="C1646" s="36">
        <f t="shared" si="100"/>
        <v>9705.3049316500001</v>
      </c>
      <c r="D1646" s="36">
        <f t="shared" si="101"/>
        <v>148.69770707842534</v>
      </c>
      <c r="E1646" s="40">
        <v>9873.2998050000006</v>
      </c>
      <c r="F1646" s="36">
        <f t="shared" si="102"/>
        <v>10002.70034580685</v>
      </c>
      <c r="G1646" s="36">
        <f t="shared" si="103"/>
        <v>9407.9095174931499</v>
      </c>
      <c r="I1646" s="40">
        <v>9873.2998050000006</v>
      </c>
      <c r="J1646" s="36">
        <v>10002.70034580685</v>
      </c>
      <c r="K1646" s="36">
        <v>9407.9095174931499</v>
      </c>
    </row>
    <row r="1647" spans="1:11" x14ac:dyDescent="0.25">
      <c r="A1647" s="39">
        <v>42937</v>
      </c>
      <c r="B1647" s="36">
        <v>9915.25</v>
      </c>
      <c r="C1647" s="36">
        <f t="shared" si="100"/>
        <v>9719.5674316500008</v>
      </c>
      <c r="D1647" s="36">
        <f t="shared" si="101"/>
        <v>154.65528299141141</v>
      </c>
      <c r="E1647" s="40">
        <v>9915.25</v>
      </c>
      <c r="F1647" s="36">
        <f t="shared" si="102"/>
        <v>10028.877997632824</v>
      </c>
      <c r="G1647" s="36">
        <f t="shared" si="103"/>
        <v>9410.2568656671774</v>
      </c>
      <c r="I1647" s="40">
        <v>9915.25</v>
      </c>
      <c r="J1647" s="36">
        <v>10028.877997632824</v>
      </c>
      <c r="K1647" s="36">
        <v>9410.2568656671774</v>
      </c>
    </row>
    <row r="1648" spans="1:11" x14ac:dyDescent="0.25">
      <c r="A1648" s="39">
        <v>42940</v>
      </c>
      <c r="B1648" s="36">
        <v>9966.4003909999992</v>
      </c>
      <c r="C1648" s="36">
        <f t="shared" si="100"/>
        <v>9739.1399414500011</v>
      </c>
      <c r="D1648" s="36">
        <f t="shared" si="101"/>
        <v>160.06537751044951</v>
      </c>
      <c r="E1648" s="40">
        <v>9966.4003909999992</v>
      </c>
      <c r="F1648" s="36">
        <f t="shared" si="102"/>
        <v>10059.2706964709</v>
      </c>
      <c r="G1648" s="36">
        <f t="shared" si="103"/>
        <v>9419.0091864291026</v>
      </c>
      <c r="I1648" s="40">
        <v>9966.4003909999992</v>
      </c>
      <c r="J1648" s="36">
        <v>10059.2706964709</v>
      </c>
      <c r="K1648" s="36">
        <v>9419.0091864291026</v>
      </c>
    </row>
    <row r="1649" spans="1:11" x14ac:dyDescent="0.25">
      <c r="A1649" s="39">
        <v>42941</v>
      </c>
      <c r="B1649" s="36">
        <v>9964.5498050000006</v>
      </c>
      <c r="C1649" s="36">
        <f t="shared" si="100"/>
        <v>9761.7974121499992</v>
      </c>
      <c r="D1649" s="36">
        <f t="shared" si="101"/>
        <v>158.19286374378345</v>
      </c>
      <c r="E1649" s="40">
        <v>9964.5498050000006</v>
      </c>
      <c r="F1649" s="36">
        <f t="shared" si="102"/>
        <v>10078.183139637566</v>
      </c>
      <c r="G1649" s="36">
        <f t="shared" si="103"/>
        <v>9445.4116846624329</v>
      </c>
      <c r="I1649" s="40">
        <v>9964.5498050000006</v>
      </c>
      <c r="J1649" s="36">
        <v>10078.183139637566</v>
      </c>
      <c r="K1649" s="36">
        <v>9445.4116846624329</v>
      </c>
    </row>
    <row r="1650" spans="1:11" x14ac:dyDescent="0.25">
      <c r="A1650" s="39">
        <v>42942</v>
      </c>
      <c r="B1650" s="36">
        <v>10020.650390999999</v>
      </c>
      <c r="C1650" s="36">
        <f t="shared" si="100"/>
        <v>9788.2674316999983</v>
      </c>
      <c r="D1650" s="36">
        <f t="shared" si="101"/>
        <v>154.79534611334137</v>
      </c>
      <c r="E1650" s="40">
        <v>10020.650390999999</v>
      </c>
      <c r="F1650" s="36">
        <f t="shared" si="102"/>
        <v>10097.85812392668</v>
      </c>
      <c r="G1650" s="36">
        <f t="shared" si="103"/>
        <v>9478.676739473316</v>
      </c>
      <c r="I1650" s="40">
        <v>10020.650390999999</v>
      </c>
      <c r="J1650" s="36">
        <v>10097.85812392668</v>
      </c>
      <c r="K1650" s="36">
        <v>9478.676739473316</v>
      </c>
    </row>
    <row r="1651" spans="1:11" x14ac:dyDescent="0.25">
      <c r="A1651" s="39">
        <v>42943</v>
      </c>
      <c r="B1651" s="36">
        <v>10020.549805000001</v>
      </c>
      <c r="C1651" s="36">
        <f t="shared" si="100"/>
        <v>9814.0899414999985</v>
      </c>
      <c r="D1651" s="36">
        <f t="shared" si="101"/>
        <v>147.81533529677003</v>
      </c>
      <c r="E1651" s="40">
        <v>10020.549805000001</v>
      </c>
      <c r="F1651" s="36">
        <f t="shared" si="102"/>
        <v>10109.720612093539</v>
      </c>
      <c r="G1651" s="36">
        <f t="shared" si="103"/>
        <v>9518.4592709064582</v>
      </c>
      <c r="I1651" s="40">
        <v>10020.549805000001</v>
      </c>
      <c r="J1651" s="36">
        <v>10109.720612093539</v>
      </c>
      <c r="K1651" s="36">
        <v>9518.4592709064582</v>
      </c>
    </row>
    <row r="1652" spans="1:11" x14ac:dyDescent="0.25">
      <c r="A1652" s="39">
        <v>42944</v>
      </c>
      <c r="B1652" s="36">
        <v>10014.5</v>
      </c>
      <c r="C1652" s="36">
        <f t="shared" si="100"/>
        <v>9838.7699219499991</v>
      </c>
      <c r="D1652" s="36">
        <f t="shared" si="101"/>
        <v>137.1054423186321</v>
      </c>
      <c r="E1652" s="40">
        <v>10014.5</v>
      </c>
      <c r="F1652" s="36">
        <f t="shared" si="102"/>
        <v>10112.980806587264</v>
      </c>
      <c r="G1652" s="36">
        <f t="shared" si="103"/>
        <v>9564.5590373127343</v>
      </c>
      <c r="I1652" s="40">
        <v>10014.5</v>
      </c>
      <c r="J1652" s="36">
        <v>10112.980806587264</v>
      </c>
      <c r="K1652" s="36">
        <v>9564.5590373127343</v>
      </c>
    </row>
    <row r="1653" spans="1:11" x14ac:dyDescent="0.25">
      <c r="A1653" s="39">
        <v>42947</v>
      </c>
      <c r="B1653" s="36">
        <v>10077.099609000001</v>
      </c>
      <c r="C1653" s="36">
        <f t="shared" si="100"/>
        <v>9861.874902399999</v>
      </c>
      <c r="D1653" s="36">
        <f t="shared" si="101"/>
        <v>136.34542110743499</v>
      </c>
      <c r="E1653" s="40">
        <v>10077.099609000001</v>
      </c>
      <c r="F1653" s="36">
        <f t="shared" si="102"/>
        <v>10134.565744614869</v>
      </c>
      <c r="G1653" s="36">
        <f t="shared" si="103"/>
        <v>9589.1840601851291</v>
      </c>
      <c r="I1653" s="40">
        <v>10077.099609000001</v>
      </c>
      <c r="J1653" s="36">
        <v>10134.565744614869</v>
      </c>
      <c r="K1653" s="36">
        <v>9589.1840601851291</v>
      </c>
    </row>
    <row r="1654" spans="1:11" x14ac:dyDescent="0.25">
      <c r="A1654" s="39">
        <v>42948</v>
      </c>
      <c r="B1654" s="36">
        <v>10114.650390999999</v>
      </c>
      <c r="C1654" s="36">
        <f t="shared" si="100"/>
        <v>9886.9424316999975</v>
      </c>
      <c r="D1654" s="36">
        <f t="shared" si="101"/>
        <v>134.31103951330235</v>
      </c>
      <c r="E1654" s="40">
        <v>10114.650390999999</v>
      </c>
      <c r="F1654" s="36">
        <f t="shared" si="102"/>
        <v>10155.564510726603</v>
      </c>
      <c r="G1654" s="36">
        <f t="shared" si="103"/>
        <v>9618.3203526733923</v>
      </c>
      <c r="I1654" s="40">
        <v>10114.650390999999</v>
      </c>
      <c r="J1654" s="36">
        <v>10155.564510726603</v>
      </c>
      <c r="K1654" s="36">
        <v>9618.3203526733923</v>
      </c>
    </row>
    <row r="1655" spans="1:11" x14ac:dyDescent="0.25">
      <c r="A1655" s="39">
        <v>42949</v>
      </c>
      <c r="B1655" s="36">
        <v>10081.5</v>
      </c>
      <c r="C1655" s="36">
        <f t="shared" si="100"/>
        <v>9909.1374512500006</v>
      </c>
      <c r="D1655" s="36">
        <f t="shared" si="101"/>
        <v>127.4399915877937</v>
      </c>
      <c r="E1655" s="40">
        <v>10081.5</v>
      </c>
      <c r="F1655" s="36">
        <f t="shared" si="102"/>
        <v>10164.017434425588</v>
      </c>
      <c r="G1655" s="36">
        <f t="shared" si="103"/>
        <v>9654.2574680744128</v>
      </c>
      <c r="I1655" s="40">
        <v>10081.5</v>
      </c>
      <c r="J1655" s="36">
        <v>10164.017434425588</v>
      </c>
      <c r="K1655" s="36">
        <v>9654.2574680744128</v>
      </c>
    </row>
    <row r="1656" spans="1:11" x14ac:dyDescent="0.25">
      <c r="A1656" s="39">
        <v>42950</v>
      </c>
      <c r="B1656" s="36">
        <v>10013.650390999999</v>
      </c>
      <c r="C1656" s="36">
        <f t="shared" si="100"/>
        <v>9926.0924805499999</v>
      </c>
      <c r="D1656" s="36">
        <f t="shared" si="101"/>
        <v>116.69127241365446</v>
      </c>
      <c r="E1656" s="40">
        <v>10013.650390999999</v>
      </c>
      <c r="F1656" s="36">
        <f t="shared" si="102"/>
        <v>10159.475025377309</v>
      </c>
      <c r="G1656" s="36">
        <f t="shared" si="103"/>
        <v>9692.7099357226907</v>
      </c>
      <c r="I1656" s="40">
        <v>10013.650390999999</v>
      </c>
      <c r="J1656" s="36">
        <v>10159.475025377309</v>
      </c>
      <c r="K1656" s="36">
        <v>9692.7099357226907</v>
      </c>
    </row>
    <row r="1657" spans="1:11" x14ac:dyDescent="0.25">
      <c r="A1657" s="39">
        <v>42951</v>
      </c>
      <c r="B1657" s="36">
        <v>10066.400390999999</v>
      </c>
      <c r="C1657" s="36">
        <f t="shared" si="100"/>
        <v>9946.1225098499999</v>
      </c>
      <c r="D1657" s="36">
        <f t="shared" si="101"/>
        <v>103.27026356719666</v>
      </c>
      <c r="E1657" s="40">
        <v>10066.400390999999</v>
      </c>
      <c r="F1657" s="36">
        <f t="shared" si="102"/>
        <v>10152.663036984393</v>
      </c>
      <c r="G1657" s="36">
        <f t="shared" si="103"/>
        <v>9739.5819827156065</v>
      </c>
      <c r="I1657" s="40">
        <v>10066.400390999999</v>
      </c>
      <c r="J1657" s="36">
        <v>10152.663036984393</v>
      </c>
      <c r="K1657" s="36">
        <v>9739.5819827156065</v>
      </c>
    </row>
    <row r="1658" spans="1:11" x14ac:dyDescent="0.25">
      <c r="A1658" s="39">
        <v>42954</v>
      </c>
      <c r="B1658" s="36">
        <v>10057.400390999999</v>
      </c>
      <c r="C1658" s="36">
        <f t="shared" si="100"/>
        <v>9960.4400391500003</v>
      </c>
      <c r="D1658" s="36">
        <f t="shared" si="101"/>
        <v>97.403847690167694</v>
      </c>
      <c r="E1658" s="40">
        <v>10057.400390999999</v>
      </c>
      <c r="F1658" s="36">
        <f t="shared" si="102"/>
        <v>10155.247734530336</v>
      </c>
      <c r="G1658" s="36">
        <f t="shared" si="103"/>
        <v>9765.6323437696647</v>
      </c>
      <c r="I1658" s="40">
        <v>10057.400390999999</v>
      </c>
      <c r="J1658" s="36">
        <v>10155.247734530336</v>
      </c>
      <c r="K1658" s="36">
        <v>9765.6323437696647</v>
      </c>
    </row>
    <row r="1659" spans="1:11" x14ac:dyDescent="0.25">
      <c r="A1659" s="39">
        <v>42955</v>
      </c>
      <c r="B1659" s="36">
        <v>9978.5498050000006</v>
      </c>
      <c r="C1659" s="36">
        <f t="shared" si="100"/>
        <v>9970.0650391500003</v>
      </c>
      <c r="D1659" s="36">
        <f t="shared" si="101"/>
        <v>88.355108482576256</v>
      </c>
      <c r="E1659" s="40">
        <v>9978.5498050000006</v>
      </c>
      <c r="F1659" s="36">
        <f t="shared" si="102"/>
        <v>10146.775256115152</v>
      </c>
      <c r="G1659" s="36">
        <f t="shared" si="103"/>
        <v>9793.3548221848487</v>
      </c>
      <c r="I1659" s="40">
        <v>9978.5498050000006</v>
      </c>
      <c r="J1659" s="36">
        <v>10146.775256115152</v>
      </c>
      <c r="K1659" s="36">
        <v>9793.3548221848487</v>
      </c>
    </row>
    <row r="1660" spans="1:11" x14ac:dyDescent="0.25">
      <c r="A1660" s="39">
        <v>42956</v>
      </c>
      <c r="B1660" s="36">
        <v>9908.0498050000006</v>
      </c>
      <c r="C1660" s="36">
        <f t="shared" si="100"/>
        <v>9974.6625489499984</v>
      </c>
      <c r="D1660" s="36">
        <f t="shared" si="101"/>
        <v>82.092269128473134</v>
      </c>
      <c r="E1660" s="40">
        <v>9908.0498050000006</v>
      </c>
      <c r="F1660" s="36">
        <f t="shared" si="102"/>
        <v>10138.847087206945</v>
      </c>
      <c r="G1660" s="36">
        <f t="shared" si="103"/>
        <v>9810.4780106930521</v>
      </c>
      <c r="I1660" s="40">
        <v>9908.0498050000006</v>
      </c>
      <c r="J1660" s="36">
        <v>10138.847087206945</v>
      </c>
      <c r="K1660" s="36">
        <v>9810.4780106930521</v>
      </c>
    </row>
    <row r="1661" spans="1:11" x14ac:dyDescent="0.25">
      <c r="A1661" s="39">
        <v>42957</v>
      </c>
      <c r="B1661" s="36">
        <v>9820.25</v>
      </c>
      <c r="C1661" s="36">
        <f t="shared" si="100"/>
        <v>9971.0900392000003</v>
      </c>
      <c r="D1661" s="36">
        <f t="shared" si="101"/>
        <v>87.283234944333188</v>
      </c>
      <c r="E1661" s="40">
        <v>9820.25</v>
      </c>
      <c r="F1661" s="36">
        <f t="shared" si="102"/>
        <v>10145.656509088667</v>
      </c>
      <c r="G1661" s="36">
        <f t="shared" si="103"/>
        <v>9796.5235693113336</v>
      </c>
      <c r="I1661" s="40">
        <v>9820.25</v>
      </c>
      <c r="J1661" s="36">
        <v>10145.656509088667</v>
      </c>
      <c r="K1661" s="36">
        <v>9796.5235693113336</v>
      </c>
    </row>
    <row r="1662" spans="1:11" x14ac:dyDescent="0.25">
      <c r="A1662" s="39">
        <v>42958</v>
      </c>
      <c r="B1662" s="36">
        <v>9710.7998050000006</v>
      </c>
      <c r="C1662" s="36">
        <f t="shared" si="100"/>
        <v>9962.3125489999984</v>
      </c>
      <c r="D1662" s="36">
        <f t="shared" si="101"/>
        <v>103.56235796795985</v>
      </c>
      <c r="E1662" s="40">
        <v>9710.7998050000006</v>
      </c>
      <c r="F1662" s="36">
        <f t="shared" si="102"/>
        <v>10169.437264935917</v>
      </c>
      <c r="G1662" s="36">
        <f t="shared" si="103"/>
        <v>9755.1878330640793</v>
      </c>
      <c r="I1662" s="40">
        <v>9710.7998050000006</v>
      </c>
      <c r="J1662" s="36">
        <v>10169.437264935917</v>
      </c>
      <c r="K1662" s="36">
        <v>9755.1878330640793</v>
      </c>
    </row>
    <row r="1663" spans="1:11" x14ac:dyDescent="0.25">
      <c r="A1663" s="39">
        <v>42961</v>
      </c>
      <c r="B1663" s="36">
        <v>9794.1503909999992</v>
      </c>
      <c r="C1663" s="36">
        <f t="shared" si="100"/>
        <v>9956.2225587999983</v>
      </c>
      <c r="D1663" s="36">
        <f t="shared" si="101"/>
        <v>109.82410857746636</v>
      </c>
      <c r="E1663" s="40">
        <v>9794.1503909999992</v>
      </c>
      <c r="F1663" s="36">
        <f t="shared" si="102"/>
        <v>10175.870775954931</v>
      </c>
      <c r="G1663" s="36">
        <f t="shared" si="103"/>
        <v>9736.5743416450659</v>
      </c>
      <c r="I1663" s="40">
        <v>9794.1503909999992</v>
      </c>
      <c r="J1663" s="36">
        <v>10175.870775954931</v>
      </c>
      <c r="K1663" s="36">
        <v>9736.5743416450659</v>
      </c>
    </row>
    <row r="1664" spans="1:11" x14ac:dyDescent="0.25">
      <c r="A1664" s="39">
        <v>42963</v>
      </c>
      <c r="B1664" s="36">
        <v>9897.2998050000006</v>
      </c>
      <c r="C1664" s="36">
        <f t="shared" si="100"/>
        <v>9959.7300294999986</v>
      </c>
      <c r="D1664" s="36">
        <f t="shared" si="101"/>
        <v>106.55652838120191</v>
      </c>
      <c r="E1664" s="40">
        <v>9897.2998050000006</v>
      </c>
      <c r="F1664" s="36">
        <f t="shared" si="102"/>
        <v>10172.843086262403</v>
      </c>
      <c r="G1664" s="36">
        <f t="shared" si="103"/>
        <v>9746.6169727375946</v>
      </c>
      <c r="I1664" s="40">
        <v>9897.2998050000006</v>
      </c>
      <c r="J1664" s="36">
        <v>10172.843086262403</v>
      </c>
      <c r="K1664" s="36">
        <v>9746.6169727375946</v>
      </c>
    </row>
    <row r="1665" spans="1:11" x14ac:dyDescent="0.25">
      <c r="A1665" s="39">
        <v>42964</v>
      </c>
      <c r="B1665" s="36">
        <v>9904.1503909999992</v>
      </c>
      <c r="C1665" s="36">
        <f t="shared" si="100"/>
        <v>9959.9575685999989</v>
      </c>
      <c r="D1665" s="36">
        <f t="shared" si="101"/>
        <v>106.42614793907987</v>
      </c>
      <c r="E1665" s="40">
        <v>9904.1503909999992</v>
      </c>
      <c r="F1665" s="36">
        <f t="shared" si="102"/>
        <v>10172.809864478158</v>
      </c>
      <c r="G1665" s="36">
        <f t="shared" si="103"/>
        <v>9747.1052727218394</v>
      </c>
      <c r="I1665" s="40">
        <v>9904.1503909999992</v>
      </c>
      <c r="J1665" s="36">
        <v>10172.809864478158</v>
      </c>
      <c r="K1665" s="36">
        <v>9747.1052727218394</v>
      </c>
    </row>
    <row r="1666" spans="1:11" x14ac:dyDescent="0.25">
      <c r="A1666" s="39">
        <v>42965</v>
      </c>
      <c r="B1666" s="36">
        <v>9837.4003909999992</v>
      </c>
      <c r="C1666" s="36">
        <f t="shared" si="100"/>
        <v>9958.1625978999982</v>
      </c>
      <c r="D1666" s="36">
        <f t="shared" si="101"/>
        <v>108.25171196670212</v>
      </c>
      <c r="E1666" s="40">
        <v>9837.4003909999992</v>
      </c>
      <c r="F1666" s="36">
        <f t="shared" si="102"/>
        <v>10174.666021833402</v>
      </c>
      <c r="G1666" s="36">
        <f t="shared" si="103"/>
        <v>9741.6591739665946</v>
      </c>
      <c r="I1666" s="40">
        <v>9837.4003909999992</v>
      </c>
      <c r="J1666" s="36">
        <v>10174.666021833402</v>
      </c>
      <c r="K1666" s="36">
        <v>9741.6591739665946</v>
      </c>
    </row>
    <row r="1667" spans="1:11" x14ac:dyDescent="0.25">
      <c r="A1667" s="39">
        <v>42968</v>
      </c>
      <c r="B1667" s="36">
        <v>9754.3496090000008</v>
      </c>
      <c r="C1667" s="36">
        <f t="shared" si="100"/>
        <v>9950.1175783499984</v>
      </c>
      <c r="D1667" s="36">
        <f t="shared" si="101"/>
        <v>117.21640497844402</v>
      </c>
      <c r="E1667" s="40">
        <v>9754.3496090000008</v>
      </c>
      <c r="F1667" s="36">
        <f t="shared" si="102"/>
        <v>10184.550388306887</v>
      </c>
      <c r="G1667" s="36">
        <f t="shared" si="103"/>
        <v>9715.6847683931101</v>
      </c>
      <c r="I1667" s="40">
        <v>9754.3496090000008</v>
      </c>
      <c r="J1667" s="36">
        <v>10184.550388306887</v>
      </c>
      <c r="K1667" s="36">
        <v>9715.6847683931101</v>
      </c>
    </row>
    <row r="1668" spans="1:11" x14ac:dyDescent="0.25">
      <c r="A1668" s="39">
        <v>42969</v>
      </c>
      <c r="B1668" s="36">
        <v>9765.5498050000006</v>
      </c>
      <c r="C1668" s="36">
        <f t="shared" si="100"/>
        <v>9940.0750490499995</v>
      </c>
      <c r="D1668" s="36">
        <f t="shared" si="101"/>
        <v>124.14700780719096</v>
      </c>
      <c r="E1668" s="40">
        <v>9765.5498050000006</v>
      </c>
      <c r="F1668" s="36">
        <f t="shared" si="102"/>
        <v>10188.369064664381</v>
      </c>
      <c r="G1668" s="36">
        <f t="shared" si="103"/>
        <v>9691.7810334356182</v>
      </c>
      <c r="I1668" s="40">
        <v>9765.5498050000006</v>
      </c>
      <c r="J1668" s="36">
        <v>10188.369064664381</v>
      </c>
      <c r="K1668" s="36">
        <v>9691.7810334356182</v>
      </c>
    </row>
    <row r="1669" spans="1:11" x14ac:dyDescent="0.25">
      <c r="A1669" s="39">
        <v>42970</v>
      </c>
      <c r="B1669" s="36">
        <v>9852.5</v>
      </c>
      <c r="C1669" s="36">
        <f t="shared" si="100"/>
        <v>9934.4725588000001</v>
      </c>
      <c r="D1669" s="36">
        <f t="shared" si="101"/>
        <v>125.50523767627074</v>
      </c>
      <c r="E1669" s="40">
        <v>9852.5</v>
      </c>
      <c r="F1669" s="36">
        <f t="shared" si="102"/>
        <v>10185.483034152541</v>
      </c>
      <c r="G1669" s="36">
        <f t="shared" si="103"/>
        <v>9683.462083447459</v>
      </c>
      <c r="I1669" s="40">
        <v>9852.5</v>
      </c>
      <c r="J1669" s="36">
        <v>10185.483034152541</v>
      </c>
      <c r="K1669" s="36">
        <v>9683.462083447459</v>
      </c>
    </row>
    <row r="1670" spans="1:11" x14ac:dyDescent="0.25">
      <c r="A1670" s="39">
        <v>42971</v>
      </c>
      <c r="B1670" s="36">
        <v>9857.0498050000006</v>
      </c>
      <c r="C1670" s="36">
        <f t="shared" si="100"/>
        <v>9926.2925294999986</v>
      </c>
      <c r="D1670" s="36">
        <f t="shared" si="101"/>
        <v>124.92295213991402</v>
      </c>
      <c r="E1670" s="40">
        <v>9857.0498050000006</v>
      </c>
      <c r="F1670" s="36">
        <f t="shared" si="102"/>
        <v>10176.138433779826</v>
      </c>
      <c r="G1670" s="36">
        <f t="shared" si="103"/>
        <v>9676.446625220171</v>
      </c>
      <c r="I1670" s="40">
        <v>9857.0498050000006</v>
      </c>
      <c r="J1670" s="36">
        <v>10176.138433779826</v>
      </c>
      <c r="K1670" s="36">
        <v>9676.446625220171</v>
      </c>
    </row>
    <row r="1671" spans="1:11" x14ac:dyDescent="0.25">
      <c r="A1671" s="39">
        <v>42975</v>
      </c>
      <c r="B1671" s="36">
        <v>9912.7998050000006</v>
      </c>
      <c r="C1671" s="36">
        <f t="shared" si="100"/>
        <v>9920.9050294999997</v>
      </c>
      <c r="D1671" s="36">
        <f t="shared" si="101"/>
        <v>122.95190586490222</v>
      </c>
      <c r="E1671" s="40">
        <v>9912.7998050000006</v>
      </c>
      <c r="F1671" s="36">
        <f t="shared" si="102"/>
        <v>10166.808841229804</v>
      </c>
      <c r="G1671" s="36">
        <f t="shared" si="103"/>
        <v>9675.0012177701956</v>
      </c>
      <c r="I1671" s="40">
        <v>9912.7998050000006</v>
      </c>
      <c r="J1671" s="36">
        <v>10166.808841229804</v>
      </c>
      <c r="K1671" s="36">
        <v>9675.0012177701956</v>
      </c>
    </row>
    <row r="1672" spans="1:11" x14ac:dyDescent="0.25">
      <c r="A1672" s="39">
        <v>42976</v>
      </c>
      <c r="B1672" s="36">
        <v>9796.0498050000006</v>
      </c>
      <c r="C1672" s="36">
        <f t="shared" si="100"/>
        <v>9909.9825197499995</v>
      </c>
      <c r="D1672" s="36">
        <f t="shared" si="101"/>
        <v>123.89916021925508</v>
      </c>
      <c r="E1672" s="40">
        <v>9796.0498050000006</v>
      </c>
      <c r="F1672" s="36">
        <f t="shared" si="102"/>
        <v>10157.78084018851</v>
      </c>
      <c r="G1672" s="36">
        <f t="shared" si="103"/>
        <v>9662.1841993114886</v>
      </c>
      <c r="I1672" s="40">
        <v>9796.0498050000006</v>
      </c>
      <c r="J1672" s="36">
        <v>10157.78084018851</v>
      </c>
      <c r="K1672" s="36">
        <v>9662.1841993114886</v>
      </c>
    </row>
    <row r="1673" spans="1:11" x14ac:dyDescent="0.25">
      <c r="A1673" s="39">
        <v>42977</v>
      </c>
      <c r="B1673" s="36">
        <v>9884.4003909999992</v>
      </c>
      <c r="C1673" s="36">
        <f t="shared" si="100"/>
        <v>9900.3475588499987</v>
      </c>
      <c r="D1673" s="36">
        <f t="shared" si="101"/>
        <v>117.54925295130651</v>
      </c>
      <c r="E1673" s="40">
        <v>9884.4003909999992</v>
      </c>
      <c r="F1673" s="36">
        <f t="shared" si="102"/>
        <v>10135.446064752612</v>
      </c>
      <c r="G1673" s="36">
        <f t="shared" si="103"/>
        <v>9665.2490529473853</v>
      </c>
      <c r="I1673" s="40">
        <v>9884.4003909999992</v>
      </c>
      <c r="J1673" s="36">
        <v>10135.446064752612</v>
      </c>
      <c r="K1673" s="36">
        <v>9665.2490529473853</v>
      </c>
    </row>
    <row r="1674" spans="1:11" x14ac:dyDescent="0.25">
      <c r="A1674" s="39">
        <v>42978</v>
      </c>
      <c r="B1674" s="36">
        <v>9917.9003909999992</v>
      </c>
      <c r="C1674" s="36">
        <f t="shared" si="100"/>
        <v>9890.510058849999</v>
      </c>
      <c r="D1674" s="36">
        <f t="shared" si="101"/>
        <v>106.37213239199194</v>
      </c>
      <c r="E1674" s="40">
        <v>9917.9003909999992</v>
      </c>
      <c r="F1674" s="36">
        <f t="shared" si="102"/>
        <v>10103.254323633982</v>
      </c>
      <c r="G1674" s="36">
        <f t="shared" si="103"/>
        <v>9677.7657940660156</v>
      </c>
      <c r="I1674" s="40">
        <v>9917.9003909999992</v>
      </c>
      <c r="J1674" s="36">
        <v>10103.254323633982</v>
      </c>
      <c r="K1674" s="36">
        <v>9677.7657940660156</v>
      </c>
    </row>
    <row r="1675" spans="1:11" x14ac:dyDescent="0.25">
      <c r="A1675" s="39">
        <v>42979</v>
      </c>
      <c r="B1675" s="36">
        <v>9974.4003909999992</v>
      </c>
      <c r="C1675" s="36">
        <f t="shared" si="100"/>
        <v>9885.1550783999992</v>
      </c>
      <c r="D1675" s="36">
        <f t="shared" si="101"/>
        <v>98.66810243867512</v>
      </c>
      <c r="E1675" s="40">
        <v>9974.4003909999992</v>
      </c>
      <c r="F1675" s="36">
        <f t="shared" si="102"/>
        <v>10082.49128327735</v>
      </c>
      <c r="G1675" s="36">
        <f t="shared" si="103"/>
        <v>9687.8188735226486</v>
      </c>
      <c r="I1675" s="40">
        <v>9974.4003909999992</v>
      </c>
      <c r="J1675" s="36">
        <v>10082.49128327735</v>
      </c>
      <c r="K1675" s="36">
        <v>9687.8188735226486</v>
      </c>
    </row>
    <row r="1676" spans="1:11" x14ac:dyDescent="0.25">
      <c r="A1676" s="39">
        <v>42982</v>
      </c>
      <c r="B1676" s="36">
        <v>9912.8496090000008</v>
      </c>
      <c r="C1676" s="36">
        <f t="shared" si="100"/>
        <v>9880.1150392999989</v>
      </c>
      <c r="D1676" s="36">
        <f t="shared" si="101"/>
        <v>94.233862535972079</v>
      </c>
      <c r="E1676" s="40">
        <v>9912.8496090000008</v>
      </c>
      <c r="F1676" s="36">
        <f t="shared" si="102"/>
        <v>10068.582764371942</v>
      </c>
      <c r="G1676" s="36">
        <f t="shared" si="103"/>
        <v>9691.6473142280556</v>
      </c>
      <c r="I1676" s="40">
        <v>9912.8496090000008</v>
      </c>
      <c r="J1676" s="36">
        <v>10068.582764371942</v>
      </c>
      <c r="K1676" s="36">
        <v>9691.6473142280556</v>
      </c>
    </row>
    <row r="1677" spans="1:11" x14ac:dyDescent="0.25">
      <c r="A1677" s="39">
        <v>42983</v>
      </c>
      <c r="B1677" s="36">
        <v>9952.2001949999994</v>
      </c>
      <c r="C1677" s="36">
        <f t="shared" si="100"/>
        <v>9874.4050295000015</v>
      </c>
      <c r="D1677" s="36">
        <f t="shared" si="101"/>
        <v>85.397630096692822</v>
      </c>
      <c r="E1677" s="40">
        <v>9952.2001949999994</v>
      </c>
      <c r="F1677" s="36">
        <f t="shared" si="102"/>
        <v>10045.200289693386</v>
      </c>
      <c r="G1677" s="36">
        <f t="shared" si="103"/>
        <v>9703.6097693066167</v>
      </c>
      <c r="I1677" s="40">
        <v>9952.2001949999994</v>
      </c>
      <c r="J1677" s="36">
        <v>10045.200289693386</v>
      </c>
      <c r="K1677" s="36">
        <v>9703.6097693066167</v>
      </c>
    </row>
    <row r="1678" spans="1:11" x14ac:dyDescent="0.25">
      <c r="A1678" s="39">
        <v>42984</v>
      </c>
      <c r="B1678" s="36">
        <v>9916.2001949999994</v>
      </c>
      <c r="C1678" s="36">
        <f t="shared" si="100"/>
        <v>9867.345019700002</v>
      </c>
      <c r="D1678" s="36">
        <f t="shared" si="101"/>
        <v>74.630672422210665</v>
      </c>
      <c r="E1678" s="40">
        <v>9916.2001949999994</v>
      </c>
      <c r="F1678" s="36">
        <f t="shared" si="102"/>
        <v>10016.606364544423</v>
      </c>
      <c r="G1678" s="36">
        <f t="shared" si="103"/>
        <v>9718.0836748555812</v>
      </c>
      <c r="I1678" s="40">
        <v>9916.2001949999994</v>
      </c>
      <c r="J1678" s="36">
        <v>10016.606364544423</v>
      </c>
      <c r="K1678" s="36">
        <v>9718.0836748555812</v>
      </c>
    </row>
    <row r="1679" spans="1:11" x14ac:dyDescent="0.25">
      <c r="A1679" s="39">
        <v>42985</v>
      </c>
      <c r="B1679" s="36">
        <v>9929.9003909999992</v>
      </c>
      <c r="C1679" s="36">
        <f t="shared" si="100"/>
        <v>9864.9125490000024</v>
      </c>
      <c r="D1679" s="36">
        <f t="shared" si="101"/>
        <v>71.544369739995076</v>
      </c>
      <c r="E1679" s="40">
        <v>9929.9003909999992</v>
      </c>
      <c r="F1679" s="36">
        <f t="shared" si="102"/>
        <v>10008.001288479993</v>
      </c>
      <c r="G1679" s="36">
        <f t="shared" si="103"/>
        <v>9721.8238095200122</v>
      </c>
      <c r="I1679" s="40">
        <v>9929.9003909999992</v>
      </c>
      <c r="J1679" s="36">
        <v>10008.001288479993</v>
      </c>
      <c r="K1679" s="36">
        <v>9721.8238095200122</v>
      </c>
    </row>
    <row r="1680" spans="1:11" x14ac:dyDescent="0.25">
      <c r="A1680" s="39">
        <v>42986</v>
      </c>
      <c r="B1680" s="36">
        <v>9934.7998050000006</v>
      </c>
      <c r="C1680" s="36">
        <f t="shared" si="100"/>
        <v>9866.2500490000002</v>
      </c>
      <c r="D1680" s="36">
        <f t="shared" si="101"/>
        <v>72.634980538729039</v>
      </c>
      <c r="E1680" s="40">
        <v>9934.7998050000006</v>
      </c>
      <c r="F1680" s="36">
        <f t="shared" si="102"/>
        <v>10011.520010077458</v>
      </c>
      <c r="G1680" s="36">
        <f t="shared" si="103"/>
        <v>9720.9800879225422</v>
      </c>
      <c r="I1680" s="40">
        <v>9934.7998050000006</v>
      </c>
      <c r="J1680" s="36">
        <v>10011.520010077458</v>
      </c>
      <c r="K1680" s="36">
        <v>9720.9800879225422</v>
      </c>
    </row>
    <row r="1681" spans="1:11" x14ac:dyDescent="0.25">
      <c r="A1681" s="39">
        <v>42989</v>
      </c>
      <c r="B1681" s="36">
        <v>10006.049805000001</v>
      </c>
      <c r="C1681" s="36">
        <f t="shared" si="100"/>
        <v>9875.5400392499996</v>
      </c>
      <c r="D1681" s="36">
        <f t="shared" si="101"/>
        <v>78.116935441320351</v>
      </c>
      <c r="E1681" s="40">
        <v>10006.049805000001</v>
      </c>
      <c r="F1681" s="36">
        <f t="shared" si="102"/>
        <v>10031.773910132641</v>
      </c>
      <c r="G1681" s="36">
        <f t="shared" si="103"/>
        <v>9719.3061683673586</v>
      </c>
      <c r="I1681" s="40">
        <v>10006.049805000001</v>
      </c>
      <c r="J1681" s="36">
        <v>10031.773910132641</v>
      </c>
      <c r="K1681" s="36">
        <v>9719.3061683673586</v>
      </c>
    </row>
    <row r="1682" spans="1:11" x14ac:dyDescent="0.25">
      <c r="A1682" s="39">
        <v>42990</v>
      </c>
      <c r="B1682" s="36">
        <v>10093.049805000001</v>
      </c>
      <c r="C1682" s="36">
        <f t="shared" si="100"/>
        <v>9894.6525392500007</v>
      </c>
      <c r="D1682" s="36">
        <f t="shared" si="101"/>
        <v>82.337002215541688</v>
      </c>
      <c r="E1682" s="40">
        <v>10093.049805000001</v>
      </c>
      <c r="F1682" s="36">
        <f t="shared" si="102"/>
        <v>10059.326543681083</v>
      </c>
      <c r="G1682" s="36">
        <f t="shared" si="103"/>
        <v>9729.978534818918</v>
      </c>
      <c r="I1682" s="40">
        <v>10093.049805000001</v>
      </c>
      <c r="J1682" s="36">
        <v>10059.326543681083</v>
      </c>
      <c r="K1682" s="36">
        <v>9729.978534818918</v>
      </c>
    </row>
    <row r="1683" spans="1:11" x14ac:dyDescent="0.25">
      <c r="A1683" s="39">
        <v>42991</v>
      </c>
      <c r="B1683" s="36">
        <v>10079.299805000001</v>
      </c>
      <c r="C1683" s="36">
        <f t="shared" si="100"/>
        <v>9908.9100099499992</v>
      </c>
      <c r="D1683" s="36">
        <f t="shared" si="101"/>
        <v>88.477376910371618</v>
      </c>
      <c r="E1683" s="40">
        <v>10079.299805000001</v>
      </c>
      <c r="F1683" s="36">
        <f t="shared" si="102"/>
        <v>10085.864763770742</v>
      </c>
      <c r="G1683" s="36">
        <f t="shared" si="103"/>
        <v>9731.9552561292567</v>
      </c>
      <c r="I1683" s="40">
        <v>10079.299805000001</v>
      </c>
      <c r="J1683" s="36">
        <v>10085.864763770742</v>
      </c>
      <c r="K1683" s="36">
        <v>9731.9552561292567</v>
      </c>
    </row>
    <row r="1684" spans="1:11" x14ac:dyDescent="0.25">
      <c r="A1684" s="39">
        <v>42992</v>
      </c>
      <c r="B1684" s="36">
        <v>10086.599609000001</v>
      </c>
      <c r="C1684" s="36">
        <f t="shared" si="100"/>
        <v>9918.3750001499975</v>
      </c>
      <c r="D1684" s="36">
        <f t="shared" si="101"/>
        <v>96.894884508856009</v>
      </c>
      <c r="E1684" s="40">
        <v>10086.599609000001</v>
      </c>
      <c r="F1684" s="36">
        <f t="shared" si="102"/>
        <v>10112.16476916771</v>
      </c>
      <c r="G1684" s="36">
        <f t="shared" si="103"/>
        <v>9724.5852311322851</v>
      </c>
      <c r="I1684" s="40">
        <v>10086.599609000001</v>
      </c>
      <c r="J1684" s="36">
        <v>10112.16476916771</v>
      </c>
      <c r="K1684" s="36">
        <v>9724.5852311322851</v>
      </c>
    </row>
    <row r="1685" spans="1:11" x14ac:dyDescent="0.25">
      <c r="A1685" s="39">
        <v>42993</v>
      </c>
      <c r="B1685" s="36">
        <v>10085.400390999999</v>
      </c>
      <c r="C1685" s="36">
        <f t="shared" si="100"/>
        <v>9927.4375001499975</v>
      </c>
      <c r="D1685" s="36">
        <f t="shared" si="101"/>
        <v>103.72948568114717</v>
      </c>
      <c r="E1685" s="40">
        <v>10085.400390999999</v>
      </c>
      <c r="F1685" s="36">
        <f t="shared" si="102"/>
        <v>10134.896471512291</v>
      </c>
      <c r="G1685" s="36">
        <f t="shared" si="103"/>
        <v>9719.9785287877039</v>
      </c>
      <c r="I1685" s="40">
        <v>10085.400390999999</v>
      </c>
      <c r="J1685" s="36">
        <v>10134.896471512291</v>
      </c>
      <c r="K1685" s="36">
        <v>9719.9785287877039</v>
      </c>
    </row>
    <row r="1686" spans="1:11" x14ac:dyDescent="0.25">
      <c r="A1686" s="39">
        <v>42996</v>
      </c>
      <c r="B1686" s="36">
        <v>10153.099609000001</v>
      </c>
      <c r="C1686" s="36">
        <f t="shared" ref="C1686:C1749" si="104">AVERAGE(B1667:B1686)</f>
        <v>9943.2224610499979</v>
      </c>
      <c r="D1686" s="36">
        <f t="shared" ref="D1686:D1749" si="105">_xlfn.STDEV.S(B1667:B1686)</f>
        <v>112.92049469662524</v>
      </c>
      <c r="E1686" s="40">
        <v>10153.099609000001</v>
      </c>
      <c r="F1686" s="36">
        <f t="shared" ref="F1686:F1749" si="106">C1686+2*D1686</f>
        <v>10169.063450443249</v>
      </c>
      <c r="G1686" s="36">
        <f t="shared" ref="G1686:G1749" si="107">C1686-2*D1686</f>
        <v>9717.3814716567467</v>
      </c>
      <c r="I1686" s="40">
        <v>10153.099609000001</v>
      </c>
      <c r="J1686" s="36">
        <v>10169.063450443249</v>
      </c>
      <c r="K1686" s="36">
        <v>9717.3814716567467</v>
      </c>
    </row>
    <row r="1687" spans="1:11" x14ac:dyDescent="0.25">
      <c r="A1687" s="39">
        <v>42997</v>
      </c>
      <c r="B1687" s="36">
        <v>10147.549805000001</v>
      </c>
      <c r="C1687" s="36">
        <f t="shared" si="104"/>
        <v>9962.8824708499997</v>
      </c>
      <c r="D1687" s="36">
        <f t="shared" si="105"/>
        <v>112.5344658001365</v>
      </c>
      <c r="E1687" s="40">
        <v>10147.549805000001</v>
      </c>
      <c r="F1687" s="36">
        <f t="shared" si="106"/>
        <v>10187.951402450273</v>
      </c>
      <c r="G1687" s="36">
        <f t="shared" si="107"/>
        <v>9737.8135392497261</v>
      </c>
      <c r="I1687" s="40">
        <v>10147.549805000001</v>
      </c>
      <c r="J1687" s="36">
        <v>10187.951402450273</v>
      </c>
      <c r="K1687" s="36">
        <v>9737.8135392497261</v>
      </c>
    </row>
    <row r="1688" spans="1:11" x14ac:dyDescent="0.25">
      <c r="A1688" s="39">
        <v>42998</v>
      </c>
      <c r="B1688" s="36">
        <v>10141.150390999999</v>
      </c>
      <c r="C1688" s="36">
        <f t="shared" si="104"/>
        <v>9981.6625001499997</v>
      </c>
      <c r="D1688" s="36">
        <f t="shared" si="105"/>
        <v>109.15985241318096</v>
      </c>
      <c r="E1688" s="40">
        <v>10141.150390999999</v>
      </c>
      <c r="F1688" s="36">
        <f t="shared" si="106"/>
        <v>10199.982204976362</v>
      </c>
      <c r="G1688" s="36">
        <f t="shared" si="107"/>
        <v>9763.3427953236369</v>
      </c>
      <c r="I1688" s="40">
        <v>10141.150390999999</v>
      </c>
      <c r="J1688" s="36">
        <v>10199.982204976362</v>
      </c>
      <c r="K1688" s="36">
        <v>9763.3427953236369</v>
      </c>
    </row>
    <row r="1689" spans="1:11" x14ac:dyDescent="0.25">
      <c r="A1689" s="39">
        <v>42999</v>
      </c>
      <c r="B1689" s="36">
        <v>10121.900390999999</v>
      </c>
      <c r="C1689" s="36">
        <f t="shared" si="104"/>
        <v>9995.1325197000006</v>
      </c>
      <c r="D1689" s="36">
        <f t="shared" si="105"/>
        <v>109.00422016214529</v>
      </c>
      <c r="E1689" s="40">
        <v>10121.900390999999</v>
      </c>
      <c r="F1689" s="36">
        <f t="shared" si="106"/>
        <v>10213.140960024291</v>
      </c>
      <c r="G1689" s="36">
        <f t="shared" si="107"/>
        <v>9777.1240793757097</v>
      </c>
      <c r="I1689" s="40">
        <v>10121.900390999999</v>
      </c>
      <c r="J1689" s="36">
        <v>10213.140960024291</v>
      </c>
      <c r="K1689" s="36">
        <v>9777.1240793757097</v>
      </c>
    </row>
    <row r="1690" spans="1:11" x14ac:dyDescent="0.25">
      <c r="A1690" s="39">
        <v>43000</v>
      </c>
      <c r="B1690" s="36">
        <v>9964.4003909999992</v>
      </c>
      <c r="C1690" s="36">
        <f t="shared" si="104"/>
        <v>10000.500049</v>
      </c>
      <c r="D1690" s="36">
        <f t="shared" si="105"/>
        <v>104.39245296117618</v>
      </c>
      <c r="E1690" s="40">
        <v>9964.4003909999992</v>
      </c>
      <c r="F1690" s="36">
        <f t="shared" si="106"/>
        <v>10209.284954922352</v>
      </c>
      <c r="G1690" s="36">
        <f t="shared" si="107"/>
        <v>9791.7151430776485</v>
      </c>
      <c r="I1690" s="40">
        <v>9964.4003909999992</v>
      </c>
      <c r="J1690" s="36">
        <v>10209.284954922352</v>
      </c>
      <c r="K1690" s="36">
        <v>9791.7151430776485</v>
      </c>
    </row>
    <row r="1691" spans="1:11" x14ac:dyDescent="0.25">
      <c r="A1691" s="39">
        <v>43003</v>
      </c>
      <c r="B1691" s="36">
        <v>9872.5996090000008</v>
      </c>
      <c r="C1691" s="36">
        <f t="shared" si="104"/>
        <v>9998.4900392</v>
      </c>
      <c r="D1691" s="36">
        <f t="shared" si="105"/>
        <v>106.53496768083836</v>
      </c>
      <c r="E1691" s="40">
        <v>9872.5996090000008</v>
      </c>
      <c r="F1691" s="36">
        <f t="shared" si="106"/>
        <v>10211.559974561676</v>
      </c>
      <c r="G1691" s="36">
        <f t="shared" si="107"/>
        <v>9785.4201038383235</v>
      </c>
      <c r="I1691" s="40">
        <v>9872.5996090000008</v>
      </c>
      <c r="J1691" s="36">
        <v>10211.559974561676</v>
      </c>
      <c r="K1691" s="36">
        <v>9785.4201038383235</v>
      </c>
    </row>
    <row r="1692" spans="1:11" x14ac:dyDescent="0.25">
      <c r="A1692" s="39">
        <v>43004</v>
      </c>
      <c r="B1692" s="36">
        <v>9871.5</v>
      </c>
      <c r="C1692" s="36">
        <f t="shared" si="104"/>
        <v>10002.262548950001</v>
      </c>
      <c r="D1692" s="36">
        <f t="shared" si="105"/>
        <v>100.13256278637473</v>
      </c>
      <c r="E1692" s="40">
        <v>9871.5</v>
      </c>
      <c r="F1692" s="36">
        <f t="shared" si="106"/>
        <v>10202.527674522749</v>
      </c>
      <c r="G1692" s="36">
        <f t="shared" si="107"/>
        <v>9801.9974233772518</v>
      </c>
      <c r="I1692" s="40">
        <v>9871.5</v>
      </c>
      <c r="J1692" s="36">
        <v>10202.527674522749</v>
      </c>
      <c r="K1692" s="36">
        <v>9801.9974233772518</v>
      </c>
    </row>
    <row r="1693" spans="1:11" x14ac:dyDescent="0.25">
      <c r="A1693" s="39">
        <v>43005</v>
      </c>
      <c r="B1693" s="36">
        <v>9735.75</v>
      </c>
      <c r="C1693" s="36">
        <f t="shared" si="104"/>
        <v>9994.8300294000001</v>
      </c>
      <c r="D1693" s="36">
        <f t="shared" si="105"/>
        <v>113.9105549397954</v>
      </c>
      <c r="E1693" s="40">
        <v>9735.75</v>
      </c>
      <c r="F1693" s="36">
        <f t="shared" si="106"/>
        <v>10222.651139279591</v>
      </c>
      <c r="G1693" s="36">
        <f t="shared" si="107"/>
        <v>9767.0089195204091</v>
      </c>
      <c r="I1693" s="40">
        <v>9735.75</v>
      </c>
      <c r="J1693" s="36">
        <v>10222.651139279591</v>
      </c>
      <c r="K1693" s="36">
        <v>9767.0089195204091</v>
      </c>
    </row>
    <row r="1694" spans="1:11" x14ac:dyDescent="0.25">
      <c r="A1694" s="39">
        <v>43006</v>
      </c>
      <c r="B1694" s="36">
        <v>9768.9501949999994</v>
      </c>
      <c r="C1694" s="36">
        <f t="shared" si="104"/>
        <v>9987.3825195999998</v>
      </c>
      <c r="D1694" s="36">
        <f t="shared" si="105"/>
        <v>123.65718705291356</v>
      </c>
      <c r="E1694" s="40">
        <v>9768.9501949999994</v>
      </c>
      <c r="F1694" s="36">
        <f t="shared" si="106"/>
        <v>10234.696893705826</v>
      </c>
      <c r="G1694" s="36">
        <f t="shared" si="107"/>
        <v>9740.0681454941732</v>
      </c>
      <c r="I1694" s="40">
        <v>9768.9501949999994</v>
      </c>
      <c r="J1694" s="36">
        <v>10234.696893705826</v>
      </c>
      <c r="K1694" s="36">
        <v>9740.0681454941732</v>
      </c>
    </row>
    <row r="1695" spans="1:11" x14ac:dyDescent="0.25">
      <c r="A1695" s="39">
        <v>43007</v>
      </c>
      <c r="B1695" s="36">
        <v>9788.5996090000008</v>
      </c>
      <c r="C1695" s="36">
        <f t="shared" si="104"/>
        <v>9978.0924804999995</v>
      </c>
      <c r="D1695" s="36">
        <f t="shared" si="105"/>
        <v>131.41955947530383</v>
      </c>
      <c r="E1695" s="40">
        <v>9788.5996090000008</v>
      </c>
      <c r="F1695" s="36">
        <f t="shared" si="106"/>
        <v>10240.931599450607</v>
      </c>
      <c r="G1695" s="36">
        <f t="shared" si="107"/>
        <v>9715.2533615493921</v>
      </c>
      <c r="I1695" s="40">
        <v>9788.5996090000008</v>
      </c>
      <c r="J1695" s="36">
        <v>10240.931599450607</v>
      </c>
      <c r="K1695" s="36">
        <v>9715.2533615493921</v>
      </c>
    </row>
    <row r="1696" spans="1:11" x14ac:dyDescent="0.25">
      <c r="A1696" s="39">
        <v>43011</v>
      </c>
      <c r="B1696" s="36">
        <v>9859.5</v>
      </c>
      <c r="C1696" s="36">
        <f t="shared" si="104"/>
        <v>9975.4250000499997</v>
      </c>
      <c r="D1696" s="36">
        <f t="shared" si="105"/>
        <v>133.34090594205878</v>
      </c>
      <c r="E1696" s="40">
        <v>9859.5</v>
      </c>
      <c r="F1696" s="36">
        <f t="shared" si="106"/>
        <v>10242.106811934118</v>
      </c>
      <c r="G1696" s="36">
        <f t="shared" si="107"/>
        <v>9708.7431881658813</v>
      </c>
      <c r="I1696" s="40">
        <v>9859.5</v>
      </c>
      <c r="J1696" s="36">
        <v>10242.106811934118</v>
      </c>
      <c r="K1696" s="36">
        <v>9708.7431881658813</v>
      </c>
    </row>
    <row r="1697" spans="1:11" x14ac:dyDescent="0.25">
      <c r="A1697" s="39">
        <v>43012</v>
      </c>
      <c r="B1697" s="36">
        <v>9914.9003909999992</v>
      </c>
      <c r="C1697" s="36">
        <f t="shared" si="104"/>
        <v>9973.5600098500017</v>
      </c>
      <c r="D1697" s="36">
        <f t="shared" si="105"/>
        <v>133.94233238965847</v>
      </c>
      <c r="E1697" s="40">
        <v>9914.9003909999992</v>
      </c>
      <c r="F1697" s="36">
        <f t="shared" si="106"/>
        <v>10241.444674629318</v>
      </c>
      <c r="G1697" s="36">
        <f t="shared" si="107"/>
        <v>9705.6753450706856</v>
      </c>
      <c r="I1697" s="40">
        <v>9914.9003909999992</v>
      </c>
      <c r="J1697" s="36">
        <v>10241.444674629318</v>
      </c>
      <c r="K1697" s="36">
        <v>9705.6753450706856</v>
      </c>
    </row>
    <row r="1698" spans="1:11" x14ac:dyDescent="0.25">
      <c r="A1698" s="39">
        <v>43013</v>
      </c>
      <c r="B1698" s="36">
        <v>9888.7001949999994</v>
      </c>
      <c r="C1698" s="36">
        <f t="shared" si="104"/>
        <v>9972.1850098500036</v>
      </c>
      <c r="D1698" s="36">
        <f t="shared" si="105"/>
        <v>134.70115988841516</v>
      </c>
      <c r="E1698" s="40">
        <v>9888.7001949999994</v>
      </c>
      <c r="F1698" s="36">
        <f t="shared" si="106"/>
        <v>10241.587329626835</v>
      </c>
      <c r="G1698" s="36">
        <f t="shared" si="107"/>
        <v>9702.7826900731725</v>
      </c>
      <c r="I1698" s="40">
        <v>9888.7001949999994</v>
      </c>
      <c r="J1698" s="36">
        <v>10241.587329626835</v>
      </c>
      <c r="K1698" s="36">
        <v>9702.7826900731725</v>
      </c>
    </row>
    <row r="1699" spans="1:11" x14ac:dyDescent="0.25">
      <c r="A1699" s="39">
        <v>43014</v>
      </c>
      <c r="B1699" s="36">
        <v>9979.7001949999994</v>
      </c>
      <c r="C1699" s="36">
        <f t="shared" si="104"/>
        <v>9974.6750000500015</v>
      </c>
      <c r="D1699" s="36">
        <f t="shared" si="105"/>
        <v>134.33817011028754</v>
      </c>
      <c r="E1699" s="40">
        <v>9979.7001949999994</v>
      </c>
      <c r="F1699" s="36">
        <f t="shared" si="106"/>
        <v>10243.351340270576</v>
      </c>
      <c r="G1699" s="36">
        <f t="shared" si="107"/>
        <v>9705.9986598294272</v>
      </c>
      <c r="I1699" s="40">
        <v>9979.7001949999994</v>
      </c>
      <c r="J1699" s="36">
        <v>10243.351340270576</v>
      </c>
      <c r="K1699" s="36">
        <v>9705.9986598294272</v>
      </c>
    </row>
    <row r="1700" spans="1:11" x14ac:dyDescent="0.25">
      <c r="A1700" s="39">
        <v>43017</v>
      </c>
      <c r="B1700" s="36">
        <v>9988.75</v>
      </c>
      <c r="C1700" s="36">
        <f t="shared" si="104"/>
        <v>9977.3725098000032</v>
      </c>
      <c r="D1700" s="36">
        <f t="shared" si="105"/>
        <v>134.03665608005196</v>
      </c>
      <c r="E1700" s="40">
        <v>9988.75</v>
      </c>
      <c r="F1700" s="36">
        <f t="shared" si="106"/>
        <v>10245.445821960107</v>
      </c>
      <c r="G1700" s="36">
        <f t="shared" si="107"/>
        <v>9709.2991976398989</v>
      </c>
      <c r="I1700" s="40">
        <v>9988.75</v>
      </c>
      <c r="J1700" s="36">
        <v>10245.445821960107</v>
      </c>
      <c r="K1700" s="36">
        <v>9709.2991976398989</v>
      </c>
    </row>
    <row r="1701" spans="1:11" x14ac:dyDescent="0.25">
      <c r="A1701" s="39">
        <v>43018</v>
      </c>
      <c r="B1701" s="36">
        <v>10016.950194999999</v>
      </c>
      <c r="C1701" s="36">
        <f t="shared" si="104"/>
        <v>9977.9175293000026</v>
      </c>
      <c r="D1701" s="36">
        <f t="shared" si="105"/>
        <v>134.18148418623878</v>
      </c>
      <c r="E1701" s="40">
        <v>10016.950194999999</v>
      </c>
      <c r="F1701" s="36">
        <f t="shared" si="106"/>
        <v>10246.28049767248</v>
      </c>
      <c r="G1701" s="36">
        <f t="shared" si="107"/>
        <v>9709.554560927525</v>
      </c>
      <c r="I1701" s="40">
        <v>10016.950194999999</v>
      </c>
      <c r="J1701" s="36">
        <v>10246.28049767248</v>
      </c>
      <c r="K1701" s="36">
        <v>9709.554560927525</v>
      </c>
    </row>
    <row r="1702" spans="1:11" x14ac:dyDescent="0.25">
      <c r="A1702" s="39">
        <v>43019</v>
      </c>
      <c r="B1702" s="36">
        <v>9984.7998050000006</v>
      </c>
      <c r="C1702" s="36">
        <f t="shared" si="104"/>
        <v>9972.5050293000022</v>
      </c>
      <c r="D1702" s="36">
        <f t="shared" si="105"/>
        <v>131.44836187563399</v>
      </c>
      <c r="E1702" s="40">
        <v>9984.7998050000006</v>
      </c>
      <c r="F1702" s="36">
        <f t="shared" si="106"/>
        <v>10235.40175305127</v>
      </c>
      <c r="G1702" s="36">
        <f t="shared" si="107"/>
        <v>9709.6083055487343</v>
      </c>
      <c r="I1702" s="40">
        <v>9984.7998050000006</v>
      </c>
      <c r="J1702" s="36">
        <v>10235.40175305127</v>
      </c>
      <c r="K1702" s="36">
        <v>9709.6083055487343</v>
      </c>
    </row>
    <row r="1703" spans="1:11" x14ac:dyDescent="0.25">
      <c r="A1703" s="39">
        <v>43020</v>
      </c>
      <c r="B1703" s="36">
        <v>10096.400390999999</v>
      </c>
      <c r="C1703" s="36">
        <f t="shared" si="104"/>
        <v>9973.3600586000011</v>
      </c>
      <c r="D1703" s="36">
        <f t="shared" si="105"/>
        <v>132.23286477149401</v>
      </c>
      <c r="E1703" s="40">
        <v>10096.400390999999</v>
      </c>
      <c r="F1703" s="36">
        <f t="shared" si="106"/>
        <v>10237.825788142989</v>
      </c>
      <c r="G1703" s="36">
        <f t="shared" si="107"/>
        <v>9708.8943290570132</v>
      </c>
      <c r="I1703" s="40">
        <v>10096.400390999999</v>
      </c>
      <c r="J1703" s="36">
        <v>10237.825788142989</v>
      </c>
      <c r="K1703" s="36">
        <v>9708.8943290570132</v>
      </c>
    </row>
    <row r="1704" spans="1:11" x14ac:dyDescent="0.25">
      <c r="A1704" s="39">
        <v>43021</v>
      </c>
      <c r="B1704" s="36">
        <v>10167.450194999999</v>
      </c>
      <c r="C1704" s="36">
        <f t="shared" si="104"/>
        <v>9977.4025879000019</v>
      </c>
      <c r="D1704" s="36">
        <f t="shared" si="105"/>
        <v>137.02593384926445</v>
      </c>
      <c r="E1704" s="40">
        <v>10167.450194999999</v>
      </c>
      <c r="F1704" s="36">
        <f t="shared" si="106"/>
        <v>10251.45445559853</v>
      </c>
      <c r="G1704" s="36">
        <f t="shared" si="107"/>
        <v>9703.3507202014735</v>
      </c>
      <c r="I1704" s="40">
        <v>10167.450194999999</v>
      </c>
      <c r="J1704" s="36">
        <v>10251.45445559853</v>
      </c>
      <c r="K1704" s="36">
        <v>9703.3507202014735</v>
      </c>
    </row>
    <row r="1705" spans="1:11" x14ac:dyDescent="0.25">
      <c r="A1705" s="39">
        <v>43024</v>
      </c>
      <c r="B1705" s="36">
        <v>10230.849609000001</v>
      </c>
      <c r="C1705" s="36">
        <f t="shared" si="104"/>
        <v>9984.6750487999998</v>
      </c>
      <c r="D1705" s="36">
        <f t="shared" si="105"/>
        <v>146.5857244570193</v>
      </c>
      <c r="E1705" s="40">
        <v>10230.849609000001</v>
      </c>
      <c r="F1705" s="36">
        <f t="shared" si="106"/>
        <v>10277.846497714039</v>
      </c>
      <c r="G1705" s="36">
        <f t="shared" si="107"/>
        <v>9691.5035998859603</v>
      </c>
      <c r="I1705" s="40">
        <v>10230.849609000001</v>
      </c>
      <c r="J1705" s="36">
        <v>10277.846497714039</v>
      </c>
      <c r="K1705" s="36">
        <v>9691.5035998859603</v>
      </c>
    </row>
    <row r="1706" spans="1:11" x14ac:dyDescent="0.25">
      <c r="A1706" s="39">
        <v>43025</v>
      </c>
      <c r="B1706" s="36">
        <v>10234.450194999999</v>
      </c>
      <c r="C1706" s="36">
        <f t="shared" si="104"/>
        <v>9988.7425781000002</v>
      </c>
      <c r="D1706" s="36">
        <f t="shared" si="105"/>
        <v>152.51402230023496</v>
      </c>
      <c r="E1706" s="40">
        <v>10234.450194999999</v>
      </c>
      <c r="F1706" s="36">
        <f t="shared" si="106"/>
        <v>10293.770622700471</v>
      </c>
      <c r="G1706" s="36">
        <f t="shared" si="107"/>
        <v>9683.7145334995294</v>
      </c>
      <c r="I1706" s="40">
        <v>10234.450194999999</v>
      </c>
      <c r="J1706" s="36">
        <v>10293.770622700471</v>
      </c>
      <c r="K1706" s="36">
        <v>9683.7145334995294</v>
      </c>
    </row>
    <row r="1707" spans="1:11" x14ac:dyDescent="0.25">
      <c r="A1707" s="39">
        <v>43026</v>
      </c>
      <c r="B1707" s="36">
        <v>10210.849609000001</v>
      </c>
      <c r="C1707" s="36">
        <f t="shared" si="104"/>
        <v>9991.907568300001</v>
      </c>
      <c r="D1707" s="36">
        <f t="shared" si="105"/>
        <v>156.58551851539355</v>
      </c>
      <c r="E1707" s="40">
        <v>10210.849609000001</v>
      </c>
      <c r="F1707" s="36">
        <f t="shared" si="106"/>
        <v>10305.078605330787</v>
      </c>
      <c r="G1707" s="36">
        <f t="shared" si="107"/>
        <v>9678.7365312692145</v>
      </c>
      <c r="I1707" s="40">
        <v>10210.849609000001</v>
      </c>
      <c r="J1707" s="36">
        <v>10305.078605330787</v>
      </c>
      <c r="K1707" s="36">
        <v>9678.7365312692145</v>
      </c>
    </row>
    <row r="1708" spans="1:11" x14ac:dyDescent="0.25">
      <c r="A1708" s="39">
        <v>43027</v>
      </c>
      <c r="B1708" s="36">
        <v>10146.549805000001</v>
      </c>
      <c r="C1708" s="36">
        <f t="shared" si="104"/>
        <v>9992.1775390000003</v>
      </c>
      <c r="D1708" s="36">
        <f t="shared" si="105"/>
        <v>156.86078492970447</v>
      </c>
      <c r="E1708" s="40">
        <v>10146.549805000001</v>
      </c>
      <c r="F1708" s="36">
        <f t="shared" si="106"/>
        <v>10305.899108859408</v>
      </c>
      <c r="G1708" s="36">
        <f t="shared" si="107"/>
        <v>9678.4559691405921</v>
      </c>
      <c r="I1708" s="40">
        <v>10146.549805000001</v>
      </c>
      <c r="J1708" s="36">
        <v>10305.899108859408</v>
      </c>
      <c r="K1708" s="36">
        <v>9678.4559691405921</v>
      </c>
    </row>
    <row r="1709" spans="1:11" x14ac:dyDescent="0.25">
      <c r="A1709" s="39">
        <v>43031</v>
      </c>
      <c r="B1709" s="36">
        <v>10184.849609000001</v>
      </c>
      <c r="C1709" s="36">
        <f t="shared" si="104"/>
        <v>9995.3249999</v>
      </c>
      <c r="D1709" s="36">
        <f t="shared" si="105"/>
        <v>160.19678509672963</v>
      </c>
      <c r="E1709" s="40">
        <v>10184.849609000001</v>
      </c>
      <c r="F1709" s="36">
        <f t="shared" si="106"/>
        <v>10315.718570093459</v>
      </c>
      <c r="G1709" s="36">
        <f t="shared" si="107"/>
        <v>9674.9314297065412</v>
      </c>
      <c r="I1709" s="40">
        <v>10184.849609000001</v>
      </c>
      <c r="J1709" s="36">
        <v>10315.718570093459</v>
      </c>
      <c r="K1709" s="36">
        <v>9674.9314297065412</v>
      </c>
    </row>
    <row r="1710" spans="1:11" x14ac:dyDescent="0.25">
      <c r="A1710" s="39">
        <v>43032</v>
      </c>
      <c r="B1710" s="36">
        <v>10207.700194999999</v>
      </c>
      <c r="C1710" s="36">
        <f t="shared" si="104"/>
        <v>10007.489990100001</v>
      </c>
      <c r="D1710" s="36">
        <f t="shared" si="105"/>
        <v>166.82552207211657</v>
      </c>
      <c r="E1710" s="40">
        <v>10207.700194999999</v>
      </c>
      <c r="F1710" s="36">
        <f t="shared" si="106"/>
        <v>10341.141034244234</v>
      </c>
      <c r="G1710" s="36">
        <f t="shared" si="107"/>
        <v>9673.8389459557675</v>
      </c>
      <c r="I1710" s="40">
        <v>10207.700194999999</v>
      </c>
      <c r="J1710" s="36">
        <v>10341.141034244234</v>
      </c>
      <c r="K1710" s="36">
        <v>9673.8389459557675</v>
      </c>
    </row>
    <row r="1711" spans="1:11" x14ac:dyDescent="0.25">
      <c r="A1711" s="39">
        <v>43033</v>
      </c>
      <c r="B1711" s="36">
        <v>10295.349609000001</v>
      </c>
      <c r="C1711" s="36">
        <f t="shared" si="104"/>
        <v>10028.6274901</v>
      </c>
      <c r="D1711" s="36">
        <f t="shared" si="105"/>
        <v>175.39672454377327</v>
      </c>
      <c r="E1711" s="40">
        <v>10295.349609000001</v>
      </c>
      <c r="F1711" s="36">
        <f t="shared" si="106"/>
        <v>10379.420939187547</v>
      </c>
      <c r="G1711" s="36">
        <f t="shared" si="107"/>
        <v>9677.8340410124529</v>
      </c>
      <c r="I1711" s="40">
        <v>10295.349609000001</v>
      </c>
      <c r="J1711" s="36">
        <v>10379.420939187547</v>
      </c>
      <c r="K1711" s="36">
        <v>9677.8340410124529</v>
      </c>
    </row>
    <row r="1712" spans="1:11" x14ac:dyDescent="0.25">
      <c r="A1712" s="39">
        <v>43034</v>
      </c>
      <c r="B1712" s="36">
        <v>10343.799805000001</v>
      </c>
      <c r="C1712" s="36">
        <f t="shared" si="104"/>
        <v>10052.24248035</v>
      </c>
      <c r="D1712" s="36">
        <f t="shared" si="105"/>
        <v>184.67715689208745</v>
      </c>
      <c r="E1712" s="40">
        <v>10343.799805000001</v>
      </c>
      <c r="F1712" s="36">
        <f t="shared" si="106"/>
        <v>10421.596794134175</v>
      </c>
      <c r="G1712" s="36">
        <f t="shared" si="107"/>
        <v>9682.8881665658246</v>
      </c>
      <c r="I1712" s="40">
        <v>10343.799805000001</v>
      </c>
      <c r="J1712" s="36">
        <v>10421.596794134175</v>
      </c>
      <c r="K1712" s="36">
        <v>9682.8881665658246</v>
      </c>
    </row>
    <row r="1713" spans="1:11" x14ac:dyDescent="0.25">
      <c r="A1713" s="39">
        <v>43035</v>
      </c>
      <c r="B1713" s="36">
        <v>10323.049805000001</v>
      </c>
      <c r="C1713" s="36">
        <f t="shared" si="104"/>
        <v>10081.607470599998</v>
      </c>
      <c r="D1713" s="36">
        <f t="shared" si="105"/>
        <v>178.28576369582871</v>
      </c>
      <c r="E1713" s="40">
        <v>10323.049805000001</v>
      </c>
      <c r="F1713" s="36">
        <f t="shared" si="106"/>
        <v>10438.178997991656</v>
      </c>
      <c r="G1713" s="36">
        <f t="shared" si="107"/>
        <v>9725.0359432083405</v>
      </c>
      <c r="I1713" s="40">
        <v>10323.049805000001</v>
      </c>
      <c r="J1713" s="36">
        <v>10438.178997991656</v>
      </c>
      <c r="K1713" s="36">
        <v>9725.0359432083405</v>
      </c>
    </row>
    <row r="1714" spans="1:11" x14ac:dyDescent="0.25">
      <c r="A1714" s="39">
        <v>43038</v>
      </c>
      <c r="B1714" s="36">
        <v>10363.650390999999</v>
      </c>
      <c r="C1714" s="36">
        <f t="shared" si="104"/>
        <v>10111.342480399999</v>
      </c>
      <c r="D1714" s="36">
        <f t="shared" si="105"/>
        <v>172.90713631760113</v>
      </c>
      <c r="E1714" s="40">
        <v>10363.650390999999</v>
      </c>
      <c r="F1714" s="36">
        <f t="shared" si="106"/>
        <v>10457.1567530352</v>
      </c>
      <c r="G1714" s="36">
        <f t="shared" si="107"/>
        <v>9765.5282077647971</v>
      </c>
      <c r="I1714" s="40">
        <v>10363.650390999999</v>
      </c>
      <c r="J1714" s="36">
        <v>10457.1567530352</v>
      </c>
      <c r="K1714" s="36">
        <v>9765.5282077647971</v>
      </c>
    </row>
    <row r="1715" spans="1:11" x14ac:dyDescent="0.25">
      <c r="A1715" s="39">
        <v>43039</v>
      </c>
      <c r="B1715" s="36">
        <v>10335.299805000001</v>
      </c>
      <c r="C1715" s="36">
        <f t="shared" si="104"/>
        <v>10138.6774902</v>
      </c>
      <c r="D1715" s="36">
        <f t="shared" si="105"/>
        <v>162.07382089793592</v>
      </c>
      <c r="E1715" s="40">
        <v>10335.299805000001</v>
      </c>
      <c r="F1715" s="36">
        <f t="shared" si="106"/>
        <v>10462.825131995871</v>
      </c>
      <c r="G1715" s="36">
        <f t="shared" si="107"/>
        <v>9814.5298484041286</v>
      </c>
      <c r="I1715" s="40">
        <v>10335.299805000001</v>
      </c>
      <c r="J1715" s="36">
        <v>10462.825131995871</v>
      </c>
      <c r="K1715" s="36">
        <v>9814.5298484041286</v>
      </c>
    </row>
    <row r="1716" spans="1:11" x14ac:dyDescent="0.25">
      <c r="A1716" s="39">
        <v>43040</v>
      </c>
      <c r="B1716" s="36">
        <v>10440.5</v>
      </c>
      <c r="C1716" s="36">
        <f t="shared" si="104"/>
        <v>10167.727490199997</v>
      </c>
      <c r="D1716" s="36">
        <f t="shared" si="105"/>
        <v>161.46846708230325</v>
      </c>
      <c r="E1716" s="40">
        <v>10440.5</v>
      </c>
      <c r="F1716" s="36">
        <f t="shared" si="106"/>
        <v>10490.664424364604</v>
      </c>
      <c r="G1716" s="36">
        <f t="shared" si="107"/>
        <v>9844.7905560353902</v>
      </c>
      <c r="I1716" s="40">
        <v>10440.5</v>
      </c>
      <c r="J1716" s="36">
        <v>10490.664424364604</v>
      </c>
      <c r="K1716" s="36">
        <v>9844.7905560353902</v>
      </c>
    </row>
    <row r="1717" spans="1:11" x14ac:dyDescent="0.25">
      <c r="A1717" s="39">
        <v>43041</v>
      </c>
      <c r="B1717" s="36">
        <v>10423.799805000001</v>
      </c>
      <c r="C1717" s="36">
        <f t="shared" si="104"/>
        <v>10193.172460899998</v>
      </c>
      <c r="D1717" s="36">
        <f t="shared" si="105"/>
        <v>159.61661452481994</v>
      </c>
      <c r="E1717" s="40">
        <v>10423.799805000001</v>
      </c>
      <c r="F1717" s="36">
        <f t="shared" si="106"/>
        <v>10512.405689949637</v>
      </c>
      <c r="G1717" s="36">
        <f t="shared" si="107"/>
        <v>9873.9392318503578</v>
      </c>
      <c r="I1717" s="40">
        <v>10423.799805000001</v>
      </c>
      <c r="J1717" s="36">
        <v>10512.405689949637</v>
      </c>
      <c r="K1717" s="36">
        <v>9873.9392318503578</v>
      </c>
    </row>
    <row r="1718" spans="1:11" x14ac:dyDescent="0.25">
      <c r="A1718" s="39">
        <v>43042</v>
      </c>
      <c r="B1718" s="36">
        <v>10452.5</v>
      </c>
      <c r="C1718" s="36">
        <f t="shared" si="104"/>
        <v>10221.362451149998</v>
      </c>
      <c r="D1718" s="36">
        <f t="shared" si="105"/>
        <v>152.64780754927574</v>
      </c>
      <c r="E1718" s="40">
        <v>10452.5</v>
      </c>
      <c r="F1718" s="36">
        <f t="shared" si="106"/>
        <v>10526.65806624855</v>
      </c>
      <c r="G1718" s="36">
        <f t="shared" si="107"/>
        <v>9916.0668360514464</v>
      </c>
      <c r="I1718" s="40">
        <v>10452.5</v>
      </c>
      <c r="J1718" s="36">
        <v>10526.65806624855</v>
      </c>
      <c r="K1718" s="36">
        <v>9916.0668360514464</v>
      </c>
    </row>
    <row r="1719" spans="1:11" x14ac:dyDescent="0.25">
      <c r="A1719" s="39">
        <v>43045</v>
      </c>
      <c r="B1719" s="36">
        <v>10451.799805000001</v>
      </c>
      <c r="C1719" s="36">
        <f t="shared" si="104"/>
        <v>10244.967431649997</v>
      </c>
      <c r="D1719" s="36">
        <f t="shared" si="105"/>
        <v>149.78625749559336</v>
      </c>
      <c r="E1719" s="40">
        <v>10451.799805000001</v>
      </c>
      <c r="F1719" s="36">
        <f t="shared" si="106"/>
        <v>10544.539946641184</v>
      </c>
      <c r="G1719" s="36">
        <f t="shared" si="107"/>
        <v>9945.39491665881</v>
      </c>
      <c r="I1719" s="40">
        <v>10451.799805000001</v>
      </c>
      <c r="J1719" s="36">
        <v>10544.539946641184</v>
      </c>
      <c r="K1719" s="36">
        <v>9945.39491665881</v>
      </c>
    </row>
    <row r="1720" spans="1:11" x14ac:dyDescent="0.25">
      <c r="A1720" s="39">
        <v>43046</v>
      </c>
      <c r="B1720" s="36">
        <v>10350.150390999999</v>
      </c>
      <c r="C1720" s="36">
        <f t="shared" si="104"/>
        <v>10263.037451199998</v>
      </c>
      <c r="D1720" s="36">
        <f t="shared" si="105"/>
        <v>138.63395693273884</v>
      </c>
      <c r="E1720" s="40">
        <v>10350.150390999999</v>
      </c>
      <c r="F1720" s="36">
        <f t="shared" si="106"/>
        <v>10540.305365065477</v>
      </c>
      <c r="G1720" s="36">
        <f t="shared" si="107"/>
        <v>9985.7695373345196</v>
      </c>
      <c r="I1720" s="40">
        <v>10350.150390999999</v>
      </c>
      <c r="J1720" s="36">
        <v>10540.305365065477</v>
      </c>
      <c r="K1720" s="36">
        <v>9985.7695373345196</v>
      </c>
    </row>
    <row r="1721" spans="1:11" x14ac:dyDescent="0.25">
      <c r="A1721" s="39">
        <v>43047</v>
      </c>
      <c r="B1721" s="36">
        <v>10303.150390999999</v>
      </c>
      <c r="C1721" s="36">
        <f t="shared" si="104"/>
        <v>10277.347460999998</v>
      </c>
      <c r="D1721" s="36">
        <f t="shared" si="105"/>
        <v>126.09993717339995</v>
      </c>
      <c r="E1721" s="40">
        <v>10303.150390999999</v>
      </c>
      <c r="F1721" s="36">
        <f t="shared" si="106"/>
        <v>10529.547335346797</v>
      </c>
      <c r="G1721" s="36">
        <f t="shared" si="107"/>
        <v>10025.147586653198</v>
      </c>
      <c r="I1721" s="40">
        <v>10303.150390999999</v>
      </c>
      <c r="J1721" s="36">
        <v>10529.547335346797</v>
      </c>
      <c r="K1721" s="36">
        <v>10025.147586653198</v>
      </c>
    </row>
    <row r="1722" spans="1:11" x14ac:dyDescent="0.25">
      <c r="A1722" s="39">
        <v>43048</v>
      </c>
      <c r="B1722" s="36">
        <v>10308.950194999999</v>
      </c>
      <c r="C1722" s="36">
        <f t="shared" si="104"/>
        <v>10293.554980500001</v>
      </c>
      <c r="D1722" s="36">
        <f t="shared" si="105"/>
        <v>105.70157020839777</v>
      </c>
      <c r="E1722" s="40">
        <v>10308.950194999999</v>
      </c>
      <c r="F1722" s="36">
        <f t="shared" si="106"/>
        <v>10504.958120916797</v>
      </c>
      <c r="G1722" s="36">
        <f t="shared" si="107"/>
        <v>10082.151840083205</v>
      </c>
      <c r="I1722" s="40">
        <v>10308.950194999999</v>
      </c>
      <c r="J1722" s="36">
        <v>10504.958120916797</v>
      </c>
      <c r="K1722" s="36">
        <v>10082.151840083205</v>
      </c>
    </row>
    <row r="1723" spans="1:11" x14ac:dyDescent="0.25">
      <c r="A1723" s="39">
        <v>43049</v>
      </c>
      <c r="B1723" s="36">
        <v>10321.75</v>
      </c>
      <c r="C1723" s="36">
        <f t="shared" si="104"/>
        <v>10304.822460949999</v>
      </c>
      <c r="D1723" s="36">
        <f t="shared" si="105"/>
        <v>95.053868825653097</v>
      </c>
      <c r="E1723" s="40">
        <v>10321.75</v>
      </c>
      <c r="F1723" s="36">
        <f t="shared" si="106"/>
        <v>10494.930198601305</v>
      </c>
      <c r="G1723" s="36">
        <f t="shared" si="107"/>
        <v>10114.714723298694</v>
      </c>
      <c r="I1723" s="40">
        <v>10321.75</v>
      </c>
      <c r="J1723" s="36">
        <v>10494.930198601305</v>
      </c>
      <c r="K1723" s="36">
        <v>10114.714723298694</v>
      </c>
    </row>
    <row r="1724" spans="1:11" x14ac:dyDescent="0.25">
      <c r="A1724" s="39">
        <v>43052</v>
      </c>
      <c r="B1724" s="36">
        <v>10224.950194999999</v>
      </c>
      <c r="C1724" s="36">
        <f t="shared" si="104"/>
        <v>10307.697460950001</v>
      </c>
      <c r="D1724" s="36">
        <f t="shared" si="105"/>
        <v>91.482712923065066</v>
      </c>
      <c r="E1724" s="40">
        <v>10224.950194999999</v>
      </c>
      <c r="F1724" s="36">
        <f t="shared" si="106"/>
        <v>10490.662886796132</v>
      </c>
      <c r="G1724" s="36">
        <f t="shared" si="107"/>
        <v>10124.732035103871</v>
      </c>
      <c r="I1724" s="40">
        <v>10224.950194999999</v>
      </c>
      <c r="J1724" s="36">
        <v>10490.662886796132</v>
      </c>
      <c r="K1724" s="36">
        <v>10124.732035103871</v>
      </c>
    </row>
    <row r="1725" spans="1:11" x14ac:dyDescent="0.25">
      <c r="A1725" s="39">
        <v>43053</v>
      </c>
      <c r="B1725" s="36">
        <v>10186.599609000001</v>
      </c>
      <c r="C1725" s="36">
        <f t="shared" si="104"/>
        <v>10305.484960950002</v>
      </c>
      <c r="D1725" s="36">
        <f t="shared" si="105"/>
        <v>93.94114696925655</v>
      </c>
      <c r="E1725" s="40">
        <v>10186.599609000001</v>
      </c>
      <c r="F1725" s="36">
        <f t="shared" si="106"/>
        <v>10493.367254888515</v>
      </c>
      <c r="G1725" s="36">
        <f t="shared" si="107"/>
        <v>10117.602667011488</v>
      </c>
      <c r="I1725" s="40">
        <v>10186.599609000001</v>
      </c>
      <c r="J1725" s="36">
        <v>10493.367254888515</v>
      </c>
      <c r="K1725" s="36">
        <v>10117.602667011488</v>
      </c>
    </row>
    <row r="1726" spans="1:11" x14ac:dyDescent="0.25">
      <c r="A1726" s="39">
        <v>43054</v>
      </c>
      <c r="B1726" s="36">
        <v>10118.049805000001</v>
      </c>
      <c r="C1726" s="36">
        <f t="shared" si="104"/>
        <v>10299.664941450003</v>
      </c>
      <c r="D1726" s="36">
        <f t="shared" si="105"/>
        <v>101.84673468576807</v>
      </c>
      <c r="E1726" s="40">
        <v>10118.049805000001</v>
      </c>
      <c r="F1726" s="36">
        <f t="shared" si="106"/>
        <v>10503.358410821538</v>
      </c>
      <c r="G1726" s="36">
        <f t="shared" si="107"/>
        <v>10095.971472078467</v>
      </c>
      <c r="I1726" s="40">
        <v>10118.049805000001</v>
      </c>
      <c r="J1726" s="36">
        <v>10503.358410821538</v>
      </c>
      <c r="K1726" s="36">
        <v>10095.971472078467</v>
      </c>
    </row>
    <row r="1727" spans="1:11" x14ac:dyDescent="0.25">
      <c r="A1727" s="39">
        <v>43055</v>
      </c>
      <c r="B1727" s="36">
        <v>10214.75</v>
      </c>
      <c r="C1727" s="36">
        <f t="shared" si="104"/>
        <v>10299.859961</v>
      </c>
      <c r="D1727" s="36">
        <f t="shared" si="105"/>
        <v>101.67130043420545</v>
      </c>
      <c r="E1727" s="40">
        <v>10214.75</v>
      </c>
      <c r="F1727" s="36">
        <f t="shared" si="106"/>
        <v>10503.202561868411</v>
      </c>
      <c r="G1727" s="36">
        <f t="shared" si="107"/>
        <v>10096.517360131589</v>
      </c>
      <c r="I1727" s="40">
        <v>10214.75</v>
      </c>
      <c r="J1727" s="36">
        <v>10503.202561868411</v>
      </c>
      <c r="K1727" s="36">
        <v>10096.517360131589</v>
      </c>
    </row>
    <row r="1728" spans="1:11" x14ac:dyDescent="0.25">
      <c r="A1728" s="39">
        <v>43056</v>
      </c>
      <c r="B1728" s="36">
        <v>10283.599609000001</v>
      </c>
      <c r="C1728" s="36">
        <f t="shared" si="104"/>
        <v>10306.712451200001</v>
      </c>
      <c r="D1728" s="36">
        <f t="shared" si="105"/>
        <v>95.207605839268453</v>
      </c>
      <c r="E1728" s="40">
        <v>10283.599609000001</v>
      </c>
      <c r="F1728" s="36">
        <f t="shared" si="106"/>
        <v>10497.127662878538</v>
      </c>
      <c r="G1728" s="36">
        <f t="shared" si="107"/>
        <v>10116.297239521464</v>
      </c>
      <c r="I1728" s="40">
        <v>10283.599609000001</v>
      </c>
      <c r="J1728" s="36">
        <v>10497.127662878538</v>
      </c>
      <c r="K1728" s="36">
        <v>10116.297239521464</v>
      </c>
    </row>
    <row r="1729" spans="1:11" x14ac:dyDescent="0.25">
      <c r="A1729" s="39">
        <v>43059</v>
      </c>
      <c r="B1729" s="36">
        <v>10298.75</v>
      </c>
      <c r="C1729" s="36">
        <f t="shared" si="104"/>
        <v>10312.40747075</v>
      </c>
      <c r="D1729" s="36">
        <f t="shared" si="105"/>
        <v>90.840942354673558</v>
      </c>
      <c r="E1729" s="40">
        <v>10298.75</v>
      </c>
      <c r="F1729" s="36">
        <f t="shared" si="106"/>
        <v>10494.089355459348</v>
      </c>
      <c r="G1729" s="36">
        <f t="shared" si="107"/>
        <v>10130.725586040653</v>
      </c>
      <c r="I1729" s="40">
        <v>10298.75</v>
      </c>
      <c r="J1729" s="36">
        <v>10494.089355459348</v>
      </c>
      <c r="K1729" s="36">
        <v>10130.725586040653</v>
      </c>
    </row>
    <row r="1730" spans="1:11" x14ac:dyDescent="0.25">
      <c r="A1730" s="39">
        <v>43060</v>
      </c>
      <c r="B1730" s="36">
        <v>10326.900390999999</v>
      </c>
      <c r="C1730" s="36">
        <f t="shared" si="104"/>
        <v>10318.367480550001</v>
      </c>
      <c r="D1730" s="36">
        <f t="shared" si="105"/>
        <v>87.456893488910367</v>
      </c>
      <c r="E1730" s="40">
        <v>10326.900390999999</v>
      </c>
      <c r="F1730" s="36">
        <f t="shared" si="106"/>
        <v>10493.281267527822</v>
      </c>
      <c r="G1730" s="36">
        <f t="shared" si="107"/>
        <v>10143.453693572181</v>
      </c>
      <c r="I1730" s="40">
        <v>10326.900390999999</v>
      </c>
      <c r="J1730" s="36">
        <v>10493.281267527822</v>
      </c>
      <c r="K1730" s="36">
        <v>10143.453693572181</v>
      </c>
    </row>
    <row r="1731" spans="1:11" x14ac:dyDescent="0.25">
      <c r="A1731" s="39">
        <v>43061</v>
      </c>
      <c r="B1731" s="36">
        <v>10342.299805000001</v>
      </c>
      <c r="C1731" s="36">
        <f t="shared" si="104"/>
        <v>10320.714990349999</v>
      </c>
      <c r="D1731" s="36">
        <f t="shared" si="105"/>
        <v>87.436645892460632</v>
      </c>
      <c r="E1731" s="40">
        <v>10342.299805000001</v>
      </c>
      <c r="F1731" s="36">
        <f t="shared" si="106"/>
        <v>10495.588282134921</v>
      </c>
      <c r="G1731" s="36">
        <f t="shared" si="107"/>
        <v>10145.841698565078</v>
      </c>
      <c r="I1731" s="40">
        <v>10342.299805000001</v>
      </c>
      <c r="J1731" s="36">
        <v>10495.588282134921</v>
      </c>
      <c r="K1731" s="36">
        <v>10145.841698565078</v>
      </c>
    </row>
    <row r="1732" spans="1:11" x14ac:dyDescent="0.25">
      <c r="A1732" s="39">
        <v>43062</v>
      </c>
      <c r="B1732" s="36">
        <v>10348.75</v>
      </c>
      <c r="C1732" s="36">
        <f t="shared" si="104"/>
        <v>10320.962500099999</v>
      </c>
      <c r="D1732" s="36">
        <f t="shared" si="105"/>
        <v>87.512405656109948</v>
      </c>
      <c r="E1732" s="40">
        <v>10348.75</v>
      </c>
      <c r="F1732" s="36">
        <f t="shared" si="106"/>
        <v>10495.987311412218</v>
      </c>
      <c r="G1732" s="36">
        <f t="shared" si="107"/>
        <v>10145.937688787779</v>
      </c>
      <c r="I1732" s="40">
        <v>10348.75</v>
      </c>
      <c r="J1732" s="36">
        <v>10495.987311412218</v>
      </c>
      <c r="K1732" s="36">
        <v>10145.937688787779</v>
      </c>
    </row>
    <row r="1733" spans="1:11" x14ac:dyDescent="0.25">
      <c r="A1733" s="39">
        <v>43063</v>
      </c>
      <c r="B1733" s="36">
        <v>10389.700194999999</v>
      </c>
      <c r="C1733" s="36">
        <f t="shared" si="104"/>
        <v>10324.295019599998</v>
      </c>
      <c r="D1733" s="36">
        <f t="shared" si="105"/>
        <v>88.854820046592266</v>
      </c>
      <c r="E1733" s="40">
        <v>10389.700194999999</v>
      </c>
      <c r="F1733" s="36">
        <f t="shared" si="106"/>
        <v>10502.004659693182</v>
      </c>
      <c r="G1733" s="36">
        <f t="shared" si="107"/>
        <v>10146.585379506814</v>
      </c>
      <c r="I1733" s="40">
        <v>10389.700194999999</v>
      </c>
      <c r="J1733" s="36">
        <v>10502.004659693182</v>
      </c>
      <c r="K1733" s="36">
        <v>10146.585379506814</v>
      </c>
    </row>
    <row r="1734" spans="1:11" x14ac:dyDescent="0.25">
      <c r="A1734" s="39">
        <v>43066</v>
      </c>
      <c r="B1734" s="36">
        <v>10399.549805000001</v>
      </c>
      <c r="C1734" s="36">
        <f t="shared" si="104"/>
        <v>10326.089990299999</v>
      </c>
      <c r="D1734" s="36">
        <f t="shared" si="105"/>
        <v>90.046304151640328</v>
      </c>
      <c r="E1734" s="40">
        <v>10399.549805000001</v>
      </c>
      <c r="F1734" s="36">
        <f t="shared" si="106"/>
        <v>10506.18259860328</v>
      </c>
      <c r="G1734" s="36">
        <f t="shared" si="107"/>
        <v>10145.997381996718</v>
      </c>
      <c r="I1734" s="40">
        <v>10399.549805000001</v>
      </c>
      <c r="J1734" s="36">
        <v>10506.18259860328</v>
      </c>
      <c r="K1734" s="36">
        <v>10145.997381996718</v>
      </c>
    </row>
    <row r="1735" spans="1:11" x14ac:dyDescent="0.25">
      <c r="A1735" s="39">
        <v>43067</v>
      </c>
      <c r="B1735" s="36">
        <v>10370.25</v>
      </c>
      <c r="C1735" s="36">
        <f t="shared" si="104"/>
        <v>10327.83750005</v>
      </c>
      <c r="D1735" s="36">
        <f t="shared" si="105"/>
        <v>90.572044862056615</v>
      </c>
      <c r="E1735" s="40">
        <v>10370.25</v>
      </c>
      <c r="F1735" s="36">
        <f t="shared" si="106"/>
        <v>10508.981589774114</v>
      </c>
      <c r="G1735" s="36">
        <f t="shared" si="107"/>
        <v>10146.693410325886</v>
      </c>
      <c r="I1735" s="40">
        <v>10370.25</v>
      </c>
      <c r="J1735" s="36">
        <v>10508.981589774114</v>
      </c>
      <c r="K1735" s="36">
        <v>10146.693410325886</v>
      </c>
    </row>
    <row r="1736" spans="1:11" x14ac:dyDescent="0.25">
      <c r="A1736" s="39">
        <v>43068</v>
      </c>
      <c r="B1736" s="36">
        <v>10361.299805000001</v>
      </c>
      <c r="C1736" s="36">
        <f t="shared" si="104"/>
        <v>10323.877490299999</v>
      </c>
      <c r="D1736" s="36">
        <f t="shared" si="105"/>
        <v>87.049853929130052</v>
      </c>
      <c r="E1736" s="40">
        <v>10361.299805000001</v>
      </c>
      <c r="F1736" s="36">
        <f t="shared" si="106"/>
        <v>10497.97719815826</v>
      </c>
      <c r="G1736" s="36">
        <f t="shared" si="107"/>
        <v>10149.777782441739</v>
      </c>
      <c r="I1736" s="40">
        <v>10361.299805000001</v>
      </c>
      <c r="J1736" s="36">
        <v>10497.97719815826</v>
      </c>
      <c r="K1736" s="36">
        <v>10149.777782441739</v>
      </c>
    </row>
    <row r="1737" spans="1:11" x14ac:dyDescent="0.25">
      <c r="A1737" s="39">
        <v>43069</v>
      </c>
      <c r="B1737" s="36">
        <v>10226.549805000001</v>
      </c>
      <c r="C1737" s="36">
        <f t="shared" si="104"/>
        <v>10314.014990299998</v>
      </c>
      <c r="D1737" s="36">
        <f t="shared" si="105"/>
        <v>86.303837671097696</v>
      </c>
      <c r="E1737" s="40">
        <v>10226.549805000001</v>
      </c>
      <c r="F1737" s="36">
        <f t="shared" si="106"/>
        <v>10486.622665642193</v>
      </c>
      <c r="G1737" s="36">
        <f t="shared" si="107"/>
        <v>10141.407314957803</v>
      </c>
      <c r="I1737" s="40">
        <v>10226.549805000001</v>
      </c>
      <c r="J1737" s="36">
        <v>10486.622665642193</v>
      </c>
      <c r="K1737" s="36">
        <v>10141.407314957803</v>
      </c>
    </row>
    <row r="1738" spans="1:11" x14ac:dyDescent="0.25">
      <c r="A1738" s="39">
        <v>43070</v>
      </c>
      <c r="B1738" s="36">
        <v>10121.799805000001</v>
      </c>
      <c r="C1738" s="36">
        <f t="shared" si="104"/>
        <v>10297.479980549997</v>
      </c>
      <c r="D1738" s="36">
        <f t="shared" si="105"/>
        <v>89.976354829031735</v>
      </c>
      <c r="E1738" s="40">
        <v>10121.799805000001</v>
      </c>
      <c r="F1738" s="36">
        <f t="shared" si="106"/>
        <v>10477.432690208061</v>
      </c>
      <c r="G1738" s="36">
        <f t="shared" si="107"/>
        <v>10117.527270891933</v>
      </c>
      <c r="I1738" s="40">
        <v>10121.799805000001</v>
      </c>
      <c r="J1738" s="36">
        <v>10477.432690208061</v>
      </c>
      <c r="K1738" s="36">
        <v>10117.527270891933</v>
      </c>
    </row>
    <row r="1739" spans="1:11" x14ac:dyDescent="0.25">
      <c r="A1739" s="39">
        <v>43073</v>
      </c>
      <c r="B1739" s="36">
        <v>10127.75</v>
      </c>
      <c r="C1739" s="36">
        <f t="shared" si="104"/>
        <v>10281.277490299999</v>
      </c>
      <c r="D1739" s="36">
        <f t="shared" si="105"/>
        <v>89.901228962759063</v>
      </c>
      <c r="E1739" s="40">
        <v>10127.75</v>
      </c>
      <c r="F1739" s="36">
        <f t="shared" si="106"/>
        <v>10461.079948225517</v>
      </c>
      <c r="G1739" s="36">
        <f t="shared" si="107"/>
        <v>10101.475032374481</v>
      </c>
      <c r="I1739" s="40">
        <v>10127.75</v>
      </c>
      <c r="J1739" s="36">
        <v>10461.079948225517</v>
      </c>
      <c r="K1739" s="36">
        <v>10101.475032374481</v>
      </c>
    </row>
    <row r="1740" spans="1:11" x14ac:dyDescent="0.25">
      <c r="A1740" s="39">
        <v>43074</v>
      </c>
      <c r="B1740" s="36">
        <v>10118.25</v>
      </c>
      <c r="C1740" s="36">
        <f t="shared" si="104"/>
        <v>10269.682470749998</v>
      </c>
      <c r="D1740" s="36">
        <f t="shared" si="105"/>
        <v>95.340935314619074</v>
      </c>
      <c r="E1740" s="40">
        <v>10118.25</v>
      </c>
      <c r="F1740" s="36">
        <f t="shared" si="106"/>
        <v>10460.364341379236</v>
      </c>
      <c r="G1740" s="36">
        <f t="shared" si="107"/>
        <v>10079.00060012076</v>
      </c>
      <c r="I1740" s="40">
        <v>10118.25</v>
      </c>
      <c r="J1740" s="36">
        <v>10460.364341379236</v>
      </c>
      <c r="K1740" s="36">
        <v>10079.00060012076</v>
      </c>
    </row>
    <row r="1741" spans="1:11" x14ac:dyDescent="0.25">
      <c r="A1741" s="39">
        <v>43075</v>
      </c>
      <c r="B1741" s="36">
        <v>10044.099609000001</v>
      </c>
      <c r="C1741" s="36">
        <f t="shared" si="104"/>
        <v>10256.729931649998</v>
      </c>
      <c r="D1741" s="36">
        <f t="shared" si="105"/>
        <v>107.39012633075617</v>
      </c>
      <c r="E1741" s="40">
        <v>10044.099609000001</v>
      </c>
      <c r="F1741" s="36">
        <f t="shared" si="106"/>
        <v>10471.51018431151</v>
      </c>
      <c r="G1741" s="36">
        <f t="shared" si="107"/>
        <v>10041.949678988485</v>
      </c>
      <c r="I1741" s="40">
        <v>10044.099609000001</v>
      </c>
      <c r="J1741" s="36">
        <v>10471.51018431151</v>
      </c>
      <c r="K1741" s="36">
        <v>10041.949678988485</v>
      </c>
    </row>
    <row r="1742" spans="1:11" x14ac:dyDescent="0.25">
      <c r="A1742" s="39">
        <v>43076</v>
      </c>
      <c r="B1742" s="36">
        <v>10166.700194999999</v>
      </c>
      <c r="C1742" s="36">
        <f t="shared" si="104"/>
        <v>10249.617431649998</v>
      </c>
      <c r="D1742" s="36">
        <f t="shared" si="105"/>
        <v>108.4548875133913</v>
      </c>
      <c r="E1742" s="40">
        <v>10166.700194999999</v>
      </c>
      <c r="F1742" s="36">
        <f t="shared" si="106"/>
        <v>10466.527206676781</v>
      </c>
      <c r="G1742" s="36">
        <f t="shared" si="107"/>
        <v>10032.707656623215</v>
      </c>
      <c r="I1742" s="40">
        <v>10166.700194999999</v>
      </c>
      <c r="J1742" s="36">
        <v>10466.527206676781</v>
      </c>
      <c r="K1742" s="36">
        <v>10032.707656623215</v>
      </c>
    </row>
    <row r="1743" spans="1:11" x14ac:dyDescent="0.25">
      <c r="A1743" s="39">
        <v>43077</v>
      </c>
      <c r="B1743" s="36">
        <v>10265.650390999999</v>
      </c>
      <c r="C1743" s="36">
        <f t="shared" si="104"/>
        <v>10246.812451199999</v>
      </c>
      <c r="D1743" s="36">
        <f t="shared" si="105"/>
        <v>107.20943103338942</v>
      </c>
      <c r="E1743" s="40">
        <v>10265.650390999999</v>
      </c>
      <c r="F1743" s="36">
        <f t="shared" si="106"/>
        <v>10461.231313266779</v>
      </c>
      <c r="G1743" s="36">
        <f t="shared" si="107"/>
        <v>10032.39358913322</v>
      </c>
      <c r="I1743" s="40">
        <v>10265.650390999999</v>
      </c>
      <c r="J1743" s="36">
        <v>10461.231313266779</v>
      </c>
      <c r="K1743" s="36">
        <v>10032.39358913322</v>
      </c>
    </row>
    <row r="1744" spans="1:11" x14ac:dyDescent="0.25">
      <c r="A1744" s="39">
        <v>43080</v>
      </c>
      <c r="B1744" s="36">
        <v>10322.25</v>
      </c>
      <c r="C1744" s="36">
        <f t="shared" si="104"/>
        <v>10251.67744145</v>
      </c>
      <c r="D1744" s="36">
        <f t="shared" si="105"/>
        <v>108.36655214878817</v>
      </c>
      <c r="E1744" s="40">
        <v>10322.25</v>
      </c>
      <c r="F1744" s="36">
        <f t="shared" si="106"/>
        <v>10468.410545747576</v>
      </c>
      <c r="G1744" s="36">
        <f t="shared" si="107"/>
        <v>10034.944337152423</v>
      </c>
      <c r="I1744" s="40">
        <v>10322.25</v>
      </c>
      <c r="J1744" s="36">
        <v>10468.410545747576</v>
      </c>
      <c r="K1744" s="36">
        <v>10034.944337152423</v>
      </c>
    </row>
    <row r="1745" spans="1:11" x14ac:dyDescent="0.25">
      <c r="A1745" s="39">
        <v>43081</v>
      </c>
      <c r="B1745" s="36">
        <v>10240.150390999999</v>
      </c>
      <c r="C1745" s="36">
        <f t="shared" si="104"/>
        <v>10254.354980550001</v>
      </c>
      <c r="D1745" s="36">
        <f t="shared" si="105"/>
        <v>107.33058797123043</v>
      </c>
      <c r="E1745" s="40">
        <v>10240.150390999999</v>
      </c>
      <c r="F1745" s="36">
        <f t="shared" si="106"/>
        <v>10469.016156492462</v>
      </c>
      <c r="G1745" s="36">
        <f t="shared" si="107"/>
        <v>10039.693804607539</v>
      </c>
      <c r="I1745" s="40">
        <v>10240.150390999999</v>
      </c>
      <c r="J1745" s="36">
        <v>10469.016156492462</v>
      </c>
      <c r="K1745" s="36">
        <v>10039.693804607539</v>
      </c>
    </row>
    <row r="1746" spans="1:11" x14ac:dyDescent="0.25">
      <c r="A1746" s="39">
        <v>43082</v>
      </c>
      <c r="B1746" s="36">
        <v>10192.950194999999</v>
      </c>
      <c r="C1746" s="36">
        <f t="shared" si="104"/>
        <v>10258.100000050003</v>
      </c>
      <c r="D1746" s="36">
        <f t="shared" si="105"/>
        <v>103.5649276531822</v>
      </c>
      <c r="E1746" s="40">
        <v>10192.950194999999</v>
      </c>
      <c r="F1746" s="36">
        <f t="shared" si="106"/>
        <v>10465.229855356367</v>
      </c>
      <c r="G1746" s="36">
        <f t="shared" si="107"/>
        <v>10050.970144743638</v>
      </c>
      <c r="I1746" s="40">
        <v>10192.950194999999</v>
      </c>
      <c r="J1746" s="36">
        <v>10465.229855356367</v>
      </c>
      <c r="K1746" s="36">
        <v>10050.970144743638</v>
      </c>
    </row>
    <row r="1747" spans="1:11" x14ac:dyDescent="0.25">
      <c r="A1747" s="39">
        <v>43083</v>
      </c>
      <c r="B1747" s="36">
        <v>10252.099609000001</v>
      </c>
      <c r="C1747" s="36">
        <f t="shared" si="104"/>
        <v>10259.967480500001</v>
      </c>
      <c r="D1747" s="36">
        <f t="shared" si="105"/>
        <v>103.07769759293834</v>
      </c>
      <c r="E1747" s="40">
        <v>10252.099609000001</v>
      </c>
      <c r="F1747" s="36">
        <f t="shared" si="106"/>
        <v>10466.122875685878</v>
      </c>
      <c r="G1747" s="36">
        <f t="shared" si="107"/>
        <v>10053.812085314124</v>
      </c>
      <c r="I1747" s="40">
        <v>10252.099609000001</v>
      </c>
      <c r="J1747" s="36">
        <v>10466.122875685878</v>
      </c>
      <c r="K1747" s="36">
        <v>10053.812085314124</v>
      </c>
    </row>
    <row r="1748" spans="1:11" x14ac:dyDescent="0.25">
      <c r="A1748" s="39">
        <v>43084</v>
      </c>
      <c r="B1748" s="36">
        <v>10333.25</v>
      </c>
      <c r="C1748" s="36">
        <f t="shared" si="104"/>
        <v>10262.450000050001</v>
      </c>
      <c r="D1748" s="36">
        <f t="shared" si="105"/>
        <v>104.2678269954398</v>
      </c>
      <c r="E1748" s="40">
        <v>10333.25</v>
      </c>
      <c r="F1748" s="36">
        <f t="shared" si="106"/>
        <v>10470.98565404088</v>
      </c>
      <c r="G1748" s="36">
        <f t="shared" si="107"/>
        <v>10053.914346059122</v>
      </c>
      <c r="I1748" s="40">
        <v>10333.25</v>
      </c>
      <c r="J1748" s="36">
        <v>10470.98565404088</v>
      </c>
      <c r="K1748" s="36">
        <v>10053.914346059122</v>
      </c>
    </row>
    <row r="1749" spans="1:11" x14ac:dyDescent="0.25">
      <c r="A1749" s="39">
        <v>43087</v>
      </c>
      <c r="B1749" s="36">
        <v>10388.75</v>
      </c>
      <c r="C1749" s="36">
        <f t="shared" si="104"/>
        <v>10266.950000050001</v>
      </c>
      <c r="D1749" s="36">
        <f t="shared" si="105"/>
        <v>107.79923229188317</v>
      </c>
      <c r="E1749" s="40">
        <v>10388.75</v>
      </c>
      <c r="F1749" s="36">
        <f t="shared" si="106"/>
        <v>10482.548464633768</v>
      </c>
      <c r="G1749" s="36">
        <f t="shared" si="107"/>
        <v>10051.351535466234</v>
      </c>
      <c r="I1749" s="40">
        <v>10388.75</v>
      </c>
      <c r="J1749" s="36">
        <v>10482.548464633768</v>
      </c>
      <c r="K1749" s="36">
        <v>10051.351535466234</v>
      </c>
    </row>
    <row r="1750" spans="1:11" x14ac:dyDescent="0.25">
      <c r="A1750" s="39">
        <v>43088</v>
      </c>
      <c r="B1750" s="36">
        <v>10463.200194999999</v>
      </c>
      <c r="C1750" s="36">
        <f t="shared" ref="C1750:C1813" si="108">AVERAGE(B1731:B1750)</f>
        <v>10273.764990250002</v>
      </c>
      <c r="D1750" s="36">
        <f t="shared" ref="D1750:D1813" si="109">_xlfn.STDEV.S(B1731:B1750)</f>
        <v>115.8001961151874</v>
      </c>
      <c r="E1750" s="40">
        <v>10463.200194999999</v>
      </c>
      <c r="F1750" s="36">
        <f t="shared" ref="F1750:F1813" si="110">C1750+2*D1750</f>
        <v>10505.365382480377</v>
      </c>
      <c r="G1750" s="36">
        <f t="shared" ref="G1750:G1813" si="111">C1750-2*D1750</f>
        <v>10042.164598019626</v>
      </c>
      <c r="I1750" s="40">
        <v>10463.200194999999</v>
      </c>
      <c r="J1750" s="36">
        <v>10505.365382480377</v>
      </c>
      <c r="K1750" s="36">
        <v>10042.164598019626</v>
      </c>
    </row>
    <row r="1751" spans="1:11" x14ac:dyDescent="0.25">
      <c r="A1751" s="39">
        <v>43089</v>
      </c>
      <c r="B1751" s="36">
        <v>10444.200194999999</v>
      </c>
      <c r="C1751" s="36">
        <f t="shared" si="108"/>
        <v>10278.860009750002</v>
      </c>
      <c r="D1751" s="36">
        <f t="shared" si="109"/>
        <v>121.09499896172235</v>
      </c>
      <c r="E1751" s="40">
        <v>10444.200194999999</v>
      </c>
      <c r="F1751" s="36">
        <f t="shared" si="110"/>
        <v>10521.050007673446</v>
      </c>
      <c r="G1751" s="36">
        <f t="shared" si="111"/>
        <v>10036.670011826558</v>
      </c>
      <c r="I1751" s="40">
        <v>10444.200194999999</v>
      </c>
      <c r="J1751" s="36">
        <v>10521.050007673446</v>
      </c>
      <c r="K1751" s="36">
        <v>10036.670011826558</v>
      </c>
    </row>
    <row r="1752" spans="1:11" x14ac:dyDescent="0.25">
      <c r="A1752" s="39">
        <v>43090</v>
      </c>
      <c r="B1752" s="36">
        <v>10440.299805000001</v>
      </c>
      <c r="C1752" s="36">
        <f t="shared" si="108"/>
        <v>10283.437500000002</v>
      </c>
      <c r="D1752" s="36">
        <f t="shared" si="109"/>
        <v>125.52523443320101</v>
      </c>
      <c r="E1752" s="40">
        <v>10440.299805000001</v>
      </c>
      <c r="F1752" s="36">
        <f t="shared" si="110"/>
        <v>10534.487968866404</v>
      </c>
      <c r="G1752" s="36">
        <f t="shared" si="111"/>
        <v>10032.3870311336</v>
      </c>
      <c r="I1752" s="40">
        <v>10440.299805000001</v>
      </c>
      <c r="J1752" s="36">
        <v>10534.487968866404</v>
      </c>
      <c r="K1752" s="36">
        <v>10032.3870311336</v>
      </c>
    </row>
    <row r="1753" spans="1:11" x14ac:dyDescent="0.25">
      <c r="A1753" s="39">
        <v>43091</v>
      </c>
      <c r="B1753" s="36">
        <v>10493</v>
      </c>
      <c r="C1753" s="36">
        <f t="shared" si="108"/>
        <v>10288.602490250001</v>
      </c>
      <c r="D1753" s="36">
        <f t="shared" si="109"/>
        <v>132.08176169619261</v>
      </c>
      <c r="E1753" s="40">
        <v>10493</v>
      </c>
      <c r="F1753" s="36">
        <f t="shared" si="110"/>
        <v>10552.766013642386</v>
      </c>
      <c r="G1753" s="36">
        <f t="shared" si="111"/>
        <v>10024.438966857617</v>
      </c>
      <c r="I1753" s="40">
        <v>10493</v>
      </c>
      <c r="J1753" s="36">
        <v>10552.766013642386</v>
      </c>
      <c r="K1753" s="36">
        <v>10024.438966857617</v>
      </c>
    </row>
    <row r="1754" spans="1:11" x14ac:dyDescent="0.25">
      <c r="A1754" s="39">
        <v>43095</v>
      </c>
      <c r="B1754" s="36">
        <v>10531.5</v>
      </c>
      <c r="C1754" s="36">
        <f t="shared" si="108"/>
        <v>10295.200000000001</v>
      </c>
      <c r="D1754" s="36">
        <f t="shared" si="109"/>
        <v>140.91535245206705</v>
      </c>
      <c r="E1754" s="40">
        <v>10531.5</v>
      </c>
      <c r="F1754" s="36">
        <f t="shared" si="110"/>
        <v>10577.030704904135</v>
      </c>
      <c r="G1754" s="36">
        <f t="shared" si="111"/>
        <v>10013.369295095867</v>
      </c>
      <c r="I1754" s="40">
        <v>10531.5</v>
      </c>
      <c r="J1754" s="36">
        <v>10577.030704904135</v>
      </c>
      <c r="K1754" s="36">
        <v>10013.369295095867</v>
      </c>
    </row>
    <row r="1755" spans="1:11" x14ac:dyDescent="0.25">
      <c r="A1755" s="39">
        <v>43096</v>
      </c>
      <c r="B1755" s="36">
        <v>10490.75</v>
      </c>
      <c r="C1755" s="36">
        <f t="shared" si="108"/>
        <v>10301.225000000002</v>
      </c>
      <c r="D1755" s="36">
        <f t="shared" si="109"/>
        <v>146.74842096830301</v>
      </c>
      <c r="E1755" s="40">
        <v>10490.75</v>
      </c>
      <c r="F1755" s="36">
        <f t="shared" si="110"/>
        <v>10594.721841936609</v>
      </c>
      <c r="G1755" s="36">
        <f t="shared" si="111"/>
        <v>10007.728158063395</v>
      </c>
      <c r="I1755" s="40">
        <v>10490.75</v>
      </c>
      <c r="J1755" s="36">
        <v>10594.721841936609</v>
      </c>
      <c r="K1755" s="36">
        <v>10007.728158063395</v>
      </c>
    </row>
    <row r="1756" spans="1:11" x14ac:dyDescent="0.25">
      <c r="A1756" s="39">
        <v>43097</v>
      </c>
      <c r="B1756" s="36">
        <v>10477.900390999999</v>
      </c>
      <c r="C1756" s="36">
        <f t="shared" si="108"/>
        <v>10307.055029300001</v>
      </c>
      <c r="D1756" s="36">
        <f t="shared" si="109"/>
        <v>151.49992336867135</v>
      </c>
      <c r="E1756" s="40">
        <v>10477.900390999999</v>
      </c>
      <c r="F1756" s="36">
        <f t="shared" si="110"/>
        <v>10610.054876037344</v>
      </c>
      <c r="G1756" s="36">
        <f t="shared" si="111"/>
        <v>10004.055182562659</v>
      </c>
      <c r="I1756" s="40">
        <v>10477.900390999999</v>
      </c>
      <c r="J1756" s="36">
        <v>10610.054876037344</v>
      </c>
      <c r="K1756" s="36">
        <v>10004.055182562659</v>
      </c>
    </row>
    <row r="1757" spans="1:11" x14ac:dyDescent="0.25">
      <c r="A1757" s="39">
        <v>43098</v>
      </c>
      <c r="B1757" s="36">
        <v>10530.700194999999</v>
      </c>
      <c r="C1757" s="36">
        <f t="shared" si="108"/>
        <v>10322.262548800001</v>
      </c>
      <c r="D1757" s="36">
        <f t="shared" si="109"/>
        <v>158.11438312152077</v>
      </c>
      <c r="E1757" s="40">
        <v>10530.700194999999</v>
      </c>
      <c r="F1757" s="36">
        <f t="shared" si="110"/>
        <v>10638.491315043042</v>
      </c>
      <c r="G1757" s="36">
        <f t="shared" si="111"/>
        <v>10006.03378255696</v>
      </c>
      <c r="I1757" s="40">
        <v>10530.700194999999</v>
      </c>
      <c r="J1757" s="36">
        <v>10638.491315043042</v>
      </c>
      <c r="K1757" s="36">
        <v>10006.03378255696</v>
      </c>
    </row>
    <row r="1758" spans="1:11" x14ac:dyDescent="0.25">
      <c r="A1758" s="39">
        <v>43102</v>
      </c>
      <c r="B1758" s="36">
        <v>10442.200194999999</v>
      </c>
      <c r="C1758" s="36">
        <f t="shared" si="108"/>
        <v>10338.282568300001</v>
      </c>
      <c r="D1758" s="36">
        <f t="shared" si="109"/>
        <v>152.87936621585121</v>
      </c>
      <c r="E1758" s="40">
        <v>10442.200194999999</v>
      </c>
      <c r="F1758" s="36">
        <f t="shared" si="110"/>
        <v>10644.041300731704</v>
      </c>
      <c r="G1758" s="36">
        <f t="shared" si="111"/>
        <v>10032.523835868298</v>
      </c>
      <c r="I1758" s="40">
        <v>10442.200194999999</v>
      </c>
      <c r="J1758" s="36">
        <v>10644.041300731704</v>
      </c>
      <c r="K1758" s="36">
        <v>10032.523835868298</v>
      </c>
    </row>
    <row r="1759" spans="1:11" x14ac:dyDescent="0.25">
      <c r="A1759" s="39">
        <v>43103</v>
      </c>
      <c r="B1759" s="36">
        <v>10443.200194999999</v>
      </c>
      <c r="C1759" s="36">
        <f t="shared" si="108"/>
        <v>10354.055078050002</v>
      </c>
      <c r="D1759" s="36">
        <f t="shared" si="109"/>
        <v>146.13948212468225</v>
      </c>
      <c r="E1759" s="40">
        <v>10443.200194999999</v>
      </c>
      <c r="F1759" s="36">
        <f t="shared" si="110"/>
        <v>10646.334042299366</v>
      </c>
      <c r="G1759" s="36">
        <f t="shared" si="111"/>
        <v>10061.776113800637</v>
      </c>
      <c r="I1759" s="40">
        <v>10443.200194999999</v>
      </c>
      <c r="J1759" s="36">
        <v>10646.334042299366</v>
      </c>
      <c r="K1759" s="36">
        <v>10061.776113800637</v>
      </c>
    </row>
    <row r="1760" spans="1:11" x14ac:dyDescent="0.25">
      <c r="A1760" s="39">
        <v>43104</v>
      </c>
      <c r="B1760" s="36">
        <v>10504.799805000001</v>
      </c>
      <c r="C1760" s="36">
        <f t="shared" si="108"/>
        <v>10373.382568300001</v>
      </c>
      <c r="D1760" s="36">
        <f t="shared" si="109"/>
        <v>138.68311413159876</v>
      </c>
      <c r="E1760" s="40">
        <v>10504.799805000001</v>
      </c>
      <c r="F1760" s="36">
        <f t="shared" si="110"/>
        <v>10650.748796563199</v>
      </c>
      <c r="G1760" s="36">
        <f t="shared" si="111"/>
        <v>10096.016340036804</v>
      </c>
      <c r="I1760" s="40">
        <v>10504.799805000001</v>
      </c>
      <c r="J1760" s="36">
        <v>10650.748796563199</v>
      </c>
      <c r="K1760" s="36">
        <v>10096.016340036804</v>
      </c>
    </row>
    <row r="1761" spans="1:11" x14ac:dyDescent="0.25">
      <c r="A1761" s="39">
        <v>43105</v>
      </c>
      <c r="B1761" s="36">
        <v>10558.849609000001</v>
      </c>
      <c r="C1761" s="36">
        <f t="shared" si="108"/>
        <v>10399.120068300001</v>
      </c>
      <c r="D1761" s="36">
        <f t="shared" si="109"/>
        <v>120.99358280834001</v>
      </c>
      <c r="E1761" s="40">
        <v>10558.849609000001</v>
      </c>
      <c r="F1761" s="36">
        <f t="shared" si="110"/>
        <v>10641.10723391668</v>
      </c>
      <c r="G1761" s="36">
        <f t="shared" si="111"/>
        <v>10157.132902683321</v>
      </c>
      <c r="I1761" s="40">
        <v>10558.849609000001</v>
      </c>
      <c r="J1761" s="36">
        <v>10641.10723391668</v>
      </c>
      <c r="K1761" s="36">
        <v>10157.132902683321</v>
      </c>
    </row>
    <row r="1762" spans="1:11" x14ac:dyDescent="0.25">
      <c r="A1762" s="39">
        <v>43108</v>
      </c>
      <c r="B1762" s="36">
        <v>10623.599609000001</v>
      </c>
      <c r="C1762" s="36">
        <f t="shared" si="108"/>
        <v>10421.965039000001</v>
      </c>
      <c r="D1762" s="36">
        <f t="shared" si="109"/>
        <v>117.8946245588545</v>
      </c>
      <c r="E1762" s="40">
        <v>10623.599609000001</v>
      </c>
      <c r="F1762" s="36">
        <f t="shared" si="110"/>
        <v>10657.754288117711</v>
      </c>
      <c r="G1762" s="36">
        <f t="shared" si="111"/>
        <v>10186.175789882291</v>
      </c>
      <c r="I1762" s="40">
        <v>10623.599609000001</v>
      </c>
      <c r="J1762" s="36">
        <v>10657.754288117711</v>
      </c>
      <c r="K1762" s="36">
        <v>10186.175789882291</v>
      </c>
    </row>
    <row r="1763" spans="1:11" x14ac:dyDescent="0.25">
      <c r="A1763" s="39">
        <v>43109</v>
      </c>
      <c r="B1763" s="36">
        <v>10637</v>
      </c>
      <c r="C1763" s="36">
        <f t="shared" si="108"/>
        <v>10440.53251945</v>
      </c>
      <c r="D1763" s="36">
        <f t="shared" si="109"/>
        <v>121.17721823521568</v>
      </c>
      <c r="E1763" s="40">
        <v>10637</v>
      </c>
      <c r="F1763" s="36">
        <f t="shared" si="110"/>
        <v>10682.886955920432</v>
      </c>
      <c r="G1763" s="36">
        <f t="shared" si="111"/>
        <v>10198.178082979568</v>
      </c>
      <c r="I1763" s="40">
        <v>10637</v>
      </c>
      <c r="J1763" s="36">
        <v>10682.886955920432</v>
      </c>
      <c r="K1763" s="36">
        <v>10198.178082979568</v>
      </c>
    </row>
    <row r="1764" spans="1:11" x14ac:dyDescent="0.25">
      <c r="A1764" s="39">
        <v>43110</v>
      </c>
      <c r="B1764" s="36">
        <v>10632.200194999999</v>
      </c>
      <c r="C1764" s="36">
        <f t="shared" si="108"/>
        <v>10456.030029200001</v>
      </c>
      <c r="D1764" s="36">
        <f t="shared" si="109"/>
        <v>125.01299583802226</v>
      </c>
      <c r="E1764" s="40">
        <v>10632.200194999999</v>
      </c>
      <c r="F1764" s="36">
        <f t="shared" si="110"/>
        <v>10706.056020876045</v>
      </c>
      <c r="G1764" s="36">
        <f t="shared" si="111"/>
        <v>10206.004037523957</v>
      </c>
      <c r="I1764" s="40">
        <v>10632.200194999999</v>
      </c>
      <c r="J1764" s="36">
        <v>10706.056020876045</v>
      </c>
      <c r="K1764" s="36">
        <v>10206.004037523957</v>
      </c>
    </row>
    <row r="1765" spans="1:11" x14ac:dyDescent="0.25">
      <c r="A1765" s="39">
        <v>43111</v>
      </c>
      <c r="B1765" s="36">
        <v>10651.200194999999</v>
      </c>
      <c r="C1765" s="36">
        <f t="shared" si="108"/>
        <v>10476.582519400001</v>
      </c>
      <c r="D1765" s="36">
        <f t="shared" si="109"/>
        <v>121.39019552018894</v>
      </c>
      <c r="E1765" s="40">
        <v>10651.200194999999</v>
      </c>
      <c r="F1765" s="36">
        <f t="shared" si="110"/>
        <v>10719.362910440379</v>
      </c>
      <c r="G1765" s="36">
        <f t="shared" si="111"/>
        <v>10233.802128359623</v>
      </c>
      <c r="I1765" s="40">
        <v>10651.200194999999</v>
      </c>
      <c r="J1765" s="36">
        <v>10719.362910440379</v>
      </c>
      <c r="K1765" s="36">
        <v>10233.802128359623</v>
      </c>
    </row>
    <row r="1766" spans="1:11" x14ac:dyDescent="0.25">
      <c r="A1766" s="39">
        <v>43112</v>
      </c>
      <c r="B1766" s="36">
        <v>10681.25</v>
      </c>
      <c r="C1766" s="36">
        <f t="shared" si="108"/>
        <v>10500.997509650002</v>
      </c>
      <c r="D1766" s="36">
        <f t="shared" si="109"/>
        <v>109.90322513169595</v>
      </c>
      <c r="E1766" s="40">
        <v>10681.25</v>
      </c>
      <c r="F1766" s="36">
        <f t="shared" si="110"/>
        <v>10720.803959913394</v>
      </c>
      <c r="G1766" s="36">
        <f t="shared" si="111"/>
        <v>10281.191059386611</v>
      </c>
      <c r="I1766" s="40">
        <v>10681.25</v>
      </c>
      <c r="J1766" s="36">
        <v>10720.803959913394</v>
      </c>
      <c r="K1766" s="36">
        <v>10281.191059386611</v>
      </c>
    </row>
    <row r="1767" spans="1:11" x14ac:dyDescent="0.25">
      <c r="A1767" s="39">
        <v>43115</v>
      </c>
      <c r="B1767" s="36">
        <v>10741.549805000001</v>
      </c>
      <c r="C1767" s="36">
        <f t="shared" si="108"/>
        <v>10525.47001945</v>
      </c>
      <c r="D1767" s="36">
        <f t="shared" si="109"/>
        <v>105.9872947014658</v>
      </c>
      <c r="E1767" s="40">
        <v>10741.549805000001</v>
      </c>
      <c r="F1767" s="36">
        <f t="shared" si="110"/>
        <v>10737.444608852931</v>
      </c>
      <c r="G1767" s="36">
        <f t="shared" si="111"/>
        <v>10313.495430047069</v>
      </c>
      <c r="I1767" s="40">
        <v>10741.549805000001</v>
      </c>
      <c r="J1767" s="36">
        <v>10737.444608852931</v>
      </c>
      <c r="K1767" s="36">
        <v>10313.495430047069</v>
      </c>
    </row>
    <row r="1768" spans="1:11" x14ac:dyDescent="0.25">
      <c r="A1768" s="39">
        <v>43116</v>
      </c>
      <c r="B1768" s="36">
        <v>10700.450194999999</v>
      </c>
      <c r="C1768" s="36">
        <f t="shared" si="108"/>
        <v>10543.830029200002</v>
      </c>
      <c r="D1768" s="36">
        <f t="shared" si="109"/>
        <v>102.69027343945231</v>
      </c>
      <c r="E1768" s="40">
        <v>10700.450194999999</v>
      </c>
      <c r="F1768" s="36">
        <f t="shared" si="110"/>
        <v>10749.210576078907</v>
      </c>
      <c r="G1768" s="36">
        <f t="shared" si="111"/>
        <v>10338.449482321097</v>
      </c>
      <c r="I1768" s="40">
        <v>10700.450194999999</v>
      </c>
      <c r="J1768" s="36">
        <v>10749.210576078907</v>
      </c>
      <c r="K1768" s="36">
        <v>10338.449482321097</v>
      </c>
    </row>
    <row r="1769" spans="1:11" x14ac:dyDescent="0.25">
      <c r="A1769" s="39">
        <v>43117</v>
      </c>
      <c r="B1769" s="36">
        <v>10788.549805000001</v>
      </c>
      <c r="C1769" s="36">
        <f t="shared" si="108"/>
        <v>10563.82001945</v>
      </c>
      <c r="D1769" s="36">
        <f t="shared" si="109"/>
        <v>109.59411046636156</v>
      </c>
      <c r="E1769" s="40">
        <v>10788.549805000001</v>
      </c>
      <c r="F1769" s="36">
        <f t="shared" si="110"/>
        <v>10783.008240382724</v>
      </c>
      <c r="G1769" s="36">
        <f t="shared" si="111"/>
        <v>10344.631798517277</v>
      </c>
      <c r="I1769" s="40">
        <v>10788.549805000001</v>
      </c>
      <c r="J1769" s="36">
        <v>10783.008240382724</v>
      </c>
      <c r="K1769" s="36">
        <v>10344.631798517277</v>
      </c>
    </row>
    <row r="1770" spans="1:11" x14ac:dyDescent="0.25">
      <c r="A1770" s="39">
        <v>43118</v>
      </c>
      <c r="B1770" s="36">
        <v>10817</v>
      </c>
      <c r="C1770" s="36">
        <f t="shared" si="108"/>
        <v>10581.5100097</v>
      </c>
      <c r="D1770" s="36">
        <f t="shared" si="109"/>
        <v>120.50847323504632</v>
      </c>
      <c r="E1770" s="40">
        <v>10817</v>
      </c>
      <c r="F1770" s="36">
        <f t="shared" si="110"/>
        <v>10822.526956170092</v>
      </c>
      <c r="G1770" s="36">
        <f t="shared" si="111"/>
        <v>10340.493063229907</v>
      </c>
      <c r="I1770" s="40">
        <v>10817</v>
      </c>
      <c r="J1770" s="36">
        <v>10822.526956170092</v>
      </c>
      <c r="K1770" s="36">
        <v>10340.493063229907</v>
      </c>
    </row>
    <row r="1771" spans="1:11" x14ac:dyDescent="0.25">
      <c r="A1771" s="39">
        <v>43119</v>
      </c>
      <c r="B1771" s="36">
        <v>10894.700194999999</v>
      </c>
      <c r="C1771" s="36">
        <f t="shared" si="108"/>
        <v>10604.035009700001</v>
      </c>
      <c r="D1771" s="36">
        <f t="shared" si="109"/>
        <v>134.75321395692498</v>
      </c>
      <c r="E1771" s="40">
        <v>10894.700194999999</v>
      </c>
      <c r="F1771" s="36">
        <f t="shared" si="110"/>
        <v>10873.541437613851</v>
      </c>
      <c r="G1771" s="36">
        <f t="shared" si="111"/>
        <v>10334.528581786151</v>
      </c>
      <c r="I1771" s="40">
        <v>10894.700194999999</v>
      </c>
      <c r="J1771" s="36">
        <v>10873.541437613851</v>
      </c>
      <c r="K1771" s="36">
        <v>10334.528581786151</v>
      </c>
    </row>
    <row r="1772" spans="1:11" x14ac:dyDescent="0.25">
      <c r="A1772" s="39">
        <v>43122</v>
      </c>
      <c r="B1772" s="36">
        <v>10966.200194999999</v>
      </c>
      <c r="C1772" s="36">
        <f t="shared" si="108"/>
        <v>10630.3300292</v>
      </c>
      <c r="D1772" s="36">
        <f t="shared" si="109"/>
        <v>151.4032586623203</v>
      </c>
      <c r="E1772" s="40">
        <v>10966.200194999999</v>
      </c>
      <c r="F1772" s="36">
        <f t="shared" si="110"/>
        <v>10933.136546524642</v>
      </c>
      <c r="G1772" s="36">
        <f t="shared" si="111"/>
        <v>10327.523511875359</v>
      </c>
      <c r="I1772" s="40">
        <v>10966.200194999999</v>
      </c>
      <c r="J1772" s="36">
        <v>10933.136546524642</v>
      </c>
      <c r="K1772" s="36">
        <v>10327.523511875359</v>
      </c>
    </row>
    <row r="1773" spans="1:11" x14ac:dyDescent="0.25">
      <c r="A1773" s="39">
        <v>43123</v>
      </c>
      <c r="B1773" s="36">
        <v>11083.700194999999</v>
      </c>
      <c r="C1773" s="36">
        <f t="shared" si="108"/>
        <v>10659.86503895</v>
      </c>
      <c r="D1773" s="36">
        <f t="shared" si="109"/>
        <v>178.41032278321586</v>
      </c>
      <c r="E1773" s="40">
        <v>11083.700194999999</v>
      </c>
      <c r="F1773" s="36">
        <f t="shared" si="110"/>
        <v>11016.685684516431</v>
      </c>
      <c r="G1773" s="36">
        <f t="shared" si="111"/>
        <v>10303.044393383569</v>
      </c>
      <c r="I1773" s="40">
        <v>11083.700194999999</v>
      </c>
      <c r="J1773" s="36">
        <v>11016.685684516431</v>
      </c>
      <c r="K1773" s="36">
        <v>10303.044393383569</v>
      </c>
    </row>
    <row r="1774" spans="1:11" x14ac:dyDescent="0.25">
      <c r="A1774" s="39">
        <v>43124</v>
      </c>
      <c r="B1774" s="36">
        <v>11086</v>
      </c>
      <c r="C1774" s="36">
        <f t="shared" si="108"/>
        <v>10687.59003895</v>
      </c>
      <c r="D1774" s="36">
        <f t="shared" si="109"/>
        <v>199.27692072525667</v>
      </c>
      <c r="E1774" s="40">
        <v>11086</v>
      </c>
      <c r="F1774" s="36">
        <f t="shared" si="110"/>
        <v>11086.143880400514</v>
      </c>
      <c r="G1774" s="36">
        <f t="shared" si="111"/>
        <v>10289.036197499487</v>
      </c>
      <c r="I1774" s="40">
        <v>11086</v>
      </c>
      <c r="J1774" s="36">
        <v>11086.143880400514</v>
      </c>
      <c r="K1774" s="36">
        <v>10289.036197499487</v>
      </c>
    </row>
    <row r="1775" spans="1:11" x14ac:dyDescent="0.25">
      <c r="A1775" s="39">
        <v>43125</v>
      </c>
      <c r="B1775" s="36">
        <v>11069.650390999999</v>
      </c>
      <c r="C1775" s="36">
        <f t="shared" si="108"/>
        <v>10716.535058500001</v>
      </c>
      <c r="D1775" s="36">
        <f t="shared" si="109"/>
        <v>210.88564624868675</v>
      </c>
      <c r="E1775" s="40">
        <v>11069.650390999999</v>
      </c>
      <c r="F1775" s="36">
        <f t="shared" si="110"/>
        <v>11138.306350997374</v>
      </c>
      <c r="G1775" s="36">
        <f t="shared" si="111"/>
        <v>10294.763766002628</v>
      </c>
      <c r="I1775" s="40">
        <v>11069.650390999999</v>
      </c>
      <c r="J1775" s="36">
        <v>11138.306350997374</v>
      </c>
      <c r="K1775" s="36">
        <v>10294.763766002628</v>
      </c>
    </row>
    <row r="1776" spans="1:11" x14ac:dyDescent="0.25">
      <c r="A1776" s="39">
        <v>43129</v>
      </c>
      <c r="B1776" s="36">
        <v>11130.400390999999</v>
      </c>
      <c r="C1776" s="36">
        <f t="shared" si="108"/>
        <v>10749.160058500001</v>
      </c>
      <c r="D1776" s="36">
        <f t="shared" si="109"/>
        <v>222.19391205044039</v>
      </c>
      <c r="E1776" s="40">
        <v>11130.400390999999</v>
      </c>
      <c r="F1776" s="36">
        <f t="shared" si="110"/>
        <v>11193.547882600882</v>
      </c>
      <c r="G1776" s="36">
        <f t="shared" si="111"/>
        <v>10304.772234399121</v>
      </c>
      <c r="I1776" s="40">
        <v>11130.400390999999</v>
      </c>
      <c r="J1776" s="36">
        <v>11193.547882600882</v>
      </c>
      <c r="K1776" s="36">
        <v>10304.772234399121</v>
      </c>
    </row>
    <row r="1777" spans="1:11" x14ac:dyDescent="0.25">
      <c r="A1777" s="39">
        <v>43130</v>
      </c>
      <c r="B1777" s="36">
        <v>11049.650390999999</v>
      </c>
      <c r="C1777" s="36">
        <f t="shared" si="108"/>
        <v>10775.107568300002</v>
      </c>
      <c r="D1777" s="36">
        <f t="shared" si="109"/>
        <v>225.6145780986958</v>
      </c>
      <c r="E1777" s="40">
        <v>11049.650390999999</v>
      </c>
      <c r="F1777" s="36">
        <f t="shared" si="110"/>
        <v>11226.336724497392</v>
      </c>
      <c r="G1777" s="36">
        <f t="shared" si="111"/>
        <v>10323.878412102611</v>
      </c>
      <c r="I1777" s="40">
        <v>11049.650390999999</v>
      </c>
      <c r="J1777" s="36">
        <v>11226.336724497392</v>
      </c>
      <c r="K1777" s="36">
        <v>10323.878412102611</v>
      </c>
    </row>
    <row r="1778" spans="1:11" x14ac:dyDescent="0.25">
      <c r="A1778" s="39">
        <v>43131</v>
      </c>
      <c r="B1778" s="36">
        <v>11027.700194999999</v>
      </c>
      <c r="C1778" s="36">
        <f t="shared" si="108"/>
        <v>10804.382568300003</v>
      </c>
      <c r="D1778" s="36">
        <f t="shared" si="109"/>
        <v>218.00193414498065</v>
      </c>
      <c r="E1778" s="40">
        <v>11027.700194999999</v>
      </c>
      <c r="F1778" s="36">
        <f t="shared" si="110"/>
        <v>11240.386436589964</v>
      </c>
      <c r="G1778" s="36">
        <f t="shared" si="111"/>
        <v>10368.378700010042</v>
      </c>
      <c r="I1778" s="40">
        <v>11027.700194999999</v>
      </c>
      <c r="J1778" s="36">
        <v>11240.386436589964</v>
      </c>
      <c r="K1778" s="36">
        <v>10368.378700010042</v>
      </c>
    </row>
    <row r="1779" spans="1:11" x14ac:dyDescent="0.25">
      <c r="A1779" s="39">
        <v>43132</v>
      </c>
      <c r="B1779" s="36">
        <v>11016.900390999999</v>
      </c>
      <c r="C1779" s="36">
        <f t="shared" si="108"/>
        <v>10833.067578100001</v>
      </c>
      <c r="D1779" s="36">
        <f t="shared" si="109"/>
        <v>205.35291124332926</v>
      </c>
      <c r="E1779" s="40">
        <v>11016.900390999999</v>
      </c>
      <c r="F1779" s="36">
        <f t="shared" si="110"/>
        <v>11243.773400586659</v>
      </c>
      <c r="G1779" s="36">
        <f t="shared" si="111"/>
        <v>10422.361755613343</v>
      </c>
      <c r="I1779" s="40">
        <v>11016.900390999999</v>
      </c>
      <c r="J1779" s="36">
        <v>11243.773400586659</v>
      </c>
      <c r="K1779" s="36">
        <v>10422.361755613343</v>
      </c>
    </row>
    <row r="1780" spans="1:11" x14ac:dyDescent="0.25">
      <c r="A1780" s="39">
        <v>43133</v>
      </c>
      <c r="B1780" s="36">
        <v>10760.599609000001</v>
      </c>
      <c r="C1780" s="36">
        <f t="shared" si="108"/>
        <v>10845.8575683</v>
      </c>
      <c r="D1780" s="36">
        <f t="shared" si="109"/>
        <v>191.3176944067568</v>
      </c>
      <c r="E1780" s="40">
        <v>10760.599609000001</v>
      </c>
      <c r="F1780" s="36">
        <f t="shared" si="110"/>
        <v>11228.492957113514</v>
      </c>
      <c r="G1780" s="36">
        <f t="shared" si="111"/>
        <v>10463.222179486485</v>
      </c>
      <c r="I1780" s="40">
        <v>10760.599609000001</v>
      </c>
      <c r="J1780" s="36">
        <v>11228.492957113514</v>
      </c>
      <c r="K1780" s="36">
        <v>10463.222179486485</v>
      </c>
    </row>
    <row r="1781" spans="1:11" x14ac:dyDescent="0.25">
      <c r="A1781" s="39">
        <v>43136</v>
      </c>
      <c r="B1781" s="36">
        <v>10666.549805000001</v>
      </c>
      <c r="C1781" s="36">
        <f t="shared" si="108"/>
        <v>10851.242578100002</v>
      </c>
      <c r="D1781" s="36">
        <f t="shared" si="109"/>
        <v>184.19733159053598</v>
      </c>
      <c r="E1781" s="40">
        <v>10666.549805000001</v>
      </c>
      <c r="F1781" s="36">
        <f t="shared" si="110"/>
        <v>11219.637241281074</v>
      </c>
      <c r="G1781" s="36">
        <f t="shared" si="111"/>
        <v>10482.84791491893</v>
      </c>
      <c r="I1781" s="40">
        <v>10666.549805000001</v>
      </c>
      <c r="J1781" s="36">
        <v>11219.637241281074</v>
      </c>
      <c r="K1781" s="36">
        <v>10482.84791491893</v>
      </c>
    </row>
    <row r="1782" spans="1:11" x14ac:dyDescent="0.25">
      <c r="A1782" s="39">
        <v>43137</v>
      </c>
      <c r="B1782" s="36">
        <v>10498.25</v>
      </c>
      <c r="C1782" s="36">
        <f t="shared" si="108"/>
        <v>10844.97509765</v>
      </c>
      <c r="D1782" s="36">
        <f t="shared" si="109"/>
        <v>194.21112967804174</v>
      </c>
      <c r="E1782" s="40">
        <v>10498.25</v>
      </c>
      <c r="F1782" s="36">
        <f t="shared" si="110"/>
        <v>11233.397357006084</v>
      </c>
      <c r="G1782" s="36">
        <f t="shared" si="111"/>
        <v>10456.552838293916</v>
      </c>
      <c r="I1782" s="40">
        <v>10498.25</v>
      </c>
      <c r="J1782" s="36">
        <v>11233.397357006084</v>
      </c>
      <c r="K1782" s="36">
        <v>10456.552838293916</v>
      </c>
    </row>
    <row r="1783" spans="1:11" x14ac:dyDescent="0.25">
      <c r="A1783" s="39">
        <v>43138</v>
      </c>
      <c r="B1783" s="36">
        <v>10476.700194999999</v>
      </c>
      <c r="C1783" s="36">
        <f t="shared" si="108"/>
        <v>10836.9601074</v>
      </c>
      <c r="D1783" s="36">
        <f t="shared" si="109"/>
        <v>206.18454383733527</v>
      </c>
      <c r="E1783" s="40">
        <v>10476.700194999999</v>
      </c>
      <c r="F1783" s="36">
        <f t="shared" si="110"/>
        <v>11249.329195074672</v>
      </c>
      <c r="G1783" s="36">
        <f t="shared" si="111"/>
        <v>10424.591019725329</v>
      </c>
      <c r="I1783" s="40">
        <v>10476.700194999999</v>
      </c>
      <c r="J1783" s="36">
        <v>11249.329195074672</v>
      </c>
      <c r="K1783" s="36">
        <v>10424.591019725329</v>
      </c>
    </row>
    <row r="1784" spans="1:11" x14ac:dyDescent="0.25">
      <c r="A1784" s="39">
        <v>43139</v>
      </c>
      <c r="B1784" s="36">
        <v>10576.849609000001</v>
      </c>
      <c r="C1784" s="36">
        <f t="shared" si="108"/>
        <v>10834.192578099999</v>
      </c>
      <c r="D1784" s="36">
        <f t="shared" si="109"/>
        <v>209.42363531143772</v>
      </c>
      <c r="E1784" s="40">
        <v>10576.849609000001</v>
      </c>
      <c r="F1784" s="36">
        <f t="shared" si="110"/>
        <v>11253.039848722874</v>
      </c>
      <c r="G1784" s="36">
        <f t="shared" si="111"/>
        <v>10415.345307477124</v>
      </c>
      <c r="I1784" s="40">
        <v>10576.849609000001</v>
      </c>
      <c r="J1784" s="36">
        <v>11253.039848722874</v>
      </c>
      <c r="K1784" s="36">
        <v>10415.345307477124</v>
      </c>
    </row>
    <row r="1785" spans="1:11" x14ac:dyDescent="0.25">
      <c r="A1785" s="39">
        <v>43140</v>
      </c>
      <c r="B1785" s="36">
        <v>10454.950194999999</v>
      </c>
      <c r="C1785" s="36">
        <f t="shared" si="108"/>
        <v>10824.380078100001</v>
      </c>
      <c r="D1785" s="36">
        <f t="shared" si="109"/>
        <v>222.63018559885754</v>
      </c>
      <c r="E1785" s="40">
        <v>10454.950194999999</v>
      </c>
      <c r="F1785" s="36">
        <f t="shared" si="110"/>
        <v>11269.640449297716</v>
      </c>
      <c r="G1785" s="36">
        <f t="shared" si="111"/>
        <v>10379.119706902286</v>
      </c>
      <c r="I1785" s="40">
        <v>10454.950194999999</v>
      </c>
      <c r="J1785" s="36">
        <v>11269.640449297716</v>
      </c>
      <c r="K1785" s="36">
        <v>10379.119706902286</v>
      </c>
    </row>
    <row r="1786" spans="1:11" x14ac:dyDescent="0.25">
      <c r="A1786" s="39">
        <v>43143</v>
      </c>
      <c r="B1786" s="36">
        <v>10539.75</v>
      </c>
      <c r="C1786" s="36">
        <f t="shared" si="108"/>
        <v>10817.305078100002</v>
      </c>
      <c r="D1786" s="36">
        <f t="shared" si="109"/>
        <v>229.55870030837696</v>
      </c>
      <c r="E1786" s="40">
        <v>10539.75</v>
      </c>
      <c r="F1786" s="36">
        <f t="shared" si="110"/>
        <v>11276.422478716755</v>
      </c>
      <c r="G1786" s="36">
        <f t="shared" si="111"/>
        <v>10358.187677483249</v>
      </c>
      <c r="I1786" s="40">
        <v>10539.75</v>
      </c>
      <c r="J1786" s="36">
        <v>11276.422478716755</v>
      </c>
      <c r="K1786" s="36">
        <v>10358.187677483249</v>
      </c>
    </row>
    <row r="1787" spans="1:11" x14ac:dyDescent="0.25">
      <c r="A1787" s="39">
        <v>43145</v>
      </c>
      <c r="B1787" s="36">
        <v>10500.900390999999</v>
      </c>
      <c r="C1787" s="36">
        <f t="shared" si="108"/>
        <v>10805.2726074</v>
      </c>
      <c r="D1787" s="36">
        <f t="shared" si="109"/>
        <v>239.81617943438744</v>
      </c>
      <c r="E1787" s="40">
        <v>10500.900390999999</v>
      </c>
      <c r="F1787" s="36">
        <f t="shared" si="110"/>
        <v>11284.904966268776</v>
      </c>
      <c r="G1787" s="36">
        <f t="shared" si="111"/>
        <v>10325.640248531225</v>
      </c>
      <c r="I1787" s="40">
        <v>10500.900390999999</v>
      </c>
      <c r="J1787" s="36">
        <v>11284.904966268776</v>
      </c>
      <c r="K1787" s="36">
        <v>10325.640248531225</v>
      </c>
    </row>
    <row r="1788" spans="1:11" x14ac:dyDescent="0.25">
      <c r="A1788" s="39">
        <v>43146</v>
      </c>
      <c r="B1788" s="36">
        <v>10545.5</v>
      </c>
      <c r="C1788" s="36">
        <f t="shared" si="108"/>
        <v>10797.525097650001</v>
      </c>
      <c r="D1788" s="36">
        <f t="shared" si="109"/>
        <v>245.80884632694952</v>
      </c>
      <c r="E1788" s="40">
        <v>10545.5</v>
      </c>
      <c r="F1788" s="36">
        <f t="shared" si="110"/>
        <v>11289.1427903039</v>
      </c>
      <c r="G1788" s="36">
        <f t="shared" si="111"/>
        <v>10305.907404996102</v>
      </c>
      <c r="I1788" s="40">
        <v>10545.5</v>
      </c>
      <c r="J1788" s="36">
        <v>11289.1427903039</v>
      </c>
      <c r="K1788" s="36">
        <v>10305.907404996102</v>
      </c>
    </row>
    <row r="1789" spans="1:11" x14ac:dyDescent="0.25">
      <c r="A1789" s="39">
        <v>43147</v>
      </c>
      <c r="B1789" s="36">
        <v>10452.299805000001</v>
      </c>
      <c r="C1789" s="36">
        <f t="shared" si="108"/>
        <v>10780.712597649999</v>
      </c>
      <c r="D1789" s="36">
        <f t="shared" si="109"/>
        <v>257.66813962733823</v>
      </c>
      <c r="E1789" s="40">
        <v>10452.299805000001</v>
      </c>
      <c r="F1789" s="36">
        <f t="shared" si="110"/>
        <v>11296.048876904675</v>
      </c>
      <c r="G1789" s="36">
        <f t="shared" si="111"/>
        <v>10265.376318395323</v>
      </c>
      <c r="I1789" s="40">
        <v>10452.299805000001</v>
      </c>
      <c r="J1789" s="36">
        <v>11296.048876904675</v>
      </c>
      <c r="K1789" s="36">
        <v>10265.376318395323</v>
      </c>
    </row>
    <row r="1790" spans="1:11" x14ac:dyDescent="0.25">
      <c r="A1790" s="39">
        <v>43150</v>
      </c>
      <c r="B1790" s="36">
        <v>10378.400390999999</v>
      </c>
      <c r="C1790" s="36">
        <f t="shared" si="108"/>
        <v>10758.7826172</v>
      </c>
      <c r="D1790" s="36">
        <f t="shared" si="109"/>
        <v>272.64632851493377</v>
      </c>
      <c r="E1790" s="40">
        <v>10378.400390999999</v>
      </c>
      <c r="F1790" s="36">
        <f t="shared" si="110"/>
        <v>11304.075274229868</v>
      </c>
      <c r="G1790" s="36">
        <f t="shared" si="111"/>
        <v>10213.489960170133</v>
      </c>
      <c r="I1790" s="40">
        <v>10378.400390999999</v>
      </c>
      <c r="J1790" s="36">
        <v>11304.075274229868</v>
      </c>
      <c r="K1790" s="36">
        <v>10213.489960170133</v>
      </c>
    </row>
    <row r="1791" spans="1:11" x14ac:dyDescent="0.25">
      <c r="A1791" s="39">
        <v>43151</v>
      </c>
      <c r="B1791" s="36">
        <v>10360.400390999999</v>
      </c>
      <c r="C1791" s="36">
        <f t="shared" si="108"/>
        <v>10732.067627</v>
      </c>
      <c r="D1791" s="36">
        <f t="shared" si="109"/>
        <v>284.54445446511221</v>
      </c>
      <c r="E1791" s="40">
        <v>10360.400390999999</v>
      </c>
      <c r="F1791" s="36">
        <f t="shared" si="110"/>
        <v>11301.156535930224</v>
      </c>
      <c r="G1791" s="36">
        <f t="shared" si="111"/>
        <v>10162.978718069777</v>
      </c>
      <c r="I1791" s="40">
        <v>10360.400390999999</v>
      </c>
      <c r="J1791" s="36">
        <v>11301.156535930224</v>
      </c>
      <c r="K1791" s="36">
        <v>10162.978718069777</v>
      </c>
    </row>
    <row r="1792" spans="1:11" x14ac:dyDescent="0.25">
      <c r="A1792" s="39">
        <v>43152</v>
      </c>
      <c r="B1792" s="36">
        <v>10397.450194999999</v>
      </c>
      <c r="C1792" s="36">
        <f t="shared" si="108"/>
        <v>10703.630127</v>
      </c>
      <c r="D1792" s="36">
        <f t="shared" si="109"/>
        <v>288.30925675165275</v>
      </c>
      <c r="E1792" s="40">
        <v>10397.450194999999</v>
      </c>
      <c r="F1792" s="36">
        <f t="shared" si="110"/>
        <v>11280.248640503305</v>
      </c>
      <c r="G1792" s="36">
        <f t="shared" si="111"/>
        <v>10127.011613496696</v>
      </c>
      <c r="I1792" s="40">
        <v>10397.450194999999</v>
      </c>
      <c r="J1792" s="36">
        <v>11280.248640503305</v>
      </c>
      <c r="K1792" s="36">
        <v>10127.011613496696</v>
      </c>
    </row>
    <row r="1793" spans="1:11" x14ac:dyDescent="0.25">
      <c r="A1793" s="39">
        <v>43153</v>
      </c>
      <c r="B1793" s="36">
        <v>10382.700194999999</v>
      </c>
      <c r="C1793" s="36">
        <f t="shared" si="108"/>
        <v>10668.580126999999</v>
      </c>
      <c r="D1793" s="36">
        <f t="shared" si="109"/>
        <v>282.21819085212832</v>
      </c>
      <c r="E1793" s="40">
        <v>10382.700194999999</v>
      </c>
      <c r="F1793" s="36">
        <f t="shared" si="110"/>
        <v>11233.016508704255</v>
      </c>
      <c r="G1793" s="36">
        <f t="shared" si="111"/>
        <v>10104.143745295743</v>
      </c>
      <c r="I1793" s="40">
        <v>10382.700194999999</v>
      </c>
      <c r="J1793" s="36">
        <v>11233.016508704255</v>
      </c>
      <c r="K1793" s="36">
        <v>10104.143745295743</v>
      </c>
    </row>
    <row r="1794" spans="1:11" x14ac:dyDescent="0.25">
      <c r="A1794" s="39">
        <v>43154</v>
      </c>
      <c r="B1794" s="36">
        <v>10491.049805000001</v>
      </c>
      <c r="C1794" s="36">
        <f t="shared" si="108"/>
        <v>10638.832617249998</v>
      </c>
      <c r="D1794" s="36">
        <f t="shared" si="109"/>
        <v>266.84062026420014</v>
      </c>
      <c r="E1794" s="40">
        <v>10491.049805000001</v>
      </c>
      <c r="F1794" s="36">
        <f t="shared" si="110"/>
        <v>11172.513857778398</v>
      </c>
      <c r="G1794" s="36">
        <f t="shared" si="111"/>
        <v>10105.151376721598</v>
      </c>
      <c r="I1794" s="40">
        <v>10491.049805000001</v>
      </c>
      <c r="J1794" s="36">
        <v>11172.513857778398</v>
      </c>
      <c r="K1794" s="36">
        <v>10105.151376721598</v>
      </c>
    </row>
    <row r="1795" spans="1:11" x14ac:dyDescent="0.25">
      <c r="A1795" s="39">
        <v>43157</v>
      </c>
      <c r="B1795" s="36">
        <v>10582.599609000001</v>
      </c>
      <c r="C1795" s="36">
        <f t="shared" si="108"/>
        <v>10614.480078149998</v>
      </c>
      <c r="D1795" s="36">
        <f t="shared" si="109"/>
        <v>246.93614022788594</v>
      </c>
      <c r="E1795" s="40">
        <v>10582.599609000001</v>
      </c>
      <c r="F1795" s="36">
        <f t="shared" si="110"/>
        <v>11108.352358605769</v>
      </c>
      <c r="G1795" s="36">
        <f t="shared" si="111"/>
        <v>10120.607797694227</v>
      </c>
      <c r="I1795" s="40">
        <v>10582.599609000001</v>
      </c>
      <c r="J1795" s="36">
        <v>11108.352358605769</v>
      </c>
      <c r="K1795" s="36">
        <v>10120.607797694227</v>
      </c>
    </row>
    <row r="1796" spans="1:11" x14ac:dyDescent="0.25">
      <c r="A1796" s="39">
        <v>43158</v>
      </c>
      <c r="B1796" s="36">
        <v>10554.299805000001</v>
      </c>
      <c r="C1796" s="36">
        <f t="shared" si="108"/>
        <v>10585.67504885</v>
      </c>
      <c r="D1796" s="36">
        <f t="shared" si="109"/>
        <v>215.14071178355599</v>
      </c>
      <c r="E1796" s="40">
        <v>10554.299805000001</v>
      </c>
      <c r="F1796" s="36">
        <f t="shared" si="110"/>
        <v>11015.956472417112</v>
      </c>
      <c r="G1796" s="36">
        <f t="shared" si="111"/>
        <v>10155.393625282888</v>
      </c>
      <c r="I1796" s="40">
        <v>10554.299805000001</v>
      </c>
      <c r="J1796" s="36">
        <v>11015.956472417112</v>
      </c>
      <c r="K1796" s="36">
        <v>10155.393625282888</v>
      </c>
    </row>
    <row r="1797" spans="1:11" x14ac:dyDescent="0.25">
      <c r="A1797" s="39">
        <v>43159</v>
      </c>
      <c r="B1797" s="36">
        <v>10492.849609000001</v>
      </c>
      <c r="C1797" s="36">
        <f t="shared" si="108"/>
        <v>10557.835009749999</v>
      </c>
      <c r="D1797" s="36">
        <f t="shared" si="109"/>
        <v>185.99194664035628</v>
      </c>
      <c r="E1797" s="40">
        <v>10492.849609000001</v>
      </c>
      <c r="F1797" s="36">
        <f t="shared" si="110"/>
        <v>10929.818903030711</v>
      </c>
      <c r="G1797" s="36">
        <f t="shared" si="111"/>
        <v>10185.851116469286</v>
      </c>
      <c r="I1797" s="40">
        <v>10492.849609000001</v>
      </c>
      <c r="J1797" s="36">
        <v>10929.818903030711</v>
      </c>
      <c r="K1797" s="36">
        <v>10185.851116469286</v>
      </c>
    </row>
    <row r="1798" spans="1:11" x14ac:dyDescent="0.25">
      <c r="A1798" s="39">
        <v>43160</v>
      </c>
      <c r="B1798" s="36">
        <v>10458.349609000001</v>
      </c>
      <c r="C1798" s="36">
        <f t="shared" si="108"/>
        <v>10529.367480450001</v>
      </c>
      <c r="D1798" s="36">
        <f t="shared" si="109"/>
        <v>150.46998795873901</v>
      </c>
      <c r="E1798" s="40">
        <v>10458.349609000001</v>
      </c>
      <c r="F1798" s="36">
        <f t="shared" si="110"/>
        <v>10830.307456367478</v>
      </c>
      <c r="G1798" s="36">
        <f t="shared" si="111"/>
        <v>10228.427504532523</v>
      </c>
      <c r="I1798" s="40">
        <v>10458.349609000001</v>
      </c>
      <c r="J1798" s="36">
        <v>10830.307456367478</v>
      </c>
      <c r="K1798" s="36">
        <v>10228.427504532523</v>
      </c>
    </row>
    <row r="1799" spans="1:11" x14ac:dyDescent="0.25">
      <c r="A1799" s="39">
        <v>43164</v>
      </c>
      <c r="B1799" s="36">
        <v>10358.849609000001</v>
      </c>
      <c r="C1799" s="36">
        <f t="shared" si="108"/>
        <v>10496.464941349999</v>
      </c>
      <c r="D1799" s="36">
        <f t="shared" si="109"/>
        <v>102.57720899008159</v>
      </c>
      <c r="E1799" s="40">
        <v>10358.849609000001</v>
      </c>
      <c r="F1799" s="36">
        <f t="shared" si="110"/>
        <v>10701.619359330163</v>
      </c>
      <c r="G1799" s="36">
        <f t="shared" si="111"/>
        <v>10291.310523369835</v>
      </c>
      <c r="I1799" s="40">
        <v>10358.849609000001</v>
      </c>
      <c r="J1799" s="36">
        <v>10701.619359330163</v>
      </c>
      <c r="K1799" s="36">
        <v>10291.310523369835</v>
      </c>
    </row>
    <row r="1800" spans="1:11" x14ac:dyDescent="0.25">
      <c r="A1800" s="39">
        <v>43165</v>
      </c>
      <c r="B1800" s="36">
        <v>10249.25</v>
      </c>
      <c r="C1800" s="36">
        <f t="shared" si="108"/>
        <v>10470.897460899998</v>
      </c>
      <c r="D1800" s="36">
        <f t="shared" si="109"/>
        <v>96.843274287726203</v>
      </c>
      <c r="E1800" s="40">
        <v>10249.25</v>
      </c>
      <c r="F1800" s="36">
        <f t="shared" si="110"/>
        <v>10664.584009475449</v>
      </c>
      <c r="G1800" s="36">
        <f t="shared" si="111"/>
        <v>10277.210912324546</v>
      </c>
      <c r="I1800" s="40">
        <v>10249.25</v>
      </c>
      <c r="J1800" s="36">
        <v>10664.584009475449</v>
      </c>
      <c r="K1800" s="36">
        <v>10277.210912324546</v>
      </c>
    </row>
    <row r="1801" spans="1:11" x14ac:dyDescent="0.25">
      <c r="A1801" s="39">
        <v>43166</v>
      </c>
      <c r="B1801" s="36">
        <v>10154.200194999999</v>
      </c>
      <c r="C1801" s="36">
        <f t="shared" si="108"/>
        <v>10445.279980399999</v>
      </c>
      <c r="D1801" s="36">
        <f t="shared" si="109"/>
        <v>109.32471865091691</v>
      </c>
      <c r="E1801" s="40">
        <v>10154.200194999999</v>
      </c>
      <c r="F1801" s="36">
        <f t="shared" si="110"/>
        <v>10663.929417701833</v>
      </c>
      <c r="G1801" s="36">
        <f t="shared" si="111"/>
        <v>10226.630543098165</v>
      </c>
      <c r="I1801" s="40">
        <v>10154.200194999999</v>
      </c>
      <c r="J1801" s="36">
        <v>10663.929417701833</v>
      </c>
      <c r="K1801" s="36">
        <v>10226.630543098165</v>
      </c>
    </row>
    <row r="1802" spans="1:11" x14ac:dyDescent="0.25">
      <c r="A1802" s="39">
        <v>43167</v>
      </c>
      <c r="B1802" s="36">
        <v>10242.650390999999</v>
      </c>
      <c r="C1802" s="36">
        <f t="shared" si="108"/>
        <v>10432.49999995</v>
      </c>
      <c r="D1802" s="36">
        <f t="shared" si="109"/>
        <v>117.44480396112657</v>
      </c>
      <c r="E1802" s="40">
        <v>10242.650390999999</v>
      </c>
      <c r="F1802" s="36">
        <f t="shared" si="110"/>
        <v>10667.389607872252</v>
      </c>
      <c r="G1802" s="36">
        <f t="shared" si="111"/>
        <v>10197.610392027747</v>
      </c>
      <c r="I1802" s="40">
        <v>10242.650390999999</v>
      </c>
      <c r="J1802" s="36">
        <v>10667.389607872252</v>
      </c>
      <c r="K1802" s="36">
        <v>10197.610392027747</v>
      </c>
    </row>
    <row r="1803" spans="1:11" x14ac:dyDescent="0.25">
      <c r="A1803" s="39">
        <v>43168</v>
      </c>
      <c r="B1803" s="36">
        <v>10226.849609000001</v>
      </c>
      <c r="C1803" s="36">
        <f t="shared" si="108"/>
        <v>10420.00747065</v>
      </c>
      <c r="D1803" s="36">
        <f t="shared" si="109"/>
        <v>125.50729017640957</v>
      </c>
      <c r="E1803" s="40">
        <v>10226.849609000001</v>
      </c>
      <c r="F1803" s="36">
        <f t="shared" si="110"/>
        <v>10671.022051002819</v>
      </c>
      <c r="G1803" s="36">
        <f t="shared" si="111"/>
        <v>10168.992890297181</v>
      </c>
      <c r="I1803" s="40">
        <v>10226.849609000001</v>
      </c>
      <c r="J1803" s="36">
        <v>10671.022051002819</v>
      </c>
      <c r="K1803" s="36">
        <v>10168.992890297181</v>
      </c>
    </row>
    <row r="1804" spans="1:11" x14ac:dyDescent="0.25">
      <c r="A1804" s="39">
        <v>43171</v>
      </c>
      <c r="B1804" s="36">
        <v>10421.400390999999</v>
      </c>
      <c r="C1804" s="36">
        <f t="shared" si="108"/>
        <v>10412.23500975</v>
      </c>
      <c r="D1804" s="36">
        <f t="shared" si="109"/>
        <v>119.97451017812601</v>
      </c>
      <c r="E1804" s="40">
        <v>10421.400390999999</v>
      </c>
      <c r="F1804" s="36">
        <f t="shared" si="110"/>
        <v>10652.184030106253</v>
      </c>
      <c r="G1804" s="36">
        <f t="shared" si="111"/>
        <v>10172.285989393748</v>
      </c>
      <c r="I1804" s="40">
        <v>10421.400390999999</v>
      </c>
      <c r="J1804" s="36">
        <v>10652.184030106253</v>
      </c>
      <c r="K1804" s="36">
        <v>10172.285989393748</v>
      </c>
    </row>
    <row r="1805" spans="1:11" x14ac:dyDescent="0.25">
      <c r="A1805" s="39">
        <v>43172</v>
      </c>
      <c r="B1805" s="36">
        <v>10426.849609000001</v>
      </c>
      <c r="C1805" s="36">
        <f t="shared" si="108"/>
        <v>10410.82998045</v>
      </c>
      <c r="D1805" s="36">
        <f t="shared" si="109"/>
        <v>119.61193745889976</v>
      </c>
      <c r="E1805" s="40">
        <v>10426.849609000001</v>
      </c>
      <c r="F1805" s="36">
        <f t="shared" si="110"/>
        <v>10650.0538553678</v>
      </c>
      <c r="G1805" s="36">
        <f t="shared" si="111"/>
        <v>10171.606105532201</v>
      </c>
      <c r="I1805" s="40">
        <v>10426.849609000001</v>
      </c>
      <c r="J1805" s="36">
        <v>10650.0538553678</v>
      </c>
      <c r="K1805" s="36">
        <v>10171.606105532201</v>
      </c>
    </row>
    <row r="1806" spans="1:11" x14ac:dyDescent="0.25">
      <c r="A1806" s="39">
        <v>43173</v>
      </c>
      <c r="B1806" s="36">
        <v>10410.900390999999</v>
      </c>
      <c r="C1806" s="36">
        <f t="shared" si="108"/>
        <v>10404.387500000001</v>
      </c>
      <c r="D1806" s="36">
        <f t="shared" si="109"/>
        <v>115.70898579959888</v>
      </c>
      <c r="E1806" s="40">
        <v>10410.900390999999</v>
      </c>
      <c r="F1806" s="36">
        <f t="shared" si="110"/>
        <v>10635.805471599198</v>
      </c>
      <c r="G1806" s="36">
        <f t="shared" si="111"/>
        <v>10172.969528400803</v>
      </c>
      <c r="I1806" s="40">
        <v>10410.900390999999</v>
      </c>
      <c r="J1806" s="36">
        <v>10635.805471599198</v>
      </c>
      <c r="K1806" s="36">
        <v>10172.969528400803</v>
      </c>
    </row>
    <row r="1807" spans="1:11" x14ac:dyDescent="0.25">
      <c r="A1807" s="39">
        <v>43174</v>
      </c>
      <c r="B1807" s="36">
        <v>10360.150390999999</v>
      </c>
      <c r="C1807" s="36">
        <f t="shared" si="108"/>
        <v>10397.35</v>
      </c>
      <c r="D1807" s="36">
        <f t="shared" si="109"/>
        <v>113.79447633878874</v>
      </c>
      <c r="E1807" s="40">
        <v>10360.150390999999</v>
      </c>
      <c r="F1807" s="36">
        <f t="shared" si="110"/>
        <v>10624.938952677578</v>
      </c>
      <c r="G1807" s="36">
        <f t="shared" si="111"/>
        <v>10169.761047322423</v>
      </c>
      <c r="I1807" s="40">
        <v>10360.150390999999</v>
      </c>
      <c r="J1807" s="36">
        <v>10624.938952677578</v>
      </c>
      <c r="K1807" s="36">
        <v>10169.761047322423</v>
      </c>
    </row>
    <row r="1808" spans="1:11" x14ac:dyDescent="0.25">
      <c r="A1808" s="39">
        <v>43175</v>
      </c>
      <c r="B1808" s="36">
        <v>10195.150390999999</v>
      </c>
      <c r="C1808" s="36">
        <f t="shared" si="108"/>
        <v>10379.83251955</v>
      </c>
      <c r="D1808" s="36">
        <f t="shared" si="109"/>
        <v>116.71681676798909</v>
      </c>
      <c r="E1808" s="40">
        <v>10195.150390999999</v>
      </c>
      <c r="F1808" s="36">
        <f t="shared" si="110"/>
        <v>10613.266153085979</v>
      </c>
      <c r="G1808" s="36">
        <f t="shared" si="111"/>
        <v>10146.398886014022</v>
      </c>
      <c r="I1808" s="40">
        <v>10195.150390999999</v>
      </c>
      <c r="J1808" s="36">
        <v>10613.266153085979</v>
      </c>
      <c r="K1808" s="36">
        <v>10146.398886014022</v>
      </c>
    </row>
    <row r="1809" spans="1:11" x14ac:dyDescent="0.25">
      <c r="A1809" s="39">
        <v>43178</v>
      </c>
      <c r="B1809" s="36">
        <v>10094.25</v>
      </c>
      <c r="C1809" s="36">
        <f t="shared" si="108"/>
        <v>10361.9300293</v>
      </c>
      <c r="D1809" s="36">
        <f t="shared" si="109"/>
        <v>131.53534163498293</v>
      </c>
      <c r="E1809" s="40">
        <v>10094.25</v>
      </c>
      <c r="F1809" s="36">
        <f t="shared" si="110"/>
        <v>10625.000712569965</v>
      </c>
      <c r="G1809" s="36">
        <f t="shared" si="111"/>
        <v>10098.859346030034</v>
      </c>
      <c r="I1809" s="40">
        <v>10094.25</v>
      </c>
      <c r="J1809" s="36">
        <v>10625.000712569965</v>
      </c>
      <c r="K1809" s="36">
        <v>10098.859346030034</v>
      </c>
    </row>
    <row r="1810" spans="1:11" x14ac:dyDescent="0.25">
      <c r="A1810" s="39">
        <v>43179</v>
      </c>
      <c r="B1810" s="36">
        <v>10124.349609000001</v>
      </c>
      <c r="C1810" s="36">
        <f t="shared" si="108"/>
        <v>10349.227490200001</v>
      </c>
      <c r="D1810" s="36">
        <f t="shared" si="109"/>
        <v>141.73278586374332</v>
      </c>
      <c r="E1810" s="40">
        <v>10124.349609000001</v>
      </c>
      <c r="F1810" s="36">
        <f t="shared" si="110"/>
        <v>10632.693061927488</v>
      </c>
      <c r="G1810" s="36">
        <f t="shared" si="111"/>
        <v>10065.761918472514</v>
      </c>
      <c r="I1810" s="40">
        <v>10124.349609000001</v>
      </c>
      <c r="J1810" s="36">
        <v>10632.693061927488</v>
      </c>
      <c r="K1810" s="36">
        <v>10065.761918472514</v>
      </c>
    </row>
    <row r="1811" spans="1:11" x14ac:dyDescent="0.25">
      <c r="A1811" s="39">
        <v>43180</v>
      </c>
      <c r="B1811" s="36">
        <v>10155.25</v>
      </c>
      <c r="C1811" s="36">
        <f t="shared" si="108"/>
        <v>10338.96997065</v>
      </c>
      <c r="D1811" s="36">
        <f t="shared" si="109"/>
        <v>148.15951006492409</v>
      </c>
      <c r="E1811" s="40">
        <v>10155.25</v>
      </c>
      <c r="F1811" s="36">
        <f t="shared" si="110"/>
        <v>10635.288990779847</v>
      </c>
      <c r="G1811" s="36">
        <f t="shared" si="111"/>
        <v>10042.650950520152</v>
      </c>
      <c r="I1811" s="40">
        <v>10155.25</v>
      </c>
      <c r="J1811" s="36">
        <v>10635.288990779847</v>
      </c>
      <c r="K1811" s="36">
        <v>10042.650950520152</v>
      </c>
    </row>
    <row r="1812" spans="1:11" x14ac:dyDescent="0.25">
      <c r="A1812" s="39">
        <v>43181</v>
      </c>
      <c r="B1812" s="36">
        <v>10114.75</v>
      </c>
      <c r="C1812" s="36">
        <f t="shared" si="108"/>
        <v>10324.8349609</v>
      </c>
      <c r="D1812" s="36">
        <f t="shared" si="109"/>
        <v>155.58586335060292</v>
      </c>
      <c r="E1812" s="40">
        <v>10114.75</v>
      </c>
      <c r="F1812" s="36">
        <f t="shared" si="110"/>
        <v>10636.006687601206</v>
      </c>
      <c r="G1812" s="36">
        <f t="shared" si="111"/>
        <v>10013.663234198793</v>
      </c>
      <c r="I1812" s="40">
        <v>10114.75</v>
      </c>
      <c r="J1812" s="36">
        <v>10636.006687601206</v>
      </c>
      <c r="K1812" s="36">
        <v>10013.663234198793</v>
      </c>
    </row>
    <row r="1813" spans="1:11" x14ac:dyDescent="0.25">
      <c r="A1813" s="39">
        <v>43182</v>
      </c>
      <c r="B1813" s="36">
        <v>9998.0498050000006</v>
      </c>
      <c r="C1813" s="36">
        <f t="shared" si="108"/>
        <v>10305.602441399998</v>
      </c>
      <c r="D1813" s="36">
        <f t="shared" si="109"/>
        <v>171.06087148166677</v>
      </c>
      <c r="E1813" s="40">
        <v>9998.0498050000006</v>
      </c>
      <c r="F1813" s="36">
        <f t="shared" si="110"/>
        <v>10647.724184363333</v>
      </c>
      <c r="G1813" s="36">
        <f t="shared" si="111"/>
        <v>9963.4806984366642</v>
      </c>
      <c r="I1813" s="40">
        <v>9998.0498050000006</v>
      </c>
      <c r="J1813" s="36">
        <v>10647.724184363333</v>
      </c>
      <c r="K1813" s="36">
        <v>9963.4806984366642</v>
      </c>
    </row>
    <row r="1814" spans="1:11" x14ac:dyDescent="0.25">
      <c r="A1814" s="39">
        <v>43185</v>
      </c>
      <c r="B1814" s="36">
        <v>10130.650390999999</v>
      </c>
      <c r="C1814" s="36">
        <f t="shared" ref="C1814:C1877" si="112">AVERAGE(B1795:B1814)</f>
        <v>10287.582470699999</v>
      </c>
      <c r="D1814" s="36">
        <f t="shared" ref="D1814:D1877" si="113">_xlfn.STDEV.S(B1795:B1814)</f>
        <v>169.47251316980044</v>
      </c>
      <c r="E1814" s="40">
        <v>10130.650390999999</v>
      </c>
      <c r="F1814" s="36">
        <f t="shared" ref="F1814:F1877" si="114">C1814+2*D1814</f>
        <v>10626.5274970396</v>
      </c>
      <c r="G1814" s="36">
        <f t="shared" ref="G1814:G1877" si="115">C1814-2*D1814</f>
        <v>9948.6374443603981</v>
      </c>
      <c r="I1814" s="40">
        <v>10130.650390999999</v>
      </c>
      <c r="J1814" s="36">
        <v>10626.5274970396</v>
      </c>
      <c r="K1814" s="36">
        <v>9948.6374443603981</v>
      </c>
    </row>
    <row r="1815" spans="1:11" x14ac:dyDescent="0.25">
      <c r="A1815" s="39">
        <v>43186</v>
      </c>
      <c r="B1815" s="36">
        <v>10184.150390999999</v>
      </c>
      <c r="C1815" s="36">
        <f t="shared" si="112"/>
        <v>10267.6600098</v>
      </c>
      <c r="D1815" s="36">
        <f t="shared" si="113"/>
        <v>155.83775570086723</v>
      </c>
      <c r="E1815" s="40">
        <v>10184.150390999999</v>
      </c>
      <c r="F1815" s="36">
        <f t="shared" si="114"/>
        <v>10579.335521201734</v>
      </c>
      <c r="G1815" s="36">
        <f t="shared" si="115"/>
        <v>9955.9844983982657</v>
      </c>
      <c r="I1815" s="40">
        <v>10184.150390999999</v>
      </c>
      <c r="J1815" s="36">
        <v>10579.335521201734</v>
      </c>
      <c r="K1815" s="36">
        <v>9955.9844983982657</v>
      </c>
    </row>
    <row r="1816" spans="1:11" x14ac:dyDescent="0.25">
      <c r="A1816" s="39">
        <v>43187</v>
      </c>
      <c r="B1816" s="36">
        <v>10113.700194999999</v>
      </c>
      <c r="C1816" s="36">
        <f t="shared" si="112"/>
        <v>10245.6300293</v>
      </c>
      <c r="D1816" s="36">
        <f t="shared" si="113"/>
        <v>143.86718427262312</v>
      </c>
      <c r="E1816" s="40">
        <v>10113.700194999999</v>
      </c>
      <c r="F1816" s="36">
        <f t="shared" si="114"/>
        <v>10533.364397845247</v>
      </c>
      <c r="G1816" s="36">
        <f t="shared" si="115"/>
        <v>9957.8956607547534</v>
      </c>
      <c r="I1816" s="40">
        <v>10113.700194999999</v>
      </c>
      <c r="J1816" s="36">
        <v>10533.364397845247</v>
      </c>
      <c r="K1816" s="36">
        <v>9957.8956607547534</v>
      </c>
    </row>
    <row r="1817" spans="1:11" x14ac:dyDescent="0.25">
      <c r="A1817" s="39">
        <v>43192</v>
      </c>
      <c r="B1817" s="36">
        <v>10211.799805000001</v>
      </c>
      <c r="C1817" s="36">
        <f t="shared" si="112"/>
        <v>10231.577539100001</v>
      </c>
      <c r="D1817" s="36">
        <f t="shared" si="113"/>
        <v>131.65646712339262</v>
      </c>
      <c r="E1817" s="40">
        <v>10211.799805000001</v>
      </c>
      <c r="F1817" s="36">
        <f t="shared" si="114"/>
        <v>10494.890473346786</v>
      </c>
      <c r="G1817" s="36">
        <f t="shared" si="115"/>
        <v>9968.2646048532151</v>
      </c>
      <c r="I1817" s="40">
        <v>10211.799805000001</v>
      </c>
      <c r="J1817" s="36">
        <v>10494.890473346786</v>
      </c>
      <c r="K1817" s="36">
        <v>9968.2646048532151</v>
      </c>
    </row>
    <row r="1818" spans="1:11" x14ac:dyDescent="0.25">
      <c r="A1818" s="39">
        <v>43193</v>
      </c>
      <c r="B1818" s="36">
        <v>10245</v>
      </c>
      <c r="C1818" s="36">
        <f t="shared" si="112"/>
        <v>10220.910058650001</v>
      </c>
      <c r="D1818" s="36">
        <f t="shared" si="113"/>
        <v>120.48449766184262</v>
      </c>
      <c r="E1818" s="40">
        <v>10245</v>
      </c>
      <c r="F1818" s="36">
        <f t="shared" si="114"/>
        <v>10461.879053973686</v>
      </c>
      <c r="G1818" s="36">
        <f t="shared" si="115"/>
        <v>9979.941063326316</v>
      </c>
      <c r="I1818" s="40">
        <v>10245</v>
      </c>
      <c r="J1818" s="36">
        <v>10461.879053973686</v>
      </c>
      <c r="K1818" s="36">
        <v>9979.941063326316</v>
      </c>
    </row>
    <row r="1819" spans="1:11" x14ac:dyDescent="0.25">
      <c r="A1819" s="39">
        <v>43194</v>
      </c>
      <c r="B1819" s="36">
        <v>10128.400390999999</v>
      </c>
      <c r="C1819" s="36">
        <f t="shared" si="112"/>
        <v>10209.387597749999</v>
      </c>
      <c r="D1819" s="36">
        <f t="shared" si="113"/>
        <v>117.58292623860187</v>
      </c>
      <c r="E1819" s="40">
        <v>10128.400390999999</v>
      </c>
      <c r="F1819" s="36">
        <f t="shared" si="114"/>
        <v>10444.553450227202</v>
      </c>
      <c r="G1819" s="36">
        <f t="shared" si="115"/>
        <v>9974.2217452727964</v>
      </c>
      <c r="I1819" s="40">
        <v>10128.400390999999</v>
      </c>
      <c r="J1819" s="36">
        <v>10444.553450227202</v>
      </c>
      <c r="K1819" s="36">
        <v>9974.2217452727964</v>
      </c>
    </row>
    <row r="1820" spans="1:11" x14ac:dyDescent="0.25">
      <c r="A1820" s="39">
        <v>43195</v>
      </c>
      <c r="B1820" s="36">
        <v>10325.150390999999</v>
      </c>
      <c r="C1820" s="36">
        <f t="shared" si="112"/>
        <v>10213.182617300001</v>
      </c>
      <c r="D1820" s="36">
        <f t="shared" si="113"/>
        <v>120.13438002898449</v>
      </c>
      <c r="E1820" s="40">
        <v>10325.150390999999</v>
      </c>
      <c r="F1820" s="36">
        <f t="shared" si="114"/>
        <v>10453.451377357969</v>
      </c>
      <c r="G1820" s="36">
        <f t="shared" si="115"/>
        <v>9972.9138572420325</v>
      </c>
      <c r="I1820" s="40">
        <v>10325.150390999999</v>
      </c>
      <c r="J1820" s="36">
        <v>10453.451377357969</v>
      </c>
      <c r="K1820" s="36">
        <v>9972.9138572420325</v>
      </c>
    </row>
    <row r="1821" spans="1:11" x14ac:dyDescent="0.25">
      <c r="A1821" s="39">
        <v>43196</v>
      </c>
      <c r="B1821" s="36">
        <v>10331.599609000001</v>
      </c>
      <c r="C1821" s="36">
        <f t="shared" si="112"/>
        <v>10222.052588</v>
      </c>
      <c r="D1821" s="36">
        <f t="shared" si="113"/>
        <v>122.08350166835689</v>
      </c>
      <c r="E1821" s="40">
        <v>10331.599609000001</v>
      </c>
      <c r="F1821" s="36">
        <f t="shared" si="114"/>
        <v>10466.219591336714</v>
      </c>
      <c r="G1821" s="36">
        <f t="shared" si="115"/>
        <v>9977.8855846632869</v>
      </c>
      <c r="I1821" s="40">
        <v>10331.599609000001</v>
      </c>
      <c r="J1821" s="36">
        <v>10466.219591336714</v>
      </c>
      <c r="K1821" s="36">
        <v>9977.8855846632869</v>
      </c>
    </row>
    <row r="1822" spans="1:11" x14ac:dyDescent="0.25">
      <c r="A1822" s="39">
        <v>43199</v>
      </c>
      <c r="B1822" s="36">
        <v>10379.349609000001</v>
      </c>
      <c r="C1822" s="36">
        <f t="shared" si="112"/>
        <v>10228.8875489</v>
      </c>
      <c r="D1822" s="36">
        <f t="shared" si="113"/>
        <v>127.02403331021624</v>
      </c>
      <c r="E1822" s="40">
        <v>10379.349609000001</v>
      </c>
      <c r="F1822" s="36">
        <f t="shared" si="114"/>
        <v>10482.935615520433</v>
      </c>
      <c r="G1822" s="36">
        <f t="shared" si="115"/>
        <v>9974.8394822795672</v>
      </c>
      <c r="I1822" s="40">
        <v>10379.349609000001</v>
      </c>
      <c r="J1822" s="36">
        <v>10482.935615520433</v>
      </c>
      <c r="K1822" s="36">
        <v>9974.8394822795672</v>
      </c>
    </row>
    <row r="1823" spans="1:11" x14ac:dyDescent="0.25">
      <c r="A1823" s="39">
        <v>43200</v>
      </c>
      <c r="B1823" s="36">
        <v>10402.25</v>
      </c>
      <c r="C1823" s="36">
        <f t="shared" si="112"/>
        <v>10237.65756845</v>
      </c>
      <c r="D1823" s="36">
        <f t="shared" si="113"/>
        <v>132.79963481317097</v>
      </c>
      <c r="E1823" s="40">
        <v>10402.25</v>
      </c>
      <c r="F1823" s="36">
        <f t="shared" si="114"/>
        <v>10503.256838076342</v>
      </c>
      <c r="G1823" s="36">
        <f t="shared" si="115"/>
        <v>9972.0582988236583</v>
      </c>
      <c r="I1823" s="40">
        <v>10402.25</v>
      </c>
      <c r="J1823" s="36">
        <v>10503.256838076342</v>
      </c>
      <c r="K1823" s="36">
        <v>9972.0582988236583</v>
      </c>
    </row>
    <row r="1824" spans="1:11" x14ac:dyDescent="0.25">
      <c r="A1824" s="39">
        <v>43201</v>
      </c>
      <c r="B1824" s="36">
        <v>10417.150390999999</v>
      </c>
      <c r="C1824" s="36">
        <f t="shared" si="112"/>
        <v>10237.445068450001</v>
      </c>
      <c r="D1824" s="36">
        <f t="shared" si="113"/>
        <v>132.49318999521304</v>
      </c>
      <c r="E1824" s="40">
        <v>10417.150390999999</v>
      </c>
      <c r="F1824" s="36">
        <f t="shared" si="114"/>
        <v>10502.431448440428</v>
      </c>
      <c r="G1824" s="36">
        <f t="shared" si="115"/>
        <v>9972.4586884595738</v>
      </c>
      <c r="I1824" s="40">
        <v>10417.150390999999</v>
      </c>
      <c r="J1824" s="36">
        <v>10502.431448440428</v>
      </c>
      <c r="K1824" s="36">
        <v>9972.4586884595738</v>
      </c>
    </row>
    <row r="1825" spans="1:11" x14ac:dyDescent="0.25">
      <c r="A1825" s="39">
        <v>43202</v>
      </c>
      <c r="B1825" s="36">
        <v>10458.650390999999</v>
      </c>
      <c r="C1825" s="36">
        <f t="shared" si="112"/>
        <v>10239.03510755</v>
      </c>
      <c r="D1825" s="36">
        <f t="shared" si="113"/>
        <v>135.05196129906261</v>
      </c>
      <c r="E1825" s="40">
        <v>10458.650390999999</v>
      </c>
      <c r="F1825" s="36">
        <f t="shared" si="114"/>
        <v>10509.139030148126</v>
      </c>
      <c r="G1825" s="36">
        <f t="shared" si="115"/>
        <v>9968.9311849518745</v>
      </c>
      <c r="I1825" s="40">
        <v>10458.650390999999</v>
      </c>
      <c r="J1825" s="36">
        <v>10509.139030148126</v>
      </c>
      <c r="K1825" s="36">
        <v>9968.9311849518745</v>
      </c>
    </row>
    <row r="1826" spans="1:11" x14ac:dyDescent="0.25">
      <c r="A1826" s="39">
        <v>43203</v>
      </c>
      <c r="B1826" s="36">
        <v>10480.599609000001</v>
      </c>
      <c r="C1826" s="36">
        <f t="shared" si="112"/>
        <v>10242.52006845</v>
      </c>
      <c r="D1826" s="36">
        <f t="shared" si="113"/>
        <v>140.50930788042683</v>
      </c>
      <c r="E1826" s="40">
        <v>10480.599609000001</v>
      </c>
      <c r="F1826" s="36">
        <f t="shared" si="114"/>
        <v>10523.538684210853</v>
      </c>
      <c r="G1826" s="36">
        <f t="shared" si="115"/>
        <v>9961.5014526891464</v>
      </c>
      <c r="I1826" s="40">
        <v>10480.599609000001</v>
      </c>
      <c r="J1826" s="36">
        <v>10523.538684210853</v>
      </c>
      <c r="K1826" s="36">
        <v>9961.5014526891464</v>
      </c>
    </row>
    <row r="1827" spans="1:11" x14ac:dyDescent="0.25">
      <c r="A1827" s="39">
        <v>43206</v>
      </c>
      <c r="B1827" s="36">
        <v>10528.349609000001</v>
      </c>
      <c r="C1827" s="36">
        <f t="shared" si="112"/>
        <v>10250.93002935</v>
      </c>
      <c r="D1827" s="36">
        <f t="shared" si="113"/>
        <v>152.44697629369404</v>
      </c>
      <c r="E1827" s="40">
        <v>10528.349609000001</v>
      </c>
      <c r="F1827" s="36">
        <f t="shared" si="114"/>
        <v>10555.823981937388</v>
      </c>
      <c r="G1827" s="36">
        <f t="shared" si="115"/>
        <v>9946.0360767626116</v>
      </c>
      <c r="I1827" s="40">
        <v>10528.349609000001</v>
      </c>
      <c r="J1827" s="36">
        <v>10555.823981937388</v>
      </c>
      <c r="K1827" s="36">
        <v>9946.0360767626116</v>
      </c>
    </row>
    <row r="1828" spans="1:11" x14ac:dyDescent="0.25">
      <c r="A1828" s="39">
        <v>43207</v>
      </c>
      <c r="B1828" s="36">
        <v>10548.700194999999</v>
      </c>
      <c r="C1828" s="36">
        <f t="shared" si="112"/>
        <v>10268.607519550002</v>
      </c>
      <c r="D1828" s="36">
        <f t="shared" si="113"/>
        <v>165.57195308862603</v>
      </c>
      <c r="E1828" s="40">
        <v>10548.700194999999</v>
      </c>
      <c r="F1828" s="36">
        <f t="shared" si="114"/>
        <v>10599.751425727254</v>
      </c>
      <c r="G1828" s="36">
        <f t="shared" si="115"/>
        <v>9937.463613372749</v>
      </c>
      <c r="I1828" s="40">
        <v>10548.700194999999</v>
      </c>
      <c r="J1828" s="36">
        <v>10599.751425727254</v>
      </c>
      <c r="K1828" s="36">
        <v>9937.463613372749</v>
      </c>
    </row>
    <row r="1829" spans="1:11" x14ac:dyDescent="0.25">
      <c r="A1829" s="39">
        <v>43208</v>
      </c>
      <c r="B1829" s="36">
        <v>10526.200194999999</v>
      </c>
      <c r="C1829" s="36">
        <f t="shared" si="112"/>
        <v>10290.205029300003</v>
      </c>
      <c r="D1829" s="36">
        <f t="shared" si="113"/>
        <v>169.75086304964614</v>
      </c>
      <c r="E1829" s="40">
        <v>10526.200194999999</v>
      </c>
      <c r="F1829" s="36">
        <f t="shared" si="114"/>
        <v>10629.706755399295</v>
      </c>
      <c r="G1829" s="36">
        <f t="shared" si="115"/>
        <v>9950.7033032007112</v>
      </c>
      <c r="I1829" s="40">
        <v>10526.200194999999</v>
      </c>
      <c r="J1829" s="36">
        <v>10629.706755399295</v>
      </c>
      <c r="K1829" s="36">
        <v>9950.7033032007112</v>
      </c>
    </row>
    <row r="1830" spans="1:11" x14ac:dyDescent="0.25">
      <c r="A1830" s="39">
        <v>43209</v>
      </c>
      <c r="B1830" s="36">
        <v>10565.299805000001</v>
      </c>
      <c r="C1830" s="36">
        <f t="shared" si="112"/>
        <v>10312.252539100002</v>
      </c>
      <c r="D1830" s="36">
        <f t="shared" si="113"/>
        <v>175.61006685309434</v>
      </c>
      <c r="E1830" s="40">
        <v>10565.299805000001</v>
      </c>
      <c r="F1830" s="36">
        <f t="shared" si="114"/>
        <v>10663.472672806191</v>
      </c>
      <c r="G1830" s="36">
        <f t="shared" si="115"/>
        <v>9961.032405393813</v>
      </c>
      <c r="I1830" s="40">
        <v>10565.299805000001</v>
      </c>
      <c r="J1830" s="36">
        <v>10663.472672806191</v>
      </c>
      <c r="K1830" s="36">
        <v>9961.032405393813</v>
      </c>
    </row>
    <row r="1831" spans="1:11" x14ac:dyDescent="0.25">
      <c r="A1831" s="39">
        <v>43210</v>
      </c>
      <c r="B1831" s="36">
        <v>10564.049805000001</v>
      </c>
      <c r="C1831" s="36">
        <f t="shared" si="112"/>
        <v>10332.692529349999</v>
      </c>
      <c r="D1831" s="36">
        <f t="shared" si="113"/>
        <v>180.10745591178321</v>
      </c>
      <c r="E1831" s="40">
        <v>10564.049805000001</v>
      </c>
      <c r="F1831" s="36">
        <f t="shared" si="114"/>
        <v>10692.907441173566</v>
      </c>
      <c r="G1831" s="36">
        <f t="shared" si="115"/>
        <v>9972.4776175264324</v>
      </c>
      <c r="I1831" s="40">
        <v>10564.049805000001</v>
      </c>
      <c r="J1831" s="36">
        <v>10692.907441173566</v>
      </c>
      <c r="K1831" s="36">
        <v>9972.4776175264324</v>
      </c>
    </row>
    <row r="1832" spans="1:11" x14ac:dyDescent="0.25">
      <c r="A1832" s="39">
        <v>43213</v>
      </c>
      <c r="B1832" s="36">
        <v>10584.700194999999</v>
      </c>
      <c r="C1832" s="36">
        <f t="shared" si="112"/>
        <v>10356.1900391</v>
      </c>
      <c r="D1832" s="36">
        <f t="shared" si="113"/>
        <v>180.83162799500349</v>
      </c>
      <c r="E1832" s="40">
        <v>10584.700194999999</v>
      </c>
      <c r="F1832" s="36">
        <f t="shared" si="114"/>
        <v>10717.853295090006</v>
      </c>
      <c r="G1832" s="36">
        <f t="shared" si="115"/>
        <v>9994.5267831099936</v>
      </c>
      <c r="I1832" s="40">
        <v>10584.700194999999</v>
      </c>
      <c r="J1832" s="36">
        <v>10717.853295090006</v>
      </c>
      <c r="K1832" s="36">
        <v>9994.5267831099936</v>
      </c>
    </row>
    <row r="1833" spans="1:11" x14ac:dyDescent="0.25">
      <c r="A1833" s="39">
        <v>43214</v>
      </c>
      <c r="B1833" s="36">
        <v>10614.349609000001</v>
      </c>
      <c r="C1833" s="36">
        <f t="shared" si="112"/>
        <v>10387.0050293</v>
      </c>
      <c r="D1833" s="36">
        <f t="shared" si="113"/>
        <v>168.69345287460459</v>
      </c>
      <c r="E1833" s="40">
        <v>10614.349609000001</v>
      </c>
      <c r="F1833" s="36">
        <f t="shared" si="114"/>
        <v>10724.391935049209</v>
      </c>
      <c r="G1833" s="36">
        <f t="shared" si="115"/>
        <v>10049.618123550792</v>
      </c>
      <c r="I1833" s="40">
        <v>10614.349609000001</v>
      </c>
      <c r="J1833" s="36">
        <v>10724.391935049209</v>
      </c>
      <c r="K1833" s="36">
        <v>10049.618123550792</v>
      </c>
    </row>
    <row r="1834" spans="1:11" x14ac:dyDescent="0.25">
      <c r="A1834" s="39">
        <v>43215</v>
      </c>
      <c r="B1834" s="36">
        <v>10570.549805000001</v>
      </c>
      <c r="C1834" s="36">
        <f t="shared" si="112"/>
        <v>10409</v>
      </c>
      <c r="D1834" s="36">
        <f t="shared" si="113"/>
        <v>162.05709669569751</v>
      </c>
      <c r="E1834" s="40">
        <v>10570.549805000001</v>
      </c>
      <c r="F1834" s="36">
        <f t="shared" si="114"/>
        <v>10733.114193391395</v>
      </c>
      <c r="G1834" s="36">
        <f t="shared" si="115"/>
        <v>10084.885806608605</v>
      </c>
      <c r="I1834" s="40">
        <v>10570.549805000001</v>
      </c>
      <c r="J1834" s="36">
        <v>10733.114193391395</v>
      </c>
      <c r="K1834" s="36">
        <v>10084.885806608605</v>
      </c>
    </row>
    <row r="1835" spans="1:11" x14ac:dyDescent="0.25">
      <c r="A1835" s="39">
        <v>43216</v>
      </c>
      <c r="B1835" s="36">
        <v>10617.799805000001</v>
      </c>
      <c r="C1835" s="36">
        <f t="shared" si="112"/>
        <v>10430.6824707</v>
      </c>
      <c r="D1835" s="36">
        <f t="shared" si="113"/>
        <v>159.37789756074648</v>
      </c>
      <c r="E1835" s="40">
        <v>10617.799805000001</v>
      </c>
      <c r="F1835" s="36">
        <f t="shared" si="114"/>
        <v>10749.438265821493</v>
      </c>
      <c r="G1835" s="36">
        <f t="shared" si="115"/>
        <v>10111.926675578507</v>
      </c>
      <c r="I1835" s="40">
        <v>10617.799805000001</v>
      </c>
      <c r="J1835" s="36">
        <v>10749.438265821493</v>
      </c>
      <c r="K1835" s="36">
        <v>10111.926675578507</v>
      </c>
    </row>
    <row r="1836" spans="1:11" x14ac:dyDescent="0.25">
      <c r="A1836" s="39">
        <v>43217</v>
      </c>
      <c r="B1836" s="36">
        <v>10692.299805000001</v>
      </c>
      <c r="C1836" s="36">
        <f t="shared" si="112"/>
        <v>10459.612451199999</v>
      </c>
      <c r="D1836" s="36">
        <f t="shared" si="113"/>
        <v>151.11027020209821</v>
      </c>
      <c r="E1836" s="40">
        <v>10692.299805000001</v>
      </c>
      <c r="F1836" s="36">
        <f t="shared" si="114"/>
        <v>10761.832991604195</v>
      </c>
      <c r="G1836" s="36">
        <f t="shared" si="115"/>
        <v>10157.391910795803</v>
      </c>
      <c r="I1836" s="40">
        <v>10692.299805000001</v>
      </c>
      <c r="J1836" s="36">
        <v>10761.832991604195</v>
      </c>
      <c r="K1836" s="36">
        <v>10157.391910795803</v>
      </c>
    </row>
    <row r="1837" spans="1:11" x14ac:dyDescent="0.25">
      <c r="A1837" s="39">
        <v>43220</v>
      </c>
      <c r="B1837" s="36">
        <v>10739.349609000001</v>
      </c>
      <c r="C1837" s="36">
        <f t="shared" si="112"/>
        <v>10485.989941399997</v>
      </c>
      <c r="D1837" s="36">
        <f t="shared" si="113"/>
        <v>151.61903288086125</v>
      </c>
      <c r="E1837" s="40">
        <v>10739.349609000001</v>
      </c>
      <c r="F1837" s="36">
        <f t="shared" si="114"/>
        <v>10789.228007161721</v>
      </c>
      <c r="G1837" s="36">
        <f t="shared" si="115"/>
        <v>10182.751875638274</v>
      </c>
      <c r="I1837" s="40">
        <v>10739.349609000001</v>
      </c>
      <c r="J1837" s="36">
        <v>10789.228007161721</v>
      </c>
      <c r="K1837" s="36">
        <v>10182.751875638274</v>
      </c>
    </row>
    <row r="1838" spans="1:11" x14ac:dyDescent="0.25">
      <c r="A1838" s="39">
        <v>43222</v>
      </c>
      <c r="B1838" s="36">
        <v>10718.049805000001</v>
      </c>
      <c r="C1838" s="36">
        <f t="shared" si="112"/>
        <v>10509.642431649998</v>
      </c>
      <c r="D1838" s="36">
        <f t="shared" si="113"/>
        <v>148.9198148846649</v>
      </c>
      <c r="E1838" s="40">
        <v>10718.049805000001</v>
      </c>
      <c r="F1838" s="36">
        <f t="shared" si="114"/>
        <v>10807.482061419327</v>
      </c>
      <c r="G1838" s="36">
        <f t="shared" si="115"/>
        <v>10211.802801880669</v>
      </c>
      <c r="I1838" s="40">
        <v>10718.049805000001</v>
      </c>
      <c r="J1838" s="36">
        <v>10807.482061419327</v>
      </c>
      <c r="K1838" s="36">
        <v>10211.802801880669</v>
      </c>
    </row>
    <row r="1839" spans="1:11" x14ac:dyDescent="0.25">
      <c r="A1839" s="39">
        <v>43223</v>
      </c>
      <c r="B1839" s="36">
        <v>10679.650390999999</v>
      </c>
      <c r="C1839" s="36">
        <f t="shared" si="112"/>
        <v>10537.204931649998</v>
      </c>
      <c r="D1839" s="36">
        <f t="shared" si="113"/>
        <v>123.48630833943713</v>
      </c>
      <c r="E1839" s="40">
        <v>10679.650390999999</v>
      </c>
      <c r="F1839" s="36">
        <f t="shared" si="114"/>
        <v>10784.177548328873</v>
      </c>
      <c r="G1839" s="36">
        <f t="shared" si="115"/>
        <v>10290.232314971123</v>
      </c>
      <c r="I1839" s="40">
        <v>10679.650390999999</v>
      </c>
      <c r="J1839" s="36">
        <v>10784.177548328873</v>
      </c>
      <c r="K1839" s="36">
        <v>10290.232314971123</v>
      </c>
    </row>
    <row r="1840" spans="1:11" x14ac:dyDescent="0.25">
      <c r="A1840" s="39">
        <v>43224</v>
      </c>
      <c r="B1840" s="36">
        <v>10618.25</v>
      </c>
      <c r="C1840" s="36">
        <f t="shared" si="112"/>
        <v>10551.859912099997</v>
      </c>
      <c r="D1840" s="36">
        <f t="shared" si="113"/>
        <v>114.02545986533558</v>
      </c>
      <c r="E1840" s="40">
        <v>10618.25</v>
      </c>
      <c r="F1840" s="36">
        <f t="shared" si="114"/>
        <v>10779.910831830668</v>
      </c>
      <c r="G1840" s="36">
        <f t="shared" si="115"/>
        <v>10323.808992369326</v>
      </c>
      <c r="I1840" s="40">
        <v>10618.25</v>
      </c>
      <c r="J1840" s="36">
        <v>10779.910831830668</v>
      </c>
      <c r="K1840" s="36">
        <v>10323.808992369326</v>
      </c>
    </row>
    <row r="1841" spans="1:11" x14ac:dyDescent="0.25">
      <c r="A1841" s="39">
        <v>43227</v>
      </c>
      <c r="B1841" s="36">
        <v>10715.5</v>
      </c>
      <c r="C1841" s="36">
        <f t="shared" si="112"/>
        <v>10571.054931649998</v>
      </c>
      <c r="D1841" s="36">
        <f t="shared" si="113"/>
        <v>107.0977925440213</v>
      </c>
      <c r="E1841" s="40">
        <v>10715.5</v>
      </c>
      <c r="F1841" s="36">
        <f t="shared" si="114"/>
        <v>10785.25051673804</v>
      </c>
      <c r="G1841" s="36">
        <f t="shared" si="115"/>
        <v>10356.859346561956</v>
      </c>
      <c r="I1841" s="40">
        <v>10715.5</v>
      </c>
      <c r="J1841" s="36">
        <v>10785.25051673804</v>
      </c>
      <c r="K1841" s="36">
        <v>10356.859346561956</v>
      </c>
    </row>
    <row r="1842" spans="1:11" x14ac:dyDescent="0.25">
      <c r="A1842" s="39">
        <v>43228</v>
      </c>
      <c r="B1842" s="36">
        <v>10717.799805000001</v>
      </c>
      <c r="C1842" s="36">
        <f t="shared" si="112"/>
        <v>10587.977441449997</v>
      </c>
      <c r="D1842" s="36">
        <f t="shared" si="113"/>
        <v>101.82143982476786</v>
      </c>
      <c r="E1842" s="40">
        <v>10717.799805000001</v>
      </c>
      <c r="F1842" s="36">
        <f t="shared" si="114"/>
        <v>10791.620321099534</v>
      </c>
      <c r="G1842" s="36">
        <f t="shared" si="115"/>
        <v>10384.334561800461</v>
      </c>
      <c r="I1842" s="40">
        <v>10717.799805000001</v>
      </c>
      <c r="J1842" s="36">
        <v>10791.620321099534</v>
      </c>
      <c r="K1842" s="36">
        <v>10384.334561800461</v>
      </c>
    </row>
    <row r="1843" spans="1:11" x14ac:dyDescent="0.25">
      <c r="A1843" s="39">
        <v>43229</v>
      </c>
      <c r="B1843" s="36">
        <v>10741.700194999999</v>
      </c>
      <c r="C1843" s="36">
        <f t="shared" si="112"/>
        <v>10604.9499512</v>
      </c>
      <c r="D1843" s="36">
        <f t="shared" si="113"/>
        <v>97.429917392463068</v>
      </c>
      <c r="E1843" s="40">
        <v>10741.700194999999</v>
      </c>
      <c r="F1843" s="36">
        <f t="shared" si="114"/>
        <v>10799.809785984926</v>
      </c>
      <c r="G1843" s="36">
        <f t="shared" si="115"/>
        <v>10410.090116415075</v>
      </c>
      <c r="I1843" s="40">
        <v>10741.700194999999</v>
      </c>
      <c r="J1843" s="36">
        <v>10799.809785984926</v>
      </c>
      <c r="K1843" s="36">
        <v>10410.090116415075</v>
      </c>
    </row>
    <row r="1844" spans="1:11" x14ac:dyDescent="0.25">
      <c r="A1844" s="39">
        <v>43230</v>
      </c>
      <c r="B1844" s="36">
        <v>10716.549805000001</v>
      </c>
      <c r="C1844" s="36">
        <f t="shared" si="112"/>
        <v>10619.919921899998</v>
      </c>
      <c r="D1844" s="36">
        <f t="shared" si="113"/>
        <v>89.754941034091601</v>
      </c>
      <c r="E1844" s="40">
        <v>10716.549805000001</v>
      </c>
      <c r="F1844" s="36">
        <f t="shared" si="114"/>
        <v>10799.429803968182</v>
      </c>
      <c r="G1844" s="36">
        <f t="shared" si="115"/>
        <v>10440.410039831815</v>
      </c>
      <c r="I1844" s="40">
        <v>10716.549805000001</v>
      </c>
      <c r="J1844" s="36">
        <v>10799.429803968182</v>
      </c>
      <c r="K1844" s="36">
        <v>10440.410039831815</v>
      </c>
    </row>
    <row r="1845" spans="1:11" x14ac:dyDescent="0.25">
      <c r="A1845" s="39">
        <v>43231</v>
      </c>
      <c r="B1845" s="36">
        <v>10806.5</v>
      </c>
      <c r="C1845" s="36">
        <f t="shared" si="112"/>
        <v>10637.31240235</v>
      </c>
      <c r="D1845" s="36">
        <f t="shared" si="113"/>
        <v>90.558889180831088</v>
      </c>
      <c r="E1845" s="40">
        <v>10806.5</v>
      </c>
      <c r="F1845" s="36">
        <f t="shared" si="114"/>
        <v>10818.430180711663</v>
      </c>
      <c r="G1845" s="36">
        <f t="shared" si="115"/>
        <v>10456.194623988338</v>
      </c>
      <c r="I1845" s="40">
        <v>10806.5</v>
      </c>
      <c r="J1845" s="36">
        <v>10818.430180711663</v>
      </c>
      <c r="K1845" s="36">
        <v>10456.194623988338</v>
      </c>
    </row>
    <row r="1846" spans="1:11" x14ac:dyDescent="0.25">
      <c r="A1846" s="39">
        <v>43234</v>
      </c>
      <c r="B1846" s="36">
        <v>10806.599609000001</v>
      </c>
      <c r="C1846" s="36">
        <f t="shared" si="112"/>
        <v>10653.61240235</v>
      </c>
      <c r="D1846" s="36">
        <f t="shared" si="113"/>
        <v>90.205261405499428</v>
      </c>
      <c r="E1846" s="40">
        <v>10806.599609000001</v>
      </c>
      <c r="F1846" s="36">
        <f t="shared" si="114"/>
        <v>10834.022925160998</v>
      </c>
      <c r="G1846" s="36">
        <f t="shared" si="115"/>
        <v>10473.201879539001</v>
      </c>
      <c r="I1846" s="40">
        <v>10806.599609000001</v>
      </c>
      <c r="J1846" s="36">
        <v>10834.022925160998</v>
      </c>
      <c r="K1846" s="36">
        <v>10473.201879539001</v>
      </c>
    </row>
    <row r="1847" spans="1:11" x14ac:dyDescent="0.25">
      <c r="A1847" s="39">
        <v>43235</v>
      </c>
      <c r="B1847" s="36">
        <v>10801.849609000001</v>
      </c>
      <c r="C1847" s="36">
        <f t="shared" si="112"/>
        <v>10667.287402350001</v>
      </c>
      <c r="D1847" s="36">
        <f t="shared" si="113"/>
        <v>90.944223524498653</v>
      </c>
      <c r="E1847" s="40">
        <v>10801.849609000001</v>
      </c>
      <c r="F1847" s="36">
        <f t="shared" si="114"/>
        <v>10849.175849398998</v>
      </c>
      <c r="G1847" s="36">
        <f t="shared" si="115"/>
        <v>10485.398955301003</v>
      </c>
      <c r="I1847" s="40">
        <v>10801.849609000001</v>
      </c>
      <c r="J1847" s="36">
        <v>10849.175849398998</v>
      </c>
      <c r="K1847" s="36">
        <v>10485.398955301003</v>
      </c>
    </row>
    <row r="1848" spans="1:11" x14ac:dyDescent="0.25">
      <c r="A1848" s="39">
        <v>43236</v>
      </c>
      <c r="B1848" s="36">
        <v>10741.099609000001</v>
      </c>
      <c r="C1848" s="36">
        <f t="shared" si="112"/>
        <v>10676.907373049999</v>
      </c>
      <c r="D1848" s="36">
        <f t="shared" si="113"/>
        <v>87.863717269266573</v>
      </c>
      <c r="E1848" s="40">
        <v>10741.099609000001</v>
      </c>
      <c r="F1848" s="36">
        <f t="shared" si="114"/>
        <v>10852.634807588533</v>
      </c>
      <c r="G1848" s="36">
        <f t="shared" si="115"/>
        <v>10501.179938511465</v>
      </c>
      <c r="I1848" s="40">
        <v>10741.099609000001</v>
      </c>
      <c r="J1848" s="36">
        <v>10852.634807588533</v>
      </c>
      <c r="K1848" s="36">
        <v>10501.179938511465</v>
      </c>
    </row>
    <row r="1849" spans="1:11" x14ac:dyDescent="0.25">
      <c r="A1849" s="39">
        <v>43237</v>
      </c>
      <c r="B1849" s="36">
        <v>10682.700194999999</v>
      </c>
      <c r="C1849" s="36">
        <f t="shared" si="112"/>
        <v>10684.732373050001</v>
      </c>
      <c r="D1849" s="36">
        <f t="shared" si="113"/>
        <v>80.386210589368716</v>
      </c>
      <c r="E1849" s="40">
        <v>10682.700194999999</v>
      </c>
      <c r="F1849" s="36">
        <f t="shared" si="114"/>
        <v>10845.504794228738</v>
      </c>
      <c r="G1849" s="36">
        <f t="shared" si="115"/>
        <v>10523.959951871264</v>
      </c>
      <c r="I1849" s="40">
        <v>10682.700194999999</v>
      </c>
      <c r="J1849" s="36">
        <v>10845.504794228738</v>
      </c>
      <c r="K1849" s="36">
        <v>10523.959951871264</v>
      </c>
    </row>
    <row r="1850" spans="1:11" x14ac:dyDescent="0.25">
      <c r="A1850" s="39">
        <v>43238</v>
      </c>
      <c r="B1850" s="36">
        <v>10596.400390999999</v>
      </c>
      <c r="C1850" s="36">
        <f t="shared" si="112"/>
        <v>10686.287402350001</v>
      </c>
      <c r="D1850" s="36">
        <f t="shared" si="113"/>
        <v>78.226039756873504</v>
      </c>
      <c r="E1850" s="40">
        <v>10596.400390999999</v>
      </c>
      <c r="F1850" s="36">
        <f t="shared" si="114"/>
        <v>10842.739481863748</v>
      </c>
      <c r="G1850" s="36">
        <f t="shared" si="115"/>
        <v>10529.835322836254</v>
      </c>
      <c r="I1850" s="40">
        <v>10596.400390999999</v>
      </c>
      <c r="J1850" s="36">
        <v>10842.739481863748</v>
      </c>
      <c r="K1850" s="36">
        <v>10529.835322836254</v>
      </c>
    </row>
    <row r="1851" spans="1:11" x14ac:dyDescent="0.25">
      <c r="A1851" s="39">
        <v>43241</v>
      </c>
      <c r="B1851" s="36">
        <v>10516.700194999999</v>
      </c>
      <c r="C1851" s="36">
        <f t="shared" si="112"/>
        <v>10683.919921850002</v>
      </c>
      <c r="D1851" s="36">
        <f t="shared" si="113"/>
        <v>82.708315637848344</v>
      </c>
      <c r="E1851" s="40">
        <v>10516.700194999999</v>
      </c>
      <c r="F1851" s="36">
        <f t="shared" si="114"/>
        <v>10849.336553125699</v>
      </c>
      <c r="G1851" s="36">
        <f t="shared" si="115"/>
        <v>10518.503290574305</v>
      </c>
      <c r="I1851" s="40">
        <v>10516.700194999999</v>
      </c>
      <c r="J1851" s="36">
        <v>10849.336553125699</v>
      </c>
      <c r="K1851" s="36">
        <v>10518.503290574305</v>
      </c>
    </row>
    <row r="1852" spans="1:11" x14ac:dyDescent="0.25">
      <c r="A1852" s="39">
        <v>43242</v>
      </c>
      <c r="B1852" s="36">
        <v>10536.700194999999</v>
      </c>
      <c r="C1852" s="36">
        <f t="shared" si="112"/>
        <v>10681.519921850002</v>
      </c>
      <c r="D1852" s="36">
        <f t="shared" si="113"/>
        <v>86.3550010178148</v>
      </c>
      <c r="E1852" s="40">
        <v>10536.700194999999</v>
      </c>
      <c r="F1852" s="36">
        <f t="shared" si="114"/>
        <v>10854.229923885632</v>
      </c>
      <c r="G1852" s="36">
        <f t="shared" si="115"/>
        <v>10508.809919814372</v>
      </c>
      <c r="I1852" s="40">
        <v>10536.700194999999</v>
      </c>
      <c r="J1852" s="36">
        <v>10854.229923885632</v>
      </c>
      <c r="K1852" s="36">
        <v>10508.809919814372</v>
      </c>
    </row>
    <row r="1853" spans="1:11" x14ac:dyDescent="0.25">
      <c r="A1853" s="39">
        <v>43243</v>
      </c>
      <c r="B1853" s="36">
        <v>10430.349609000001</v>
      </c>
      <c r="C1853" s="36">
        <f t="shared" si="112"/>
        <v>10672.319921850003</v>
      </c>
      <c r="D1853" s="36">
        <f t="shared" si="113"/>
        <v>102.22998142571763</v>
      </c>
      <c r="E1853" s="40">
        <v>10430.349609000001</v>
      </c>
      <c r="F1853" s="36">
        <f t="shared" si="114"/>
        <v>10876.779884701438</v>
      </c>
      <c r="G1853" s="36">
        <f t="shared" si="115"/>
        <v>10467.859958998568</v>
      </c>
      <c r="I1853" s="40">
        <v>10430.349609000001</v>
      </c>
      <c r="J1853" s="36">
        <v>10876.779884701438</v>
      </c>
      <c r="K1853" s="36">
        <v>10467.859958998568</v>
      </c>
    </row>
    <row r="1854" spans="1:11" x14ac:dyDescent="0.25">
      <c r="A1854" s="39">
        <v>43244</v>
      </c>
      <c r="B1854" s="36">
        <v>10513.849609000001</v>
      </c>
      <c r="C1854" s="36">
        <f t="shared" si="112"/>
        <v>10669.484912050002</v>
      </c>
      <c r="D1854" s="36">
        <f t="shared" si="113"/>
        <v>105.92036499766702</v>
      </c>
      <c r="E1854" s="40">
        <v>10513.849609000001</v>
      </c>
      <c r="F1854" s="36">
        <f t="shared" si="114"/>
        <v>10881.325642045336</v>
      </c>
      <c r="G1854" s="36">
        <f t="shared" si="115"/>
        <v>10457.644182054668</v>
      </c>
      <c r="I1854" s="40">
        <v>10513.849609000001</v>
      </c>
      <c r="J1854" s="36">
        <v>10881.325642045336</v>
      </c>
      <c r="K1854" s="36">
        <v>10457.644182054668</v>
      </c>
    </row>
    <row r="1855" spans="1:11" x14ac:dyDescent="0.25">
      <c r="A1855" s="39">
        <v>43245</v>
      </c>
      <c r="B1855" s="36">
        <v>10605.150390999999</v>
      </c>
      <c r="C1855" s="36">
        <f t="shared" si="112"/>
        <v>10668.852441350002</v>
      </c>
      <c r="D1855" s="36">
        <f t="shared" si="113"/>
        <v>106.28237726571334</v>
      </c>
      <c r="E1855" s="40">
        <v>10605.150390999999</v>
      </c>
      <c r="F1855" s="36">
        <f t="shared" si="114"/>
        <v>10881.417195881428</v>
      </c>
      <c r="G1855" s="36">
        <f t="shared" si="115"/>
        <v>10456.287686818576</v>
      </c>
      <c r="I1855" s="40">
        <v>10605.150390999999</v>
      </c>
      <c r="J1855" s="36">
        <v>10881.417195881428</v>
      </c>
      <c r="K1855" s="36">
        <v>10456.287686818576</v>
      </c>
    </row>
    <row r="1856" spans="1:11" x14ac:dyDescent="0.25">
      <c r="A1856" s="39">
        <v>43248</v>
      </c>
      <c r="B1856" s="36">
        <v>10688.650390999999</v>
      </c>
      <c r="C1856" s="36">
        <f t="shared" si="112"/>
        <v>10668.669970650002</v>
      </c>
      <c r="D1856" s="36">
        <f t="shared" si="113"/>
        <v>106.24312848736155</v>
      </c>
      <c r="E1856" s="40">
        <v>10688.650390999999</v>
      </c>
      <c r="F1856" s="36">
        <f t="shared" si="114"/>
        <v>10881.156227624726</v>
      </c>
      <c r="G1856" s="36">
        <f t="shared" si="115"/>
        <v>10456.183713675278</v>
      </c>
      <c r="I1856" s="40">
        <v>10688.650390999999</v>
      </c>
      <c r="J1856" s="36">
        <v>10881.156227624726</v>
      </c>
      <c r="K1856" s="36">
        <v>10456.183713675278</v>
      </c>
    </row>
    <row r="1857" spans="1:11" x14ac:dyDescent="0.25">
      <c r="A1857" s="39">
        <v>43249</v>
      </c>
      <c r="B1857" s="36">
        <v>10633.299805000001</v>
      </c>
      <c r="C1857" s="36">
        <f t="shared" si="112"/>
        <v>10663.367480450001</v>
      </c>
      <c r="D1857" s="36">
        <f t="shared" si="113"/>
        <v>105.17092703115497</v>
      </c>
      <c r="E1857" s="40">
        <v>10633.299805000001</v>
      </c>
      <c r="F1857" s="36">
        <f t="shared" si="114"/>
        <v>10873.70933451231</v>
      </c>
      <c r="G1857" s="36">
        <f t="shared" si="115"/>
        <v>10453.025626387691</v>
      </c>
      <c r="I1857" s="40">
        <v>10633.299805000001</v>
      </c>
      <c r="J1857" s="36">
        <v>10873.70933451231</v>
      </c>
      <c r="K1857" s="36">
        <v>10453.025626387691</v>
      </c>
    </row>
    <row r="1858" spans="1:11" x14ac:dyDescent="0.25">
      <c r="A1858" s="39">
        <v>43250</v>
      </c>
      <c r="B1858" s="36">
        <v>10614.349609000001</v>
      </c>
      <c r="C1858" s="36">
        <f t="shared" si="112"/>
        <v>10658.182470649999</v>
      </c>
      <c r="D1858" s="36">
        <f t="shared" si="113"/>
        <v>104.88902971337025</v>
      </c>
      <c r="E1858" s="40">
        <v>10614.349609000001</v>
      </c>
      <c r="F1858" s="36">
        <f t="shared" si="114"/>
        <v>10867.96053007674</v>
      </c>
      <c r="G1858" s="36">
        <f t="shared" si="115"/>
        <v>10448.404411223259</v>
      </c>
      <c r="I1858" s="40">
        <v>10614.349609000001</v>
      </c>
      <c r="J1858" s="36">
        <v>10867.96053007674</v>
      </c>
      <c r="K1858" s="36">
        <v>10448.404411223259</v>
      </c>
    </row>
    <row r="1859" spans="1:11" x14ac:dyDescent="0.25">
      <c r="A1859" s="39">
        <v>43251</v>
      </c>
      <c r="B1859" s="36">
        <v>10736.150390999999</v>
      </c>
      <c r="C1859" s="36">
        <f t="shared" si="112"/>
        <v>10661.007470649998</v>
      </c>
      <c r="D1859" s="36">
        <f t="shared" si="113"/>
        <v>106.24969969730513</v>
      </c>
      <c r="E1859" s="40">
        <v>10736.150390999999</v>
      </c>
      <c r="F1859" s="36">
        <f t="shared" si="114"/>
        <v>10873.506870044608</v>
      </c>
      <c r="G1859" s="36">
        <f t="shared" si="115"/>
        <v>10448.508071255388</v>
      </c>
      <c r="I1859" s="40">
        <v>10736.150390999999</v>
      </c>
      <c r="J1859" s="36">
        <v>10873.506870044608</v>
      </c>
      <c r="K1859" s="36">
        <v>10448.508071255388</v>
      </c>
    </row>
    <row r="1860" spans="1:11" x14ac:dyDescent="0.25">
      <c r="A1860" s="39">
        <v>43252</v>
      </c>
      <c r="B1860" s="36">
        <v>10696.200194999999</v>
      </c>
      <c r="C1860" s="36">
        <f t="shared" si="112"/>
        <v>10664.904980399999</v>
      </c>
      <c r="D1860" s="36">
        <f t="shared" si="113"/>
        <v>106.02817151347971</v>
      </c>
      <c r="E1860" s="40">
        <v>10696.200194999999</v>
      </c>
      <c r="F1860" s="36">
        <f t="shared" si="114"/>
        <v>10876.961323426958</v>
      </c>
      <c r="G1860" s="36">
        <f t="shared" si="115"/>
        <v>10452.848637373039</v>
      </c>
      <c r="I1860" s="40">
        <v>10696.200194999999</v>
      </c>
      <c r="J1860" s="36">
        <v>10876.961323426958</v>
      </c>
      <c r="K1860" s="36">
        <v>10452.848637373039</v>
      </c>
    </row>
    <row r="1861" spans="1:11" x14ac:dyDescent="0.25">
      <c r="A1861" s="39">
        <v>43255</v>
      </c>
      <c r="B1861" s="36">
        <v>10628.5</v>
      </c>
      <c r="C1861" s="36">
        <f t="shared" si="112"/>
        <v>10660.5549804</v>
      </c>
      <c r="D1861" s="36">
        <f t="shared" si="113"/>
        <v>105.62707650402243</v>
      </c>
      <c r="E1861" s="40">
        <v>10628.5</v>
      </c>
      <c r="F1861" s="36">
        <f t="shared" si="114"/>
        <v>10871.809133408045</v>
      </c>
      <c r="G1861" s="36">
        <f t="shared" si="115"/>
        <v>10449.300827391955</v>
      </c>
      <c r="I1861" s="40">
        <v>10628.5</v>
      </c>
      <c r="J1861" s="36">
        <v>10871.809133408045</v>
      </c>
      <c r="K1861" s="36">
        <v>10449.300827391955</v>
      </c>
    </row>
    <row r="1862" spans="1:11" x14ac:dyDescent="0.25">
      <c r="A1862" s="39">
        <v>43256</v>
      </c>
      <c r="B1862" s="36">
        <v>10593.150390999999</v>
      </c>
      <c r="C1862" s="36">
        <f t="shared" si="112"/>
        <v>10654.3225097</v>
      </c>
      <c r="D1862" s="36">
        <f t="shared" si="113"/>
        <v>105.74896825006608</v>
      </c>
      <c r="E1862" s="40">
        <v>10593.150390999999</v>
      </c>
      <c r="F1862" s="36">
        <f t="shared" si="114"/>
        <v>10865.820446200132</v>
      </c>
      <c r="G1862" s="36">
        <f t="shared" si="115"/>
        <v>10442.824573199867</v>
      </c>
      <c r="I1862" s="40">
        <v>10593.150390999999</v>
      </c>
      <c r="J1862" s="36">
        <v>10865.820446200132</v>
      </c>
      <c r="K1862" s="36">
        <v>10442.824573199867</v>
      </c>
    </row>
    <row r="1863" spans="1:11" x14ac:dyDescent="0.25">
      <c r="A1863" s="39">
        <v>43257</v>
      </c>
      <c r="B1863" s="36">
        <v>10684.650390999999</v>
      </c>
      <c r="C1863" s="36">
        <f t="shared" si="112"/>
        <v>10651.4700195</v>
      </c>
      <c r="D1863" s="36">
        <f t="shared" si="113"/>
        <v>104.02333440704932</v>
      </c>
      <c r="E1863" s="40">
        <v>10684.650390999999</v>
      </c>
      <c r="F1863" s="36">
        <f t="shared" si="114"/>
        <v>10859.516688314099</v>
      </c>
      <c r="G1863" s="36">
        <f t="shared" si="115"/>
        <v>10443.423350685902</v>
      </c>
      <c r="I1863" s="40">
        <v>10684.650390999999</v>
      </c>
      <c r="J1863" s="36">
        <v>10859.516688314099</v>
      </c>
      <c r="K1863" s="36">
        <v>10443.423350685902</v>
      </c>
    </row>
    <row r="1864" spans="1:11" x14ac:dyDescent="0.25">
      <c r="A1864" s="39">
        <v>43258</v>
      </c>
      <c r="B1864" s="36">
        <v>10768.349609000001</v>
      </c>
      <c r="C1864" s="36">
        <f t="shared" si="112"/>
        <v>10654.060009700001</v>
      </c>
      <c r="D1864" s="36">
        <f t="shared" si="113"/>
        <v>106.34787180170756</v>
      </c>
      <c r="E1864" s="40">
        <v>10768.349609000001</v>
      </c>
      <c r="F1864" s="36">
        <f t="shared" si="114"/>
        <v>10866.755753303416</v>
      </c>
      <c r="G1864" s="36">
        <f t="shared" si="115"/>
        <v>10441.364266096585</v>
      </c>
      <c r="I1864" s="40">
        <v>10768.349609000001</v>
      </c>
      <c r="J1864" s="36">
        <v>10866.755753303416</v>
      </c>
      <c r="K1864" s="36">
        <v>10441.364266096585</v>
      </c>
    </row>
    <row r="1865" spans="1:11" x14ac:dyDescent="0.25">
      <c r="A1865" s="39">
        <v>43259</v>
      </c>
      <c r="B1865" s="36">
        <v>10767.650390999999</v>
      </c>
      <c r="C1865" s="36">
        <f t="shared" si="112"/>
        <v>10652.117529250001</v>
      </c>
      <c r="D1865" s="36">
        <f t="shared" si="113"/>
        <v>103.7397772702495</v>
      </c>
      <c r="E1865" s="40">
        <v>10767.650390999999</v>
      </c>
      <c r="F1865" s="36">
        <f t="shared" si="114"/>
        <v>10859.597083790501</v>
      </c>
      <c r="G1865" s="36">
        <f t="shared" si="115"/>
        <v>10444.637974709502</v>
      </c>
      <c r="I1865" s="40">
        <v>10767.650390999999</v>
      </c>
      <c r="J1865" s="36">
        <v>10859.597083790501</v>
      </c>
      <c r="K1865" s="36">
        <v>10444.637974709502</v>
      </c>
    </row>
    <row r="1866" spans="1:11" x14ac:dyDescent="0.25">
      <c r="A1866" s="39">
        <v>43262</v>
      </c>
      <c r="B1866" s="36">
        <v>10786.950194999999</v>
      </c>
      <c r="C1866" s="36">
        <f t="shared" si="112"/>
        <v>10651.13505855</v>
      </c>
      <c r="D1866" s="36">
        <f t="shared" si="113"/>
        <v>102.28255914232906</v>
      </c>
      <c r="E1866" s="40">
        <v>10786.950194999999</v>
      </c>
      <c r="F1866" s="36">
        <f t="shared" si="114"/>
        <v>10855.700176834658</v>
      </c>
      <c r="G1866" s="36">
        <f t="shared" si="115"/>
        <v>10446.569940265343</v>
      </c>
      <c r="I1866" s="40">
        <v>10786.950194999999</v>
      </c>
      <c r="J1866" s="36">
        <v>10855.700176834658</v>
      </c>
      <c r="K1866" s="36">
        <v>10446.569940265343</v>
      </c>
    </row>
    <row r="1867" spans="1:11" x14ac:dyDescent="0.25">
      <c r="A1867" s="39">
        <v>43263</v>
      </c>
      <c r="B1867" s="36">
        <v>10842.849609000001</v>
      </c>
      <c r="C1867" s="36">
        <f t="shared" si="112"/>
        <v>10653.185058550001</v>
      </c>
      <c r="D1867" s="36">
        <f t="shared" si="113"/>
        <v>105.81221184280766</v>
      </c>
      <c r="E1867" s="40">
        <v>10842.849609000001</v>
      </c>
      <c r="F1867" s="36">
        <f t="shared" si="114"/>
        <v>10864.809482235616</v>
      </c>
      <c r="G1867" s="36">
        <f t="shared" si="115"/>
        <v>10441.560634864387</v>
      </c>
      <c r="I1867" s="40">
        <v>10842.849609000001</v>
      </c>
      <c r="J1867" s="36">
        <v>10864.809482235616</v>
      </c>
      <c r="K1867" s="36">
        <v>10441.560634864387</v>
      </c>
    </row>
    <row r="1868" spans="1:11" x14ac:dyDescent="0.25">
      <c r="A1868" s="39">
        <v>43264</v>
      </c>
      <c r="B1868" s="36">
        <v>10856.700194999999</v>
      </c>
      <c r="C1868" s="36">
        <f t="shared" si="112"/>
        <v>10658.96508785</v>
      </c>
      <c r="D1868" s="36">
        <f t="shared" si="113"/>
        <v>113.72856122677547</v>
      </c>
      <c r="E1868" s="40">
        <v>10856.700194999999</v>
      </c>
      <c r="F1868" s="36">
        <f t="shared" si="114"/>
        <v>10886.42221030355</v>
      </c>
      <c r="G1868" s="36">
        <f t="shared" si="115"/>
        <v>10431.507965396449</v>
      </c>
      <c r="I1868" s="40">
        <v>10856.700194999999</v>
      </c>
      <c r="J1868" s="36">
        <v>10886.42221030355</v>
      </c>
      <c r="K1868" s="36">
        <v>10431.507965396449</v>
      </c>
    </row>
    <row r="1869" spans="1:11" x14ac:dyDescent="0.25">
      <c r="A1869" s="39">
        <v>43265</v>
      </c>
      <c r="B1869" s="36">
        <v>10808.049805000001</v>
      </c>
      <c r="C1869" s="36">
        <f t="shared" si="112"/>
        <v>10665.23256835</v>
      </c>
      <c r="D1869" s="36">
        <f t="shared" si="113"/>
        <v>118.46091926641819</v>
      </c>
      <c r="E1869" s="40">
        <v>10808.049805000001</v>
      </c>
      <c r="F1869" s="36">
        <f t="shared" si="114"/>
        <v>10902.154406882837</v>
      </c>
      <c r="G1869" s="36">
        <f t="shared" si="115"/>
        <v>10428.310729817164</v>
      </c>
      <c r="I1869" s="40">
        <v>10808.049805000001</v>
      </c>
      <c r="J1869" s="36">
        <v>10902.154406882837</v>
      </c>
      <c r="K1869" s="36">
        <v>10428.310729817164</v>
      </c>
    </row>
    <row r="1870" spans="1:11" x14ac:dyDescent="0.25">
      <c r="A1870" s="39">
        <v>43266</v>
      </c>
      <c r="B1870" s="36">
        <v>10817.700194999999</v>
      </c>
      <c r="C1870" s="36">
        <f t="shared" si="112"/>
        <v>10676.297558550001</v>
      </c>
      <c r="D1870" s="36">
        <f t="shared" si="113"/>
        <v>121.97640558093966</v>
      </c>
      <c r="E1870" s="40">
        <v>10817.700194999999</v>
      </c>
      <c r="F1870" s="36">
        <f t="shared" si="114"/>
        <v>10920.250369711881</v>
      </c>
      <c r="G1870" s="36">
        <f t="shared" si="115"/>
        <v>10432.344747388121</v>
      </c>
      <c r="I1870" s="40">
        <v>10817.700194999999</v>
      </c>
      <c r="J1870" s="36">
        <v>10920.250369711881</v>
      </c>
      <c r="K1870" s="36">
        <v>10432.344747388121</v>
      </c>
    </row>
    <row r="1871" spans="1:11" x14ac:dyDescent="0.25">
      <c r="A1871" s="39">
        <v>43269</v>
      </c>
      <c r="B1871" s="36">
        <v>10799.849609000001</v>
      </c>
      <c r="C1871" s="36">
        <f t="shared" si="112"/>
        <v>10690.455029250003</v>
      </c>
      <c r="D1871" s="36">
        <f t="shared" si="113"/>
        <v>118.87006130896245</v>
      </c>
      <c r="E1871" s="40">
        <v>10799.849609000001</v>
      </c>
      <c r="F1871" s="36">
        <f t="shared" si="114"/>
        <v>10928.195151867927</v>
      </c>
      <c r="G1871" s="36">
        <f t="shared" si="115"/>
        <v>10452.714906632078</v>
      </c>
      <c r="I1871" s="40">
        <v>10799.849609000001</v>
      </c>
      <c r="J1871" s="36">
        <v>10928.195151867927</v>
      </c>
      <c r="K1871" s="36">
        <v>10452.714906632078</v>
      </c>
    </row>
    <row r="1872" spans="1:11" x14ac:dyDescent="0.25">
      <c r="A1872" s="39">
        <v>43270</v>
      </c>
      <c r="B1872" s="36">
        <v>10710.450194999999</v>
      </c>
      <c r="C1872" s="36">
        <f t="shared" si="112"/>
        <v>10699.142529250003</v>
      </c>
      <c r="D1872" s="36">
        <f t="shared" si="113"/>
        <v>113.25833128631619</v>
      </c>
      <c r="E1872" s="40">
        <v>10710.450194999999</v>
      </c>
      <c r="F1872" s="36">
        <f t="shared" si="114"/>
        <v>10925.659191822635</v>
      </c>
      <c r="G1872" s="36">
        <f t="shared" si="115"/>
        <v>10472.62586667737</v>
      </c>
      <c r="I1872" s="40">
        <v>10710.450194999999</v>
      </c>
      <c r="J1872" s="36">
        <v>10925.659191822635</v>
      </c>
      <c r="K1872" s="36">
        <v>10472.62586667737</v>
      </c>
    </row>
    <row r="1873" spans="1:11" x14ac:dyDescent="0.25">
      <c r="A1873" s="39">
        <v>43271</v>
      </c>
      <c r="B1873" s="36">
        <v>10772.049805000001</v>
      </c>
      <c r="C1873" s="36">
        <f t="shared" si="112"/>
        <v>10716.227539050002</v>
      </c>
      <c r="D1873" s="36">
        <f t="shared" si="113"/>
        <v>94.854300513693786</v>
      </c>
      <c r="E1873" s="40">
        <v>10772.049805000001</v>
      </c>
      <c r="F1873" s="36">
        <f t="shared" si="114"/>
        <v>10905.936140077389</v>
      </c>
      <c r="G1873" s="36">
        <f t="shared" si="115"/>
        <v>10526.518938022615</v>
      </c>
      <c r="I1873" s="40">
        <v>10772.049805000001</v>
      </c>
      <c r="J1873" s="36">
        <v>10905.936140077389</v>
      </c>
      <c r="K1873" s="36">
        <v>10526.518938022615</v>
      </c>
    </row>
    <row r="1874" spans="1:11" x14ac:dyDescent="0.25">
      <c r="A1874" s="39">
        <v>43272</v>
      </c>
      <c r="B1874" s="36">
        <v>10741.099609000001</v>
      </c>
      <c r="C1874" s="36">
        <f t="shared" si="112"/>
        <v>10727.590039050001</v>
      </c>
      <c r="D1874" s="36">
        <f t="shared" si="113"/>
        <v>82.087595498626328</v>
      </c>
      <c r="E1874" s="40">
        <v>10741.099609000001</v>
      </c>
      <c r="F1874" s="36">
        <f t="shared" si="114"/>
        <v>10891.765230047253</v>
      </c>
      <c r="G1874" s="36">
        <f t="shared" si="115"/>
        <v>10563.414848052749</v>
      </c>
      <c r="I1874" s="40">
        <v>10741.099609000001</v>
      </c>
      <c r="J1874" s="36">
        <v>10891.765230047253</v>
      </c>
      <c r="K1874" s="36">
        <v>10563.414848052749</v>
      </c>
    </row>
    <row r="1875" spans="1:11" x14ac:dyDescent="0.25">
      <c r="A1875" s="39">
        <v>43273</v>
      </c>
      <c r="B1875" s="36">
        <v>10821.849609000001</v>
      </c>
      <c r="C1875" s="36">
        <f t="shared" si="112"/>
        <v>10738.424999949999</v>
      </c>
      <c r="D1875" s="36">
        <f t="shared" si="113"/>
        <v>79.330940707976211</v>
      </c>
      <c r="E1875" s="40">
        <v>10821.849609000001</v>
      </c>
      <c r="F1875" s="36">
        <f t="shared" si="114"/>
        <v>10897.086881365951</v>
      </c>
      <c r="G1875" s="36">
        <f t="shared" si="115"/>
        <v>10579.763118534047</v>
      </c>
      <c r="I1875" s="40">
        <v>10821.849609000001</v>
      </c>
      <c r="J1875" s="36">
        <v>10897.086881365951</v>
      </c>
      <c r="K1875" s="36">
        <v>10579.763118534047</v>
      </c>
    </row>
    <row r="1876" spans="1:11" x14ac:dyDescent="0.25">
      <c r="A1876" s="39">
        <v>43276</v>
      </c>
      <c r="B1876" s="36">
        <v>10762.450194999999</v>
      </c>
      <c r="C1876" s="36">
        <f t="shared" si="112"/>
        <v>10742.114990149999</v>
      </c>
      <c r="D1876" s="36">
        <f t="shared" si="113"/>
        <v>78.606931081231252</v>
      </c>
      <c r="E1876" s="40">
        <v>10762.450194999999</v>
      </c>
      <c r="F1876" s="36">
        <f t="shared" si="114"/>
        <v>10899.328852312461</v>
      </c>
      <c r="G1876" s="36">
        <f t="shared" si="115"/>
        <v>10584.901127987538</v>
      </c>
      <c r="I1876" s="40">
        <v>10762.450194999999</v>
      </c>
      <c r="J1876" s="36">
        <v>10899.328852312461</v>
      </c>
      <c r="K1876" s="36">
        <v>10584.901127987538</v>
      </c>
    </row>
    <row r="1877" spans="1:11" x14ac:dyDescent="0.25">
      <c r="A1877" s="39">
        <v>43277</v>
      </c>
      <c r="B1877" s="36">
        <v>10769.150390999999</v>
      </c>
      <c r="C1877" s="36">
        <f t="shared" si="112"/>
        <v>10748.90751945</v>
      </c>
      <c r="D1877" s="36">
        <f t="shared" si="113"/>
        <v>74.469825030094086</v>
      </c>
      <c r="E1877" s="40">
        <v>10769.150390999999</v>
      </c>
      <c r="F1877" s="36">
        <f t="shared" si="114"/>
        <v>10897.847169510189</v>
      </c>
      <c r="G1877" s="36">
        <f t="shared" si="115"/>
        <v>10599.967869389811</v>
      </c>
      <c r="I1877" s="40">
        <v>10769.150390999999</v>
      </c>
      <c r="J1877" s="36">
        <v>10897.847169510189</v>
      </c>
      <c r="K1877" s="36">
        <v>10599.967869389811</v>
      </c>
    </row>
    <row r="1878" spans="1:11" x14ac:dyDescent="0.25">
      <c r="A1878" s="39">
        <v>43278</v>
      </c>
      <c r="B1878" s="36">
        <v>10671.400390999999</v>
      </c>
      <c r="C1878" s="36">
        <f t="shared" ref="C1878:C1941" si="116">AVERAGE(B1859:B1878)</f>
        <v>10751.76005855</v>
      </c>
      <c r="D1878" s="36">
        <f t="shared" ref="D1878:D1941" si="117">_xlfn.STDEV.S(B1859:B1878)</f>
        <v>70.00305484680014</v>
      </c>
      <c r="E1878" s="40">
        <v>10671.400390999999</v>
      </c>
      <c r="F1878" s="36">
        <f t="shared" ref="F1878:F1941" si="118">C1878+2*D1878</f>
        <v>10891.766168243601</v>
      </c>
      <c r="G1878" s="36">
        <f t="shared" ref="G1878:G1941" si="119">C1878-2*D1878</f>
        <v>10611.7539488564</v>
      </c>
      <c r="I1878" s="40">
        <v>10671.400390999999</v>
      </c>
      <c r="J1878" s="36">
        <v>10891.766168243601</v>
      </c>
      <c r="K1878" s="36">
        <v>10611.7539488564</v>
      </c>
    </row>
    <row r="1879" spans="1:11" x14ac:dyDescent="0.25">
      <c r="A1879" s="39">
        <v>43279</v>
      </c>
      <c r="B1879" s="36">
        <v>10589.099609000001</v>
      </c>
      <c r="C1879" s="36">
        <f t="shared" si="116"/>
        <v>10744.40751945</v>
      </c>
      <c r="D1879" s="36">
        <f t="shared" si="117"/>
        <v>78.887558078519433</v>
      </c>
      <c r="E1879" s="40">
        <v>10589.099609000001</v>
      </c>
      <c r="F1879" s="36">
        <f t="shared" si="118"/>
        <v>10902.18263560704</v>
      </c>
      <c r="G1879" s="36">
        <f t="shared" si="119"/>
        <v>10586.632403292961</v>
      </c>
      <c r="I1879" s="40">
        <v>10589.099609000001</v>
      </c>
      <c r="J1879" s="36">
        <v>10902.18263560704</v>
      </c>
      <c r="K1879" s="36">
        <v>10586.632403292961</v>
      </c>
    </row>
    <row r="1880" spans="1:11" x14ac:dyDescent="0.25">
      <c r="A1880" s="39">
        <v>43280</v>
      </c>
      <c r="B1880" s="36">
        <v>10714.299805000001</v>
      </c>
      <c r="C1880" s="36">
        <f t="shared" si="116"/>
        <v>10745.31249995</v>
      </c>
      <c r="D1880" s="36">
        <f t="shared" si="117"/>
        <v>78.407786306728767</v>
      </c>
      <c r="E1880" s="40">
        <v>10714.299805000001</v>
      </c>
      <c r="F1880" s="36">
        <f t="shared" si="118"/>
        <v>10902.128072563457</v>
      </c>
      <c r="G1880" s="36">
        <f t="shared" si="119"/>
        <v>10588.496927336542</v>
      </c>
      <c r="I1880" s="40">
        <v>10714.299805000001</v>
      </c>
      <c r="J1880" s="36">
        <v>10902.128072563457</v>
      </c>
      <c r="K1880" s="36">
        <v>10588.496927336542</v>
      </c>
    </row>
    <row r="1881" spans="1:11" x14ac:dyDescent="0.25">
      <c r="A1881" s="39">
        <v>43283</v>
      </c>
      <c r="B1881" s="36">
        <v>10657.299805000001</v>
      </c>
      <c r="C1881" s="36">
        <f t="shared" si="116"/>
        <v>10746.752490199999</v>
      </c>
      <c r="D1881" s="36">
        <f t="shared" si="117"/>
        <v>76.38801263297735</v>
      </c>
      <c r="E1881" s="40">
        <v>10657.299805000001</v>
      </c>
      <c r="F1881" s="36">
        <f t="shared" si="118"/>
        <v>10899.528515465954</v>
      </c>
      <c r="G1881" s="36">
        <f t="shared" si="119"/>
        <v>10593.976464934043</v>
      </c>
      <c r="I1881" s="40">
        <v>10657.299805000001</v>
      </c>
      <c r="J1881" s="36">
        <v>10899.528515465954</v>
      </c>
      <c r="K1881" s="36">
        <v>10593.976464934043</v>
      </c>
    </row>
    <row r="1882" spans="1:11" x14ac:dyDescent="0.25">
      <c r="A1882" s="39">
        <v>43284</v>
      </c>
      <c r="B1882" s="36">
        <v>10699.900390999999</v>
      </c>
      <c r="C1882" s="36">
        <f t="shared" si="116"/>
        <v>10752.089990199998</v>
      </c>
      <c r="D1882" s="36">
        <f t="shared" si="117"/>
        <v>68.402515036133948</v>
      </c>
      <c r="E1882" s="40">
        <v>10699.900390999999</v>
      </c>
      <c r="F1882" s="36">
        <f t="shared" si="118"/>
        <v>10888.895020272266</v>
      </c>
      <c r="G1882" s="36">
        <f t="shared" si="119"/>
        <v>10615.28496012773</v>
      </c>
      <c r="I1882" s="40">
        <v>10699.900390999999</v>
      </c>
      <c r="J1882" s="36">
        <v>10888.895020272266</v>
      </c>
      <c r="K1882" s="36">
        <v>10615.28496012773</v>
      </c>
    </row>
    <row r="1883" spans="1:11" x14ac:dyDescent="0.25">
      <c r="A1883" s="39">
        <v>43285</v>
      </c>
      <c r="B1883" s="36">
        <v>10769.900390999999</v>
      </c>
      <c r="C1883" s="36">
        <f t="shared" si="116"/>
        <v>10756.352490199999</v>
      </c>
      <c r="D1883" s="36">
        <f t="shared" si="117"/>
        <v>66.61156447467107</v>
      </c>
      <c r="E1883" s="40">
        <v>10769.900390999999</v>
      </c>
      <c r="F1883" s="36">
        <f t="shared" si="118"/>
        <v>10889.575619149342</v>
      </c>
      <c r="G1883" s="36">
        <f t="shared" si="119"/>
        <v>10623.129361250656</v>
      </c>
      <c r="I1883" s="40">
        <v>10769.900390999999</v>
      </c>
      <c r="J1883" s="36">
        <v>10889.575619149342</v>
      </c>
      <c r="K1883" s="36">
        <v>10623.129361250656</v>
      </c>
    </row>
    <row r="1884" spans="1:11" x14ac:dyDescent="0.25">
      <c r="A1884" s="39">
        <v>43286</v>
      </c>
      <c r="B1884" s="36">
        <v>10749.75</v>
      </c>
      <c r="C1884" s="36">
        <f t="shared" si="116"/>
        <v>10755.422509749998</v>
      </c>
      <c r="D1884" s="36">
        <f t="shared" si="117"/>
        <v>66.565074870620151</v>
      </c>
      <c r="E1884" s="40">
        <v>10749.75</v>
      </c>
      <c r="F1884" s="36">
        <f t="shared" si="118"/>
        <v>10888.552659491239</v>
      </c>
      <c r="G1884" s="36">
        <f t="shared" si="119"/>
        <v>10622.292360008758</v>
      </c>
      <c r="I1884" s="40">
        <v>10749.75</v>
      </c>
      <c r="J1884" s="36">
        <v>10888.552659491239</v>
      </c>
      <c r="K1884" s="36">
        <v>10622.292360008758</v>
      </c>
    </row>
    <row r="1885" spans="1:11" x14ac:dyDescent="0.25">
      <c r="A1885" s="39">
        <v>43287</v>
      </c>
      <c r="B1885" s="36">
        <v>10772.650390999999</v>
      </c>
      <c r="C1885" s="36">
        <f t="shared" si="116"/>
        <v>10755.672509749998</v>
      </c>
      <c r="D1885" s="36">
        <f t="shared" si="117"/>
        <v>66.622780784840771</v>
      </c>
      <c r="E1885" s="40">
        <v>10772.650390999999</v>
      </c>
      <c r="F1885" s="36">
        <f t="shared" si="118"/>
        <v>10888.91807131968</v>
      </c>
      <c r="G1885" s="36">
        <f t="shared" si="119"/>
        <v>10622.426948180317</v>
      </c>
      <c r="I1885" s="40">
        <v>10772.650390999999</v>
      </c>
      <c r="J1885" s="36">
        <v>10888.91807131968</v>
      </c>
      <c r="K1885" s="36">
        <v>10622.426948180317</v>
      </c>
    </row>
    <row r="1886" spans="1:11" x14ac:dyDescent="0.25">
      <c r="A1886" s="39">
        <v>43290</v>
      </c>
      <c r="B1886" s="36">
        <v>10852.900390999999</v>
      </c>
      <c r="C1886" s="36">
        <f t="shared" si="116"/>
        <v>10758.970019550001</v>
      </c>
      <c r="D1886" s="36">
        <f t="shared" si="117"/>
        <v>69.808308716286206</v>
      </c>
      <c r="E1886" s="40">
        <v>10852.900390999999</v>
      </c>
      <c r="F1886" s="36">
        <f t="shared" si="118"/>
        <v>10898.586636982573</v>
      </c>
      <c r="G1886" s="36">
        <f t="shared" si="119"/>
        <v>10619.353402117429</v>
      </c>
      <c r="I1886" s="40">
        <v>10852.900390999999</v>
      </c>
      <c r="J1886" s="36">
        <v>10898.586636982573</v>
      </c>
      <c r="K1886" s="36">
        <v>10619.353402117429</v>
      </c>
    </row>
    <row r="1887" spans="1:11" x14ac:dyDescent="0.25">
      <c r="A1887" s="39">
        <v>43291</v>
      </c>
      <c r="B1887" s="36">
        <v>10947.25</v>
      </c>
      <c r="C1887" s="36">
        <f t="shared" si="116"/>
        <v>10764.190039099998</v>
      </c>
      <c r="D1887" s="36">
        <f t="shared" si="117"/>
        <v>79.623916263183318</v>
      </c>
      <c r="E1887" s="40">
        <v>10947.25</v>
      </c>
      <c r="F1887" s="36">
        <f t="shared" si="118"/>
        <v>10923.437871626365</v>
      </c>
      <c r="G1887" s="36">
        <f t="shared" si="119"/>
        <v>10604.942206573631</v>
      </c>
      <c r="I1887" s="40">
        <v>10947.25</v>
      </c>
      <c r="J1887" s="36">
        <v>10923.437871626365</v>
      </c>
      <c r="K1887" s="36">
        <v>10604.942206573631</v>
      </c>
    </row>
    <row r="1888" spans="1:11" x14ac:dyDescent="0.25">
      <c r="A1888" s="39">
        <v>43292</v>
      </c>
      <c r="B1888" s="36">
        <v>10948.299805000001</v>
      </c>
      <c r="C1888" s="36">
        <f t="shared" si="116"/>
        <v>10768.770019600001</v>
      </c>
      <c r="D1888" s="36">
        <f t="shared" si="117"/>
        <v>87.472746224224892</v>
      </c>
      <c r="E1888" s="40">
        <v>10948.299805000001</v>
      </c>
      <c r="F1888" s="36">
        <f t="shared" si="118"/>
        <v>10943.715512048449</v>
      </c>
      <c r="G1888" s="36">
        <f t="shared" si="119"/>
        <v>10593.824527151552</v>
      </c>
      <c r="I1888" s="40">
        <v>10948.299805000001</v>
      </c>
      <c r="J1888" s="36">
        <v>10943.715512048449</v>
      </c>
      <c r="K1888" s="36">
        <v>10593.824527151552</v>
      </c>
    </row>
    <row r="1889" spans="1:11" x14ac:dyDescent="0.25">
      <c r="A1889" s="39">
        <v>43293</v>
      </c>
      <c r="B1889" s="36">
        <v>11023.200194999999</v>
      </c>
      <c r="C1889" s="36">
        <f t="shared" si="116"/>
        <v>10779.5275391</v>
      </c>
      <c r="D1889" s="36">
        <f t="shared" si="117"/>
        <v>104.18997663814636</v>
      </c>
      <c r="E1889" s="40">
        <v>11023.200194999999</v>
      </c>
      <c r="F1889" s="36">
        <f t="shared" si="118"/>
        <v>10987.907492376293</v>
      </c>
      <c r="G1889" s="36">
        <f t="shared" si="119"/>
        <v>10571.147585823706</v>
      </c>
      <c r="I1889" s="40">
        <v>11023.200194999999</v>
      </c>
      <c r="J1889" s="36">
        <v>10987.907492376293</v>
      </c>
      <c r="K1889" s="36">
        <v>10571.147585823706</v>
      </c>
    </row>
    <row r="1890" spans="1:11" x14ac:dyDescent="0.25">
      <c r="A1890" s="39">
        <v>43294</v>
      </c>
      <c r="B1890" s="36">
        <v>11018.900390999999</v>
      </c>
      <c r="C1890" s="36">
        <f t="shared" si="116"/>
        <v>10789.587548900001</v>
      </c>
      <c r="D1890" s="36">
        <f t="shared" si="117"/>
        <v>116.99608811050264</v>
      </c>
      <c r="E1890" s="40">
        <v>11018.900390999999</v>
      </c>
      <c r="F1890" s="36">
        <f t="shared" si="118"/>
        <v>11023.579725121006</v>
      </c>
      <c r="G1890" s="36">
        <f t="shared" si="119"/>
        <v>10555.595372678996</v>
      </c>
      <c r="I1890" s="40">
        <v>11018.900390999999</v>
      </c>
      <c r="J1890" s="36">
        <v>11023.579725121006</v>
      </c>
      <c r="K1890" s="36">
        <v>10555.595372678996</v>
      </c>
    </row>
    <row r="1891" spans="1:11" x14ac:dyDescent="0.25">
      <c r="A1891" s="39">
        <v>43297</v>
      </c>
      <c r="B1891" s="36">
        <v>10936.849609000001</v>
      </c>
      <c r="C1891" s="36">
        <f t="shared" si="116"/>
        <v>10796.437548899999</v>
      </c>
      <c r="D1891" s="36">
        <f t="shared" si="117"/>
        <v>121.55050119999932</v>
      </c>
      <c r="E1891" s="40">
        <v>10936.849609000001</v>
      </c>
      <c r="F1891" s="36">
        <f t="shared" si="118"/>
        <v>11039.538551299998</v>
      </c>
      <c r="G1891" s="36">
        <f t="shared" si="119"/>
        <v>10553.336546500001</v>
      </c>
      <c r="I1891" s="40">
        <v>10936.849609000001</v>
      </c>
      <c r="J1891" s="36">
        <v>11039.538551299998</v>
      </c>
      <c r="K1891" s="36">
        <v>10553.336546500001</v>
      </c>
    </row>
    <row r="1892" spans="1:11" x14ac:dyDescent="0.25">
      <c r="A1892" s="39">
        <v>43298</v>
      </c>
      <c r="B1892" s="36">
        <v>11008.049805000001</v>
      </c>
      <c r="C1892" s="36">
        <f t="shared" si="116"/>
        <v>10811.317529399999</v>
      </c>
      <c r="D1892" s="36">
        <f t="shared" si="117"/>
        <v>128.48788761363141</v>
      </c>
      <c r="E1892" s="40">
        <v>11008.049805000001</v>
      </c>
      <c r="F1892" s="36">
        <f t="shared" si="118"/>
        <v>11068.293304627263</v>
      </c>
      <c r="G1892" s="36">
        <f t="shared" si="119"/>
        <v>10554.341754172736</v>
      </c>
      <c r="I1892" s="40">
        <v>11008.049805000001</v>
      </c>
      <c r="J1892" s="36">
        <v>11068.293304627263</v>
      </c>
      <c r="K1892" s="36">
        <v>10554.341754172736</v>
      </c>
    </row>
    <row r="1893" spans="1:11" x14ac:dyDescent="0.25">
      <c r="A1893" s="39">
        <v>43299</v>
      </c>
      <c r="B1893" s="36">
        <v>10980.450194999999</v>
      </c>
      <c r="C1893" s="36">
        <f t="shared" si="116"/>
        <v>10821.737548900001</v>
      </c>
      <c r="D1893" s="36">
        <f t="shared" si="117"/>
        <v>133.48880817874422</v>
      </c>
      <c r="E1893" s="40">
        <v>10980.450194999999</v>
      </c>
      <c r="F1893" s="36">
        <f t="shared" si="118"/>
        <v>11088.715165257488</v>
      </c>
      <c r="G1893" s="36">
        <f t="shared" si="119"/>
        <v>10554.759932542513</v>
      </c>
      <c r="I1893" s="40">
        <v>10980.450194999999</v>
      </c>
      <c r="J1893" s="36">
        <v>11088.715165257488</v>
      </c>
      <c r="K1893" s="36">
        <v>10554.759932542513</v>
      </c>
    </row>
    <row r="1894" spans="1:11" x14ac:dyDescent="0.25">
      <c r="A1894" s="39">
        <v>43300</v>
      </c>
      <c r="B1894" s="36">
        <v>10957.099609000001</v>
      </c>
      <c r="C1894" s="36">
        <f t="shared" si="116"/>
        <v>10832.537548900002</v>
      </c>
      <c r="D1894" s="36">
        <f t="shared" si="117"/>
        <v>135.34625891313578</v>
      </c>
      <c r="E1894" s="40">
        <v>10957.099609000001</v>
      </c>
      <c r="F1894" s="36">
        <f t="shared" si="118"/>
        <v>11103.230066726273</v>
      </c>
      <c r="G1894" s="36">
        <f t="shared" si="119"/>
        <v>10561.84503107373</v>
      </c>
      <c r="I1894" s="40">
        <v>10957.099609000001</v>
      </c>
      <c r="J1894" s="36">
        <v>11103.230066726273</v>
      </c>
      <c r="K1894" s="36">
        <v>10561.84503107373</v>
      </c>
    </row>
    <row r="1895" spans="1:11" x14ac:dyDescent="0.25">
      <c r="A1895" s="39">
        <v>43301</v>
      </c>
      <c r="B1895" s="36">
        <v>11010.200194999999</v>
      </c>
      <c r="C1895" s="36">
        <f t="shared" si="116"/>
        <v>10841.955078200002</v>
      </c>
      <c r="D1895" s="36">
        <f t="shared" si="117"/>
        <v>140.99824053240982</v>
      </c>
      <c r="E1895" s="40">
        <v>11010.200194999999</v>
      </c>
      <c r="F1895" s="36">
        <f t="shared" si="118"/>
        <v>11123.951559264822</v>
      </c>
      <c r="G1895" s="36">
        <f t="shared" si="119"/>
        <v>10559.958597135183</v>
      </c>
      <c r="I1895" s="40">
        <v>11010.200194999999</v>
      </c>
      <c r="J1895" s="36">
        <v>11123.951559264822</v>
      </c>
      <c r="K1895" s="36">
        <v>10559.958597135183</v>
      </c>
    </row>
    <row r="1896" spans="1:11" x14ac:dyDescent="0.25">
      <c r="A1896" s="39">
        <v>43304</v>
      </c>
      <c r="B1896" s="36">
        <v>11084.75</v>
      </c>
      <c r="C1896" s="36">
        <f t="shared" si="116"/>
        <v>10858.070068450001</v>
      </c>
      <c r="D1896" s="36">
        <f t="shared" si="117"/>
        <v>149.58962499478739</v>
      </c>
      <c r="E1896" s="40">
        <v>11084.75</v>
      </c>
      <c r="F1896" s="36">
        <f t="shared" si="118"/>
        <v>11157.249318439575</v>
      </c>
      <c r="G1896" s="36">
        <f t="shared" si="119"/>
        <v>10558.890818460426</v>
      </c>
      <c r="I1896" s="40">
        <v>11084.75</v>
      </c>
      <c r="J1896" s="36">
        <v>11157.249318439575</v>
      </c>
      <c r="K1896" s="36">
        <v>10558.890818460426</v>
      </c>
    </row>
    <row r="1897" spans="1:11" x14ac:dyDescent="0.25">
      <c r="A1897" s="39">
        <v>43305</v>
      </c>
      <c r="B1897" s="36">
        <v>11134.299805000001</v>
      </c>
      <c r="C1897" s="36">
        <f t="shared" si="116"/>
        <v>10876.327539150001</v>
      </c>
      <c r="D1897" s="36">
        <f t="shared" si="117"/>
        <v>160.08114978363886</v>
      </c>
      <c r="E1897" s="40">
        <v>11134.299805000001</v>
      </c>
      <c r="F1897" s="36">
        <f t="shared" si="118"/>
        <v>11196.489838717278</v>
      </c>
      <c r="G1897" s="36">
        <f t="shared" si="119"/>
        <v>10556.165239582724</v>
      </c>
      <c r="I1897" s="40">
        <v>11134.299805000001</v>
      </c>
      <c r="J1897" s="36">
        <v>11196.489838717278</v>
      </c>
      <c r="K1897" s="36">
        <v>10556.165239582724</v>
      </c>
    </row>
    <row r="1898" spans="1:11" x14ac:dyDescent="0.25">
      <c r="A1898" s="39">
        <v>43306</v>
      </c>
      <c r="B1898" s="36">
        <v>11132</v>
      </c>
      <c r="C1898" s="36">
        <f t="shared" si="116"/>
        <v>10899.3575196</v>
      </c>
      <c r="D1898" s="36">
        <f t="shared" si="117"/>
        <v>162.16612453748576</v>
      </c>
      <c r="E1898" s="40">
        <v>11132</v>
      </c>
      <c r="F1898" s="36">
        <f t="shared" si="118"/>
        <v>11223.689768674973</v>
      </c>
      <c r="G1898" s="36">
        <f t="shared" si="119"/>
        <v>10575.025270525028</v>
      </c>
      <c r="I1898" s="40">
        <v>11132</v>
      </c>
      <c r="J1898" s="36">
        <v>11223.689768674973</v>
      </c>
      <c r="K1898" s="36">
        <v>10575.025270525028</v>
      </c>
    </row>
    <row r="1899" spans="1:11" x14ac:dyDescent="0.25">
      <c r="A1899" s="39">
        <v>43307</v>
      </c>
      <c r="B1899" s="36">
        <v>11167.299805000001</v>
      </c>
      <c r="C1899" s="36">
        <f t="shared" si="116"/>
        <v>10928.2675294</v>
      </c>
      <c r="D1899" s="36">
        <f t="shared" si="117"/>
        <v>155.33944340758975</v>
      </c>
      <c r="E1899" s="40">
        <v>11167.299805000001</v>
      </c>
      <c r="F1899" s="36">
        <f t="shared" si="118"/>
        <v>11238.94641621518</v>
      </c>
      <c r="G1899" s="36">
        <f t="shared" si="119"/>
        <v>10617.58864258482</v>
      </c>
      <c r="I1899" s="40">
        <v>11167.299805000001</v>
      </c>
      <c r="J1899" s="36">
        <v>11238.94641621518</v>
      </c>
      <c r="K1899" s="36">
        <v>10617.58864258482</v>
      </c>
    </row>
    <row r="1900" spans="1:11" x14ac:dyDescent="0.25">
      <c r="A1900" s="39">
        <v>43308</v>
      </c>
      <c r="B1900" s="36">
        <v>11278.349609000001</v>
      </c>
      <c r="C1900" s="36">
        <f t="shared" si="116"/>
        <v>10956.470019599999</v>
      </c>
      <c r="D1900" s="36">
        <f t="shared" si="117"/>
        <v>165.32968294448281</v>
      </c>
      <c r="E1900" s="40">
        <v>11278.349609000001</v>
      </c>
      <c r="F1900" s="36">
        <f t="shared" si="118"/>
        <v>11287.129385488965</v>
      </c>
      <c r="G1900" s="36">
        <f t="shared" si="119"/>
        <v>10625.810653711034</v>
      </c>
      <c r="I1900" s="40">
        <v>11278.349609000001</v>
      </c>
      <c r="J1900" s="36">
        <v>11287.129385488965</v>
      </c>
      <c r="K1900" s="36">
        <v>10625.810653711034</v>
      </c>
    </row>
    <row r="1901" spans="1:11" x14ac:dyDescent="0.25">
      <c r="A1901" s="39">
        <v>43311</v>
      </c>
      <c r="B1901" s="36">
        <v>11319.549805000001</v>
      </c>
      <c r="C1901" s="36">
        <f t="shared" si="116"/>
        <v>10989.582519599999</v>
      </c>
      <c r="D1901" s="36">
        <f t="shared" si="117"/>
        <v>168.54478357323779</v>
      </c>
      <c r="E1901" s="40">
        <v>11319.549805000001</v>
      </c>
      <c r="F1901" s="36">
        <f t="shared" si="118"/>
        <v>11326.672086746474</v>
      </c>
      <c r="G1901" s="36">
        <f t="shared" si="119"/>
        <v>10652.492952453524</v>
      </c>
      <c r="I1901" s="40">
        <v>11319.549805000001</v>
      </c>
      <c r="J1901" s="36">
        <v>11326.672086746474</v>
      </c>
      <c r="K1901" s="36">
        <v>10652.492952453524</v>
      </c>
    </row>
    <row r="1902" spans="1:11" x14ac:dyDescent="0.25">
      <c r="A1902" s="39">
        <v>43312</v>
      </c>
      <c r="B1902" s="36">
        <v>11356.5</v>
      </c>
      <c r="C1902" s="36">
        <f t="shared" si="116"/>
        <v>11022.412500049997</v>
      </c>
      <c r="D1902" s="36">
        <f t="shared" si="117"/>
        <v>173.03727721158074</v>
      </c>
      <c r="E1902" s="40">
        <v>11356.5</v>
      </c>
      <c r="F1902" s="36">
        <f t="shared" si="118"/>
        <v>11368.487054473158</v>
      </c>
      <c r="G1902" s="36">
        <f t="shared" si="119"/>
        <v>10676.337945626836</v>
      </c>
      <c r="I1902" s="40">
        <v>11356.5</v>
      </c>
      <c r="J1902" s="36">
        <v>11368.487054473158</v>
      </c>
      <c r="K1902" s="36">
        <v>10676.337945626836</v>
      </c>
    </row>
    <row r="1903" spans="1:11" x14ac:dyDescent="0.25">
      <c r="A1903" s="39">
        <v>43313</v>
      </c>
      <c r="B1903" s="36">
        <v>11346.200194999999</v>
      </c>
      <c r="C1903" s="36">
        <f t="shared" si="116"/>
        <v>11051.227490249998</v>
      </c>
      <c r="D1903" s="36">
        <f t="shared" si="117"/>
        <v>176.71953988568913</v>
      </c>
      <c r="E1903" s="40">
        <v>11346.200194999999</v>
      </c>
      <c r="F1903" s="36">
        <f t="shared" si="118"/>
        <v>11404.666570021376</v>
      </c>
      <c r="G1903" s="36">
        <f t="shared" si="119"/>
        <v>10697.788410478619</v>
      </c>
      <c r="I1903" s="40">
        <v>11346.200194999999</v>
      </c>
      <c r="J1903" s="36">
        <v>11404.666570021376</v>
      </c>
      <c r="K1903" s="36">
        <v>10697.788410478619</v>
      </c>
    </row>
    <row r="1904" spans="1:11" x14ac:dyDescent="0.25">
      <c r="A1904" s="39">
        <v>43314</v>
      </c>
      <c r="B1904" s="36">
        <v>11244.700194999999</v>
      </c>
      <c r="C1904" s="36">
        <f t="shared" si="116"/>
        <v>11075.974999999999</v>
      </c>
      <c r="D1904" s="36">
        <f t="shared" si="117"/>
        <v>166.64812367287362</v>
      </c>
      <c r="E1904" s="40">
        <v>11244.700194999999</v>
      </c>
      <c r="F1904" s="36">
        <f t="shared" si="118"/>
        <v>11409.271247345745</v>
      </c>
      <c r="G1904" s="36">
        <f t="shared" si="119"/>
        <v>10742.678752654252</v>
      </c>
      <c r="I1904" s="40">
        <v>11244.700194999999</v>
      </c>
      <c r="J1904" s="36">
        <v>11409.271247345745</v>
      </c>
      <c r="K1904" s="36">
        <v>10742.678752654252</v>
      </c>
    </row>
    <row r="1905" spans="1:11" x14ac:dyDescent="0.25">
      <c r="A1905" s="39">
        <v>43315</v>
      </c>
      <c r="B1905" s="36">
        <v>11360.799805000001</v>
      </c>
      <c r="C1905" s="36">
        <f t="shared" si="116"/>
        <v>11105.382470699999</v>
      </c>
      <c r="D1905" s="36">
        <f t="shared" si="117"/>
        <v>162.13764617057484</v>
      </c>
      <c r="E1905" s="40">
        <v>11360.799805000001</v>
      </c>
      <c r="F1905" s="36">
        <f t="shared" si="118"/>
        <v>11429.657763041148</v>
      </c>
      <c r="G1905" s="36">
        <f t="shared" si="119"/>
        <v>10781.107178358849</v>
      </c>
      <c r="I1905" s="40">
        <v>11360.799805000001</v>
      </c>
      <c r="J1905" s="36">
        <v>11429.657763041148</v>
      </c>
      <c r="K1905" s="36">
        <v>10781.107178358849</v>
      </c>
    </row>
    <row r="1906" spans="1:11" x14ac:dyDescent="0.25">
      <c r="A1906" s="39">
        <v>43318</v>
      </c>
      <c r="B1906" s="36">
        <v>11387.099609000001</v>
      </c>
      <c r="C1906" s="36">
        <f t="shared" si="116"/>
        <v>11132.092431599998</v>
      </c>
      <c r="D1906" s="36">
        <f t="shared" si="117"/>
        <v>162.35643294043049</v>
      </c>
      <c r="E1906" s="40">
        <v>11387.099609000001</v>
      </c>
      <c r="F1906" s="36">
        <f t="shared" si="118"/>
        <v>11456.80529748086</v>
      </c>
      <c r="G1906" s="36">
        <f t="shared" si="119"/>
        <v>10807.379565719137</v>
      </c>
      <c r="I1906" s="40">
        <v>11387.099609000001</v>
      </c>
      <c r="J1906" s="36">
        <v>11456.80529748086</v>
      </c>
      <c r="K1906" s="36">
        <v>10807.379565719137</v>
      </c>
    </row>
    <row r="1907" spans="1:11" x14ac:dyDescent="0.25">
      <c r="A1907" s="39">
        <v>43319</v>
      </c>
      <c r="B1907" s="36">
        <v>11389.450194999999</v>
      </c>
      <c r="C1907" s="36">
        <f t="shared" si="116"/>
        <v>11154.20244135</v>
      </c>
      <c r="D1907" s="36">
        <f t="shared" si="117"/>
        <v>165.92989297405046</v>
      </c>
      <c r="E1907" s="40">
        <v>11389.450194999999</v>
      </c>
      <c r="F1907" s="36">
        <f t="shared" si="118"/>
        <v>11486.062227298102</v>
      </c>
      <c r="G1907" s="36">
        <f t="shared" si="119"/>
        <v>10822.342655401899</v>
      </c>
      <c r="I1907" s="40">
        <v>11389.450194999999</v>
      </c>
      <c r="J1907" s="36">
        <v>11486.062227298102</v>
      </c>
      <c r="K1907" s="36">
        <v>10822.342655401899</v>
      </c>
    </row>
    <row r="1908" spans="1:11" x14ac:dyDescent="0.25">
      <c r="A1908" s="39">
        <v>43320</v>
      </c>
      <c r="B1908" s="36">
        <v>11450</v>
      </c>
      <c r="C1908" s="36">
        <f t="shared" si="116"/>
        <v>11179.287451100001</v>
      </c>
      <c r="D1908" s="36">
        <f t="shared" si="117"/>
        <v>171.00892621046748</v>
      </c>
      <c r="E1908" s="40">
        <v>11450</v>
      </c>
      <c r="F1908" s="36">
        <f t="shared" si="118"/>
        <v>11521.305303520936</v>
      </c>
      <c r="G1908" s="36">
        <f t="shared" si="119"/>
        <v>10837.269598679066</v>
      </c>
      <c r="I1908" s="40">
        <v>11450</v>
      </c>
      <c r="J1908" s="36">
        <v>11521.305303520936</v>
      </c>
      <c r="K1908" s="36">
        <v>10837.269598679066</v>
      </c>
    </row>
    <row r="1909" spans="1:11" x14ac:dyDescent="0.25">
      <c r="A1909" s="39">
        <v>43321</v>
      </c>
      <c r="B1909" s="36">
        <v>11470.700194999999</v>
      </c>
      <c r="C1909" s="36">
        <f t="shared" si="116"/>
        <v>11201.662451100001</v>
      </c>
      <c r="D1909" s="36">
        <f t="shared" si="117"/>
        <v>178.61784364803216</v>
      </c>
      <c r="E1909" s="40">
        <v>11470.700194999999</v>
      </c>
      <c r="F1909" s="36">
        <f t="shared" si="118"/>
        <v>11558.898138396065</v>
      </c>
      <c r="G1909" s="36">
        <f t="shared" si="119"/>
        <v>10844.426763803936</v>
      </c>
      <c r="I1909" s="40">
        <v>11470.700194999999</v>
      </c>
      <c r="J1909" s="36">
        <v>11558.898138396065</v>
      </c>
      <c r="K1909" s="36">
        <v>10844.426763803936</v>
      </c>
    </row>
    <row r="1910" spans="1:11" x14ac:dyDescent="0.25">
      <c r="A1910" s="39">
        <v>43322</v>
      </c>
      <c r="B1910" s="36">
        <v>11429.5</v>
      </c>
      <c r="C1910" s="36">
        <f t="shared" si="116"/>
        <v>11222.192431550002</v>
      </c>
      <c r="D1910" s="36">
        <f t="shared" si="117"/>
        <v>180.09657109030206</v>
      </c>
      <c r="E1910" s="40">
        <v>11429.5</v>
      </c>
      <c r="F1910" s="36">
        <f t="shared" si="118"/>
        <v>11582.385573730606</v>
      </c>
      <c r="G1910" s="36">
        <f t="shared" si="119"/>
        <v>10861.999289369398</v>
      </c>
      <c r="I1910" s="40">
        <v>11429.5</v>
      </c>
      <c r="J1910" s="36">
        <v>11582.385573730606</v>
      </c>
      <c r="K1910" s="36">
        <v>10861.999289369398</v>
      </c>
    </row>
    <row r="1911" spans="1:11" x14ac:dyDescent="0.25">
      <c r="A1911" s="39">
        <v>43325</v>
      </c>
      <c r="B1911" s="36">
        <v>11355.75</v>
      </c>
      <c r="C1911" s="36">
        <f t="shared" si="116"/>
        <v>11243.137451100001</v>
      </c>
      <c r="D1911" s="36">
        <f t="shared" si="117"/>
        <v>169.19374510674513</v>
      </c>
      <c r="E1911" s="40">
        <v>11355.75</v>
      </c>
      <c r="F1911" s="36">
        <f t="shared" si="118"/>
        <v>11581.524941313492</v>
      </c>
      <c r="G1911" s="36">
        <f t="shared" si="119"/>
        <v>10904.749960886511</v>
      </c>
      <c r="I1911" s="40">
        <v>11355.75</v>
      </c>
      <c r="J1911" s="36">
        <v>11581.524941313492</v>
      </c>
      <c r="K1911" s="36">
        <v>10904.749960886511</v>
      </c>
    </row>
    <row r="1912" spans="1:11" x14ac:dyDescent="0.25">
      <c r="A1912" s="39">
        <v>43326</v>
      </c>
      <c r="B1912" s="36">
        <v>11435.099609000001</v>
      </c>
      <c r="C1912" s="36">
        <f t="shared" si="116"/>
        <v>11264.4899413</v>
      </c>
      <c r="D1912" s="36">
        <f t="shared" si="117"/>
        <v>164.85538099923298</v>
      </c>
      <c r="E1912" s="40">
        <v>11435.099609000001</v>
      </c>
      <c r="F1912" s="36">
        <f t="shared" si="118"/>
        <v>11594.200703298466</v>
      </c>
      <c r="G1912" s="36">
        <f t="shared" si="119"/>
        <v>10934.779179301535</v>
      </c>
      <c r="I1912" s="40">
        <v>11435.099609000001</v>
      </c>
      <c r="J1912" s="36">
        <v>11594.200703298466</v>
      </c>
      <c r="K1912" s="36">
        <v>10934.779179301535</v>
      </c>
    </row>
    <row r="1913" spans="1:11" x14ac:dyDescent="0.25">
      <c r="A1913" s="39">
        <v>43328</v>
      </c>
      <c r="B1913" s="36">
        <v>11385.049805000001</v>
      </c>
      <c r="C1913" s="36">
        <f t="shared" si="116"/>
        <v>11284.719921799999</v>
      </c>
      <c r="D1913" s="36">
        <f t="shared" si="117"/>
        <v>152.52949624671035</v>
      </c>
      <c r="E1913" s="40">
        <v>11385.049805000001</v>
      </c>
      <c r="F1913" s="36">
        <f t="shared" si="118"/>
        <v>11589.77891429342</v>
      </c>
      <c r="G1913" s="36">
        <f t="shared" si="119"/>
        <v>10979.660929306578</v>
      </c>
      <c r="I1913" s="40">
        <v>11385.049805000001</v>
      </c>
      <c r="J1913" s="36">
        <v>11589.77891429342</v>
      </c>
      <c r="K1913" s="36">
        <v>10979.660929306578</v>
      </c>
    </row>
    <row r="1914" spans="1:11" x14ac:dyDescent="0.25">
      <c r="A1914" s="39">
        <v>43329</v>
      </c>
      <c r="B1914" s="36">
        <v>11470.75</v>
      </c>
      <c r="C1914" s="36">
        <f t="shared" si="116"/>
        <v>11310.402441350001</v>
      </c>
      <c r="D1914" s="36">
        <f t="shared" si="117"/>
        <v>136.90564974452397</v>
      </c>
      <c r="E1914" s="40">
        <v>11470.75</v>
      </c>
      <c r="F1914" s="36">
        <f t="shared" si="118"/>
        <v>11584.213740839048</v>
      </c>
      <c r="G1914" s="36">
        <f t="shared" si="119"/>
        <v>11036.591141860954</v>
      </c>
      <c r="I1914" s="40">
        <v>11470.75</v>
      </c>
      <c r="J1914" s="36">
        <v>11584.213740839048</v>
      </c>
      <c r="K1914" s="36">
        <v>11036.591141860954</v>
      </c>
    </row>
    <row r="1915" spans="1:11" x14ac:dyDescent="0.25">
      <c r="A1915" s="39">
        <v>43332</v>
      </c>
      <c r="B1915" s="36">
        <v>11551.75</v>
      </c>
      <c r="C1915" s="36">
        <f t="shared" si="116"/>
        <v>11337.479931600001</v>
      </c>
      <c r="D1915" s="36">
        <f t="shared" si="117"/>
        <v>127.64742302538022</v>
      </c>
      <c r="E1915" s="40">
        <v>11551.75</v>
      </c>
      <c r="F1915" s="36">
        <f t="shared" si="118"/>
        <v>11592.77477765076</v>
      </c>
      <c r="G1915" s="36">
        <f t="shared" si="119"/>
        <v>11082.185085549241</v>
      </c>
      <c r="I1915" s="40">
        <v>11551.75</v>
      </c>
      <c r="J1915" s="36">
        <v>11592.77477765076</v>
      </c>
      <c r="K1915" s="36">
        <v>11082.185085549241</v>
      </c>
    </row>
    <row r="1916" spans="1:11" x14ac:dyDescent="0.25">
      <c r="A1916" s="39">
        <v>43333</v>
      </c>
      <c r="B1916" s="36">
        <v>11570.900390999999</v>
      </c>
      <c r="C1916" s="36">
        <f t="shared" si="116"/>
        <v>11361.787451150001</v>
      </c>
      <c r="D1916" s="36">
        <f t="shared" si="117"/>
        <v>123.19838727197182</v>
      </c>
      <c r="E1916" s="40">
        <v>11570.900390999999</v>
      </c>
      <c r="F1916" s="36">
        <f t="shared" si="118"/>
        <v>11608.184225693945</v>
      </c>
      <c r="G1916" s="36">
        <f t="shared" si="119"/>
        <v>11115.390676606057</v>
      </c>
      <c r="I1916" s="40">
        <v>11570.900390999999</v>
      </c>
      <c r="J1916" s="36">
        <v>11608.184225693945</v>
      </c>
      <c r="K1916" s="36">
        <v>11115.390676606057</v>
      </c>
    </row>
    <row r="1917" spans="1:11" x14ac:dyDescent="0.25">
      <c r="A1917" s="39">
        <v>43335</v>
      </c>
      <c r="B1917" s="36">
        <v>11582.75</v>
      </c>
      <c r="C1917" s="36">
        <f t="shared" si="116"/>
        <v>11384.2099609</v>
      </c>
      <c r="D1917" s="36">
        <f t="shared" si="117"/>
        <v>120.39353232224565</v>
      </c>
      <c r="E1917" s="40">
        <v>11582.75</v>
      </c>
      <c r="F1917" s="36">
        <f t="shared" si="118"/>
        <v>11624.997025544491</v>
      </c>
      <c r="G1917" s="36">
        <f t="shared" si="119"/>
        <v>11143.422896255508</v>
      </c>
      <c r="I1917" s="40">
        <v>11582.75</v>
      </c>
      <c r="J1917" s="36">
        <v>11624.997025544491</v>
      </c>
      <c r="K1917" s="36">
        <v>11143.422896255508</v>
      </c>
    </row>
    <row r="1918" spans="1:11" x14ac:dyDescent="0.25">
      <c r="A1918" s="39">
        <v>43336</v>
      </c>
      <c r="B1918" s="36">
        <v>11557.099609000001</v>
      </c>
      <c r="C1918" s="36">
        <f t="shared" si="116"/>
        <v>11405.464941349997</v>
      </c>
      <c r="D1918" s="36">
        <f t="shared" si="117"/>
        <v>110.65425813860352</v>
      </c>
      <c r="E1918" s="40">
        <v>11557.099609000001</v>
      </c>
      <c r="F1918" s="36">
        <f t="shared" si="118"/>
        <v>11626.773457627205</v>
      </c>
      <c r="G1918" s="36">
        <f t="shared" si="119"/>
        <v>11184.15642507279</v>
      </c>
      <c r="I1918" s="40">
        <v>11557.099609000001</v>
      </c>
      <c r="J1918" s="36">
        <v>11626.773457627205</v>
      </c>
      <c r="K1918" s="36">
        <v>11184.15642507279</v>
      </c>
    </row>
    <row r="1919" spans="1:11" x14ac:dyDescent="0.25">
      <c r="A1919" s="39">
        <v>43339</v>
      </c>
      <c r="B1919" s="36">
        <v>11691.950194999999</v>
      </c>
      <c r="C1919" s="36">
        <f t="shared" si="116"/>
        <v>11431.697460849999</v>
      </c>
      <c r="D1919" s="36">
        <f t="shared" si="117"/>
        <v>113.37668906414822</v>
      </c>
      <c r="E1919" s="40">
        <v>11691.950194999999</v>
      </c>
      <c r="F1919" s="36">
        <f t="shared" si="118"/>
        <v>11658.450838978295</v>
      </c>
      <c r="G1919" s="36">
        <f t="shared" si="119"/>
        <v>11204.944082721702</v>
      </c>
      <c r="I1919" s="40">
        <v>11691.950194999999</v>
      </c>
      <c r="J1919" s="36">
        <v>11658.450838978295</v>
      </c>
      <c r="K1919" s="36">
        <v>11204.944082721702</v>
      </c>
    </row>
    <row r="1920" spans="1:11" x14ac:dyDescent="0.25">
      <c r="A1920" s="39">
        <v>43340</v>
      </c>
      <c r="B1920" s="36">
        <v>11738.5</v>
      </c>
      <c r="C1920" s="36">
        <f t="shared" si="116"/>
        <v>11454.7049804</v>
      </c>
      <c r="D1920" s="36">
        <f t="shared" si="117"/>
        <v>126.54446151968376</v>
      </c>
      <c r="E1920" s="40">
        <v>11738.5</v>
      </c>
      <c r="F1920" s="36">
        <f t="shared" si="118"/>
        <v>11707.793903439368</v>
      </c>
      <c r="G1920" s="36">
        <f t="shared" si="119"/>
        <v>11201.616057360632</v>
      </c>
      <c r="I1920" s="40">
        <v>11738.5</v>
      </c>
      <c r="J1920" s="36">
        <v>11707.793903439368</v>
      </c>
      <c r="K1920" s="36">
        <v>11201.616057360632</v>
      </c>
    </row>
    <row r="1921" spans="1:11" x14ac:dyDescent="0.25">
      <c r="A1921" s="39">
        <v>43341</v>
      </c>
      <c r="B1921" s="36">
        <v>11691.900390999999</v>
      </c>
      <c r="C1921" s="36">
        <f t="shared" si="116"/>
        <v>11473.3225097</v>
      </c>
      <c r="D1921" s="36">
        <f t="shared" si="117"/>
        <v>132.84716337371307</v>
      </c>
      <c r="E1921" s="40">
        <v>11691.900390999999</v>
      </c>
      <c r="F1921" s="36">
        <f t="shared" si="118"/>
        <v>11739.016836447425</v>
      </c>
      <c r="G1921" s="36">
        <f t="shared" si="119"/>
        <v>11207.628182952574</v>
      </c>
      <c r="I1921" s="40">
        <v>11691.900390999999</v>
      </c>
      <c r="J1921" s="36">
        <v>11739.016836447425</v>
      </c>
      <c r="K1921" s="36">
        <v>11207.628182952574</v>
      </c>
    </row>
    <row r="1922" spans="1:11" x14ac:dyDescent="0.25">
      <c r="A1922" s="39">
        <v>43342</v>
      </c>
      <c r="B1922" s="36">
        <v>11676.799805000001</v>
      </c>
      <c r="C1922" s="36">
        <f t="shared" si="116"/>
        <v>11489.337499949999</v>
      </c>
      <c r="D1922" s="36">
        <f t="shared" si="117"/>
        <v>137.2559883054179</v>
      </c>
      <c r="E1922" s="40">
        <v>11676.799805000001</v>
      </c>
      <c r="F1922" s="36">
        <f t="shared" si="118"/>
        <v>11763.849476560836</v>
      </c>
      <c r="G1922" s="36">
        <f t="shared" si="119"/>
        <v>11214.825523339163</v>
      </c>
      <c r="I1922" s="40">
        <v>11676.799805000001</v>
      </c>
      <c r="J1922" s="36">
        <v>11763.849476560836</v>
      </c>
      <c r="K1922" s="36">
        <v>11214.825523339163</v>
      </c>
    </row>
    <row r="1923" spans="1:11" x14ac:dyDescent="0.25">
      <c r="A1923" s="39">
        <v>43343</v>
      </c>
      <c r="B1923" s="36">
        <v>11680.5</v>
      </c>
      <c r="C1923" s="36">
        <f t="shared" si="116"/>
        <v>11506.0524902</v>
      </c>
      <c r="D1923" s="36">
        <f t="shared" si="117"/>
        <v>139.2483422492476</v>
      </c>
      <c r="E1923" s="40">
        <v>11680.5</v>
      </c>
      <c r="F1923" s="36">
        <f t="shared" si="118"/>
        <v>11784.549174698495</v>
      </c>
      <c r="G1923" s="36">
        <f t="shared" si="119"/>
        <v>11227.555805701504</v>
      </c>
      <c r="I1923" s="40">
        <v>11680.5</v>
      </c>
      <c r="J1923" s="36">
        <v>11784.549174698495</v>
      </c>
      <c r="K1923" s="36">
        <v>11227.555805701504</v>
      </c>
    </row>
    <row r="1924" spans="1:11" x14ac:dyDescent="0.25">
      <c r="A1924" s="39">
        <v>43346</v>
      </c>
      <c r="B1924" s="36">
        <v>11582.349609000001</v>
      </c>
      <c r="C1924" s="36">
        <f t="shared" si="116"/>
        <v>11522.9349609</v>
      </c>
      <c r="D1924" s="36">
        <f t="shared" si="117"/>
        <v>125.70386824769726</v>
      </c>
      <c r="E1924" s="40">
        <v>11582.349609000001</v>
      </c>
      <c r="F1924" s="36">
        <f t="shared" si="118"/>
        <v>11774.342697395394</v>
      </c>
      <c r="G1924" s="36">
        <f t="shared" si="119"/>
        <v>11271.527224404606</v>
      </c>
      <c r="I1924" s="40">
        <v>11582.349609000001</v>
      </c>
      <c r="J1924" s="36">
        <v>11774.342697395394</v>
      </c>
      <c r="K1924" s="36">
        <v>11271.527224404606</v>
      </c>
    </row>
    <row r="1925" spans="1:11" x14ac:dyDescent="0.25">
      <c r="A1925" s="39">
        <v>43347</v>
      </c>
      <c r="B1925" s="36">
        <v>11520.299805000001</v>
      </c>
      <c r="C1925" s="36">
        <f t="shared" si="116"/>
        <v>11530.9099609</v>
      </c>
      <c r="D1925" s="36">
        <f t="shared" si="117"/>
        <v>119.79695763735411</v>
      </c>
      <c r="E1925" s="40">
        <v>11520.299805000001</v>
      </c>
      <c r="F1925" s="36">
        <f t="shared" si="118"/>
        <v>11770.503876174709</v>
      </c>
      <c r="G1925" s="36">
        <f t="shared" si="119"/>
        <v>11291.316045625292</v>
      </c>
      <c r="I1925" s="40">
        <v>11520.299805000001</v>
      </c>
      <c r="J1925" s="36">
        <v>11770.503876174709</v>
      </c>
      <c r="K1925" s="36">
        <v>11291.316045625292</v>
      </c>
    </row>
    <row r="1926" spans="1:11" x14ac:dyDescent="0.25">
      <c r="A1926" s="39">
        <v>43348</v>
      </c>
      <c r="B1926" s="36">
        <v>11476.950194999999</v>
      </c>
      <c r="C1926" s="36">
        <f t="shared" si="116"/>
        <v>11535.4024902</v>
      </c>
      <c r="D1926" s="36">
        <f t="shared" si="117"/>
        <v>115.73597283570376</v>
      </c>
      <c r="E1926" s="40">
        <v>11476.950194999999</v>
      </c>
      <c r="F1926" s="36">
        <f t="shared" si="118"/>
        <v>11766.874435871408</v>
      </c>
      <c r="G1926" s="36">
        <f t="shared" si="119"/>
        <v>11303.930544528592</v>
      </c>
      <c r="I1926" s="40">
        <v>11476.950194999999</v>
      </c>
      <c r="J1926" s="36">
        <v>11766.874435871408</v>
      </c>
      <c r="K1926" s="36">
        <v>11303.930544528592</v>
      </c>
    </row>
    <row r="1927" spans="1:11" x14ac:dyDescent="0.25">
      <c r="A1927" s="39">
        <v>43349</v>
      </c>
      <c r="B1927" s="36">
        <v>11536.900390999999</v>
      </c>
      <c r="C1927" s="36">
        <f t="shared" si="116"/>
        <v>11542.775</v>
      </c>
      <c r="D1927" s="36">
        <f t="shared" si="117"/>
        <v>110.52853548529185</v>
      </c>
      <c r="E1927" s="40">
        <v>11536.900390999999</v>
      </c>
      <c r="F1927" s="36">
        <f t="shared" si="118"/>
        <v>11763.832070970584</v>
      </c>
      <c r="G1927" s="36">
        <f t="shared" si="119"/>
        <v>11321.717929029415</v>
      </c>
      <c r="I1927" s="40">
        <v>11536.900390999999</v>
      </c>
      <c r="J1927" s="36">
        <v>11763.832070970584</v>
      </c>
      <c r="K1927" s="36">
        <v>11321.717929029415</v>
      </c>
    </row>
    <row r="1928" spans="1:11" x14ac:dyDescent="0.25">
      <c r="A1928" s="39">
        <v>43350</v>
      </c>
      <c r="B1928" s="36">
        <v>11589.099609000001</v>
      </c>
      <c r="C1928" s="36">
        <f t="shared" si="116"/>
        <v>11549.72998045</v>
      </c>
      <c r="D1928" s="36">
        <f t="shared" si="117"/>
        <v>108.74545838955888</v>
      </c>
      <c r="E1928" s="40">
        <v>11589.099609000001</v>
      </c>
      <c r="F1928" s="36">
        <f t="shared" si="118"/>
        <v>11767.220897229117</v>
      </c>
      <c r="G1928" s="36">
        <f t="shared" si="119"/>
        <v>11332.239063670882</v>
      </c>
      <c r="I1928" s="40">
        <v>11589.099609000001</v>
      </c>
      <c r="J1928" s="36">
        <v>11767.220897229117</v>
      </c>
      <c r="K1928" s="36">
        <v>11332.239063670882</v>
      </c>
    </row>
    <row r="1929" spans="1:11" x14ac:dyDescent="0.25">
      <c r="A1929" s="39">
        <v>43353</v>
      </c>
      <c r="B1929" s="36">
        <v>11438.099609000001</v>
      </c>
      <c r="C1929" s="36">
        <f t="shared" si="116"/>
        <v>11548.099951149999</v>
      </c>
      <c r="D1929" s="36">
        <f t="shared" si="117"/>
        <v>110.226659450369</v>
      </c>
      <c r="E1929" s="40">
        <v>11438.099609000001</v>
      </c>
      <c r="F1929" s="36">
        <f t="shared" si="118"/>
        <v>11768.553270050737</v>
      </c>
      <c r="G1929" s="36">
        <f t="shared" si="119"/>
        <v>11327.646632249262</v>
      </c>
      <c r="I1929" s="40">
        <v>11438.099609000001</v>
      </c>
      <c r="J1929" s="36">
        <v>11768.553270050737</v>
      </c>
      <c r="K1929" s="36">
        <v>11327.646632249262</v>
      </c>
    </row>
    <row r="1930" spans="1:11" x14ac:dyDescent="0.25">
      <c r="A1930" s="39">
        <v>43354</v>
      </c>
      <c r="B1930" s="36">
        <v>11287.5</v>
      </c>
      <c r="C1930" s="36">
        <f t="shared" si="116"/>
        <v>11540.999951149999</v>
      </c>
      <c r="D1930" s="36">
        <f t="shared" si="117"/>
        <v>122.19195398284423</v>
      </c>
      <c r="E1930" s="40">
        <v>11287.5</v>
      </c>
      <c r="F1930" s="36">
        <f t="shared" si="118"/>
        <v>11785.383859115687</v>
      </c>
      <c r="G1930" s="36">
        <f t="shared" si="119"/>
        <v>11296.616043184311</v>
      </c>
      <c r="I1930" s="40">
        <v>11287.5</v>
      </c>
      <c r="J1930" s="36">
        <v>11785.383859115687</v>
      </c>
      <c r="K1930" s="36">
        <v>11296.616043184311</v>
      </c>
    </row>
    <row r="1931" spans="1:11" x14ac:dyDescent="0.25">
      <c r="A1931" s="39">
        <v>43355</v>
      </c>
      <c r="B1931" s="36">
        <v>11369.900390999999</v>
      </c>
      <c r="C1931" s="36">
        <f t="shared" si="116"/>
        <v>11541.707470700001</v>
      </c>
      <c r="D1931" s="36">
        <f t="shared" si="117"/>
        <v>121.09893783465228</v>
      </c>
      <c r="E1931" s="40">
        <v>11369.900390999999</v>
      </c>
      <c r="F1931" s="36">
        <f t="shared" si="118"/>
        <v>11783.905346369305</v>
      </c>
      <c r="G1931" s="36">
        <f t="shared" si="119"/>
        <v>11299.509595030697</v>
      </c>
      <c r="I1931" s="40">
        <v>11369.900390999999</v>
      </c>
      <c r="J1931" s="36">
        <v>11783.905346369305</v>
      </c>
      <c r="K1931" s="36">
        <v>11299.509595030697</v>
      </c>
    </row>
    <row r="1932" spans="1:11" x14ac:dyDescent="0.25">
      <c r="A1932" s="39">
        <v>43357</v>
      </c>
      <c r="B1932" s="36">
        <v>11515.200194999999</v>
      </c>
      <c r="C1932" s="36">
        <f t="shared" si="116"/>
        <v>11545.712500000001</v>
      </c>
      <c r="D1932" s="36">
        <f t="shared" si="117"/>
        <v>118.68815762409783</v>
      </c>
      <c r="E1932" s="40">
        <v>11515.200194999999</v>
      </c>
      <c r="F1932" s="36">
        <f t="shared" si="118"/>
        <v>11783.088815248197</v>
      </c>
      <c r="G1932" s="36">
        <f t="shared" si="119"/>
        <v>11308.336184751806</v>
      </c>
      <c r="I1932" s="40">
        <v>11515.200194999999</v>
      </c>
      <c r="J1932" s="36">
        <v>11783.088815248197</v>
      </c>
      <c r="K1932" s="36">
        <v>11308.336184751806</v>
      </c>
    </row>
    <row r="1933" spans="1:11" x14ac:dyDescent="0.25">
      <c r="A1933" s="39">
        <v>43360</v>
      </c>
      <c r="B1933" s="36">
        <v>11377.75</v>
      </c>
      <c r="C1933" s="36">
        <f t="shared" si="116"/>
        <v>11545.347509750001</v>
      </c>
      <c r="D1933" s="36">
        <f t="shared" si="117"/>
        <v>119.21827216182892</v>
      </c>
      <c r="E1933" s="40">
        <v>11377.75</v>
      </c>
      <c r="F1933" s="36">
        <f t="shared" si="118"/>
        <v>11783.78405407366</v>
      </c>
      <c r="G1933" s="36">
        <f t="shared" si="119"/>
        <v>11306.910965426343</v>
      </c>
      <c r="I1933" s="40">
        <v>11377.75</v>
      </c>
      <c r="J1933" s="36">
        <v>11783.78405407366</v>
      </c>
      <c r="K1933" s="36">
        <v>11306.910965426343</v>
      </c>
    </row>
    <row r="1934" spans="1:11" x14ac:dyDescent="0.25">
      <c r="A1934" s="39">
        <v>43361</v>
      </c>
      <c r="B1934" s="36">
        <v>11278.900390999999</v>
      </c>
      <c r="C1934" s="36">
        <f t="shared" si="116"/>
        <v>11535.7550293</v>
      </c>
      <c r="D1934" s="36">
        <f t="shared" si="117"/>
        <v>132.51333536337299</v>
      </c>
      <c r="E1934" s="40">
        <v>11278.900390999999</v>
      </c>
      <c r="F1934" s="36">
        <f t="shared" si="118"/>
        <v>11800.781700026746</v>
      </c>
      <c r="G1934" s="36">
        <f t="shared" si="119"/>
        <v>11270.728358573255</v>
      </c>
      <c r="I1934" s="40">
        <v>11278.900390999999</v>
      </c>
      <c r="J1934" s="36">
        <v>11800.781700026746</v>
      </c>
      <c r="K1934" s="36">
        <v>11270.728358573255</v>
      </c>
    </row>
    <row r="1935" spans="1:11" x14ac:dyDescent="0.25">
      <c r="A1935" s="39">
        <v>43362</v>
      </c>
      <c r="B1935" s="36">
        <v>11234.349609000001</v>
      </c>
      <c r="C1935" s="36">
        <f t="shared" si="116"/>
        <v>11519.88500975</v>
      </c>
      <c r="D1935" s="36">
        <f t="shared" si="117"/>
        <v>148.53462024612787</v>
      </c>
      <c r="E1935" s="40">
        <v>11234.349609000001</v>
      </c>
      <c r="F1935" s="36">
        <f t="shared" si="118"/>
        <v>11816.954250242256</v>
      </c>
      <c r="G1935" s="36">
        <f t="shared" si="119"/>
        <v>11222.815769257744</v>
      </c>
      <c r="I1935" s="40">
        <v>11234.349609000001</v>
      </c>
      <c r="J1935" s="36">
        <v>11816.954250242256</v>
      </c>
      <c r="K1935" s="36">
        <v>11222.815769257744</v>
      </c>
    </row>
    <row r="1936" spans="1:11" x14ac:dyDescent="0.25">
      <c r="A1936" s="39">
        <v>43364</v>
      </c>
      <c r="B1936" s="36">
        <v>11143.099609000001</v>
      </c>
      <c r="C1936" s="36">
        <f t="shared" si="116"/>
        <v>11498.494970650001</v>
      </c>
      <c r="D1936" s="36">
        <f t="shared" si="117"/>
        <v>170.04676268012605</v>
      </c>
      <c r="E1936" s="40">
        <v>11143.099609000001</v>
      </c>
      <c r="F1936" s="36">
        <f t="shared" si="118"/>
        <v>11838.588496010254</v>
      </c>
      <c r="G1936" s="36">
        <f t="shared" si="119"/>
        <v>11158.401445289748</v>
      </c>
      <c r="I1936" s="40">
        <v>11143.099609000001</v>
      </c>
      <c r="J1936" s="36">
        <v>11838.588496010254</v>
      </c>
      <c r="K1936" s="36">
        <v>11158.401445289748</v>
      </c>
    </row>
    <row r="1937" spans="1:11" x14ac:dyDescent="0.25">
      <c r="A1937" s="39">
        <v>43367</v>
      </c>
      <c r="B1937" s="36">
        <v>10967.400390999999</v>
      </c>
      <c r="C1937" s="36">
        <f t="shared" si="116"/>
        <v>11467.727490200001</v>
      </c>
      <c r="D1937" s="36">
        <f t="shared" si="117"/>
        <v>205.89112017352255</v>
      </c>
      <c r="E1937" s="40">
        <v>10967.400390999999</v>
      </c>
      <c r="F1937" s="36">
        <f t="shared" si="118"/>
        <v>11879.509730547046</v>
      </c>
      <c r="G1937" s="36">
        <f t="shared" si="119"/>
        <v>11055.945249852955</v>
      </c>
      <c r="I1937" s="40">
        <v>10967.400390999999</v>
      </c>
      <c r="J1937" s="36">
        <v>11879.509730547046</v>
      </c>
      <c r="K1937" s="36">
        <v>11055.945249852955</v>
      </c>
    </row>
    <row r="1938" spans="1:11" x14ac:dyDescent="0.25">
      <c r="A1938" s="39">
        <v>43368</v>
      </c>
      <c r="B1938" s="36">
        <v>11067.450194999999</v>
      </c>
      <c r="C1938" s="36">
        <f t="shared" si="116"/>
        <v>11443.245019500002</v>
      </c>
      <c r="D1938" s="36">
        <f t="shared" si="117"/>
        <v>223.09764489098183</v>
      </c>
      <c r="E1938" s="40">
        <v>11067.450194999999</v>
      </c>
      <c r="F1938" s="36">
        <f t="shared" si="118"/>
        <v>11889.440309281965</v>
      </c>
      <c r="G1938" s="36">
        <f t="shared" si="119"/>
        <v>10997.049729718039</v>
      </c>
      <c r="I1938" s="40">
        <v>11067.450194999999</v>
      </c>
      <c r="J1938" s="36">
        <v>11889.440309281965</v>
      </c>
      <c r="K1938" s="36">
        <v>10997.049729718039</v>
      </c>
    </row>
    <row r="1939" spans="1:11" x14ac:dyDescent="0.25">
      <c r="A1939" s="39">
        <v>43369</v>
      </c>
      <c r="B1939" s="36">
        <v>11053.799805000001</v>
      </c>
      <c r="C1939" s="36">
        <f t="shared" si="116"/>
        <v>11411.3375</v>
      </c>
      <c r="D1939" s="36">
        <f t="shared" si="117"/>
        <v>231.14476424569463</v>
      </c>
      <c r="E1939" s="40">
        <v>11053.799805000001</v>
      </c>
      <c r="F1939" s="36">
        <f t="shared" si="118"/>
        <v>11873.627028491388</v>
      </c>
      <c r="G1939" s="36">
        <f t="shared" si="119"/>
        <v>10949.047971508611</v>
      </c>
      <c r="I1939" s="40">
        <v>11053.799805000001</v>
      </c>
      <c r="J1939" s="36">
        <v>11873.627028491388</v>
      </c>
      <c r="K1939" s="36">
        <v>10949.047971508611</v>
      </c>
    </row>
    <row r="1940" spans="1:11" x14ac:dyDescent="0.25">
      <c r="A1940" s="39">
        <v>43370</v>
      </c>
      <c r="B1940" s="36">
        <v>10977.549805000001</v>
      </c>
      <c r="C1940" s="36">
        <f t="shared" si="116"/>
        <v>11373.289990249999</v>
      </c>
      <c r="D1940" s="36">
        <f t="shared" si="117"/>
        <v>237.01147448232089</v>
      </c>
      <c r="E1940" s="40">
        <v>10977.549805000001</v>
      </c>
      <c r="F1940" s="36">
        <f t="shared" si="118"/>
        <v>11847.312939214642</v>
      </c>
      <c r="G1940" s="36">
        <f t="shared" si="119"/>
        <v>10899.267041285357</v>
      </c>
      <c r="I1940" s="40">
        <v>10977.549805000001</v>
      </c>
      <c r="J1940" s="36">
        <v>11847.312939214642</v>
      </c>
      <c r="K1940" s="36">
        <v>10899.267041285357</v>
      </c>
    </row>
    <row r="1941" spans="1:11" x14ac:dyDescent="0.25">
      <c r="A1941" s="39">
        <v>43371</v>
      </c>
      <c r="B1941" s="36">
        <v>10930.450194999999</v>
      </c>
      <c r="C1941" s="36">
        <f t="shared" si="116"/>
        <v>11335.217480449999</v>
      </c>
      <c r="D1941" s="36">
        <f t="shared" si="117"/>
        <v>244.18699892446088</v>
      </c>
      <c r="E1941" s="40">
        <v>10930.450194999999</v>
      </c>
      <c r="F1941" s="36">
        <f t="shared" si="118"/>
        <v>11823.59147829892</v>
      </c>
      <c r="G1941" s="36">
        <f t="shared" si="119"/>
        <v>10846.843482601078</v>
      </c>
      <c r="I1941" s="40">
        <v>10930.450194999999</v>
      </c>
      <c r="J1941" s="36">
        <v>11823.59147829892</v>
      </c>
      <c r="K1941" s="36">
        <v>10846.843482601078</v>
      </c>
    </row>
    <row r="1942" spans="1:11" x14ac:dyDescent="0.25">
      <c r="A1942" s="39">
        <v>43374</v>
      </c>
      <c r="B1942" s="36">
        <v>11008.299805000001</v>
      </c>
      <c r="C1942" s="36">
        <f t="shared" ref="C1942:C2005" si="120">AVERAGE(B1923:B1942)</f>
        <v>11301.792480449998</v>
      </c>
      <c r="D1942" s="36">
        <f t="shared" ref="D1942:D2005" si="121">_xlfn.STDEV.S(B1923:B1942)</f>
        <v>240.69751578623234</v>
      </c>
      <c r="E1942" s="40">
        <v>11008.299805000001</v>
      </c>
      <c r="F1942" s="36">
        <f t="shared" ref="F1942:F2005" si="122">C1942+2*D1942</f>
        <v>11783.187512022463</v>
      </c>
      <c r="G1942" s="36">
        <f t="shared" ref="G1942:G2005" si="123">C1942-2*D1942</f>
        <v>10820.397448877533</v>
      </c>
      <c r="I1942" s="40">
        <v>11008.299805000001</v>
      </c>
      <c r="J1942" s="36">
        <v>11783.187512022463</v>
      </c>
      <c r="K1942" s="36">
        <v>10820.397448877533</v>
      </c>
    </row>
    <row r="1943" spans="1:11" x14ac:dyDescent="0.25">
      <c r="A1943" s="39">
        <v>43376</v>
      </c>
      <c r="B1943" s="36">
        <v>10858.25</v>
      </c>
      <c r="C1943" s="36">
        <f t="shared" si="120"/>
        <v>11260.679980450001</v>
      </c>
      <c r="D1943" s="36">
        <f t="shared" si="121"/>
        <v>242.82074626126041</v>
      </c>
      <c r="E1943" s="40">
        <v>10858.25</v>
      </c>
      <c r="F1943" s="36">
        <f t="shared" si="122"/>
        <v>11746.321472972522</v>
      </c>
      <c r="G1943" s="36">
        <f t="shared" si="123"/>
        <v>10775.038487927479</v>
      </c>
      <c r="I1943" s="40">
        <v>10858.25</v>
      </c>
      <c r="J1943" s="36">
        <v>11746.321472972522</v>
      </c>
      <c r="K1943" s="36">
        <v>10775.038487927479</v>
      </c>
    </row>
    <row r="1944" spans="1:11" x14ac:dyDescent="0.25">
      <c r="A1944" s="39">
        <v>43377</v>
      </c>
      <c r="B1944" s="36">
        <v>10599.25</v>
      </c>
      <c r="C1944" s="36">
        <f t="shared" si="120"/>
        <v>11211.525</v>
      </c>
      <c r="D1944" s="36">
        <f t="shared" si="121"/>
        <v>272.02654751720053</v>
      </c>
      <c r="E1944" s="40">
        <v>10599.25</v>
      </c>
      <c r="F1944" s="36">
        <f t="shared" si="122"/>
        <v>11755.578095034401</v>
      </c>
      <c r="G1944" s="36">
        <f t="shared" si="123"/>
        <v>10667.471904965598</v>
      </c>
      <c r="I1944" s="40">
        <v>10599.25</v>
      </c>
      <c r="J1944" s="36">
        <v>11755.578095034401</v>
      </c>
      <c r="K1944" s="36">
        <v>10667.471904965598</v>
      </c>
    </row>
    <row r="1945" spans="1:11" x14ac:dyDescent="0.25">
      <c r="A1945" s="39">
        <v>43378</v>
      </c>
      <c r="B1945" s="36">
        <v>10316.450194999999</v>
      </c>
      <c r="C1945" s="36">
        <f t="shared" si="120"/>
        <v>11151.3325195</v>
      </c>
      <c r="D1945" s="36">
        <f t="shared" si="121"/>
        <v>327.6169731398133</v>
      </c>
      <c r="E1945" s="40">
        <v>10316.450194999999</v>
      </c>
      <c r="F1945" s="36">
        <f t="shared" si="122"/>
        <v>11806.566465779626</v>
      </c>
      <c r="G1945" s="36">
        <f t="shared" si="123"/>
        <v>10496.098573220374</v>
      </c>
      <c r="I1945" s="40">
        <v>10316.450194999999</v>
      </c>
      <c r="J1945" s="36">
        <v>11806.566465779626</v>
      </c>
      <c r="K1945" s="36">
        <v>10496.098573220374</v>
      </c>
    </row>
    <row r="1946" spans="1:11" x14ac:dyDescent="0.25">
      <c r="A1946" s="39">
        <v>43381</v>
      </c>
      <c r="B1946" s="36">
        <v>10348.049805000001</v>
      </c>
      <c r="C1946" s="36">
        <f t="shared" si="120"/>
        <v>11094.887499999999</v>
      </c>
      <c r="D1946" s="36">
        <f t="shared" si="121"/>
        <v>363.8131522307865</v>
      </c>
      <c r="E1946" s="40">
        <v>10348.049805000001</v>
      </c>
      <c r="F1946" s="36">
        <f t="shared" si="122"/>
        <v>11822.513804461572</v>
      </c>
      <c r="G1946" s="36">
        <f t="shared" si="123"/>
        <v>10367.261195538425</v>
      </c>
      <c r="I1946" s="40">
        <v>10348.049805000001</v>
      </c>
      <c r="J1946" s="36">
        <v>11822.513804461572</v>
      </c>
      <c r="K1946" s="36">
        <v>10367.261195538425</v>
      </c>
    </row>
    <row r="1947" spans="1:11" x14ac:dyDescent="0.25">
      <c r="A1947" s="39">
        <v>43382</v>
      </c>
      <c r="B1947" s="36">
        <v>10301.049805000001</v>
      </c>
      <c r="C1947" s="36">
        <f t="shared" si="120"/>
        <v>11033.094970699998</v>
      </c>
      <c r="D1947" s="36">
        <f t="shared" si="121"/>
        <v>388.87670496557911</v>
      </c>
      <c r="E1947" s="40">
        <v>10301.049805000001</v>
      </c>
      <c r="F1947" s="36">
        <f t="shared" si="122"/>
        <v>11810.848380631156</v>
      </c>
      <c r="G1947" s="36">
        <f t="shared" si="123"/>
        <v>10255.34156076884</v>
      </c>
      <c r="I1947" s="40">
        <v>10301.049805000001</v>
      </c>
      <c r="J1947" s="36">
        <v>11810.848380631156</v>
      </c>
      <c r="K1947" s="36">
        <v>10255.34156076884</v>
      </c>
    </row>
    <row r="1948" spans="1:11" x14ac:dyDescent="0.25">
      <c r="A1948" s="39">
        <v>43383</v>
      </c>
      <c r="B1948" s="36">
        <v>10460.099609000001</v>
      </c>
      <c r="C1948" s="36">
        <f t="shared" si="120"/>
        <v>10976.644970699999</v>
      </c>
      <c r="D1948" s="36">
        <f t="shared" si="121"/>
        <v>385.85020398236583</v>
      </c>
      <c r="E1948" s="40">
        <v>10460.099609000001</v>
      </c>
      <c r="F1948" s="36">
        <f t="shared" si="122"/>
        <v>11748.345378664731</v>
      </c>
      <c r="G1948" s="36">
        <f t="shared" si="123"/>
        <v>10204.944562735267</v>
      </c>
      <c r="I1948" s="40">
        <v>10460.099609000001</v>
      </c>
      <c r="J1948" s="36">
        <v>11748.345378664731</v>
      </c>
      <c r="K1948" s="36">
        <v>10204.944562735267</v>
      </c>
    </row>
    <row r="1949" spans="1:11" x14ac:dyDescent="0.25">
      <c r="A1949" s="39">
        <v>43384</v>
      </c>
      <c r="B1949" s="36">
        <v>10234.650390999999</v>
      </c>
      <c r="C1949" s="36">
        <f t="shared" si="120"/>
        <v>10916.4725098</v>
      </c>
      <c r="D1949" s="36">
        <f t="shared" si="121"/>
        <v>403.5323172626417</v>
      </c>
      <c r="E1949" s="40">
        <v>10234.650390999999</v>
      </c>
      <c r="F1949" s="36">
        <f t="shared" si="122"/>
        <v>11723.537144325282</v>
      </c>
      <c r="G1949" s="36">
        <f t="shared" si="123"/>
        <v>10109.407875274717</v>
      </c>
      <c r="I1949" s="40">
        <v>10234.650390999999</v>
      </c>
      <c r="J1949" s="36">
        <v>11723.537144325282</v>
      </c>
      <c r="K1949" s="36">
        <v>10109.407875274717</v>
      </c>
    </row>
    <row r="1950" spans="1:11" x14ac:dyDescent="0.25">
      <c r="A1950" s="39">
        <v>43385</v>
      </c>
      <c r="B1950" s="36">
        <v>10472.5</v>
      </c>
      <c r="C1950" s="36">
        <f t="shared" si="120"/>
        <v>10875.7225098</v>
      </c>
      <c r="D1950" s="36">
        <f t="shared" si="121"/>
        <v>405.23984005613977</v>
      </c>
      <c r="E1950" s="40">
        <v>10472.5</v>
      </c>
      <c r="F1950" s="36">
        <f t="shared" si="122"/>
        <v>11686.202189912279</v>
      </c>
      <c r="G1950" s="36">
        <f t="shared" si="123"/>
        <v>10065.242829687721</v>
      </c>
      <c r="I1950" s="40">
        <v>10472.5</v>
      </c>
      <c r="J1950" s="36">
        <v>11686.202189912279</v>
      </c>
      <c r="K1950" s="36">
        <v>10065.242829687721</v>
      </c>
    </row>
    <row r="1951" spans="1:11" x14ac:dyDescent="0.25">
      <c r="A1951" s="39">
        <v>43388</v>
      </c>
      <c r="B1951" s="36">
        <v>10512.5</v>
      </c>
      <c r="C1951" s="36">
        <f t="shared" si="120"/>
        <v>10832.852490249999</v>
      </c>
      <c r="D1951" s="36">
        <f t="shared" si="121"/>
        <v>395.44307416788047</v>
      </c>
      <c r="E1951" s="40">
        <v>10512.5</v>
      </c>
      <c r="F1951" s="36">
        <f t="shared" si="122"/>
        <v>11623.738638585761</v>
      </c>
      <c r="G1951" s="36">
        <f t="shared" si="123"/>
        <v>10041.966341914238</v>
      </c>
      <c r="I1951" s="40">
        <v>10512.5</v>
      </c>
      <c r="J1951" s="36">
        <v>11623.738638585761</v>
      </c>
      <c r="K1951" s="36">
        <v>10041.966341914238</v>
      </c>
    </row>
    <row r="1952" spans="1:11" x14ac:dyDescent="0.25">
      <c r="A1952" s="39">
        <v>43389</v>
      </c>
      <c r="B1952" s="36">
        <v>10584.75</v>
      </c>
      <c r="C1952" s="36">
        <f t="shared" si="120"/>
        <v>10786.329980500001</v>
      </c>
      <c r="D1952" s="36">
        <f t="shared" si="121"/>
        <v>364.46058558551653</v>
      </c>
      <c r="E1952" s="40">
        <v>10584.75</v>
      </c>
      <c r="F1952" s="36">
        <f t="shared" si="122"/>
        <v>11515.251151671033</v>
      </c>
      <c r="G1952" s="36">
        <f t="shared" si="123"/>
        <v>10057.408809328968</v>
      </c>
      <c r="I1952" s="40">
        <v>10584.75</v>
      </c>
      <c r="J1952" s="36">
        <v>11515.251151671033</v>
      </c>
      <c r="K1952" s="36">
        <v>10057.408809328968</v>
      </c>
    </row>
    <row r="1953" spans="1:11" x14ac:dyDescent="0.25">
      <c r="A1953" s="39">
        <v>43390</v>
      </c>
      <c r="B1953" s="36">
        <v>10453.049805000001</v>
      </c>
      <c r="C1953" s="36">
        <f t="shared" si="120"/>
        <v>10740.094970749999</v>
      </c>
      <c r="D1953" s="36">
        <f t="shared" si="121"/>
        <v>343.53758423402849</v>
      </c>
      <c r="E1953" s="40">
        <v>10453.049805000001</v>
      </c>
      <c r="F1953" s="36">
        <f t="shared" si="122"/>
        <v>11427.170139218055</v>
      </c>
      <c r="G1953" s="36">
        <f t="shared" si="123"/>
        <v>10053.019802281942</v>
      </c>
      <c r="I1953" s="40">
        <v>10453.049805000001</v>
      </c>
      <c r="J1953" s="36">
        <v>11427.170139218055</v>
      </c>
      <c r="K1953" s="36">
        <v>10053.019802281942</v>
      </c>
    </row>
    <row r="1954" spans="1:11" x14ac:dyDescent="0.25">
      <c r="A1954" s="39">
        <v>43392</v>
      </c>
      <c r="B1954" s="36">
        <v>10303.549805000001</v>
      </c>
      <c r="C1954" s="36">
        <f t="shared" si="120"/>
        <v>10691.327441449999</v>
      </c>
      <c r="D1954" s="36">
        <f t="shared" si="121"/>
        <v>332.06200486418999</v>
      </c>
      <c r="E1954" s="40">
        <v>10303.549805000001</v>
      </c>
      <c r="F1954" s="36">
        <f t="shared" si="122"/>
        <v>11355.45145117838</v>
      </c>
      <c r="G1954" s="36">
        <f t="shared" si="123"/>
        <v>10027.203431721618</v>
      </c>
      <c r="I1954" s="40">
        <v>10303.549805000001</v>
      </c>
      <c r="J1954" s="36">
        <v>11355.45145117838</v>
      </c>
      <c r="K1954" s="36">
        <v>10027.203431721618</v>
      </c>
    </row>
    <row r="1955" spans="1:11" x14ac:dyDescent="0.25">
      <c r="A1955" s="39">
        <v>43395</v>
      </c>
      <c r="B1955" s="36">
        <v>10245.25</v>
      </c>
      <c r="C1955" s="36">
        <f t="shared" si="120"/>
        <v>10641.872460999999</v>
      </c>
      <c r="D1955" s="36">
        <f t="shared" si="121"/>
        <v>320.38089452102588</v>
      </c>
      <c r="E1955" s="40">
        <v>10245.25</v>
      </c>
      <c r="F1955" s="36">
        <f t="shared" si="122"/>
        <v>11282.634250042051</v>
      </c>
      <c r="G1955" s="36">
        <f t="shared" si="123"/>
        <v>10001.110671957947</v>
      </c>
      <c r="I1955" s="40">
        <v>10245.25</v>
      </c>
      <c r="J1955" s="36">
        <v>11282.634250042051</v>
      </c>
      <c r="K1955" s="36">
        <v>10001.110671957947</v>
      </c>
    </row>
    <row r="1956" spans="1:11" x14ac:dyDescent="0.25">
      <c r="A1956" s="39">
        <v>43396</v>
      </c>
      <c r="B1956" s="36">
        <v>10146.799805000001</v>
      </c>
      <c r="C1956" s="36">
        <f t="shared" si="120"/>
        <v>10592.057470799999</v>
      </c>
      <c r="D1956" s="36">
        <f t="shared" si="121"/>
        <v>315.76740688460444</v>
      </c>
      <c r="E1956" s="40">
        <v>10146.799805000001</v>
      </c>
      <c r="F1956" s="36">
        <f t="shared" si="122"/>
        <v>11223.592284569208</v>
      </c>
      <c r="G1956" s="36">
        <f t="shared" si="123"/>
        <v>9960.5226570307896</v>
      </c>
      <c r="I1956" s="40">
        <v>10146.799805000001</v>
      </c>
      <c r="J1956" s="36">
        <v>11223.592284569208</v>
      </c>
      <c r="K1956" s="36">
        <v>9960.5226570307896</v>
      </c>
    </row>
    <row r="1957" spans="1:11" x14ac:dyDescent="0.25">
      <c r="A1957" s="39">
        <v>43397</v>
      </c>
      <c r="B1957" s="36">
        <v>10224.75</v>
      </c>
      <c r="C1957" s="36">
        <f t="shared" si="120"/>
        <v>10554.924951249999</v>
      </c>
      <c r="D1957" s="36">
        <f t="shared" si="121"/>
        <v>312.95939201524851</v>
      </c>
      <c r="E1957" s="40">
        <v>10224.75</v>
      </c>
      <c r="F1957" s="36">
        <f t="shared" si="122"/>
        <v>11180.843735280496</v>
      </c>
      <c r="G1957" s="36">
        <f t="shared" si="123"/>
        <v>9929.0061672195025</v>
      </c>
      <c r="I1957" s="40">
        <v>10224.75</v>
      </c>
      <c r="J1957" s="36">
        <v>11180.843735280496</v>
      </c>
      <c r="K1957" s="36">
        <v>9929.0061672195025</v>
      </c>
    </row>
    <row r="1958" spans="1:11" x14ac:dyDescent="0.25">
      <c r="A1958" s="39">
        <v>43398</v>
      </c>
      <c r="B1958" s="36">
        <v>10124.900390999999</v>
      </c>
      <c r="C1958" s="36">
        <f t="shared" si="120"/>
        <v>10507.797461049999</v>
      </c>
      <c r="D1958" s="36">
        <f t="shared" si="121"/>
        <v>302.51115945024634</v>
      </c>
      <c r="E1958" s="40">
        <v>10124.900390999999</v>
      </c>
      <c r="F1958" s="36">
        <f t="shared" si="122"/>
        <v>11112.819779950491</v>
      </c>
      <c r="G1958" s="36">
        <f t="shared" si="123"/>
        <v>9902.7751421495068</v>
      </c>
      <c r="I1958" s="40">
        <v>10124.900390999999</v>
      </c>
      <c r="J1958" s="36">
        <v>11112.819779950491</v>
      </c>
      <c r="K1958" s="36">
        <v>9902.7751421495068</v>
      </c>
    </row>
    <row r="1959" spans="1:11" x14ac:dyDescent="0.25">
      <c r="A1959" s="39">
        <v>43399</v>
      </c>
      <c r="B1959" s="36">
        <v>10030</v>
      </c>
      <c r="C1959" s="36">
        <f t="shared" si="120"/>
        <v>10456.607470799998</v>
      </c>
      <c r="D1959" s="36">
        <f t="shared" si="121"/>
        <v>291.68391168647508</v>
      </c>
      <c r="E1959" s="40">
        <v>10030</v>
      </c>
      <c r="F1959" s="36">
        <f t="shared" si="122"/>
        <v>11039.975294172948</v>
      </c>
      <c r="G1959" s="36">
        <f t="shared" si="123"/>
        <v>9873.2396474270481</v>
      </c>
      <c r="I1959" s="40">
        <v>10030</v>
      </c>
      <c r="J1959" s="36">
        <v>11039.975294172948</v>
      </c>
      <c r="K1959" s="36">
        <v>9873.2396474270481</v>
      </c>
    </row>
    <row r="1960" spans="1:11" x14ac:dyDescent="0.25">
      <c r="A1960" s="39">
        <v>43402</v>
      </c>
      <c r="B1960" s="36">
        <v>10250.849609000001</v>
      </c>
      <c r="C1960" s="36">
        <f t="shared" si="120"/>
        <v>10420.272460999999</v>
      </c>
      <c r="D1960" s="36">
        <f t="shared" si="121"/>
        <v>267.64679255997316</v>
      </c>
      <c r="E1960" s="40">
        <v>10250.849609000001</v>
      </c>
      <c r="F1960" s="36">
        <f t="shared" si="122"/>
        <v>10955.566046119944</v>
      </c>
      <c r="G1960" s="36">
        <f t="shared" si="123"/>
        <v>9884.9788758800532</v>
      </c>
      <c r="I1960" s="40">
        <v>10250.849609000001</v>
      </c>
      <c r="J1960" s="36">
        <v>10955.566046119944</v>
      </c>
      <c r="K1960" s="36">
        <v>9884.9788758800532</v>
      </c>
    </row>
    <row r="1961" spans="1:11" x14ac:dyDescent="0.25">
      <c r="A1961" s="39">
        <v>43403</v>
      </c>
      <c r="B1961" s="36">
        <v>10198.400390999999</v>
      </c>
      <c r="C1961" s="36">
        <f t="shared" si="120"/>
        <v>10383.6699708</v>
      </c>
      <c r="D1961" s="36">
        <f t="shared" si="121"/>
        <v>243.13872531249086</v>
      </c>
      <c r="E1961" s="40">
        <v>10198.400390999999</v>
      </c>
      <c r="F1961" s="36">
        <f t="shared" si="122"/>
        <v>10869.947421424982</v>
      </c>
      <c r="G1961" s="36">
        <f t="shared" si="123"/>
        <v>9897.3925201750171</v>
      </c>
      <c r="I1961" s="40">
        <v>10198.400390999999</v>
      </c>
      <c r="J1961" s="36">
        <v>10869.947421424982</v>
      </c>
      <c r="K1961" s="36">
        <v>9897.3925201750171</v>
      </c>
    </row>
    <row r="1962" spans="1:11" x14ac:dyDescent="0.25">
      <c r="A1962" s="39">
        <v>43404</v>
      </c>
      <c r="B1962" s="36">
        <v>10386.599609000001</v>
      </c>
      <c r="C1962" s="36">
        <f t="shared" si="120"/>
        <v>10352.584960999999</v>
      </c>
      <c r="D1962" s="36">
        <f t="shared" si="121"/>
        <v>193.81664578817725</v>
      </c>
      <c r="E1962" s="40">
        <v>10386.599609000001</v>
      </c>
      <c r="F1962" s="36">
        <f t="shared" si="122"/>
        <v>10740.218252576353</v>
      </c>
      <c r="G1962" s="36">
        <f t="shared" si="123"/>
        <v>9964.9516694236445</v>
      </c>
      <c r="I1962" s="40">
        <v>10386.599609000001</v>
      </c>
      <c r="J1962" s="36">
        <v>10740.218252576353</v>
      </c>
      <c r="K1962" s="36">
        <v>9964.9516694236445</v>
      </c>
    </row>
    <row r="1963" spans="1:11" x14ac:dyDescent="0.25">
      <c r="A1963" s="39">
        <v>43405</v>
      </c>
      <c r="B1963" s="36">
        <v>10380.450194999999</v>
      </c>
      <c r="C1963" s="36">
        <f t="shared" si="120"/>
        <v>10328.694970750001</v>
      </c>
      <c r="D1963" s="36">
        <f t="shared" si="121"/>
        <v>153.45111658167906</v>
      </c>
      <c r="E1963" s="40">
        <v>10380.450194999999</v>
      </c>
      <c r="F1963" s="36">
        <f t="shared" si="122"/>
        <v>10635.597203913359</v>
      </c>
      <c r="G1963" s="36">
        <f t="shared" si="123"/>
        <v>10021.792737586642</v>
      </c>
      <c r="I1963" s="40">
        <v>10380.450194999999</v>
      </c>
      <c r="J1963" s="36">
        <v>10635.597203913359</v>
      </c>
      <c r="K1963" s="36">
        <v>10021.792737586642</v>
      </c>
    </row>
    <row r="1964" spans="1:11" x14ac:dyDescent="0.25">
      <c r="A1964" s="39">
        <v>43406</v>
      </c>
      <c r="B1964" s="36">
        <v>10553</v>
      </c>
      <c r="C1964" s="36">
        <f t="shared" si="120"/>
        <v>10326.382470750001</v>
      </c>
      <c r="D1964" s="36">
        <f t="shared" si="121"/>
        <v>149.4557543384262</v>
      </c>
      <c r="E1964" s="40">
        <v>10553</v>
      </c>
      <c r="F1964" s="36">
        <f t="shared" si="122"/>
        <v>10625.293979426853</v>
      </c>
      <c r="G1964" s="36">
        <f t="shared" si="123"/>
        <v>10027.470962073148</v>
      </c>
      <c r="I1964" s="40">
        <v>10553</v>
      </c>
      <c r="J1964" s="36">
        <v>10625.293979426853</v>
      </c>
      <c r="K1964" s="36">
        <v>10027.470962073148</v>
      </c>
    </row>
    <row r="1965" spans="1:11" x14ac:dyDescent="0.25">
      <c r="A1965" s="39">
        <v>43409</v>
      </c>
      <c r="B1965" s="36">
        <v>10524</v>
      </c>
      <c r="C1965" s="36">
        <f t="shared" si="120"/>
        <v>10336.759961</v>
      </c>
      <c r="D1965" s="36">
        <f t="shared" si="121"/>
        <v>155.80075320404646</v>
      </c>
      <c r="E1965" s="40">
        <v>10524</v>
      </c>
      <c r="F1965" s="36">
        <f t="shared" si="122"/>
        <v>10648.361467408093</v>
      </c>
      <c r="G1965" s="36">
        <f t="shared" si="123"/>
        <v>10025.158454591907</v>
      </c>
      <c r="I1965" s="40">
        <v>10524</v>
      </c>
      <c r="J1965" s="36">
        <v>10648.361467408093</v>
      </c>
      <c r="K1965" s="36">
        <v>10025.158454591907</v>
      </c>
    </row>
    <row r="1966" spans="1:11" x14ac:dyDescent="0.25">
      <c r="A1966" s="39">
        <v>43410</v>
      </c>
      <c r="B1966" s="36">
        <v>10530</v>
      </c>
      <c r="C1966" s="36">
        <f t="shared" si="120"/>
        <v>10345.857470750001</v>
      </c>
      <c r="D1966" s="36">
        <f t="shared" si="121"/>
        <v>161.69538900794228</v>
      </c>
      <c r="E1966" s="40">
        <v>10530</v>
      </c>
      <c r="F1966" s="36">
        <f t="shared" si="122"/>
        <v>10669.248248765885</v>
      </c>
      <c r="G1966" s="36">
        <f t="shared" si="123"/>
        <v>10022.466692734117</v>
      </c>
      <c r="I1966" s="40">
        <v>10530</v>
      </c>
      <c r="J1966" s="36">
        <v>10669.248248765885</v>
      </c>
      <c r="K1966" s="36">
        <v>10022.466692734117</v>
      </c>
    </row>
    <row r="1967" spans="1:11" x14ac:dyDescent="0.25">
      <c r="A1967" s="39">
        <v>43411</v>
      </c>
      <c r="B1967" s="36">
        <v>10598.400390999999</v>
      </c>
      <c r="C1967" s="36">
        <f t="shared" si="120"/>
        <v>10360.725000050003</v>
      </c>
      <c r="D1967" s="36">
        <f t="shared" si="121"/>
        <v>170.77407494774039</v>
      </c>
      <c r="E1967" s="40">
        <v>10598.400390999999</v>
      </c>
      <c r="F1967" s="36">
        <f t="shared" si="122"/>
        <v>10702.273149945484</v>
      </c>
      <c r="G1967" s="36">
        <f t="shared" si="123"/>
        <v>10019.176850154521</v>
      </c>
      <c r="I1967" s="40">
        <v>10598.400390999999</v>
      </c>
      <c r="J1967" s="36">
        <v>10702.273149945484</v>
      </c>
      <c r="K1967" s="36">
        <v>10019.176850154521</v>
      </c>
    </row>
    <row r="1968" spans="1:11" x14ac:dyDescent="0.25">
      <c r="A1968" s="39">
        <v>43413</v>
      </c>
      <c r="B1968" s="36">
        <v>10585.200194999999</v>
      </c>
      <c r="C1968" s="36">
        <f t="shared" si="120"/>
        <v>10366.980029350001</v>
      </c>
      <c r="D1968" s="36">
        <f t="shared" si="121"/>
        <v>176.79056911377401</v>
      </c>
      <c r="E1968" s="40">
        <v>10585.200194999999</v>
      </c>
      <c r="F1968" s="36">
        <f t="shared" si="122"/>
        <v>10720.561167577549</v>
      </c>
      <c r="G1968" s="36">
        <f t="shared" si="123"/>
        <v>10013.398891122453</v>
      </c>
      <c r="I1968" s="40">
        <v>10585.200194999999</v>
      </c>
      <c r="J1968" s="36">
        <v>10720.561167577549</v>
      </c>
      <c r="K1968" s="36">
        <v>10013.398891122453</v>
      </c>
    </row>
    <row r="1969" spans="1:11" x14ac:dyDescent="0.25">
      <c r="A1969" s="39">
        <v>43416</v>
      </c>
      <c r="B1969" s="36">
        <v>10482.200194999999</v>
      </c>
      <c r="C1969" s="36">
        <f t="shared" si="120"/>
        <v>10379.357519550003</v>
      </c>
      <c r="D1969" s="36">
        <f t="shared" si="121"/>
        <v>175.70065891758833</v>
      </c>
      <c r="E1969" s="40">
        <v>10482.200194999999</v>
      </c>
      <c r="F1969" s="36">
        <f t="shared" si="122"/>
        <v>10730.75883738518</v>
      </c>
      <c r="G1969" s="36">
        <f t="shared" si="123"/>
        <v>10027.956201714827</v>
      </c>
      <c r="I1969" s="40">
        <v>10482.200194999999</v>
      </c>
      <c r="J1969" s="36">
        <v>10730.75883738518</v>
      </c>
      <c r="K1969" s="36">
        <v>10027.956201714827</v>
      </c>
    </row>
    <row r="1970" spans="1:11" x14ac:dyDescent="0.25">
      <c r="A1970" s="39">
        <v>43417</v>
      </c>
      <c r="B1970" s="36">
        <v>10582.5</v>
      </c>
      <c r="C1970" s="36">
        <f t="shared" si="120"/>
        <v>10384.857519550002</v>
      </c>
      <c r="D1970" s="36">
        <f t="shared" si="121"/>
        <v>180.42786210275136</v>
      </c>
      <c r="E1970" s="40">
        <v>10582.5</v>
      </c>
      <c r="F1970" s="36">
        <f t="shared" si="122"/>
        <v>10745.713243755505</v>
      </c>
      <c r="G1970" s="36">
        <f t="shared" si="123"/>
        <v>10024.001795344499</v>
      </c>
      <c r="I1970" s="40">
        <v>10582.5</v>
      </c>
      <c r="J1970" s="36">
        <v>10745.713243755505</v>
      </c>
      <c r="K1970" s="36">
        <v>10024.001795344499</v>
      </c>
    </row>
    <row r="1971" spans="1:11" x14ac:dyDescent="0.25">
      <c r="A1971" s="39">
        <v>43418</v>
      </c>
      <c r="B1971" s="36">
        <v>10576.299805000001</v>
      </c>
      <c r="C1971" s="36">
        <f t="shared" si="120"/>
        <v>10388.047509800001</v>
      </c>
      <c r="D1971" s="36">
        <f t="shared" si="121"/>
        <v>183.34380705505859</v>
      </c>
      <c r="E1971" s="40">
        <v>10576.299805000001</v>
      </c>
      <c r="F1971" s="36">
        <f t="shared" si="122"/>
        <v>10754.735123910117</v>
      </c>
      <c r="G1971" s="36">
        <f t="shared" si="123"/>
        <v>10021.359895689884</v>
      </c>
      <c r="I1971" s="40">
        <v>10576.299805000001</v>
      </c>
      <c r="J1971" s="36">
        <v>10754.735123910117</v>
      </c>
      <c r="K1971" s="36">
        <v>10021.359895689884</v>
      </c>
    </row>
    <row r="1972" spans="1:11" x14ac:dyDescent="0.25">
      <c r="A1972" s="39">
        <v>43419</v>
      </c>
      <c r="B1972" s="36">
        <v>10616.700194999999</v>
      </c>
      <c r="C1972" s="36">
        <f t="shared" si="120"/>
        <v>10389.64501955</v>
      </c>
      <c r="D1972" s="36">
        <f t="shared" si="121"/>
        <v>185.27692221072053</v>
      </c>
      <c r="E1972" s="40">
        <v>10616.700194999999</v>
      </c>
      <c r="F1972" s="36">
        <f t="shared" si="122"/>
        <v>10760.198863971442</v>
      </c>
      <c r="G1972" s="36">
        <f t="shared" si="123"/>
        <v>10019.091175128558</v>
      </c>
      <c r="I1972" s="40">
        <v>10616.700194999999</v>
      </c>
      <c r="J1972" s="36">
        <v>10760.198863971442</v>
      </c>
      <c r="K1972" s="36">
        <v>10019.091175128558</v>
      </c>
    </row>
    <row r="1973" spans="1:11" x14ac:dyDescent="0.25">
      <c r="A1973" s="39">
        <v>43420</v>
      </c>
      <c r="B1973" s="36">
        <v>10682.200194999999</v>
      </c>
      <c r="C1973" s="36">
        <f t="shared" si="120"/>
        <v>10401.102539050004</v>
      </c>
      <c r="D1973" s="36">
        <f t="shared" si="121"/>
        <v>196.16938021924241</v>
      </c>
      <c r="E1973" s="40">
        <v>10682.200194999999</v>
      </c>
      <c r="F1973" s="36">
        <f t="shared" si="122"/>
        <v>10793.441299488488</v>
      </c>
      <c r="G1973" s="36">
        <f t="shared" si="123"/>
        <v>10008.763778611519</v>
      </c>
      <c r="I1973" s="40">
        <v>10682.200194999999</v>
      </c>
      <c r="J1973" s="36">
        <v>10793.441299488488</v>
      </c>
      <c r="K1973" s="36">
        <v>10008.763778611519</v>
      </c>
    </row>
    <row r="1974" spans="1:11" x14ac:dyDescent="0.25">
      <c r="A1974" s="39">
        <v>43423</v>
      </c>
      <c r="B1974" s="36">
        <v>10763.400390999999</v>
      </c>
      <c r="C1974" s="36">
        <f t="shared" si="120"/>
        <v>10424.095068350001</v>
      </c>
      <c r="D1974" s="36">
        <f t="shared" si="121"/>
        <v>210.55517573050324</v>
      </c>
      <c r="E1974" s="40">
        <v>10763.400390999999</v>
      </c>
      <c r="F1974" s="36">
        <f t="shared" si="122"/>
        <v>10845.205419811007</v>
      </c>
      <c r="G1974" s="36">
        <f t="shared" si="123"/>
        <v>10002.984716888996</v>
      </c>
      <c r="I1974" s="40">
        <v>10763.400390999999</v>
      </c>
      <c r="J1974" s="36">
        <v>10845.205419811007</v>
      </c>
      <c r="K1974" s="36">
        <v>10002.984716888996</v>
      </c>
    </row>
    <row r="1975" spans="1:11" x14ac:dyDescent="0.25">
      <c r="A1975" s="39">
        <v>43424</v>
      </c>
      <c r="B1975" s="36">
        <v>10656.200194999999</v>
      </c>
      <c r="C1975" s="36">
        <f t="shared" si="120"/>
        <v>10444.642578100003</v>
      </c>
      <c r="D1975" s="36">
        <f t="shared" si="121"/>
        <v>212.22869823261885</v>
      </c>
      <c r="E1975" s="40">
        <v>10656.200194999999</v>
      </c>
      <c r="F1975" s="36">
        <f t="shared" si="122"/>
        <v>10869.099974565241</v>
      </c>
      <c r="G1975" s="36">
        <f t="shared" si="123"/>
        <v>10020.185181634766</v>
      </c>
      <c r="I1975" s="40">
        <v>10656.200194999999</v>
      </c>
      <c r="J1975" s="36">
        <v>10869.099974565241</v>
      </c>
      <c r="K1975" s="36">
        <v>10020.185181634766</v>
      </c>
    </row>
    <row r="1976" spans="1:11" x14ac:dyDescent="0.25">
      <c r="A1976" s="39">
        <v>43425</v>
      </c>
      <c r="B1976" s="36">
        <v>10600.049805000001</v>
      </c>
      <c r="C1976" s="36">
        <f t="shared" si="120"/>
        <v>10467.305078100002</v>
      </c>
      <c r="D1976" s="36">
        <f t="shared" si="121"/>
        <v>202.73767043782661</v>
      </c>
      <c r="E1976" s="40">
        <v>10600.049805000001</v>
      </c>
      <c r="F1976" s="36">
        <f t="shared" si="122"/>
        <v>10872.780418975655</v>
      </c>
      <c r="G1976" s="36">
        <f t="shared" si="123"/>
        <v>10061.829737224349</v>
      </c>
      <c r="I1976" s="40">
        <v>10600.049805000001</v>
      </c>
      <c r="J1976" s="36">
        <v>10872.780418975655</v>
      </c>
      <c r="K1976" s="36">
        <v>10061.829737224349</v>
      </c>
    </row>
    <row r="1977" spans="1:11" x14ac:dyDescent="0.25">
      <c r="A1977" s="39">
        <v>43426</v>
      </c>
      <c r="B1977" s="36">
        <v>10526.75</v>
      </c>
      <c r="C1977" s="36">
        <f t="shared" si="120"/>
        <v>10482.405078100001</v>
      </c>
      <c r="D1977" s="36">
        <f t="shared" si="121"/>
        <v>194.81289675564398</v>
      </c>
      <c r="E1977" s="40">
        <v>10526.75</v>
      </c>
      <c r="F1977" s="36">
        <f t="shared" si="122"/>
        <v>10872.030871611289</v>
      </c>
      <c r="G1977" s="36">
        <f t="shared" si="123"/>
        <v>10092.779284588712</v>
      </c>
      <c r="I1977" s="40">
        <v>10526.75</v>
      </c>
      <c r="J1977" s="36">
        <v>10872.030871611289</v>
      </c>
      <c r="K1977" s="36">
        <v>10092.779284588712</v>
      </c>
    </row>
    <row r="1978" spans="1:11" x14ac:dyDescent="0.25">
      <c r="A1978" s="39">
        <v>43430</v>
      </c>
      <c r="B1978" s="36">
        <v>10628.599609000001</v>
      </c>
      <c r="C1978" s="36">
        <f t="shared" si="120"/>
        <v>10507.590039000001</v>
      </c>
      <c r="D1978" s="36">
        <f t="shared" si="121"/>
        <v>177.99568660653287</v>
      </c>
      <c r="E1978" s="40">
        <v>10628.599609000001</v>
      </c>
      <c r="F1978" s="36">
        <f t="shared" si="122"/>
        <v>10863.581412213067</v>
      </c>
      <c r="G1978" s="36">
        <f t="shared" si="123"/>
        <v>10151.598665786934</v>
      </c>
      <c r="I1978" s="40">
        <v>10628.599609000001</v>
      </c>
      <c r="J1978" s="36">
        <v>10863.581412213067</v>
      </c>
      <c r="K1978" s="36">
        <v>10151.598665786934</v>
      </c>
    </row>
    <row r="1979" spans="1:11" x14ac:dyDescent="0.25">
      <c r="A1979" s="39">
        <v>43431</v>
      </c>
      <c r="B1979" s="36">
        <v>10685.599609000001</v>
      </c>
      <c r="C1979" s="36">
        <f t="shared" si="120"/>
        <v>10540.370019450002</v>
      </c>
      <c r="D1979" s="36">
        <f t="shared" si="121"/>
        <v>142.17695494914383</v>
      </c>
      <c r="E1979" s="40">
        <v>10685.599609000001</v>
      </c>
      <c r="F1979" s="36">
        <f t="shared" si="122"/>
        <v>10824.723929348289</v>
      </c>
      <c r="G1979" s="36">
        <f t="shared" si="123"/>
        <v>10256.016109551714</v>
      </c>
      <c r="I1979" s="40">
        <v>10685.599609000001</v>
      </c>
      <c r="J1979" s="36">
        <v>10824.723929348289</v>
      </c>
      <c r="K1979" s="36">
        <v>10256.016109551714</v>
      </c>
    </row>
    <row r="1980" spans="1:11" x14ac:dyDescent="0.25">
      <c r="A1980" s="39">
        <v>43432</v>
      </c>
      <c r="B1980" s="36">
        <v>10728.849609000001</v>
      </c>
      <c r="C1980" s="36">
        <f t="shared" si="120"/>
        <v>10564.270019449999</v>
      </c>
      <c r="D1980" s="36">
        <f t="shared" si="121"/>
        <v>130.65618430856637</v>
      </c>
      <c r="E1980" s="40">
        <v>10728.849609000001</v>
      </c>
      <c r="F1980" s="36">
        <f t="shared" si="122"/>
        <v>10825.582388067132</v>
      </c>
      <c r="G1980" s="36">
        <f t="shared" si="123"/>
        <v>10302.957650832866</v>
      </c>
      <c r="I1980" s="40">
        <v>10728.849609000001</v>
      </c>
      <c r="J1980" s="36">
        <v>10825.582388067132</v>
      </c>
      <c r="K1980" s="36">
        <v>10302.957650832866</v>
      </c>
    </row>
    <row r="1981" spans="1:11" x14ac:dyDescent="0.25">
      <c r="A1981" s="39">
        <v>43433</v>
      </c>
      <c r="B1981" s="36">
        <v>10858.700194999999</v>
      </c>
      <c r="C1981" s="36">
        <f t="shared" si="120"/>
        <v>10597.285009650001</v>
      </c>
      <c r="D1981" s="36">
        <f t="shared" si="121"/>
        <v>115.93520948256251</v>
      </c>
      <c r="E1981" s="40">
        <v>10858.700194999999</v>
      </c>
      <c r="F1981" s="36">
        <f t="shared" si="122"/>
        <v>10829.155428615126</v>
      </c>
      <c r="G1981" s="36">
        <f t="shared" si="123"/>
        <v>10365.414590684875</v>
      </c>
      <c r="I1981" s="40">
        <v>10858.700194999999</v>
      </c>
      <c r="J1981" s="36">
        <v>10829.155428615126</v>
      </c>
      <c r="K1981" s="36">
        <v>10365.414590684875</v>
      </c>
    </row>
    <row r="1982" spans="1:11" x14ac:dyDescent="0.25">
      <c r="A1982" s="39">
        <v>43434</v>
      </c>
      <c r="B1982" s="36">
        <v>10876.75</v>
      </c>
      <c r="C1982" s="36">
        <f t="shared" si="120"/>
        <v>10621.7925292</v>
      </c>
      <c r="D1982" s="36">
        <f t="shared" si="121"/>
        <v>120.76040995815023</v>
      </c>
      <c r="E1982" s="40">
        <v>10876.75</v>
      </c>
      <c r="F1982" s="36">
        <f t="shared" si="122"/>
        <v>10863.313349116301</v>
      </c>
      <c r="G1982" s="36">
        <f t="shared" si="123"/>
        <v>10380.271709283699</v>
      </c>
      <c r="I1982" s="40">
        <v>10876.75</v>
      </c>
      <c r="J1982" s="36">
        <v>10863.313349116301</v>
      </c>
      <c r="K1982" s="36">
        <v>10380.271709283699</v>
      </c>
    </row>
    <row r="1983" spans="1:11" x14ac:dyDescent="0.25">
      <c r="A1983" s="39">
        <v>43437</v>
      </c>
      <c r="B1983" s="36">
        <v>10883.75</v>
      </c>
      <c r="C1983" s="36">
        <f t="shared" si="120"/>
        <v>10646.957519449999</v>
      </c>
      <c r="D1983" s="36">
        <f t="shared" si="121"/>
        <v>120.26035685722741</v>
      </c>
      <c r="E1983" s="40">
        <v>10883.75</v>
      </c>
      <c r="F1983" s="36">
        <f t="shared" si="122"/>
        <v>10887.478233164455</v>
      </c>
      <c r="G1983" s="36">
        <f t="shared" si="123"/>
        <v>10406.436805735544</v>
      </c>
      <c r="I1983" s="40">
        <v>10883.75</v>
      </c>
      <c r="J1983" s="36">
        <v>10887.478233164455</v>
      </c>
      <c r="K1983" s="36">
        <v>10406.436805735544</v>
      </c>
    </row>
    <row r="1984" spans="1:11" x14ac:dyDescent="0.25">
      <c r="A1984" s="39">
        <v>43438</v>
      </c>
      <c r="B1984" s="36">
        <v>10869.5</v>
      </c>
      <c r="C1984" s="36">
        <f t="shared" si="120"/>
        <v>10662.78251945</v>
      </c>
      <c r="D1984" s="36">
        <f t="shared" si="121"/>
        <v>127.83151799913</v>
      </c>
      <c r="E1984" s="40">
        <v>10869.5</v>
      </c>
      <c r="F1984" s="36">
        <f t="shared" si="122"/>
        <v>10918.445555448259</v>
      </c>
      <c r="G1984" s="36">
        <f t="shared" si="123"/>
        <v>10407.119483451741</v>
      </c>
      <c r="I1984" s="40">
        <v>10869.5</v>
      </c>
      <c r="J1984" s="36">
        <v>10918.445555448259</v>
      </c>
      <c r="K1984" s="36">
        <v>10407.119483451741</v>
      </c>
    </row>
    <row r="1985" spans="1:11" x14ac:dyDescent="0.25">
      <c r="A1985" s="39">
        <v>43439</v>
      </c>
      <c r="B1985" s="36">
        <v>10782.900390999999</v>
      </c>
      <c r="C1985" s="36">
        <f t="shared" si="120"/>
        <v>10675.727539000001</v>
      </c>
      <c r="D1985" s="36">
        <f t="shared" si="121"/>
        <v>126.13553437788362</v>
      </c>
      <c r="E1985" s="40">
        <v>10782.900390999999</v>
      </c>
      <c r="F1985" s="36">
        <f t="shared" si="122"/>
        <v>10927.998607755768</v>
      </c>
      <c r="G1985" s="36">
        <f t="shared" si="123"/>
        <v>10423.456470244235</v>
      </c>
      <c r="I1985" s="40">
        <v>10782.900390999999</v>
      </c>
      <c r="J1985" s="36">
        <v>10927.998607755768</v>
      </c>
      <c r="K1985" s="36">
        <v>10423.456470244235</v>
      </c>
    </row>
    <row r="1986" spans="1:11" x14ac:dyDescent="0.25">
      <c r="A1986" s="39">
        <v>43440</v>
      </c>
      <c r="B1986" s="36">
        <v>10601.150390999999</v>
      </c>
      <c r="C1986" s="36">
        <f t="shared" si="120"/>
        <v>10679.285058550002</v>
      </c>
      <c r="D1986" s="36">
        <f t="shared" si="121"/>
        <v>122.76751758312511</v>
      </c>
      <c r="E1986" s="40">
        <v>10601.150390999999</v>
      </c>
      <c r="F1986" s="36">
        <f t="shared" si="122"/>
        <v>10924.820093716253</v>
      </c>
      <c r="G1986" s="36">
        <f t="shared" si="123"/>
        <v>10433.750023383751</v>
      </c>
      <c r="I1986" s="40">
        <v>10601.150390999999</v>
      </c>
      <c r="J1986" s="36">
        <v>10924.820093716253</v>
      </c>
      <c r="K1986" s="36">
        <v>10433.750023383751</v>
      </c>
    </row>
    <row r="1987" spans="1:11" x14ac:dyDescent="0.25">
      <c r="A1987" s="39">
        <v>43441</v>
      </c>
      <c r="B1987" s="36">
        <v>10693.700194999999</v>
      </c>
      <c r="C1987" s="36">
        <f t="shared" si="120"/>
        <v>10684.050048750001</v>
      </c>
      <c r="D1987" s="36">
        <f t="shared" si="121"/>
        <v>121.30361390438367</v>
      </c>
      <c r="E1987" s="40">
        <v>10693.700194999999</v>
      </c>
      <c r="F1987" s="36">
        <f t="shared" si="122"/>
        <v>10926.657276558768</v>
      </c>
      <c r="G1987" s="36">
        <f t="shared" si="123"/>
        <v>10441.442820941234</v>
      </c>
      <c r="I1987" s="40">
        <v>10693.700194999999</v>
      </c>
      <c r="J1987" s="36">
        <v>10926.657276558768</v>
      </c>
      <c r="K1987" s="36">
        <v>10441.442820941234</v>
      </c>
    </row>
    <row r="1988" spans="1:11" x14ac:dyDescent="0.25">
      <c r="A1988" s="39">
        <v>43444</v>
      </c>
      <c r="B1988" s="36">
        <v>10488.450194999999</v>
      </c>
      <c r="C1988" s="36">
        <f t="shared" si="120"/>
        <v>10679.212548750002</v>
      </c>
      <c r="D1988" s="36">
        <f t="shared" si="121"/>
        <v>127.23719028786087</v>
      </c>
      <c r="E1988" s="40">
        <v>10488.450194999999</v>
      </c>
      <c r="F1988" s="36">
        <f t="shared" si="122"/>
        <v>10933.686929325724</v>
      </c>
      <c r="G1988" s="36">
        <f t="shared" si="123"/>
        <v>10424.738168174279</v>
      </c>
      <c r="I1988" s="40">
        <v>10488.450194999999</v>
      </c>
      <c r="J1988" s="36">
        <v>10933.686929325724</v>
      </c>
      <c r="K1988" s="36">
        <v>10424.738168174279</v>
      </c>
    </row>
    <row r="1989" spans="1:11" x14ac:dyDescent="0.25">
      <c r="A1989" s="39">
        <v>43445</v>
      </c>
      <c r="B1989" s="36">
        <v>10549.150390999999</v>
      </c>
      <c r="C1989" s="36">
        <f t="shared" si="120"/>
        <v>10682.560058550001</v>
      </c>
      <c r="D1989" s="36">
        <f t="shared" si="121"/>
        <v>122.57649172871731</v>
      </c>
      <c r="E1989" s="40">
        <v>10549.150390999999</v>
      </c>
      <c r="F1989" s="36">
        <f t="shared" si="122"/>
        <v>10927.713042007435</v>
      </c>
      <c r="G1989" s="36">
        <f t="shared" si="123"/>
        <v>10437.407075092568</v>
      </c>
      <c r="I1989" s="40">
        <v>10549.150390999999</v>
      </c>
      <c r="J1989" s="36">
        <v>10927.713042007435</v>
      </c>
      <c r="K1989" s="36">
        <v>10437.407075092568</v>
      </c>
    </row>
    <row r="1990" spans="1:11" x14ac:dyDescent="0.25">
      <c r="A1990" s="39">
        <v>43446</v>
      </c>
      <c r="B1990" s="36">
        <v>10737.599609000001</v>
      </c>
      <c r="C1990" s="36">
        <f t="shared" si="120"/>
        <v>10690.315039000001</v>
      </c>
      <c r="D1990" s="36">
        <f t="shared" si="121"/>
        <v>120.80638544621216</v>
      </c>
      <c r="E1990" s="40">
        <v>10737.599609000001</v>
      </c>
      <c r="F1990" s="36">
        <f t="shared" si="122"/>
        <v>10931.927809892426</v>
      </c>
      <c r="G1990" s="36">
        <f t="shared" si="123"/>
        <v>10448.702268107576</v>
      </c>
      <c r="I1990" s="40">
        <v>10737.599609000001</v>
      </c>
      <c r="J1990" s="36">
        <v>10931.927809892426</v>
      </c>
      <c r="K1990" s="36">
        <v>10448.702268107576</v>
      </c>
    </row>
    <row r="1991" spans="1:11" x14ac:dyDescent="0.25">
      <c r="A1991" s="39">
        <v>43447</v>
      </c>
      <c r="B1991" s="36">
        <v>10791.549805000001</v>
      </c>
      <c r="C1991" s="36">
        <f t="shared" si="120"/>
        <v>10701.077539000002</v>
      </c>
      <c r="D1991" s="36">
        <f t="shared" si="121"/>
        <v>119.69739228241515</v>
      </c>
      <c r="E1991" s="40">
        <v>10791.549805000001</v>
      </c>
      <c r="F1991" s="36">
        <f t="shared" si="122"/>
        <v>10940.472323564833</v>
      </c>
      <c r="G1991" s="36">
        <f t="shared" si="123"/>
        <v>10461.682754435171</v>
      </c>
      <c r="I1991" s="40">
        <v>10791.549805000001</v>
      </c>
      <c r="J1991" s="36">
        <v>10940.472323564833</v>
      </c>
      <c r="K1991" s="36">
        <v>10461.682754435171</v>
      </c>
    </row>
    <row r="1992" spans="1:11" x14ac:dyDescent="0.25">
      <c r="A1992" s="39">
        <v>43448</v>
      </c>
      <c r="B1992" s="36">
        <v>10805.450194999999</v>
      </c>
      <c r="C1992" s="36">
        <f t="shared" si="120"/>
        <v>10710.515039000002</v>
      </c>
      <c r="D1992" s="36">
        <f t="shared" si="121"/>
        <v>120.13471291144633</v>
      </c>
      <c r="E1992" s="40">
        <v>10805.450194999999</v>
      </c>
      <c r="F1992" s="36">
        <f t="shared" si="122"/>
        <v>10950.784464822895</v>
      </c>
      <c r="G1992" s="36">
        <f t="shared" si="123"/>
        <v>10470.245613177109</v>
      </c>
      <c r="I1992" s="40">
        <v>10805.450194999999</v>
      </c>
      <c r="J1992" s="36">
        <v>10950.784464822895</v>
      </c>
      <c r="K1992" s="36">
        <v>10470.245613177109</v>
      </c>
    </row>
    <row r="1993" spans="1:11" x14ac:dyDescent="0.25">
      <c r="A1993" s="39">
        <v>43451</v>
      </c>
      <c r="B1993" s="36">
        <v>10888.349609000001</v>
      </c>
      <c r="C1993" s="36">
        <f t="shared" si="120"/>
        <v>10720.8225097</v>
      </c>
      <c r="D1993" s="36">
        <f t="shared" si="121"/>
        <v>126.26479288670144</v>
      </c>
      <c r="E1993" s="40">
        <v>10888.349609000001</v>
      </c>
      <c r="F1993" s="36">
        <f t="shared" si="122"/>
        <v>10973.352095473403</v>
      </c>
      <c r="G1993" s="36">
        <f t="shared" si="123"/>
        <v>10468.292923926596</v>
      </c>
      <c r="I1993" s="40">
        <v>10888.349609000001</v>
      </c>
      <c r="J1993" s="36">
        <v>10973.352095473403</v>
      </c>
      <c r="K1993" s="36">
        <v>10468.292923926596</v>
      </c>
    </row>
    <row r="1994" spans="1:11" x14ac:dyDescent="0.25">
      <c r="A1994" s="39">
        <v>43452</v>
      </c>
      <c r="B1994" s="36">
        <v>10908.700194999999</v>
      </c>
      <c r="C1994" s="36">
        <f t="shared" si="120"/>
        <v>10728.087499900001</v>
      </c>
      <c r="D1994" s="36">
        <f t="shared" si="121"/>
        <v>132.85185804561598</v>
      </c>
      <c r="E1994" s="40">
        <v>10908.700194999999</v>
      </c>
      <c r="F1994" s="36">
        <f t="shared" si="122"/>
        <v>10993.791215991232</v>
      </c>
      <c r="G1994" s="36">
        <f t="shared" si="123"/>
        <v>10462.383783808769</v>
      </c>
      <c r="I1994" s="40">
        <v>10908.700194999999</v>
      </c>
      <c r="J1994" s="36">
        <v>10993.791215991232</v>
      </c>
      <c r="K1994" s="36">
        <v>10462.383783808769</v>
      </c>
    </row>
    <row r="1995" spans="1:11" x14ac:dyDescent="0.25">
      <c r="A1995" s="39">
        <v>43453</v>
      </c>
      <c r="B1995" s="36">
        <v>10967.299805000001</v>
      </c>
      <c r="C1995" s="36">
        <f t="shared" si="120"/>
        <v>10743.642480400002</v>
      </c>
      <c r="D1995" s="36">
        <f t="shared" si="121"/>
        <v>141.89660829662674</v>
      </c>
      <c r="E1995" s="40">
        <v>10967.299805000001</v>
      </c>
      <c r="F1995" s="36">
        <f t="shared" si="122"/>
        <v>11027.435696993256</v>
      </c>
      <c r="G1995" s="36">
        <f t="shared" si="123"/>
        <v>10459.849263806747</v>
      </c>
      <c r="I1995" s="40">
        <v>10967.299805000001</v>
      </c>
      <c r="J1995" s="36">
        <v>11027.435696993256</v>
      </c>
      <c r="K1995" s="36">
        <v>10459.849263806747</v>
      </c>
    </row>
    <row r="1996" spans="1:11" x14ac:dyDescent="0.25">
      <c r="A1996" s="39">
        <v>43454</v>
      </c>
      <c r="B1996" s="36">
        <v>10951.700194999999</v>
      </c>
      <c r="C1996" s="36">
        <f t="shared" si="120"/>
        <v>10761.224999900001</v>
      </c>
      <c r="D1996" s="36">
        <f t="shared" si="121"/>
        <v>144.92185876539551</v>
      </c>
      <c r="E1996" s="40">
        <v>10951.700194999999</v>
      </c>
      <c r="F1996" s="36">
        <f t="shared" si="122"/>
        <v>11051.068717430793</v>
      </c>
      <c r="G1996" s="36">
        <f t="shared" si="123"/>
        <v>10471.38128236921</v>
      </c>
      <c r="I1996" s="40">
        <v>10951.700194999999</v>
      </c>
      <c r="J1996" s="36">
        <v>11051.068717430793</v>
      </c>
      <c r="K1996" s="36">
        <v>10471.38128236921</v>
      </c>
    </row>
    <row r="1997" spans="1:11" x14ac:dyDescent="0.25">
      <c r="A1997" s="39">
        <v>43455</v>
      </c>
      <c r="B1997" s="36">
        <v>10754</v>
      </c>
      <c r="C1997" s="36">
        <f t="shared" si="120"/>
        <v>10772.587499900001</v>
      </c>
      <c r="D1997" s="36">
        <f t="shared" si="121"/>
        <v>134.07305642678503</v>
      </c>
      <c r="E1997" s="40">
        <v>10754</v>
      </c>
      <c r="F1997" s="36">
        <f t="shared" si="122"/>
        <v>11040.733612753571</v>
      </c>
      <c r="G1997" s="36">
        <f t="shared" si="123"/>
        <v>10504.44138704643</v>
      </c>
      <c r="I1997" s="40">
        <v>10754</v>
      </c>
      <c r="J1997" s="36">
        <v>11040.733612753571</v>
      </c>
      <c r="K1997" s="36">
        <v>10504.44138704643</v>
      </c>
    </row>
    <row r="1998" spans="1:11" x14ac:dyDescent="0.25">
      <c r="A1998" s="39">
        <v>43458</v>
      </c>
      <c r="B1998" s="36">
        <v>10663.5</v>
      </c>
      <c r="C1998" s="36">
        <f t="shared" si="120"/>
        <v>10774.332519450001</v>
      </c>
      <c r="D1998" s="36">
        <f t="shared" si="121"/>
        <v>132.31596410362872</v>
      </c>
      <c r="E1998" s="40">
        <v>10663.5</v>
      </c>
      <c r="F1998" s="36">
        <f t="shared" si="122"/>
        <v>11038.964447657259</v>
      </c>
      <c r="G1998" s="36">
        <f t="shared" si="123"/>
        <v>10509.700591242743</v>
      </c>
      <c r="I1998" s="40">
        <v>10663.5</v>
      </c>
      <c r="J1998" s="36">
        <v>11038.964447657259</v>
      </c>
      <c r="K1998" s="36">
        <v>10509.700591242743</v>
      </c>
    </row>
    <row r="1999" spans="1:11" x14ac:dyDescent="0.25">
      <c r="A1999" s="39">
        <v>43460</v>
      </c>
      <c r="B1999" s="36">
        <v>10729.849609000001</v>
      </c>
      <c r="C1999" s="36">
        <f t="shared" si="120"/>
        <v>10776.545019450001</v>
      </c>
      <c r="D1999" s="36">
        <f t="shared" si="121"/>
        <v>131.11868259368316</v>
      </c>
      <c r="E1999" s="40">
        <v>10729.849609000001</v>
      </c>
      <c r="F1999" s="36">
        <f t="shared" si="122"/>
        <v>11038.782384637367</v>
      </c>
      <c r="G1999" s="36">
        <f t="shared" si="123"/>
        <v>10514.307654262635</v>
      </c>
      <c r="I1999" s="40">
        <v>10729.849609000001</v>
      </c>
      <c r="J1999" s="36">
        <v>11038.782384637367</v>
      </c>
      <c r="K1999" s="36">
        <v>10514.307654262635</v>
      </c>
    </row>
    <row r="2000" spans="1:11" x14ac:dyDescent="0.25">
      <c r="A2000" s="39">
        <v>43461</v>
      </c>
      <c r="B2000" s="36">
        <v>10779.799805000001</v>
      </c>
      <c r="C2000" s="36">
        <f t="shared" si="120"/>
        <v>10779.09252925</v>
      </c>
      <c r="D2000" s="36">
        <f t="shared" si="121"/>
        <v>130.63730725790276</v>
      </c>
      <c r="E2000" s="40">
        <v>10779.799805000001</v>
      </c>
      <c r="F2000" s="36">
        <f t="shared" si="122"/>
        <v>11040.367143765805</v>
      </c>
      <c r="G2000" s="36">
        <f t="shared" si="123"/>
        <v>10517.817914734194</v>
      </c>
      <c r="I2000" s="40">
        <v>10779.799805000001</v>
      </c>
      <c r="J2000" s="36">
        <v>11040.367143765805</v>
      </c>
      <c r="K2000" s="36">
        <v>10517.817914734194</v>
      </c>
    </row>
    <row r="2001" spans="1:11" x14ac:dyDescent="0.25">
      <c r="A2001" s="39">
        <v>43462</v>
      </c>
      <c r="B2001" s="36">
        <v>10859.900390999999</v>
      </c>
      <c r="C2001" s="36">
        <f t="shared" si="120"/>
        <v>10779.152539049999</v>
      </c>
      <c r="D2001" s="36">
        <f t="shared" si="121"/>
        <v>130.67607056648447</v>
      </c>
      <c r="E2001" s="40">
        <v>10859.900390999999</v>
      </c>
      <c r="F2001" s="36">
        <f t="shared" si="122"/>
        <v>11040.504680182969</v>
      </c>
      <c r="G2001" s="36">
        <f t="shared" si="123"/>
        <v>10517.80039791703</v>
      </c>
      <c r="I2001" s="40">
        <v>10859.900390999999</v>
      </c>
      <c r="J2001" s="36">
        <v>11040.504680182969</v>
      </c>
      <c r="K2001" s="36">
        <v>10517.80039791703</v>
      </c>
    </row>
    <row r="2002" spans="1:11" x14ac:dyDescent="0.25">
      <c r="A2002" s="39">
        <v>43465</v>
      </c>
      <c r="B2002" s="36">
        <v>10862.549805000001</v>
      </c>
      <c r="C2002" s="36">
        <f t="shared" si="120"/>
        <v>10778.442529299999</v>
      </c>
      <c r="D2002" s="36">
        <f t="shared" si="121"/>
        <v>130.15541929441329</v>
      </c>
      <c r="E2002" s="40">
        <v>10862.549805000001</v>
      </c>
      <c r="F2002" s="36">
        <f t="shared" si="122"/>
        <v>11038.753367888825</v>
      </c>
      <c r="G2002" s="36">
        <f t="shared" si="123"/>
        <v>10518.131690711172</v>
      </c>
      <c r="I2002" s="40">
        <v>10862.549805000001</v>
      </c>
      <c r="J2002" s="36">
        <v>11038.753367888825</v>
      </c>
      <c r="K2002" s="36">
        <v>10518.131690711172</v>
      </c>
    </row>
    <row r="2003" spans="1:11" x14ac:dyDescent="0.25">
      <c r="A2003" s="39">
        <v>43467</v>
      </c>
      <c r="B2003" s="36">
        <v>10792.5</v>
      </c>
      <c r="C2003" s="36">
        <f t="shared" si="120"/>
        <v>10773.880029299999</v>
      </c>
      <c r="D2003" s="36">
        <f t="shared" si="121"/>
        <v>127.84856404410158</v>
      </c>
      <c r="E2003" s="40">
        <v>10792.5</v>
      </c>
      <c r="F2003" s="36">
        <f t="shared" si="122"/>
        <v>11029.577157388201</v>
      </c>
      <c r="G2003" s="36">
        <f t="shared" si="123"/>
        <v>10518.182901211796</v>
      </c>
      <c r="I2003" s="40">
        <v>10792.5</v>
      </c>
      <c r="J2003" s="36">
        <v>11029.577157388201</v>
      </c>
      <c r="K2003" s="36">
        <v>10518.182901211796</v>
      </c>
    </row>
    <row r="2004" spans="1:11" x14ac:dyDescent="0.25">
      <c r="A2004" s="39">
        <v>43468</v>
      </c>
      <c r="B2004" s="36">
        <v>10672.25</v>
      </c>
      <c r="C2004" s="36">
        <f t="shared" si="120"/>
        <v>10764.017529299997</v>
      </c>
      <c r="D2004" s="36">
        <f t="shared" si="121"/>
        <v>127.69205497447572</v>
      </c>
      <c r="E2004" s="40">
        <v>10672.25</v>
      </c>
      <c r="F2004" s="36">
        <f t="shared" si="122"/>
        <v>11019.401639248948</v>
      </c>
      <c r="G2004" s="36">
        <f t="shared" si="123"/>
        <v>10508.633419351047</v>
      </c>
      <c r="I2004" s="40">
        <v>10672.25</v>
      </c>
      <c r="J2004" s="36">
        <v>11019.401639248948</v>
      </c>
      <c r="K2004" s="36">
        <v>10508.633419351047</v>
      </c>
    </row>
    <row r="2005" spans="1:11" x14ac:dyDescent="0.25">
      <c r="A2005" s="39">
        <v>43469</v>
      </c>
      <c r="B2005" s="36">
        <v>10727.349609000001</v>
      </c>
      <c r="C2005" s="36">
        <f t="shared" si="120"/>
        <v>10761.2399902</v>
      </c>
      <c r="D2005" s="36">
        <f t="shared" si="121"/>
        <v>127.86375080171766</v>
      </c>
      <c r="E2005" s="40">
        <v>10727.349609000001</v>
      </c>
      <c r="F2005" s="36">
        <f t="shared" si="122"/>
        <v>11016.967491803434</v>
      </c>
      <c r="G2005" s="36">
        <f t="shared" si="123"/>
        <v>10505.512488596565</v>
      </c>
      <c r="I2005" s="40">
        <v>10727.349609000001</v>
      </c>
      <c r="J2005" s="36">
        <v>11016.967491803434</v>
      </c>
      <c r="K2005" s="36">
        <v>10505.512488596565</v>
      </c>
    </row>
    <row r="2006" spans="1:11" x14ac:dyDescent="0.25">
      <c r="A2006" s="39">
        <v>43472</v>
      </c>
      <c r="B2006" s="36">
        <v>10771.799805000001</v>
      </c>
      <c r="C2006" s="36">
        <f t="shared" ref="C2006:C2069" si="124">AVERAGE(B1987:B2006)</f>
        <v>10769.772460899998</v>
      </c>
      <c r="D2006" s="36">
        <f t="shared" ref="D2006:D2069" si="125">_xlfn.STDEV.S(B1987:B2006)</f>
        <v>122.18631274114426</v>
      </c>
      <c r="E2006" s="40">
        <v>10771.799805000001</v>
      </c>
      <c r="F2006" s="36">
        <f t="shared" ref="F2006:F2069" si="126">C2006+2*D2006</f>
        <v>11014.145086382287</v>
      </c>
      <c r="G2006" s="36">
        <f t="shared" ref="G2006:G2069" si="127">C2006-2*D2006</f>
        <v>10525.399835417709</v>
      </c>
      <c r="I2006" s="40">
        <v>10771.799805000001</v>
      </c>
      <c r="J2006" s="36">
        <v>11014.145086382287</v>
      </c>
      <c r="K2006" s="36">
        <v>10525.399835417709</v>
      </c>
    </row>
    <row r="2007" spans="1:11" x14ac:dyDescent="0.25">
      <c r="A2007" s="39">
        <v>43473</v>
      </c>
      <c r="B2007" s="36">
        <v>10802.150390999999</v>
      </c>
      <c r="C2007" s="36">
        <f t="shared" si="124"/>
        <v>10775.194970699999</v>
      </c>
      <c r="D2007" s="36">
        <f t="shared" si="125"/>
        <v>121.03363470584175</v>
      </c>
      <c r="E2007" s="40">
        <v>10802.150390999999</v>
      </c>
      <c r="F2007" s="36">
        <f t="shared" si="126"/>
        <v>11017.262240111682</v>
      </c>
      <c r="G2007" s="36">
        <f t="shared" si="127"/>
        <v>10533.127701288315</v>
      </c>
      <c r="I2007" s="40">
        <v>10802.150390999999</v>
      </c>
      <c r="J2007" s="36">
        <v>11017.262240111682</v>
      </c>
      <c r="K2007" s="36">
        <v>10533.127701288315</v>
      </c>
    </row>
    <row r="2008" spans="1:11" x14ac:dyDescent="0.25">
      <c r="A2008" s="39">
        <v>43474</v>
      </c>
      <c r="B2008" s="36">
        <v>10855.150390999999</v>
      </c>
      <c r="C2008" s="36">
        <f t="shared" si="124"/>
        <v>10793.5299805</v>
      </c>
      <c r="D2008" s="36">
        <f t="shared" si="125"/>
        <v>101.5097934162589</v>
      </c>
      <c r="E2008" s="40">
        <v>10855.150390999999</v>
      </c>
      <c r="F2008" s="36">
        <f t="shared" si="126"/>
        <v>10996.549567332517</v>
      </c>
      <c r="G2008" s="36">
        <f t="shared" si="127"/>
        <v>10590.510393667482</v>
      </c>
      <c r="I2008" s="40">
        <v>10855.150390999999</v>
      </c>
      <c r="J2008" s="36">
        <v>10996.549567332517</v>
      </c>
      <c r="K2008" s="36">
        <v>10590.510393667482</v>
      </c>
    </row>
    <row r="2009" spans="1:11" x14ac:dyDescent="0.25">
      <c r="A2009" s="39">
        <v>43475</v>
      </c>
      <c r="B2009" s="36">
        <v>10821.599609000001</v>
      </c>
      <c r="C2009" s="36">
        <f t="shared" si="124"/>
        <v>10807.152441399998</v>
      </c>
      <c r="D2009" s="36">
        <f t="shared" si="125"/>
        <v>83.708647760933943</v>
      </c>
      <c r="E2009" s="40">
        <v>10821.599609000001</v>
      </c>
      <c r="F2009" s="36">
        <f t="shared" si="126"/>
        <v>10974.569736921865</v>
      </c>
      <c r="G2009" s="36">
        <f t="shared" si="127"/>
        <v>10639.73514587813</v>
      </c>
      <c r="I2009" s="40">
        <v>10821.599609000001</v>
      </c>
      <c r="J2009" s="36">
        <v>10974.569736921865</v>
      </c>
      <c r="K2009" s="36">
        <v>10639.73514587813</v>
      </c>
    </row>
    <row r="2010" spans="1:11" x14ac:dyDescent="0.25">
      <c r="A2010" s="39">
        <v>43476</v>
      </c>
      <c r="B2010" s="36">
        <v>10794.950194999999</v>
      </c>
      <c r="C2010" s="36">
        <f t="shared" si="124"/>
        <v>10810.019970700001</v>
      </c>
      <c r="D2010" s="36">
        <f t="shared" si="125"/>
        <v>82.168780191792408</v>
      </c>
      <c r="E2010" s="40">
        <v>10794.950194999999</v>
      </c>
      <c r="F2010" s="36">
        <f t="shared" si="126"/>
        <v>10974.357531083586</v>
      </c>
      <c r="G2010" s="36">
        <f t="shared" si="127"/>
        <v>10645.682410316416</v>
      </c>
      <c r="I2010" s="40">
        <v>10794.950194999999</v>
      </c>
      <c r="J2010" s="36">
        <v>10974.357531083586</v>
      </c>
      <c r="K2010" s="36">
        <v>10645.682410316416</v>
      </c>
    </row>
    <row r="2011" spans="1:11" x14ac:dyDescent="0.25">
      <c r="A2011" s="39">
        <v>43479</v>
      </c>
      <c r="B2011" s="36">
        <v>10737.599609000001</v>
      </c>
      <c r="C2011" s="36">
        <f t="shared" si="124"/>
        <v>10807.322460899999</v>
      </c>
      <c r="D2011" s="36">
        <f t="shared" si="125"/>
        <v>83.678737446223536</v>
      </c>
      <c r="E2011" s="40">
        <v>10737.599609000001</v>
      </c>
      <c r="F2011" s="36">
        <f t="shared" si="126"/>
        <v>10974.679935792446</v>
      </c>
      <c r="G2011" s="36">
        <f t="shared" si="127"/>
        <v>10639.964986007551</v>
      </c>
      <c r="I2011" s="40">
        <v>10737.599609000001</v>
      </c>
      <c r="J2011" s="36">
        <v>10974.679935792446</v>
      </c>
      <c r="K2011" s="36">
        <v>10639.964986007551</v>
      </c>
    </row>
    <row r="2012" spans="1:11" x14ac:dyDescent="0.25">
      <c r="A2012" s="39">
        <v>43480</v>
      </c>
      <c r="B2012" s="36">
        <v>10886.799805000001</v>
      </c>
      <c r="C2012" s="36">
        <f t="shared" si="124"/>
        <v>10811.389941400001</v>
      </c>
      <c r="D2012" s="36">
        <f t="shared" si="125"/>
        <v>85.539386374292107</v>
      </c>
      <c r="E2012" s="40">
        <v>10886.799805000001</v>
      </c>
      <c r="F2012" s="36">
        <f t="shared" si="126"/>
        <v>10982.468714148585</v>
      </c>
      <c r="G2012" s="36">
        <f t="shared" si="127"/>
        <v>10640.311168651417</v>
      </c>
      <c r="I2012" s="40">
        <v>10886.799805000001</v>
      </c>
      <c r="J2012" s="36">
        <v>10982.468714148585</v>
      </c>
      <c r="K2012" s="36">
        <v>10640.311168651417</v>
      </c>
    </row>
    <row r="2013" spans="1:11" x14ac:dyDescent="0.25">
      <c r="A2013" s="39">
        <v>43481</v>
      </c>
      <c r="B2013" s="36">
        <v>10890.299805000001</v>
      </c>
      <c r="C2013" s="36">
        <f t="shared" si="124"/>
        <v>10811.487451199999</v>
      </c>
      <c r="D2013" s="36">
        <f t="shared" si="125"/>
        <v>85.632793699107523</v>
      </c>
      <c r="E2013" s="40">
        <v>10890.299805000001</v>
      </c>
      <c r="F2013" s="36">
        <f t="shared" si="126"/>
        <v>10982.753038598214</v>
      </c>
      <c r="G2013" s="36">
        <f t="shared" si="127"/>
        <v>10640.221863801784</v>
      </c>
      <c r="I2013" s="40">
        <v>10890.299805000001</v>
      </c>
      <c r="J2013" s="36">
        <v>10982.753038598214</v>
      </c>
      <c r="K2013" s="36">
        <v>10640.221863801784</v>
      </c>
    </row>
    <row r="2014" spans="1:11" x14ac:dyDescent="0.25">
      <c r="A2014" s="39">
        <v>43482</v>
      </c>
      <c r="B2014" s="36">
        <v>10905.200194999999</v>
      </c>
      <c r="C2014" s="36">
        <f t="shared" si="124"/>
        <v>10811.312451199999</v>
      </c>
      <c r="D2014" s="36">
        <f t="shared" si="125"/>
        <v>85.427001792840144</v>
      </c>
      <c r="E2014" s="40">
        <v>10905.200194999999</v>
      </c>
      <c r="F2014" s="36">
        <f t="shared" si="126"/>
        <v>10982.16645478568</v>
      </c>
      <c r="G2014" s="36">
        <f t="shared" si="127"/>
        <v>10640.458447614319</v>
      </c>
      <c r="I2014" s="40">
        <v>10905.200194999999</v>
      </c>
      <c r="J2014" s="36">
        <v>10982.16645478568</v>
      </c>
      <c r="K2014" s="36">
        <v>10640.458447614319</v>
      </c>
    </row>
    <row r="2015" spans="1:11" x14ac:dyDescent="0.25">
      <c r="A2015" s="39">
        <v>43483</v>
      </c>
      <c r="B2015" s="36">
        <v>10906.950194999999</v>
      </c>
      <c r="C2015" s="36">
        <f t="shared" si="124"/>
        <v>10808.294970700001</v>
      </c>
      <c r="D2015" s="36">
        <f t="shared" si="125"/>
        <v>80.554035409137342</v>
      </c>
      <c r="E2015" s="40">
        <v>10906.950194999999</v>
      </c>
      <c r="F2015" s="36">
        <f t="shared" si="126"/>
        <v>10969.403041518275</v>
      </c>
      <c r="G2015" s="36">
        <f t="shared" si="127"/>
        <v>10647.186899881726</v>
      </c>
      <c r="I2015" s="40">
        <v>10906.950194999999</v>
      </c>
      <c r="J2015" s="36">
        <v>10969.403041518275</v>
      </c>
      <c r="K2015" s="36">
        <v>10647.186899881726</v>
      </c>
    </row>
    <row r="2016" spans="1:11" x14ac:dyDescent="0.25">
      <c r="A2016" s="39">
        <v>43486</v>
      </c>
      <c r="B2016" s="36">
        <v>10961.849609000001</v>
      </c>
      <c r="C2016" s="36">
        <f t="shared" si="124"/>
        <v>10808.802441400001</v>
      </c>
      <c r="D2016" s="36">
        <f t="shared" si="125"/>
        <v>81.531046024107724</v>
      </c>
      <c r="E2016" s="40">
        <v>10961.849609000001</v>
      </c>
      <c r="F2016" s="36">
        <f t="shared" si="126"/>
        <v>10971.864533448217</v>
      </c>
      <c r="G2016" s="36">
        <f t="shared" si="127"/>
        <v>10645.740349351785</v>
      </c>
      <c r="I2016" s="40">
        <v>10961.849609000001</v>
      </c>
      <c r="J2016" s="36">
        <v>10971.864533448217</v>
      </c>
      <c r="K2016" s="36">
        <v>10645.740349351785</v>
      </c>
    </row>
    <row r="2017" spans="1:11" x14ac:dyDescent="0.25">
      <c r="A2017" s="39">
        <v>43487</v>
      </c>
      <c r="B2017" s="36">
        <v>10922.75</v>
      </c>
      <c r="C2017" s="36">
        <f t="shared" si="124"/>
        <v>10817.239941399999</v>
      </c>
      <c r="D2017" s="36">
        <f t="shared" si="125"/>
        <v>84.247701281280726</v>
      </c>
      <c r="E2017" s="40">
        <v>10922.75</v>
      </c>
      <c r="F2017" s="36">
        <f t="shared" si="126"/>
        <v>10985.73534396256</v>
      </c>
      <c r="G2017" s="36">
        <f t="shared" si="127"/>
        <v>10648.744538837438</v>
      </c>
      <c r="I2017" s="40">
        <v>10922.75</v>
      </c>
      <c r="J2017" s="36">
        <v>10985.73534396256</v>
      </c>
      <c r="K2017" s="36">
        <v>10648.744538837438</v>
      </c>
    </row>
    <row r="2018" spans="1:11" x14ac:dyDescent="0.25">
      <c r="A2018" s="39">
        <v>43488</v>
      </c>
      <c r="B2018" s="36">
        <v>10831.5</v>
      </c>
      <c r="C2018" s="36">
        <f t="shared" si="124"/>
        <v>10825.639941400001</v>
      </c>
      <c r="D2018" s="36">
        <f t="shared" si="125"/>
        <v>76.092743945522514</v>
      </c>
      <c r="E2018" s="40">
        <v>10831.5</v>
      </c>
      <c r="F2018" s="36">
        <f t="shared" si="126"/>
        <v>10977.825429291046</v>
      </c>
      <c r="G2018" s="36">
        <f t="shared" si="127"/>
        <v>10673.454453508955</v>
      </c>
      <c r="I2018" s="40">
        <v>10831.5</v>
      </c>
      <c r="J2018" s="36">
        <v>10977.825429291046</v>
      </c>
      <c r="K2018" s="36">
        <v>10673.454453508955</v>
      </c>
    </row>
    <row r="2019" spans="1:11" x14ac:dyDescent="0.25">
      <c r="A2019" s="39">
        <v>43489</v>
      </c>
      <c r="B2019" s="36">
        <v>10849.799805000001</v>
      </c>
      <c r="C2019" s="36">
        <f t="shared" si="124"/>
        <v>10831.6374512</v>
      </c>
      <c r="D2019" s="36">
        <f t="shared" si="125"/>
        <v>72.801285664567231</v>
      </c>
      <c r="E2019" s="40">
        <v>10849.799805000001</v>
      </c>
      <c r="F2019" s="36">
        <f t="shared" si="126"/>
        <v>10977.240022529135</v>
      </c>
      <c r="G2019" s="36">
        <f t="shared" si="127"/>
        <v>10686.034879870866</v>
      </c>
      <c r="I2019" s="40">
        <v>10849.799805000001</v>
      </c>
      <c r="J2019" s="36">
        <v>10977.240022529135</v>
      </c>
      <c r="K2019" s="36">
        <v>10686.034879870866</v>
      </c>
    </row>
    <row r="2020" spans="1:11" x14ac:dyDescent="0.25">
      <c r="A2020" s="39">
        <v>43490</v>
      </c>
      <c r="B2020" s="36">
        <v>10780.549805000001</v>
      </c>
      <c r="C2020" s="36">
        <f t="shared" si="124"/>
        <v>10831.674951199999</v>
      </c>
      <c r="D2020" s="36">
        <f t="shared" si="125"/>
        <v>72.773366513177692</v>
      </c>
      <c r="E2020" s="40">
        <v>10780.549805000001</v>
      </c>
      <c r="F2020" s="36">
        <f t="shared" si="126"/>
        <v>10977.221684226353</v>
      </c>
      <c r="G2020" s="36">
        <f t="shared" si="127"/>
        <v>10686.128218173644</v>
      </c>
      <c r="I2020" s="40">
        <v>10780.549805000001</v>
      </c>
      <c r="J2020" s="36">
        <v>10977.221684226353</v>
      </c>
      <c r="K2020" s="36">
        <v>10686.128218173644</v>
      </c>
    </row>
    <row r="2021" spans="1:11" x14ac:dyDescent="0.25">
      <c r="A2021" s="39">
        <v>43493</v>
      </c>
      <c r="B2021" s="36">
        <v>10661.549805000001</v>
      </c>
      <c r="C2021" s="36">
        <f t="shared" si="124"/>
        <v>10821.757421899998</v>
      </c>
      <c r="D2021" s="36">
        <f t="shared" si="125"/>
        <v>81.693276399528429</v>
      </c>
      <c r="E2021" s="40">
        <v>10661.549805000001</v>
      </c>
      <c r="F2021" s="36">
        <f t="shared" si="126"/>
        <v>10985.143974699055</v>
      </c>
      <c r="G2021" s="36">
        <f t="shared" si="127"/>
        <v>10658.370869100941</v>
      </c>
      <c r="I2021" s="40">
        <v>10661.549805000001</v>
      </c>
      <c r="J2021" s="36">
        <v>10985.143974699055</v>
      </c>
      <c r="K2021" s="36">
        <v>10658.370869100941</v>
      </c>
    </row>
    <row r="2022" spans="1:11" x14ac:dyDescent="0.25">
      <c r="A2022" s="39">
        <v>43494</v>
      </c>
      <c r="B2022" s="36">
        <v>10652.200194999999</v>
      </c>
      <c r="C2022" s="36">
        <f t="shared" si="124"/>
        <v>10811.239941399999</v>
      </c>
      <c r="D2022" s="36">
        <f t="shared" si="125"/>
        <v>89.347141892434237</v>
      </c>
      <c r="E2022" s="40">
        <v>10652.200194999999</v>
      </c>
      <c r="F2022" s="36">
        <f t="shared" si="126"/>
        <v>10989.934225184868</v>
      </c>
      <c r="G2022" s="36">
        <f t="shared" si="127"/>
        <v>10632.54565761513</v>
      </c>
      <c r="I2022" s="40">
        <v>10652.200194999999</v>
      </c>
      <c r="J2022" s="36">
        <v>10989.934225184868</v>
      </c>
      <c r="K2022" s="36">
        <v>10632.54565761513</v>
      </c>
    </row>
    <row r="2023" spans="1:11" x14ac:dyDescent="0.25">
      <c r="A2023" s="39">
        <v>43495</v>
      </c>
      <c r="B2023" s="36">
        <v>10651.799805000001</v>
      </c>
      <c r="C2023" s="36">
        <f t="shared" si="124"/>
        <v>10804.204931649998</v>
      </c>
      <c r="D2023" s="36">
        <f t="shared" si="125"/>
        <v>96.178416434882521</v>
      </c>
      <c r="E2023" s="40">
        <v>10651.799805000001</v>
      </c>
      <c r="F2023" s="36">
        <f t="shared" si="126"/>
        <v>10996.561764519764</v>
      </c>
      <c r="G2023" s="36">
        <f t="shared" si="127"/>
        <v>10611.848098780232</v>
      </c>
      <c r="I2023" s="40">
        <v>10651.799805000001</v>
      </c>
      <c r="J2023" s="36">
        <v>10996.561764519764</v>
      </c>
      <c r="K2023" s="36">
        <v>10611.848098780232</v>
      </c>
    </row>
    <row r="2024" spans="1:11" x14ac:dyDescent="0.25">
      <c r="A2024" s="39">
        <v>43496</v>
      </c>
      <c r="B2024" s="36">
        <v>10830.950194999999</v>
      </c>
      <c r="C2024" s="36">
        <f t="shared" si="124"/>
        <v>10812.139941399999</v>
      </c>
      <c r="D2024" s="36">
        <f t="shared" si="125"/>
        <v>91.133039101248656</v>
      </c>
      <c r="E2024" s="40">
        <v>10830.950194999999</v>
      </c>
      <c r="F2024" s="36">
        <f t="shared" si="126"/>
        <v>10994.406019602497</v>
      </c>
      <c r="G2024" s="36">
        <f t="shared" si="127"/>
        <v>10629.873863197501</v>
      </c>
      <c r="I2024" s="40">
        <v>10830.950194999999</v>
      </c>
      <c r="J2024" s="36">
        <v>10994.406019602497</v>
      </c>
      <c r="K2024" s="36">
        <v>10629.873863197501</v>
      </c>
    </row>
    <row r="2025" spans="1:11" x14ac:dyDescent="0.25">
      <c r="A2025" s="39">
        <v>43497</v>
      </c>
      <c r="B2025" s="36">
        <v>10893.650390999999</v>
      </c>
      <c r="C2025" s="36">
        <f t="shared" si="124"/>
        <v>10820.454980499999</v>
      </c>
      <c r="D2025" s="36">
        <f t="shared" si="125"/>
        <v>90.574523233797763</v>
      </c>
      <c r="E2025" s="40">
        <v>10893.650390999999</v>
      </c>
      <c r="F2025" s="36">
        <f t="shared" si="126"/>
        <v>11001.604026967594</v>
      </c>
      <c r="G2025" s="36">
        <f t="shared" si="127"/>
        <v>10639.305934032403</v>
      </c>
      <c r="I2025" s="40">
        <v>10893.650390999999</v>
      </c>
      <c r="J2025" s="36">
        <v>11001.604026967594</v>
      </c>
      <c r="K2025" s="36">
        <v>10639.305934032403</v>
      </c>
    </row>
    <row r="2026" spans="1:11" x14ac:dyDescent="0.25">
      <c r="A2026" s="39">
        <v>43500</v>
      </c>
      <c r="B2026" s="36">
        <v>10912.25</v>
      </c>
      <c r="C2026" s="36">
        <f t="shared" si="124"/>
        <v>10827.477490249999</v>
      </c>
      <c r="D2026" s="36">
        <f t="shared" si="125"/>
        <v>92.036556684332439</v>
      </c>
      <c r="E2026" s="40">
        <v>10912.25</v>
      </c>
      <c r="F2026" s="36">
        <f t="shared" si="126"/>
        <v>11011.550603618663</v>
      </c>
      <c r="G2026" s="36">
        <f t="shared" si="127"/>
        <v>10643.404376881335</v>
      </c>
      <c r="I2026" s="40">
        <v>10912.25</v>
      </c>
      <c r="J2026" s="36">
        <v>11011.550603618663</v>
      </c>
      <c r="K2026" s="36">
        <v>10643.404376881335</v>
      </c>
    </row>
    <row r="2027" spans="1:11" x14ac:dyDescent="0.25">
      <c r="A2027" s="39">
        <v>43501</v>
      </c>
      <c r="B2027" s="36">
        <v>10934.349609000001</v>
      </c>
      <c r="C2027" s="36">
        <f t="shared" si="124"/>
        <v>10834.087451149999</v>
      </c>
      <c r="D2027" s="36">
        <f t="shared" si="125"/>
        <v>94.826762741206039</v>
      </c>
      <c r="E2027" s="40">
        <v>10934.349609000001</v>
      </c>
      <c r="F2027" s="36">
        <f t="shared" si="126"/>
        <v>11023.740976632411</v>
      </c>
      <c r="G2027" s="36">
        <f t="shared" si="127"/>
        <v>10644.433925667587</v>
      </c>
      <c r="I2027" s="40">
        <v>10934.349609000001</v>
      </c>
      <c r="J2027" s="36">
        <v>11023.740976632411</v>
      </c>
      <c r="K2027" s="36">
        <v>10644.433925667587</v>
      </c>
    </row>
    <row r="2028" spans="1:11" x14ac:dyDescent="0.25">
      <c r="A2028" s="39">
        <v>43502</v>
      </c>
      <c r="B2028" s="36">
        <v>11062.450194999999</v>
      </c>
      <c r="C2028" s="36">
        <f t="shared" si="124"/>
        <v>10844.45244135</v>
      </c>
      <c r="D2028" s="36">
        <f t="shared" si="125"/>
        <v>107.7051087617473</v>
      </c>
      <c r="E2028" s="40">
        <v>11062.450194999999</v>
      </c>
      <c r="F2028" s="36">
        <f t="shared" si="126"/>
        <v>11059.862658873495</v>
      </c>
      <c r="G2028" s="36">
        <f t="shared" si="127"/>
        <v>10629.042223826506</v>
      </c>
      <c r="I2028" s="40">
        <v>11062.450194999999</v>
      </c>
      <c r="J2028" s="36">
        <v>11059.862658873495</v>
      </c>
      <c r="K2028" s="36">
        <v>10629.042223826506</v>
      </c>
    </row>
    <row r="2029" spans="1:11" x14ac:dyDescent="0.25">
      <c r="A2029" s="39">
        <v>43503</v>
      </c>
      <c r="B2029" s="36">
        <v>11069.400390999999</v>
      </c>
      <c r="C2029" s="36">
        <f t="shared" si="124"/>
        <v>10856.842480450001</v>
      </c>
      <c r="D2029" s="36">
        <f t="shared" si="125"/>
        <v>118.6362164774376</v>
      </c>
      <c r="E2029" s="40">
        <v>11069.400390999999</v>
      </c>
      <c r="F2029" s="36">
        <f t="shared" si="126"/>
        <v>11094.114913404876</v>
      </c>
      <c r="G2029" s="36">
        <f t="shared" si="127"/>
        <v>10619.570047495126</v>
      </c>
      <c r="I2029" s="40">
        <v>11069.400390999999</v>
      </c>
      <c r="J2029" s="36">
        <v>11094.114913404876</v>
      </c>
      <c r="K2029" s="36">
        <v>10619.570047495126</v>
      </c>
    </row>
    <row r="2030" spans="1:11" x14ac:dyDescent="0.25">
      <c r="A2030" s="39">
        <v>43504</v>
      </c>
      <c r="B2030" s="36">
        <v>10943.599609000001</v>
      </c>
      <c r="C2030" s="36">
        <f t="shared" si="124"/>
        <v>10864.274951150001</v>
      </c>
      <c r="D2030" s="36">
        <f t="shared" si="125"/>
        <v>119.20963341579518</v>
      </c>
      <c r="E2030" s="40">
        <v>10943.599609000001</v>
      </c>
      <c r="F2030" s="36">
        <f t="shared" si="126"/>
        <v>11102.694217981591</v>
      </c>
      <c r="G2030" s="36">
        <f t="shared" si="127"/>
        <v>10625.855684318411</v>
      </c>
      <c r="I2030" s="40">
        <v>10943.599609000001</v>
      </c>
      <c r="J2030" s="36">
        <v>11102.694217981591</v>
      </c>
      <c r="K2030" s="36">
        <v>10625.855684318411</v>
      </c>
    </row>
    <row r="2031" spans="1:11" x14ac:dyDescent="0.25">
      <c r="A2031" s="39">
        <v>43507</v>
      </c>
      <c r="B2031" s="36">
        <v>10888.799805000001</v>
      </c>
      <c r="C2031" s="36">
        <f t="shared" si="124"/>
        <v>10871.83496095</v>
      </c>
      <c r="D2031" s="36">
        <f t="shared" si="125"/>
        <v>115.48970071816603</v>
      </c>
      <c r="E2031" s="40">
        <v>10888.799805000001</v>
      </c>
      <c r="F2031" s="36">
        <f t="shared" si="126"/>
        <v>11102.814362386333</v>
      </c>
      <c r="G2031" s="36">
        <f t="shared" si="127"/>
        <v>10640.855559513668</v>
      </c>
      <c r="I2031" s="40">
        <v>10888.799805000001</v>
      </c>
      <c r="J2031" s="36">
        <v>11102.814362386333</v>
      </c>
      <c r="K2031" s="36">
        <v>10640.855559513668</v>
      </c>
    </row>
    <row r="2032" spans="1:11" x14ac:dyDescent="0.25">
      <c r="A2032" s="39">
        <v>43508</v>
      </c>
      <c r="B2032" s="36">
        <v>10831.400390999999</v>
      </c>
      <c r="C2032" s="36">
        <f t="shared" si="124"/>
        <v>10869.064990249999</v>
      </c>
      <c r="D2032" s="36">
        <f t="shared" si="125"/>
        <v>115.77589550131191</v>
      </c>
      <c r="E2032" s="40">
        <v>10831.400390999999</v>
      </c>
      <c r="F2032" s="36">
        <f t="shared" si="126"/>
        <v>11100.616781252624</v>
      </c>
      <c r="G2032" s="36">
        <f t="shared" si="127"/>
        <v>10637.513199247374</v>
      </c>
      <c r="I2032" s="40">
        <v>10831.400390999999</v>
      </c>
      <c r="J2032" s="36">
        <v>11100.616781252624</v>
      </c>
      <c r="K2032" s="36">
        <v>10637.513199247374</v>
      </c>
    </row>
    <row r="2033" spans="1:11" x14ac:dyDescent="0.25">
      <c r="A2033" s="39">
        <v>43510</v>
      </c>
      <c r="B2033" s="36">
        <v>10746.049805000001</v>
      </c>
      <c r="C2033" s="36">
        <f t="shared" si="124"/>
        <v>10861.852490249999</v>
      </c>
      <c r="D2033" s="36">
        <f t="shared" si="125"/>
        <v>118.8361359455926</v>
      </c>
      <c r="E2033" s="40">
        <v>10746.049805000001</v>
      </c>
      <c r="F2033" s="36">
        <f t="shared" si="126"/>
        <v>11099.524762141185</v>
      </c>
      <c r="G2033" s="36">
        <f t="shared" si="127"/>
        <v>10624.180218358813</v>
      </c>
      <c r="I2033" s="40">
        <v>10746.049805000001</v>
      </c>
      <c r="J2033" s="36">
        <v>11099.524762141185</v>
      </c>
      <c r="K2033" s="36">
        <v>10624.180218358813</v>
      </c>
    </row>
    <row r="2034" spans="1:11" x14ac:dyDescent="0.25">
      <c r="A2034" s="39">
        <v>43511</v>
      </c>
      <c r="B2034" s="36">
        <v>10724.400390999999</v>
      </c>
      <c r="C2034" s="36">
        <f t="shared" si="124"/>
        <v>10852.81250005</v>
      </c>
      <c r="D2034" s="36">
        <f t="shared" si="125"/>
        <v>122.19444051181728</v>
      </c>
      <c r="E2034" s="40">
        <v>10724.400390999999</v>
      </c>
      <c r="F2034" s="36">
        <f t="shared" si="126"/>
        <v>11097.201381073635</v>
      </c>
      <c r="G2034" s="36">
        <f t="shared" si="127"/>
        <v>10608.423619026365</v>
      </c>
      <c r="I2034" s="40">
        <v>10724.400390999999</v>
      </c>
      <c r="J2034" s="36">
        <v>11097.201381073635</v>
      </c>
      <c r="K2034" s="36">
        <v>10608.423619026365</v>
      </c>
    </row>
    <row r="2035" spans="1:11" x14ac:dyDescent="0.25">
      <c r="A2035" s="39">
        <v>43514</v>
      </c>
      <c r="B2035" s="36">
        <v>10640.950194999999</v>
      </c>
      <c r="C2035" s="36">
        <f t="shared" si="124"/>
        <v>10839.512500050001</v>
      </c>
      <c r="D2035" s="36">
        <f t="shared" si="125"/>
        <v>130.20532183208209</v>
      </c>
      <c r="E2035" s="40">
        <v>10640.950194999999</v>
      </c>
      <c r="F2035" s="36">
        <f t="shared" si="126"/>
        <v>11099.923143714166</v>
      </c>
      <c r="G2035" s="36">
        <f t="shared" si="127"/>
        <v>10579.101856385836</v>
      </c>
      <c r="I2035" s="40">
        <v>10640.950194999999</v>
      </c>
      <c r="J2035" s="36">
        <v>11099.923143714166</v>
      </c>
      <c r="K2035" s="36">
        <v>10579.101856385836</v>
      </c>
    </row>
    <row r="2036" spans="1:11" x14ac:dyDescent="0.25">
      <c r="A2036" s="39">
        <v>43515</v>
      </c>
      <c r="B2036" s="36">
        <v>10604.349609000001</v>
      </c>
      <c r="C2036" s="36">
        <f t="shared" si="124"/>
        <v>10821.637500049999</v>
      </c>
      <c r="D2036" s="36">
        <f t="shared" si="125"/>
        <v>136.89411879168259</v>
      </c>
      <c r="E2036" s="40">
        <v>10604.349609000001</v>
      </c>
      <c r="F2036" s="36">
        <f t="shared" si="126"/>
        <v>11095.425737633364</v>
      </c>
      <c r="G2036" s="36">
        <f t="shared" si="127"/>
        <v>10547.849262466634</v>
      </c>
      <c r="I2036" s="40">
        <v>10604.349609000001</v>
      </c>
      <c r="J2036" s="36">
        <v>11095.425737633364</v>
      </c>
      <c r="K2036" s="36">
        <v>10547.849262466634</v>
      </c>
    </row>
    <row r="2037" spans="1:11" x14ac:dyDescent="0.25">
      <c r="A2037" s="39">
        <v>43516</v>
      </c>
      <c r="B2037" s="36">
        <v>10735.450194999999</v>
      </c>
      <c r="C2037" s="36">
        <f t="shared" si="124"/>
        <v>10812.272509800001</v>
      </c>
      <c r="D2037" s="36">
        <f t="shared" si="125"/>
        <v>136.01672662102337</v>
      </c>
      <c r="E2037" s="40">
        <v>10735.450194999999</v>
      </c>
      <c r="F2037" s="36">
        <f t="shared" si="126"/>
        <v>11084.305963042048</v>
      </c>
      <c r="G2037" s="36">
        <f t="shared" si="127"/>
        <v>10540.239056557954</v>
      </c>
      <c r="I2037" s="40">
        <v>10735.450194999999</v>
      </c>
      <c r="J2037" s="36">
        <v>11084.305963042048</v>
      </c>
      <c r="K2037" s="36">
        <v>10540.239056557954</v>
      </c>
    </row>
    <row r="2038" spans="1:11" x14ac:dyDescent="0.25">
      <c r="A2038" s="39">
        <v>43517</v>
      </c>
      <c r="B2038" s="36">
        <v>10789.849609000001</v>
      </c>
      <c r="C2038" s="36">
        <f t="shared" si="124"/>
        <v>10810.189990249999</v>
      </c>
      <c r="D2038" s="36">
        <f t="shared" si="125"/>
        <v>136.02569432988886</v>
      </c>
      <c r="E2038" s="40">
        <v>10789.849609000001</v>
      </c>
      <c r="F2038" s="36">
        <f t="shared" si="126"/>
        <v>11082.241378909777</v>
      </c>
      <c r="G2038" s="36">
        <f t="shared" si="127"/>
        <v>10538.138601590221</v>
      </c>
      <c r="I2038" s="40">
        <v>10789.849609000001</v>
      </c>
      <c r="J2038" s="36">
        <v>11082.241378909777</v>
      </c>
      <c r="K2038" s="36">
        <v>10538.138601590221</v>
      </c>
    </row>
    <row r="2039" spans="1:11" x14ac:dyDescent="0.25">
      <c r="A2039" s="39">
        <v>43518</v>
      </c>
      <c r="B2039" s="36">
        <v>10791.650390999999</v>
      </c>
      <c r="C2039" s="36">
        <f t="shared" si="124"/>
        <v>10807.282519550001</v>
      </c>
      <c r="D2039" s="36">
        <f t="shared" si="125"/>
        <v>135.75568466124668</v>
      </c>
      <c r="E2039" s="40">
        <v>10791.650390999999</v>
      </c>
      <c r="F2039" s="36">
        <f t="shared" si="126"/>
        <v>11078.793888872495</v>
      </c>
      <c r="G2039" s="36">
        <f t="shared" si="127"/>
        <v>10535.771150227507</v>
      </c>
      <c r="I2039" s="40">
        <v>10791.650390999999</v>
      </c>
      <c r="J2039" s="36">
        <v>11078.793888872495</v>
      </c>
      <c r="K2039" s="36">
        <v>10535.771150227507</v>
      </c>
    </row>
    <row r="2040" spans="1:11" x14ac:dyDescent="0.25">
      <c r="A2040" s="39">
        <v>43521</v>
      </c>
      <c r="B2040" s="36">
        <v>10880.099609000001</v>
      </c>
      <c r="C2040" s="36">
        <f t="shared" si="124"/>
        <v>10812.26000975</v>
      </c>
      <c r="D2040" s="36">
        <f t="shared" si="125"/>
        <v>136.54663648153112</v>
      </c>
      <c r="E2040" s="40">
        <v>10880.099609000001</v>
      </c>
      <c r="F2040" s="36">
        <f t="shared" si="126"/>
        <v>11085.353282713062</v>
      </c>
      <c r="G2040" s="36">
        <f t="shared" si="127"/>
        <v>10539.166736786938</v>
      </c>
      <c r="I2040" s="40">
        <v>10880.099609000001</v>
      </c>
      <c r="J2040" s="36">
        <v>11085.353282713062</v>
      </c>
      <c r="K2040" s="36">
        <v>10539.166736786938</v>
      </c>
    </row>
    <row r="2041" spans="1:11" x14ac:dyDescent="0.25">
      <c r="A2041" s="39">
        <v>43522</v>
      </c>
      <c r="B2041" s="36">
        <v>10835.299805000001</v>
      </c>
      <c r="C2041" s="36">
        <f t="shared" si="124"/>
        <v>10820.94750975</v>
      </c>
      <c r="D2041" s="36">
        <f t="shared" si="125"/>
        <v>131.90157973164048</v>
      </c>
      <c r="E2041" s="40">
        <v>10835.299805000001</v>
      </c>
      <c r="F2041" s="36">
        <f t="shared" si="126"/>
        <v>11084.750669213281</v>
      </c>
      <c r="G2041" s="36">
        <f t="shared" si="127"/>
        <v>10557.144350286719</v>
      </c>
      <c r="I2041" s="40">
        <v>10835.299805000001</v>
      </c>
      <c r="J2041" s="36">
        <v>11084.750669213281</v>
      </c>
      <c r="K2041" s="36">
        <v>10557.144350286719</v>
      </c>
    </row>
    <row r="2042" spans="1:11" x14ac:dyDescent="0.25">
      <c r="A2042" s="39">
        <v>43523</v>
      </c>
      <c r="B2042" s="36">
        <v>10806.650390999999</v>
      </c>
      <c r="C2042" s="36">
        <f t="shared" si="124"/>
        <v>10828.67001955</v>
      </c>
      <c r="D2042" s="36">
        <f t="shared" si="125"/>
        <v>125.88602117022529</v>
      </c>
      <c r="E2042" s="40">
        <v>10806.650390999999</v>
      </c>
      <c r="F2042" s="36">
        <f t="shared" si="126"/>
        <v>11080.44206189045</v>
      </c>
      <c r="G2042" s="36">
        <f t="shared" si="127"/>
        <v>10576.89797720955</v>
      </c>
      <c r="I2042" s="40">
        <v>10806.650390999999</v>
      </c>
      <c r="J2042" s="36">
        <v>11080.44206189045</v>
      </c>
      <c r="K2042" s="36">
        <v>10576.89797720955</v>
      </c>
    </row>
    <row r="2043" spans="1:11" x14ac:dyDescent="0.25">
      <c r="A2043" s="39">
        <v>43524</v>
      </c>
      <c r="B2043" s="36">
        <v>10792.5</v>
      </c>
      <c r="C2043" s="36">
        <f t="shared" si="124"/>
        <v>10835.705029300001</v>
      </c>
      <c r="D2043" s="36">
        <f t="shared" si="125"/>
        <v>119.23746463321143</v>
      </c>
      <c r="E2043" s="40">
        <v>10792.5</v>
      </c>
      <c r="F2043" s="36">
        <f t="shared" si="126"/>
        <v>11074.179958566425</v>
      </c>
      <c r="G2043" s="36">
        <f t="shared" si="127"/>
        <v>10597.230100033577</v>
      </c>
      <c r="I2043" s="40">
        <v>10792.5</v>
      </c>
      <c r="J2043" s="36">
        <v>11074.179958566425</v>
      </c>
      <c r="K2043" s="36">
        <v>10597.230100033577</v>
      </c>
    </row>
    <row r="2044" spans="1:11" x14ac:dyDescent="0.25">
      <c r="A2044" s="39">
        <v>43525</v>
      </c>
      <c r="B2044" s="36">
        <v>10863.5</v>
      </c>
      <c r="C2044" s="36">
        <f t="shared" si="124"/>
        <v>10837.33251955</v>
      </c>
      <c r="D2044" s="36">
        <f t="shared" si="125"/>
        <v>119.39118893869035</v>
      </c>
      <c r="E2044" s="40">
        <v>10863.5</v>
      </c>
      <c r="F2044" s="36">
        <f t="shared" si="126"/>
        <v>11076.11489742738</v>
      </c>
      <c r="G2044" s="36">
        <f t="shared" si="127"/>
        <v>10598.55014167262</v>
      </c>
      <c r="I2044" s="40">
        <v>10863.5</v>
      </c>
      <c r="J2044" s="36">
        <v>11076.11489742738</v>
      </c>
      <c r="K2044" s="36">
        <v>10598.55014167262</v>
      </c>
    </row>
    <row r="2045" spans="1:11" x14ac:dyDescent="0.25">
      <c r="A2045" s="39">
        <v>43529</v>
      </c>
      <c r="B2045" s="36">
        <v>10987.450194999999</v>
      </c>
      <c r="C2045" s="36">
        <f t="shared" si="124"/>
        <v>10842.022509750001</v>
      </c>
      <c r="D2045" s="36">
        <f t="shared" si="125"/>
        <v>123.49186156948026</v>
      </c>
      <c r="E2045" s="40">
        <v>10987.450194999999</v>
      </c>
      <c r="F2045" s="36">
        <f t="shared" si="126"/>
        <v>11089.006232888962</v>
      </c>
      <c r="G2045" s="36">
        <f t="shared" si="127"/>
        <v>10595.03878661104</v>
      </c>
      <c r="I2045" s="40">
        <v>10987.450194999999</v>
      </c>
      <c r="J2045" s="36">
        <v>11089.006232888962</v>
      </c>
      <c r="K2045" s="36">
        <v>10595.03878661104</v>
      </c>
    </row>
    <row r="2046" spans="1:11" x14ac:dyDescent="0.25">
      <c r="A2046" s="39">
        <v>43530</v>
      </c>
      <c r="B2046" s="36">
        <v>11053</v>
      </c>
      <c r="C2046" s="36">
        <f t="shared" si="124"/>
        <v>10849.060009749999</v>
      </c>
      <c r="D2046" s="36">
        <f t="shared" si="125"/>
        <v>131.45814432626412</v>
      </c>
      <c r="E2046" s="40">
        <v>11053</v>
      </c>
      <c r="F2046" s="36">
        <f t="shared" si="126"/>
        <v>11111.976298402527</v>
      </c>
      <c r="G2046" s="36">
        <f t="shared" si="127"/>
        <v>10586.143721097471</v>
      </c>
      <c r="I2046" s="40">
        <v>11053</v>
      </c>
      <c r="J2046" s="36">
        <v>11111.976298402527</v>
      </c>
      <c r="K2046" s="36">
        <v>10586.143721097471</v>
      </c>
    </row>
    <row r="2047" spans="1:11" x14ac:dyDescent="0.25">
      <c r="A2047" s="39">
        <v>43531</v>
      </c>
      <c r="B2047" s="36">
        <v>11058.200194999999</v>
      </c>
      <c r="C2047" s="36">
        <f t="shared" si="124"/>
        <v>10855.252539050001</v>
      </c>
      <c r="D2047" s="36">
        <f t="shared" si="125"/>
        <v>138.42002886864694</v>
      </c>
      <c r="E2047" s="40">
        <v>11058.200194999999</v>
      </c>
      <c r="F2047" s="36">
        <f t="shared" si="126"/>
        <v>11132.092596787295</v>
      </c>
      <c r="G2047" s="36">
        <f t="shared" si="127"/>
        <v>10578.412481312707</v>
      </c>
      <c r="I2047" s="40">
        <v>11058.200194999999</v>
      </c>
      <c r="J2047" s="36">
        <v>11132.092596787295</v>
      </c>
      <c r="K2047" s="36">
        <v>10578.412481312707</v>
      </c>
    </row>
    <row r="2048" spans="1:11" x14ac:dyDescent="0.25">
      <c r="A2048" s="39">
        <v>43532</v>
      </c>
      <c r="B2048" s="36">
        <v>11035.400390999999</v>
      </c>
      <c r="C2048" s="36">
        <f t="shared" si="124"/>
        <v>10853.900048850001</v>
      </c>
      <c r="D2048" s="36">
        <f t="shared" si="125"/>
        <v>136.4064705179546</v>
      </c>
      <c r="E2048" s="40">
        <v>11035.400390999999</v>
      </c>
      <c r="F2048" s="36">
        <f t="shared" si="126"/>
        <v>11126.712989885909</v>
      </c>
      <c r="G2048" s="36">
        <f t="shared" si="127"/>
        <v>10581.087107814092</v>
      </c>
      <c r="I2048" s="40">
        <v>11035.400390999999</v>
      </c>
      <c r="J2048" s="36">
        <v>11126.712989885909</v>
      </c>
      <c r="K2048" s="36">
        <v>10581.087107814092</v>
      </c>
    </row>
    <row r="2049" spans="1:11" x14ac:dyDescent="0.25">
      <c r="A2049" s="39">
        <v>43535</v>
      </c>
      <c r="B2049" s="36">
        <v>11168.049805000001</v>
      </c>
      <c r="C2049" s="36">
        <f t="shared" si="124"/>
        <v>10858.83251955</v>
      </c>
      <c r="D2049" s="36">
        <f t="shared" si="125"/>
        <v>146.0516969148357</v>
      </c>
      <c r="E2049" s="40">
        <v>11168.049805000001</v>
      </c>
      <c r="F2049" s="36">
        <f t="shared" si="126"/>
        <v>11150.935913379672</v>
      </c>
      <c r="G2049" s="36">
        <f t="shared" si="127"/>
        <v>10566.729125720329</v>
      </c>
      <c r="I2049" s="40">
        <v>11168.049805000001</v>
      </c>
      <c r="J2049" s="36">
        <v>11150.935913379672</v>
      </c>
      <c r="K2049" s="36">
        <v>10566.729125720329</v>
      </c>
    </row>
    <row r="2050" spans="1:11" x14ac:dyDescent="0.25">
      <c r="A2050" s="39">
        <v>43536</v>
      </c>
      <c r="B2050" s="36">
        <v>11301.200194999999</v>
      </c>
      <c r="C2050" s="36">
        <f t="shared" si="124"/>
        <v>10876.712548850001</v>
      </c>
      <c r="D2050" s="36">
        <f t="shared" si="125"/>
        <v>175.82896251698577</v>
      </c>
      <c r="E2050" s="40">
        <v>11301.200194999999</v>
      </c>
      <c r="F2050" s="36">
        <f t="shared" si="126"/>
        <v>11228.370473883971</v>
      </c>
      <c r="G2050" s="36">
        <f t="shared" si="127"/>
        <v>10525.05462381603</v>
      </c>
      <c r="I2050" s="40">
        <v>11301.200194999999</v>
      </c>
      <c r="J2050" s="36">
        <v>11228.370473883971</v>
      </c>
      <c r="K2050" s="36">
        <v>10525.05462381603</v>
      </c>
    </row>
    <row r="2051" spans="1:11" x14ac:dyDescent="0.25">
      <c r="A2051" s="39">
        <v>43537</v>
      </c>
      <c r="B2051" s="36">
        <v>11341.700194999999</v>
      </c>
      <c r="C2051" s="36">
        <f t="shared" si="124"/>
        <v>10899.357568350002</v>
      </c>
      <c r="D2051" s="36">
        <f t="shared" si="125"/>
        <v>204.32328979288602</v>
      </c>
      <c r="E2051" s="40">
        <v>11341.700194999999</v>
      </c>
      <c r="F2051" s="36">
        <f t="shared" si="126"/>
        <v>11308.004147935773</v>
      </c>
      <c r="G2051" s="36">
        <f t="shared" si="127"/>
        <v>10490.710988764231</v>
      </c>
      <c r="I2051" s="40">
        <v>11341.700194999999</v>
      </c>
      <c r="J2051" s="36">
        <v>11308.004147935773</v>
      </c>
      <c r="K2051" s="36">
        <v>10490.710988764231</v>
      </c>
    </row>
    <row r="2052" spans="1:11" x14ac:dyDescent="0.25">
      <c r="A2052" s="39">
        <v>43538</v>
      </c>
      <c r="B2052" s="36">
        <v>11343.25</v>
      </c>
      <c r="C2052" s="36">
        <f t="shared" si="124"/>
        <v>10924.950048800001</v>
      </c>
      <c r="D2052" s="36">
        <f t="shared" si="125"/>
        <v>226.24334129137938</v>
      </c>
      <c r="E2052" s="40">
        <v>11343.25</v>
      </c>
      <c r="F2052" s="36">
        <f t="shared" si="126"/>
        <v>11377.436731382761</v>
      </c>
      <c r="G2052" s="36">
        <f t="shared" si="127"/>
        <v>10472.463366217242</v>
      </c>
      <c r="I2052" s="40">
        <v>11343.25</v>
      </c>
      <c r="J2052" s="36">
        <v>11377.436731382761</v>
      </c>
      <c r="K2052" s="36">
        <v>10472.463366217242</v>
      </c>
    </row>
    <row r="2053" spans="1:11" x14ac:dyDescent="0.25">
      <c r="A2053" s="39">
        <v>43539</v>
      </c>
      <c r="B2053" s="36">
        <v>11426.849609000001</v>
      </c>
      <c r="C2053" s="36">
        <f t="shared" si="124"/>
        <v>10958.990039000002</v>
      </c>
      <c r="D2053" s="36">
        <f t="shared" si="125"/>
        <v>248.07239952714963</v>
      </c>
      <c r="E2053" s="40">
        <v>11426.849609000001</v>
      </c>
      <c r="F2053" s="36">
        <f t="shared" si="126"/>
        <v>11455.134838054302</v>
      </c>
      <c r="G2053" s="36">
        <f t="shared" si="127"/>
        <v>10462.845239945702</v>
      </c>
      <c r="I2053" s="40">
        <v>11426.849609000001</v>
      </c>
      <c r="J2053" s="36">
        <v>11455.134838054302</v>
      </c>
      <c r="K2053" s="36">
        <v>10462.845239945702</v>
      </c>
    </row>
    <row r="2054" spans="1:11" x14ac:dyDescent="0.25">
      <c r="A2054" s="39">
        <v>43542</v>
      </c>
      <c r="B2054" s="36">
        <v>11462.200194999999</v>
      </c>
      <c r="C2054" s="36">
        <f t="shared" si="124"/>
        <v>10995.880029200001</v>
      </c>
      <c r="D2054" s="36">
        <f t="shared" si="125"/>
        <v>265.59061525803151</v>
      </c>
      <c r="E2054" s="40">
        <v>11462.200194999999</v>
      </c>
      <c r="F2054" s="36">
        <f t="shared" si="126"/>
        <v>11527.061259716065</v>
      </c>
      <c r="G2054" s="36">
        <f t="shared" si="127"/>
        <v>10464.698798683938</v>
      </c>
      <c r="I2054" s="40">
        <v>11462.200194999999</v>
      </c>
      <c r="J2054" s="36">
        <v>11527.061259716065</v>
      </c>
      <c r="K2054" s="36">
        <v>10464.698798683938</v>
      </c>
    </row>
    <row r="2055" spans="1:11" x14ac:dyDescent="0.25">
      <c r="A2055" s="39">
        <v>43543</v>
      </c>
      <c r="B2055" s="36">
        <v>11532.400390999999</v>
      </c>
      <c r="C2055" s="36">
        <f t="shared" si="124"/>
        <v>11040.452539000002</v>
      </c>
      <c r="D2055" s="36">
        <f t="shared" si="125"/>
        <v>277.42935204755474</v>
      </c>
      <c r="E2055" s="40">
        <v>11532.400390999999</v>
      </c>
      <c r="F2055" s="36">
        <f t="shared" si="126"/>
        <v>11595.311243095111</v>
      </c>
      <c r="G2055" s="36">
        <f t="shared" si="127"/>
        <v>10485.593834904892</v>
      </c>
      <c r="I2055" s="40">
        <v>11532.400390999999</v>
      </c>
      <c r="J2055" s="36">
        <v>11595.311243095111</v>
      </c>
      <c r="K2055" s="36">
        <v>10485.593834904892</v>
      </c>
    </row>
    <row r="2056" spans="1:11" x14ac:dyDescent="0.25">
      <c r="A2056" s="39">
        <v>43544</v>
      </c>
      <c r="B2056" s="36">
        <v>11521.049805000001</v>
      </c>
      <c r="C2056" s="36">
        <f t="shared" si="124"/>
        <v>11086.287548800001</v>
      </c>
      <c r="D2056" s="36">
        <f t="shared" si="125"/>
        <v>277.31275012327683</v>
      </c>
      <c r="E2056" s="40">
        <v>11521.049805000001</v>
      </c>
      <c r="F2056" s="36">
        <f t="shared" si="126"/>
        <v>11640.913049046554</v>
      </c>
      <c r="G2056" s="36">
        <f t="shared" si="127"/>
        <v>10531.662048553448</v>
      </c>
      <c r="I2056" s="40">
        <v>11521.049805000001</v>
      </c>
      <c r="J2056" s="36">
        <v>11640.913049046554</v>
      </c>
      <c r="K2056" s="36">
        <v>10531.662048553448</v>
      </c>
    </row>
    <row r="2057" spans="1:11" x14ac:dyDescent="0.25">
      <c r="A2057" s="39">
        <v>43546</v>
      </c>
      <c r="B2057" s="36">
        <v>11456.900390999999</v>
      </c>
      <c r="C2057" s="36">
        <f t="shared" si="124"/>
        <v>11122.360058600001</v>
      </c>
      <c r="D2057" s="36">
        <f t="shared" si="125"/>
        <v>276.19476127454146</v>
      </c>
      <c r="E2057" s="40">
        <v>11456.900390999999</v>
      </c>
      <c r="F2057" s="36">
        <f t="shared" si="126"/>
        <v>11674.749581149084</v>
      </c>
      <c r="G2057" s="36">
        <f t="shared" si="127"/>
        <v>10569.970536050918</v>
      </c>
      <c r="I2057" s="40">
        <v>11456.900390999999</v>
      </c>
      <c r="J2057" s="36">
        <v>11674.749581149084</v>
      </c>
      <c r="K2057" s="36">
        <v>10569.970536050918</v>
      </c>
    </row>
    <row r="2058" spans="1:11" x14ac:dyDescent="0.25">
      <c r="A2058" s="39">
        <v>43549</v>
      </c>
      <c r="B2058" s="36">
        <v>11354.25</v>
      </c>
      <c r="C2058" s="36">
        <f t="shared" si="124"/>
        <v>11150.580078150002</v>
      </c>
      <c r="D2058" s="36">
        <f t="shared" si="125"/>
        <v>269.17708246038097</v>
      </c>
      <c r="E2058" s="40">
        <v>11354.25</v>
      </c>
      <c r="F2058" s="36">
        <f t="shared" si="126"/>
        <v>11688.934243070764</v>
      </c>
      <c r="G2058" s="36">
        <f t="shared" si="127"/>
        <v>10612.22591322924</v>
      </c>
      <c r="I2058" s="40">
        <v>11354.25</v>
      </c>
      <c r="J2058" s="36">
        <v>11688.934243070764</v>
      </c>
      <c r="K2058" s="36">
        <v>10612.22591322924</v>
      </c>
    </row>
    <row r="2059" spans="1:11" x14ac:dyDescent="0.25">
      <c r="A2059" s="39">
        <v>43550</v>
      </c>
      <c r="B2059" s="36">
        <v>11483.25</v>
      </c>
      <c r="C2059" s="36">
        <f t="shared" si="124"/>
        <v>11185.1600586</v>
      </c>
      <c r="D2059" s="36">
        <f t="shared" si="125"/>
        <v>265.03157590860877</v>
      </c>
      <c r="E2059" s="40">
        <v>11483.25</v>
      </c>
      <c r="F2059" s="36">
        <f t="shared" si="126"/>
        <v>11715.223210417218</v>
      </c>
      <c r="G2059" s="36">
        <f t="shared" si="127"/>
        <v>10655.096906782783</v>
      </c>
      <c r="I2059" s="40">
        <v>11483.25</v>
      </c>
      <c r="J2059" s="36">
        <v>11715.223210417218</v>
      </c>
      <c r="K2059" s="36">
        <v>10655.096906782783</v>
      </c>
    </row>
    <row r="2060" spans="1:11" x14ac:dyDescent="0.25">
      <c r="A2060" s="39">
        <v>43551</v>
      </c>
      <c r="B2060" s="36">
        <v>11445.049805000001</v>
      </c>
      <c r="C2060" s="36">
        <f t="shared" si="124"/>
        <v>11213.4075684</v>
      </c>
      <c r="D2060" s="36">
        <f t="shared" si="125"/>
        <v>260.88062954045853</v>
      </c>
      <c r="E2060" s="40">
        <v>11445.049805000001</v>
      </c>
      <c r="F2060" s="36">
        <f t="shared" si="126"/>
        <v>11735.168827480917</v>
      </c>
      <c r="G2060" s="36">
        <f t="shared" si="127"/>
        <v>10691.646309319083</v>
      </c>
      <c r="I2060" s="40">
        <v>11445.049805000001</v>
      </c>
      <c r="J2060" s="36">
        <v>11735.168827480917</v>
      </c>
      <c r="K2060" s="36">
        <v>10691.646309319083</v>
      </c>
    </row>
    <row r="2061" spans="1:11" x14ac:dyDescent="0.25">
      <c r="A2061" s="39">
        <v>43552</v>
      </c>
      <c r="B2061" s="36">
        <v>11570</v>
      </c>
      <c r="C2061" s="36">
        <f t="shared" si="124"/>
        <v>11250.14257815</v>
      </c>
      <c r="D2061" s="36">
        <f t="shared" si="125"/>
        <v>256.5272958928125</v>
      </c>
      <c r="E2061" s="40">
        <v>11570</v>
      </c>
      <c r="F2061" s="36">
        <f t="shared" si="126"/>
        <v>11763.197169935625</v>
      </c>
      <c r="G2061" s="36">
        <f t="shared" si="127"/>
        <v>10737.087986364375</v>
      </c>
      <c r="I2061" s="40">
        <v>11570</v>
      </c>
      <c r="J2061" s="36">
        <v>11763.197169935625</v>
      </c>
      <c r="K2061" s="36">
        <v>10737.087986364375</v>
      </c>
    </row>
    <row r="2062" spans="1:11" x14ac:dyDescent="0.25">
      <c r="A2062" s="39">
        <v>43556</v>
      </c>
      <c r="B2062" s="36">
        <v>11669.150390999999</v>
      </c>
      <c r="C2062" s="36">
        <f t="shared" si="124"/>
        <v>11293.267578149998</v>
      </c>
      <c r="D2062" s="36">
        <f t="shared" si="125"/>
        <v>250.47383852145239</v>
      </c>
      <c r="E2062" s="40">
        <v>11669.150390999999</v>
      </c>
      <c r="F2062" s="36">
        <f t="shared" si="126"/>
        <v>11794.215255192903</v>
      </c>
      <c r="G2062" s="36">
        <f t="shared" si="127"/>
        <v>10792.319901107094</v>
      </c>
      <c r="I2062" s="40">
        <v>11669.150390999999</v>
      </c>
      <c r="J2062" s="36">
        <v>11794.215255192903</v>
      </c>
      <c r="K2062" s="36">
        <v>10792.319901107094</v>
      </c>
    </row>
    <row r="2063" spans="1:11" x14ac:dyDescent="0.25">
      <c r="A2063" s="39">
        <v>43557</v>
      </c>
      <c r="B2063" s="36">
        <v>11713.200194999999</v>
      </c>
      <c r="C2063" s="36">
        <f t="shared" si="124"/>
        <v>11339.3025879</v>
      </c>
      <c r="D2063" s="36">
        <f t="shared" si="125"/>
        <v>237.8850368963482</v>
      </c>
      <c r="E2063" s="40">
        <v>11713.200194999999</v>
      </c>
      <c r="F2063" s="36">
        <f t="shared" si="126"/>
        <v>11815.072661692697</v>
      </c>
      <c r="G2063" s="36">
        <f t="shared" si="127"/>
        <v>10863.532514107303</v>
      </c>
      <c r="I2063" s="40">
        <v>11713.200194999999</v>
      </c>
      <c r="J2063" s="36">
        <v>11815.072661692697</v>
      </c>
      <c r="K2063" s="36">
        <v>10863.532514107303</v>
      </c>
    </row>
    <row r="2064" spans="1:11" x14ac:dyDescent="0.25">
      <c r="A2064" s="39">
        <v>43558</v>
      </c>
      <c r="B2064" s="36">
        <v>11643.950194999999</v>
      </c>
      <c r="C2064" s="36">
        <f t="shared" si="124"/>
        <v>11378.32509765</v>
      </c>
      <c r="D2064" s="36">
        <f t="shared" si="125"/>
        <v>218.98851944433355</v>
      </c>
      <c r="E2064" s="40">
        <v>11643.950194999999</v>
      </c>
      <c r="F2064" s="36">
        <f t="shared" si="126"/>
        <v>11816.302136538667</v>
      </c>
      <c r="G2064" s="36">
        <f t="shared" si="127"/>
        <v>10940.348058761334</v>
      </c>
      <c r="I2064" s="40">
        <v>11643.950194999999</v>
      </c>
      <c r="J2064" s="36">
        <v>11816.302136538667</v>
      </c>
      <c r="K2064" s="36">
        <v>10940.348058761334</v>
      </c>
    </row>
    <row r="2065" spans="1:11" x14ac:dyDescent="0.25">
      <c r="A2065" s="39">
        <v>43559</v>
      </c>
      <c r="B2065" s="36">
        <v>11598</v>
      </c>
      <c r="C2065" s="36">
        <f t="shared" si="124"/>
        <v>11408.852587900001</v>
      </c>
      <c r="D2065" s="36">
        <f t="shared" si="125"/>
        <v>203.65073058671618</v>
      </c>
      <c r="E2065" s="40">
        <v>11598</v>
      </c>
      <c r="F2065" s="36">
        <f t="shared" si="126"/>
        <v>11816.154049073433</v>
      </c>
      <c r="G2065" s="36">
        <f t="shared" si="127"/>
        <v>11001.551126726568</v>
      </c>
      <c r="I2065" s="40">
        <v>11598</v>
      </c>
      <c r="J2065" s="36">
        <v>11816.154049073433</v>
      </c>
      <c r="K2065" s="36">
        <v>11001.551126726568</v>
      </c>
    </row>
    <row r="2066" spans="1:11" x14ac:dyDescent="0.25">
      <c r="A2066" s="39">
        <v>43560</v>
      </c>
      <c r="B2066" s="36">
        <v>11665.950194999999</v>
      </c>
      <c r="C2066" s="36">
        <f t="shared" si="124"/>
        <v>11439.500097650001</v>
      </c>
      <c r="D2066" s="36">
        <f t="shared" si="125"/>
        <v>193.12955829884791</v>
      </c>
      <c r="E2066" s="40">
        <v>11665.950194999999</v>
      </c>
      <c r="F2066" s="36">
        <f t="shared" si="126"/>
        <v>11825.759214247697</v>
      </c>
      <c r="G2066" s="36">
        <f t="shared" si="127"/>
        <v>11053.240981052306</v>
      </c>
      <c r="I2066" s="40">
        <v>11665.950194999999</v>
      </c>
      <c r="J2066" s="36">
        <v>11825.759214247697</v>
      </c>
      <c r="K2066" s="36">
        <v>11053.240981052306</v>
      </c>
    </row>
    <row r="2067" spans="1:11" x14ac:dyDescent="0.25">
      <c r="A2067" s="39">
        <v>43563</v>
      </c>
      <c r="B2067" s="36">
        <v>11604.5</v>
      </c>
      <c r="C2067" s="36">
        <f t="shared" si="124"/>
        <v>11466.8150879</v>
      </c>
      <c r="D2067" s="36">
        <f t="shared" si="125"/>
        <v>174.05302846711487</v>
      </c>
      <c r="E2067" s="40">
        <v>11604.5</v>
      </c>
      <c r="F2067" s="36">
        <f t="shared" si="126"/>
        <v>11814.92114483423</v>
      </c>
      <c r="G2067" s="36">
        <f t="shared" si="127"/>
        <v>11118.709030965771</v>
      </c>
      <c r="I2067" s="40">
        <v>11604.5</v>
      </c>
      <c r="J2067" s="36">
        <v>11814.92114483423</v>
      </c>
      <c r="K2067" s="36">
        <v>11118.709030965771</v>
      </c>
    </row>
    <row r="2068" spans="1:11" x14ac:dyDescent="0.25">
      <c r="A2068" s="39">
        <v>43564</v>
      </c>
      <c r="B2068" s="36">
        <v>11671.950194999999</v>
      </c>
      <c r="C2068" s="36">
        <f t="shared" si="124"/>
        <v>11498.642578100003</v>
      </c>
      <c r="D2068" s="36">
        <f t="shared" si="125"/>
        <v>147.12985071695908</v>
      </c>
      <c r="E2068" s="40">
        <v>11671.950194999999</v>
      </c>
      <c r="F2068" s="36">
        <f t="shared" si="126"/>
        <v>11792.902279533922</v>
      </c>
      <c r="G2068" s="36">
        <f t="shared" si="127"/>
        <v>11204.382876666084</v>
      </c>
      <c r="I2068" s="40">
        <v>11671.950194999999</v>
      </c>
      <c r="J2068" s="36">
        <v>11792.902279533922</v>
      </c>
      <c r="K2068" s="36">
        <v>11204.382876666084</v>
      </c>
    </row>
    <row r="2069" spans="1:11" x14ac:dyDescent="0.25">
      <c r="A2069" s="39">
        <v>43565</v>
      </c>
      <c r="B2069" s="36">
        <v>11584.299805000001</v>
      </c>
      <c r="C2069" s="36">
        <f t="shared" si="124"/>
        <v>11519.455078100003</v>
      </c>
      <c r="D2069" s="36">
        <f t="shared" si="125"/>
        <v>125.79830185389486</v>
      </c>
      <c r="E2069" s="40">
        <v>11584.299805000001</v>
      </c>
      <c r="F2069" s="36">
        <f t="shared" si="126"/>
        <v>11771.051681807794</v>
      </c>
      <c r="G2069" s="36">
        <f t="shared" si="127"/>
        <v>11267.858474392213</v>
      </c>
      <c r="I2069" s="40">
        <v>11584.299805000001</v>
      </c>
      <c r="J2069" s="36">
        <v>11771.051681807794</v>
      </c>
      <c r="K2069" s="36">
        <v>11267.858474392213</v>
      </c>
    </row>
    <row r="2070" spans="1:11" x14ac:dyDescent="0.25">
      <c r="A2070" s="39">
        <v>43566</v>
      </c>
      <c r="B2070" s="36">
        <v>11596.700194999999</v>
      </c>
      <c r="C2070" s="36">
        <f t="shared" ref="C2070:C2133" si="128">AVERAGE(B2051:B2070)</f>
        <v>11534.230078100003</v>
      </c>
      <c r="D2070" s="36">
        <f t="shared" ref="D2070:D2133" si="129">_xlfn.STDEV.S(B2051:B2070)</f>
        <v>115.76851763326066</v>
      </c>
      <c r="E2070" s="40">
        <v>11596.700194999999</v>
      </c>
      <c r="F2070" s="36">
        <f t="shared" ref="F2070:F2133" si="130">C2070+2*D2070</f>
        <v>11765.767113366524</v>
      </c>
      <c r="G2070" s="36">
        <f t="shared" ref="G2070:G2133" si="131">C2070-2*D2070</f>
        <v>11302.693042833482</v>
      </c>
      <c r="I2070" s="40">
        <v>11596.700194999999</v>
      </c>
      <c r="J2070" s="36">
        <v>11765.767113366524</v>
      </c>
      <c r="K2070" s="36">
        <v>11302.693042833482</v>
      </c>
    </row>
    <row r="2071" spans="1:11" x14ac:dyDescent="0.25">
      <c r="A2071" s="39">
        <v>43567</v>
      </c>
      <c r="B2071" s="36">
        <v>11643.450194999999</v>
      </c>
      <c r="C2071" s="36">
        <f t="shared" si="128"/>
        <v>11549.317578100003</v>
      </c>
      <c r="D2071" s="36">
        <f t="shared" si="129"/>
        <v>108.81013612546418</v>
      </c>
      <c r="E2071" s="40">
        <v>11643.450194999999</v>
      </c>
      <c r="F2071" s="36">
        <f t="shared" si="130"/>
        <v>11766.937850350931</v>
      </c>
      <c r="G2071" s="36">
        <f t="shared" si="131"/>
        <v>11331.697305849075</v>
      </c>
      <c r="I2071" s="40">
        <v>11643.450194999999</v>
      </c>
      <c r="J2071" s="36">
        <v>11766.937850350931</v>
      </c>
      <c r="K2071" s="36">
        <v>11331.697305849075</v>
      </c>
    </row>
    <row r="2072" spans="1:11" x14ac:dyDescent="0.25">
      <c r="A2072" s="39">
        <v>43570</v>
      </c>
      <c r="B2072" s="36">
        <v>11690.349609000001</v>
      </c>
      <c r="C2072" s="36">
        <f t="shared" si="128"/>
        <v>11566.672558550003</v>
      </c>
      <c r="D2072" s="36">
        <f t="shared" si="129"/>
        <v>101.65875549746669</v>
      </c>
      <c r="E2072" s="40">
        <v>11690.349609000001</v>
      </c>
      <c r="F2072" s="36">
        <f t="shared" si="130"/>
        <v>11769.990069544936</v>
      </c>
      <c r="G2072" s="36">
        <f t="shared" si="131"/>
        <v>11363.355047555069</v>
      </c>
      <c r="I2072" s="40">
        <v>11690.349609000001</v>
      </c>
      <c r="J2072" s="36">
        <v>11769.990069544936</v>
      </c>
      <c r="K2072" s="36">
        <v>11363.355047555069</v>
      </c>
    </row>
    <row r="2073" spans="1:11" x14ac:dyDescent="0.25">
      <c r="A2073" s="39">
        <v>43571</v>
      </c>
      <c r="B2073" s="36">
        <v>11787.150390999999</v>
      </c>
      <c r="C2073" s="36">
        <f t="shared" si="128"/>
        <v>11584.687597650003</v>
      </c>
      <c r="D2073" s="36">
        <f t="shared" si="129"/>
        <v>107.34223025398188</v>
      </c>
      <c r="E2073" s="40">
        <v>11787.150390999999</v>
      </c>
      <c r="F2073" s="36">
        <f t="shared" si="130"/>
        <v>11799.372058157967</v>
      </c>
      <c r="G2073" s="36">
        <f t="shared" si="131"/>
        <v>11370.003137142039</v>
      </c>
      <c r="I2073" s="40">
        <v>11787.150390999999</v>
      </c>
      <c r="J2073" s="36">
        <v>11799.372058157967</v>
      </c>
      <c r="K2073" s="36">
        <v>11370.003137142039</v>
      </c>
    </row>
    <row r="2074" spans="1:11" x14ac:dyDescent="0.25">
      <c r="A2074" s="39">
        <v>43573</v>
      </c>
      <c r="B2074" s="36">
        <v>11752.799805000001</v>
      </c>
      <c r="C2074" s="36">
        <f t="shared" si="128"/>
        <v>11599.217578150001</v>
      </c>
      <c r="D2074" s="36">
        <f t="shared" si="129"/>
        <v>109.53511268505281</v>
      </c>
      <c r="E2074" s="40">
        <v>11752.799805000001</v>
      </c>
      <c r="F2074" s="36">
        <f t="shared" si="130"/>
        <v>11818.287803520107</v>
      </c>
      <c r="G2074" s="36">
        <f t="shared" si="131"/>
        <v>11380.147352779895</v>
      </c>
      <c r="I2074" s="40">
        <v>11752.799805000001</v>
      </c>
      <c r="J2074" s="36">
        <v>11818.287803520107</v>
      </c>
      <c r="K2074" s="36">
        <v>11380.147352779895</v>
      </c>
    </row>
    <row r="2075" spans="1:11" x14ac:dyDescent="0.25">
      <c r="A2075" s="39">
        <v>43577</v>
      </c>
      <c r="B2075" s="36">
        <v>11594.450194999999</v>
      </c>
      <c r="C2075" s="36">
        <f t="shared" si="128"/>
        <v>11602.32006835</v>
      </c>
      <c r="D2075" s="36">
        <f t="shared" si="129"/>
        <v>108.41600188801415</v>
      </c>
      <c r="E2075" s="40">
        <v>11594.450194999999</v>
      </c>
      <c r="F2075" s="36">
        <f t="shared" si="130"/>
        <v>11819.152072126028</v>
      </c>
      <c r="G2075" s="36">
        <f t="shared" si="131"/>
        <v>11385.488064573972</v>
      </c>
      <c r="I2075" s="40">
        <v>11594.450194999999</v>
      </c>
      <c r="J2075" s="36">
        <v>11819.152072126028</v>
      </c>
      <c r="K2075" s="36">
        <v>11385.488064573972</v>
      </c>
    </row>
    <row r="2076" spans="1:11" x14ac:dyDescent="0.25">
      <c r="A2076" s="39">
        <v>43578</v>
      </c>
      <c r="B2076" s="36">
        <v>11575.950194999999</v>
      </c>
      <c r="C2076" s="36">
        <f t="shared" si="128"/>
        <v>11605.065087850002</v>
      </c>
      <c r="D2076" s="36">
        <f t="shared" si="129"/>
        <v>106.93489699632177</v>
      </c>
      <c r="E2076" s="40">
        <v>11575.950194999999</v>
      </c>
      <c r="F2076" s="36">
        <f t="shared" si="130"/>
        <v>11818.934881842646</v>
      </c>
      <c r="G2076" s="36">
        <f t="shared" si="131"/>
        <v>11391.195293857358</v>
      </c>
      <c r="I2076" s="40">
        <v>11575.950194999999</v>
      </c>
      <c r="J2076" s="36">
        <v>11818.934881842646</v>
      </c>
      <c r="K2076" s="36">
        <v>11391.195293857358</v>
      </c>
    </row>
    <row r="2077" spans="1:11" x14ac:dyDescent="0.25">
      <c r="A2077" s="39">
        <v>43579</v>
      </c>
      <c r="B2077" s="36">
        <v>11726.150390999999</v>
      </c>
      <c r="C2077" s="36">
        <f t="shared" si="128"/>
        <v>11618.527587850002</v>
      </c>
      <c r="D2077" s="36">
        <f t="shared" si="129"/>
        <v>104.21396684805431</v>
      </c>
      <c r="E2077" s="40">
        <v>11726.150390999999</v>
      </c>
      <c r="F2077" s="36">
        <f t="shared" si="130"/>
        <v>11826.95552154611</v>
      </c>
      <c r="G2077" s="36">
        <f t="shared" si="131"/>
        <v>11410.099654153893</v>
      </c>
      <c r="I2077" s="40">
        <v>11726.150390999999</v>
      </c>
      <c r="J2077" s="36">
        <v>11826.95552154611</v>
      </c>
      <c r="K2077" s="36">
        <v>11410.099654153893</v>
      </c>
    </row>
    <row r="2078" spans="1:11" x14ac:dyDescent="0.25">
      <c r="A2078" s="39">
        <v>43580</v>
      </c>
      <c r="B2078" s="36">
        <v>11641.799805000001</v>
      </c>
      <c r="C2078" s="36">
        <f t="shared" si="128"/>
        <v>11632.905078100001</v>
      </c>
      <c r="D2078" s="36">
        <f t="shared" si="129"/>
        <v>83.63931805563611</v>
      </c>
      <c r="E2078" s="40">
        <v>11641.799805000001</v>
      </c>
      <c r="F2078" s="36">
        <f t="shared" si="130"/>
        <v>11800.183714211273</v>
      </c>
      <c r="G2078" s="36">
        <f t="shared" si="131"/>
        <v>11465.626441988728</v>
      </c>
      <c r="I2078" s="40">
        <v>11641.799805000001</v>
      </c>
      <c r="J2078" s="36">
        <v>11800.183714211273</v>
      </c>
      <c r="K2078" s="36">
        <v>11465.626441988728</v>
      </c>
    </row>
    <row r="2079" spans="1:11" x14ac:dyDescent="0.25">
      <c r="A2079" s="39">
        <v>43581</v>
      </c>
      <c r="B2079" s="36">
        <v>11754.650390999999</v>
      </c>
      <c r="C2079" s="36">
        <f t="shared" si="128"/>
        <v>11646.47509765</v>
      </c>
      <c r="D2079" s="36">
        <f t="shared" si="129"/>
        <v>80.018927093821276</v>
      </c>
      <c r="E2079" s="40">
        <v>11754.650390999999</v>
      </c>
      <c r="F2079" s="36">
        <f t="shared" si="130"/>
        <v>11806.512951837642</v>
      </c>
      <c r="G2079" s="36">
        <f t="shared" si="131"/>
        <v>11486.437243462358</v>
      </c>
      <c r="I2079" s="40">
        <v>11754.650390999999</v>
      </c>
      <c r="J2079" s="36">
        <v>11806.512951837642</v>
      </c>
      <c r="K2079" s="36">
        <v>11486.437243462358</v>
      </c>
    </row>
    <row r="2080" spans="1:11" x14ac:dyDescent="0.25">
      <c r="A2080" s="39">
        <v>43585</v>
      </c>
      <c r="B2080" s="36">
        <v>11748.150390999999</v>
      </c>
      <c r="C2080" s="36">
        <f t="shared" si="128"/>
        <v>11661.63012695</v>
      </c>
      <c r="D2080" s="36">
        <f t="shared" si="129"/>
        <v>67.601683126303158</v>
      </c>
      <c r="E2080" s="40">
        <v>11748.150390999999</v>
      </c>
      <c r="F2080" s="36">
        <f t="shared" si="130"/>
        <v>11796.833493202606</v>
      </c>
      <c r="G2080" s="36">
        <f t="shared" si="131"/>
        <v>11526.426760697394</v>
      </c>
      <c r="I2080" s="40">
        <v>11748.150390999999</v>
      </c>
      <c r="J2080" s="36">
        <v>11796.833493202606</v>
      </c>
      <c r="K2080" s="36">
        <v>11526.426760697394</v>
      </c>
    </row>
    <row r="2081" spans="1:11" x14ac:dyDescent="0.25">
      <c r="A2081" s="39">
        <v>43587</v>
      </c>
      <c r="B2081" s="36">
        <v>11724.75</v>
      </c>
      <c r="C2081" s="36">
        <f t="shared" si="128"/>
        <v>11669.367626949999</v>
      </c>
      <c r="D2081" s="36">
        <f t="shared" si="129"/>
        <v>65.381642262000511</v>
      </c>
      <c r="E2081" s="40">
        <v>11724.75</v>
      </c>
      <c r="F2081" s="36">
        <f t="shared" si="130"/>
        <v>11800.130911474</v>
      </c>
      <c r="G2081" s="36">
        <f t="shared" si="131"/>
        <v>11538.604342425999</v>
      </c>
      <c r="I2081" s="40">
        <v>11724.75</v>
      </c>
      <c r="J2081" s="36">
        <v>11800.130911474</v>
      </c>
      <c r="K2081" s="36">
        <v>11538.604342425999</v>
      </c>
    </row>
    <row r="2082" spans="1:11" x14ac:dyDescent="0.25">
      <c r="A2082" s="39">
        <v>43588</v>
      </c>
      <c r="B2082" s="36">
        <v>11712.25</v>
      </c>
      <c r="C2082" s="36">
        <f t="shared" si="128"/>
        <v>11671.5226074</v>
      </c>
      <c r="D2082" s="36">
        <f t="shared" si="129"/>
        <v>66.080650748990749</v>
      </c>
      <c r="E2082" s="40">
        <v>11712.25</v>
      </c>
      <c r="F2082" s="36">
        <f t="shared" si="130"/>
        <v>11803.683908897981</v>
      </c>
      <c r="G2082" s="36">
        <f t="shared" si="131"/>
        <v>11539.361305902019</v>
      </c>
      <c r="I2082" s="40">
        <v>11712.25</v>
      </c>
      <c r="J2082" s="36">
        <v>11803.683908897981</v>
      </c>
      <c r="K2082" s="36">
        <v>11539.361305902019</v>
      </c>
    </row>
    <row r="2083" spans="1:11" x14ac:dyDescent="0.25">
      <c r="A2083" s="39">
        <v>43591</v>
      </c>
      <c r="B2083" s="36">
        <v>11598.25</v>
      </c>
      <c r="C2083" s="36">
        <f t="shared" si="128"/>
        <v>11665.775097649999</v>
      </c>
      <c r="D2083" s="36">
        <f t="shared" si="129"/>
        <v>67.253476523445755</v>
      </c>
      <c r="E2083" s="40">
        <v>11598.25</v>
      </c>
      <c r="F2083" s="36">
        <f t="shared" si="130"/>
        <v>11800.282050696891</v>
      </c>
      <c r="G2083" s="36">
        <f t="shared" si="131"/>
        <v>11531.268144603107</v>
      </c>
      <c r="I2083" s="40">
        <v>11598.25</v>
      </c>
      <c r="J2083" s="36">
        <v>11800.282050696891</v>
      </c>
      <c r="K2083" s="36">
        <v>11531.268144603107</v>
      </c>
    </row>
    <row r="2084" spans="1:11" x14ac:dyDescent="0.25">
      <c r="A2084" s="39">
        <v>43592</v>
      </c>
      <c r="B2084" s="36">
        <v>11497.900390999999</v>
      </c>
      <c r="C2084" s="36">
        <f t="shared" si="128"/>
        <v>11658.472607449999</v>
      </c>
      <c r="D2084" s="36">
        <f t="shared" si="129"/>
        <v>76.974580725691354</v>
      </c>
      <c r="E2084" s="40">
        <v>11497.900390999999</v>
      </c>
      <c r="F2084" s="36">
        <f t="shared" si="130"/>
        <v>11812.421768901382</v>
      </c>
      <c r="G2084" s="36">
        <f t="shared" si="131"/>
        <v>11504.523445998617</v>
      </c>
      <c r="I2084" s="40">
        <v>11497.900390999999</v>
      </c>
      <c r="J2084" s="36">
        <v>11812.421768901382</v>
      </c>
      <c r="K2084" s="36">
        <v>11504.523445998617</v>
      </c>
    </row>
    <row r="2085" spans="1:11" x14ac:dyDescent="0.25">
      <c r="A2085" s="39">
        <v>43593</v>
      </c>
      <c r="B2085" s="36">
        <v>11359.450194999999</v>
      </c>
      <c r="C2085" s="36">
        <f t="shared" si="128"/>
        <v>11646.545117199999</v>
      </c>
      <c r="D2085" s="36">
        <f t="shared" si="129"/>
        <v>101.43413779714739</v>
      </c>
      <c r="E2085" s="40">
        <v>11359.450194999999</v>
      </c>
      <c r="F2085" s="36">
        <f t="shared" si="130"/>
        <v>11849.413392794295</v>
      </c>
      <c r="G2085" s="36">
        <f t="shared" si="131"/>
        <v>11443.676841605704</v>
      </c>
      <c r="I2085" s="40">
        <v>11359.450194999999</v>
      </c>
      <c r="J2085" s="36">
        <v>11849.413392794295</v>
      </c>
      <c r="K2085" s="36">
        <v>11443.676841605704</v>
      </c>
    </row>
    <row r="2086" spans="1:11" x14ac:dyDescent="0.25">
      <c r="A2086" s="39">
        <v>43594</v>
      </c>
      <c r="B2086" s="36">
        <v>11301.799805000001</v>
      </c>
      <c r="C2086" s="36">
        <f t="shared" si="128"/>
        <v>11628.3375977</v>
      </c>
      <c r="D2086" s="36">
        <f t="shared" si="129"/>
        <v>127.18227694615403</v>
      </c>
      <c r="E2086" s="40">
        <v>11301.799805000001</v>
      </c>
      <c r="F2086" s="36">
        <f t="shared" si="130"/>
        <v>11882.702151592308</v>
      </c>
      <c r="G2086" s="36">
        <f t="shared" si="131"/>
        <v>11373.973043807691</v>
      </c>
      <c r="I2086" s="40">
        <v>11301.799805000001</v>
      </c>
      <c r="J2086" s="36">
        <v>11882.702151592308</v>
      </c>
      <c r="K2086" s="36">
        <v>11373.973043807691</v>
      </c>
    </row>
    <row r="2087" spans="1:11" x14ac:dyDescent="0.25">
      <c r="A2087" s="39">
        <v>43595</v>
      </c>
      <c r="B2087" s="36">
        <v>11278.900390999999</v>
      </c>
      <c r="C2087" s="36">
        <f t="shared" si="128"/>
        <v>11612.05761725</v>
      </c>
      <c r="D2087" s="36">
        <f t="shared" si="129"/>
        <v>149.30870086186511</v>
      </c>
      <c r="E2087" s="40">
        <v>11278.900390999999</v>
      </c>
      <c r="F2087" s="36">
        <f t="shared" si="130"/>
        <v>11910.67501897373</v>
      </c>
      <c r="G2087" s="36">
        <f t="shared" si="131"/>
        <v>11313.440215526271</v>
      </c>
      <c r="I2087" s="40">
        <v>11278.900390999999</v>
      </c>
      <c r="J2087" s="36">
        <v>11910.67501897373</v>
      </c>
      <c r="K2087" s="36">
        <v>11313.440215526271</v>
      </c>
    </row>
    <row r="2088" spans="1:11" x14ac:dyDescent="0.25">
      <c r="A2088" s="39">
        <v>43598</v>
      </c>
      <c r="B2088" s="36">
        <v>11148.200194999999</v>
      </c>
      <c r="C2088" s="36">
        <f t="shared" si="128"/>
        <v>11585.87011725</v>
      </c>
      <c r="D2088" s="36">
        <f t="shared" si="129"/>
        <v>180.85026651755979</v>
      </c>
      <c r="E2088" s="40">
        <v>11148.200194999999</v>
      </c>
      <c r="F2088" s="36">
        <f t="shared" si="130"/>
        <v>11947.570650285121</v>
      </c>
      <c r="G2088" s="36">
        <f t="shared" si="131"/>
        <v>11224.16958421488</v>
      </c>
      <c r="I2088" s="40">
        <v>11148.200194999999</v>
      </c>
      <c r="J2088" s="36">
        <v>11947.570650285121</v>
      </c>
      <c r="K2088" s="36">
        <v>11224.16958421488</v>
      </c>
    </row>
    <row r="2089" spans="1:11" x14ac:dyDescent="0.25">
      <c r="A2089" s="39">
        <v>43599</v>
      </c>
      <c r="B2089" s="36">
        <v>11222.049805000001</v>
      </c>
      <c r="C2089" s="36">
        <f t="shared" si="128"/>
        <v>11567.757617250001</v>
      </c>
      <c r="D2089" s="36">
        <f t="shared" si="129"/>
        <v>198.31275932225157</v>
      </c>
      <c r="E2089" s="40">
        <v>11222.049805000001</v>
      </c>
      <c r="F2089" s="36">
        <f t="shared" si="130"/>
        <v>11964.383135894504</v>
      </c>
      <c r="G2089" s="36">
        <f t="shared" si="131"/>
        <v>11171.132098605498</v>
      </c>
      <c r="I2089" s="40">
        <v>11222.049805000001</v>
      </c>
      <c r="J2089" s="36">
        <v>11964.383135894504</v>
      </c>
      <c r="K2089" s="36">
        <v>11171.132098605498</v>
      </c>
    </row>
    <row r="2090" spans="1:11" x14ac:dyDescent="0.25">
      <c r="A2090" s="39">
        <v>43600</v>
      </c>
      <c r="B2090" s="36">
        <v>11157</v>
      </c>
      <c r="C2090" s="36">
        <f t="shared" si="128"/>
        <v>11545.772607500001</v>
      </c>
      <c r="D2090" s="36">
        <f t="shared" si="129"/>
        <v>218.30066108080709</v>
      </c>
      <c r="E2090" s="40">
        <v>11157</v>
      </c>
      <c r="F2090" s="36">
        <f t="shared" si="130"/>
        <v>11982.373929661615</v>
      </c>
      <c r="G2090" s="36">
        <f t="shared" si="131"/>
        <v>11109.171285338387</v>
      </c>
      <c r="I2090" s="40">
        <v>11157</v>
      </c>
      <c r="J2090" s="36">
        <v>11982.373929661615</v>
      </c>
      <c r="K2090" s="36">
        <v>11109.171285338387</v>
      </c>
    </row>
    <row r="2091" spans="1:11" x14ac:dyDescent="0.25">
      <c r="A2091" s="39">
        <v>43601</v>
      </c>
      <c r="B2091" s="36">
        <v>11257.099609000001</v>
      </c>
      <c r="C2091" s="36">
        <f t="shared" si="128"/>
        <v>11526.455078200001</v>
      </c>
      <c r="D2091" s="36">
        <f t="shared" si="129"/>
        <v>226.15507536295627</v>
      </c>
      <c r="E2091" s="40">
        <v>11257.099609000001</v>
      </c>
      <c r="F2091" s="36">
        <f t="shared" si="130"/>
        <v>11978.765228925913</v>
      </c>
      <c r="G2091" s="36">
        <f t="shared" si="131"/>
        <v>11074.144927474088</v>
      </c>
      <c r="I2091" s="40">
        <v>11257.099609000001</v>
      </c>
      <c r="J2091" s="36">
        <v>11978.765228925913</v>
      </c>
      <c r="K2091" s="36">
        <v>11074.144927474088</v>
      </c>
    </row>
    <row r="2092" spans="1:11" x14ac:dyDescent="0.25">
      <c r="A2092" s="39">
        <v>43602</v>
      </c>
      <c r="B2092" s="36">
        <v>11407.150390999999</v>
      </c>
      <c r="C2092" s="36">
        <f t="shared" si="128"/>
        <v>11512.2951173</v>
      </c>
      <c r="D2092" s="36">
        <f t="shared" si="129"/>
        <v>224.2107027639299</v>
      </c>
      <c r="E2092" s="40">
        <v>11407.150390999999</v>
      </c>
      <c r="F2092" s="36">
        <f t="shared" si="130"/>
        <v>11960.716522827859</v>
      </c>
      <c r="G2092" s="36">
        <f t="shared" si="131"/>
        <v>11063.873711772141</v>
      </c>
      <c r="I2092" s="40">
        <v>11407.150390999999</v>
      </c>
      <c r="J2092" s="36">
        <v>11960.716522827859</v>
      </c>
      <c r="K2092" s="36">
        <v>11063.873711772141</v>
      </c>
    </row>
    <row r="2093" spans="1:11" x14ac:dyDescent="0.25">
      <c r="A2093" s="39">
        <v>43605</v>
      </c>
      <c r="B2093" s="36">
        <v>11828.25</v>
      </c>
      <c r="C2093" s="36">
        <f t="shared" si="128"/>
        <v>11514.350097750001</v>
      </c>
      <c r="D2093" s="36">
        <f t="shared" si="129"/>
        <v>227.03303179241777</v>
      </c>
      <c r="E2093" s="40">
        <v>11828.25</v>
      </c>
      <c r="F2093" s="36">
        <f t="shared" si="130"/>
        <v>11968.416161334837</v>
      </c>
      <c r="G2093" s="36">
        <f t="shared" si="131"/>
        <v>11060.284034165164</v>
      </c>
      <c r="I2093" s="40">
        <v>11828.25</v>
      </c>
      <c r="J2093" s="36">
        <v>11968.416161334837</v>
      </c>
      <c r="K2093" s="36">
        <v>11060.284034165164</v>
      </c>
    </row>
    <row r="2094" spans="1:11" x14ac:dyDescent="0.25">
      <c r="A2094" s="39">
        <v>43606</v>
      </c>
      <c r="B2094" s="36">
        <v>11709.099609000001</v>
      </c>
      <c r="C2094" s="36">
        <f t="shared" si="128"/>
        <v>11512.165087949999</v>
      </c>
      <c r="D2094" s="36">
        <f t="shared" si="129"/>
        <v>224.81683502005569</v>
      </c>
      <c r="E2094" s="40">
        <v>11709.099609000001</v>
      </c>
      <c r="F2094" s="36">
        <f t="shared" si="130"/>
        <v>11961.798757990111</v>
      </c>
      <c r="G2094" s="36">
        <f t="shared" si="131"/>
        <v>11062.531417909888</v>
      </c>
      <c r="I2094" s="40">
        <v>11709.099609000001</v>
      </c>
      <c r="J2094" s="36">
        <v>11961.798757990111</v>
      </c>
      <c r="K2094" s="36">
        <v>11062.531417909888</v>
      </c>
    </row>
    <row r="2095" spans="1:11" x14ac:dyDescent="0.25">
      <c r="A2095" s="39">
        <v>43607</v>
      </c>
      <c r="B2095" s="36">
        <v>11737.900390999999</v>
      </c>
      <c r="C2095" s="36">
        <f t="shared" si="128"/>
        <v>11519.33759775</v>
      </c>
      <c r="D2095" s="36">
        <f t="shared" si="129"/>
        <v>229.81299802052871</v>
      </c>
      <c r="E2095" s="40">
        <v>11737.900390999999</v>
      </c>
      <c r="F2095" s="36">
        <f t="shared" si="130"/>
        <v>11978.963593791057</v>
      </c>
      <c r="G2095" s="36">
        <f t="shared" si="131"/>
        <v>11059.711601708943</v>
      </c>
      <c r="I2095" s="40">
        <v>11737.900390999999</v>
      </c>
      <c r="J2095" s="36">
        <v>11978.963593791057</v>
      </c>
      <c r="K2095" s="36">
        <v>11059.711601708943</v>
      </c>
    </row>
    <row r="2096" spans="1:11" x14ac:dyDescent="0.25">
      <c r="A2096" s="39">
        <v>43608</v>
      </c>
      <c r="B2096" s="36">
        <v>11657.049805000001</v>
      </c>
      <c r="C2096" s="36">
        <f t="shared" si="128"/>
        <v>11523.392578249999</v>
      </c>
      <c r="D2096" s="36">
        <f t="shared" si="129"/>
        <v>231.57323220978532</v>
      </c>
      <c r="E2096" s="40">
        <v>11657.049805000001</v>
      </c>
      <c r="F2096" s="36">
        <f t="shared" si="130"/>
        <v>11986.53904266957</v>
      </c>
      <c r="G2096" s="36">
        <f t="shared" si="131"/>
        <v>11060.246113830428</v>
      </c>
      <c r="I2096" s="40">
        <v>11657.049805000001</v>
      </c>
      <c r="J2096" s="36">
        <v>11986.53904266957</v>
      </c>
      <c r="K2096" s="36">
        <v>11060.246113830428</v>
      </c>
    </row>
    <row r="2097" spans="1:11" x14ac:dyDescent="0.25">
      <c r="A2097" s="39">
        <v>43609</v>
      </c>
      <c r="B2097" s="36">
        <v>11844.099609000001</v>
      </c>
      <c r="C2097" s="36">
        <f t="shared" si="128"/>
        <v>11529.290039149999</v>
      </c>
      <c r="D2097" s="36">
        <f t="shared" si="129"/>
        <v>238.40961474845562</v>
      </c>
      <c r="E2097" s="40">
        <v>11844.099609000001</v>
      </c>
      <c r="F2097" s="36">
        <f t="shared" si="130"/>
        <v>12006.109268646909</v>
      </c>
      <c r="G2097" s="36">
        <f t="shared" si="131"/>
        <v>11052.470809653089</v>
      </c>
      <c r="I2097" s="40">
        <v>11844.099609000001</v>
      </c>
      <c r="J2097" s="36">
        <v>12006.109268646909</v>
      </c>
      <c r="K2097" s="36">
        <v>11052.470809653089</v>
      </c>
    </row>
    <row r="2098" spans="1:11" x14ac:dyDescent="0.25">
      <c r="A2098" s="39">
        <v>43612</v>
      </c>
      <c r="B2098" s="36">
        <v>11924.75</v>
      </c>
      <c r="C2098" s="36">
        <f t="shared" si="128"/>
        <v>11543.437548899999</v>
      </c>
      <c r="D2098" s="36">
        <f t="shared" si="129"/>
        <v>253.36377386830148</v>
      </c>
      <c r="E2098" s="40">
        <v>11924.75</v>
      </c>
      <c r="F2098" s="36">
        <f t="shared" si="130"/>
        <v>12050.165096636603</v>
      </c>
      <c r="G2098" s="36">
        <f t="shared" si="131"/>
        <v>11036.710001163396</v>
      </c>
      <c r="I2098" s="40">
        <v>11924.75</v>
      </c>
      <c r="J2098" s="36">
        <v>12050.165096636603</v>
      </c>
      <c r="K2098" s="36">
        <v>11036.710001163396</v>
      </c>
    </row>
    <row r="2099" spans="1:11" x14ac:dyDescent="0.25">
      <c r="A2099" s="39">
        <v>43613</v>
      </c>
      <c r="B2099" s="36">
        <v>11928.75</v>
      </c>
      <c r="C2099" s="36">
        <f t="shared" si="128"/>
        <v>11552.14252935</v>
      </c>
      <c r="D2099" s="36">
        <f t="shared" si="129"/>
        <v>263.77922615612931</v>
      </c>
      <c r="E2099" s="40">
        <v>11928.75</v>
      </c>
      <c r="F2099" s="36">
        <f t="shared" si="130"/>
        <v>12079.700981662258</v>
      </c>
      <c r="G2099" s="36">
        <f t="shared" si="131"/>
        <v>11024.584077037742</v>
      </c>
      <c r="I2099" s="40">
        <v>11928.75</v>
      </c>
      <c r="J2099" s="36">
        <v>12079.700981662258</v>
      </c>
      <c r="K2099" s="36">
        <v>11024.584077037742</v>
      </c>
    </row>
    <row r="2100" spans="1:11" x14ac:dyDescent="0.25">
      <c r="A2100" s="39">
        <v>43614</v>
      </c>
      <c r="B2100" s="36">
        <v>11861.099609000001</v>
      </c>
      <c r="C2100" s="36">
        <f t="shared" si="128"/>
        <v>11557.789990249999</v>
      </c>
      <c r="D2100" s="36">
        <f t="shared" si="129"/>
        <v>269.34693356767809</v>
      </c>
      <c r="E2100" s="40">
        <v>11861.099609000001</v>
      </c>
      <c r="F2100" s="36">
        <f t="shared" si="130"/>
        <v>12096.483857385356</v>
      </c>
      <c r="G2100" s="36">
        <f t="shared" si="131"/>
        <v>11019.096123114643</v>
      </c>
      <c r="I2100" s="40">
        <v>11861.099609000001</v>
      </c>
      <c r="J2100" s="36">
        <v>12096.483857385356</v>
      </c>
      <c r="K2100" s="36">
        <v>11019.096123114643</v>
      </c>
    </row>
    <row r="2101" spans="1:11" x14ac:dyDescent="0.25">
      <c r="A2101" s="39">
        <v>43615</v>
      </c>
      <c r="B2101" s="36">
        <v>11945.900390999999</v>
      </c>
      <c r="C2101" s="36">
        <f t="shared" si="128"/>
        <v>11568.8475098</v>
      </c>
      <c r="D2101" s="36">
        <f t="shared" si="129"/>
        <v>280.85548872259488</v>
      </c>
      <c r="E2101" s="40">
        <v>11945.900390999999</v>
      </c>
      <c r="F2101" s="36">
        <f t="shared" si="130"/>
        <v>12130.558487245189</v>
      </c>
      <c r="G2101" s="36">
        <f t="shared" si="131"/>
        <v>11007.136532354811</v>
      </c>
      <c r="I2101" s="40">
        <v>11945.900390999999</v>
      </c>
      <c r="J2101" s="36">
        <v>12130.558487245189</v>
      </c>
      <c r="K2101" s="36">
        <v>11007.136532354811</v>
      </c>
    </row>
    <row r="2102" spans="1:11" x14ac:dyDescent="0.25">
      <c r="A2102" s="39">
        <v>43616</v>
      </c>
      <c r="B2102" s="36">
        <v>11922.799805000001</v>
      </c>
      <c r="C2102" s="36">
        <f t="shared" si="128"/>
        <v>11579.375000049999</v>
      </c>
      <c r="D2102" s="36">
        <f t="shared" si="129"/>
        <v>290.30090536228226</v>
      </c>
      <c r="E2102" s="40">
        <v>11922.799805000001</v>
      </c>
      <c r="F2102" s="36">
        <f t="shared" si="130"/>
        <v>12159.976810774562</v>
      </c>
      <c r="G2102" s="36">
        <f t="shared" si="131"/>
        <v>10998.773189325435</v>
      </c>
      <c r="I2102" s="40">
        <v>11922.799805000001</v>
      </c>
      <c r="J2102" s="36">
        <v>12159.976810774562</v>
      </c>
      <c r="K2102" s="36">
        <v>10998.773189325435</v>
      </c>
    </row>
    <row r="2103" spans="1:11" x14ac:dyDescent="0.25">
      <c r="A2103" s="39">
        <v>43619</v>
      </c>
      <c r="B2103" s="36">
        <v>12088.549805000001</v>
      </c>
      <c r="C2103" s="36">
        <f t="shared" si="128"/>
        <v>11603.889990299998</v>
      </c>
      <c r="D2103" s="36">
        <f t="shared" si="129"/>
        <v>311.87891702952373</v>
      </c>
      <c r="E2103" s="40">
        <v>12088.549805000001</v>
      </c>
      <c r="F2103" s="36">
        <f t="shared" si="130"/>
        <v>12227.647824359046</v>
      </c>
      <c r="G2103" s="36">
        <f t="shared" si="131"/>
        <v>10980.13215624095</v>
      </c>
      <c r="I2103" s="40">
        <v>12088.549805000001</v>
      </c>
      <c r="J2103" s="36">
        <v>12227.647824359046</v>
      </c>
      <c r="K2103" s="36">
        <v>10980.13215624095</v>
      </c>
    </row>
    <row r="2104" spans="1:11" x14ac:dyDescent="0.25">
      <c r="A2104" s="39">
        <v>43620</v>
      </c>
      <c r="B2104" s="36">
        <v>12021.650390999999</v>
      </c>
      <c r="C2104" s="36">
        <f t="shared" si="128"/>
        <v>11630.077490299998</v>
      </c>
      <c r="D2104" s="36">
        <f t="shared" si="129"/>
        <v>324.25420282719631</v>
      </c>
      <c r="E2104" s="40">
        <v>12021.650390999999</v>
      </c>
      <c r="F2104" s="36">
        <f t="shared" si="130"/>
        <v>12278.585895954391</v>
      </c>
      <c r="G2104" s="36">
        <f t="shared" si="131"/>
        <v>10981.569084645605</v>
      </c>
      <c r="I2104" s="40">
        <v>12021.650390999999</v>
      </c>
      <c r="J2104" s="36">
        <v>12278.585895954391</v>
      </c>
      <c r="K2104" s="36">
        <v>10981.569084645605</v>
      </c>
    </row>
    <row r="2105" spans="1:11" x14ac:dyDescent="0.25">
      <c r="A2105" s="39">
        <v>43622</v>
      </c>
      <c r="B2105" s="36">
        <v>11843.75</v>
      </c>
      <c r="C2105" s="36">
        <f t="shared" si="128"/>
        <v>11654.292480549999</v>
      </c>
      <c r="D2105" s="36">
        <f t="shared" si="129"/>
        <v>321.04799332603983</v>
      </c>
      <c r="E2105" s="40">
        <v>11843.75</v>
      </c>
      <c r="F2105" s="36">
        <f t="shared" si="130"/>
        <v>12296.388467202078</v>
      </c>
      <c r="G2105" s="36">
        <f t="shared" si="131"/>
        <v>11012.19649389792</v>
      </c>
      <c r="I2105" s="40">
        <v>11843.75</v>
      </c>
      <c r="J2105" s="36">
        <v>12296.388467202078</v>
      </c>
      <c r="K2105" s="36">
        <v>11012.19649389792</v>
      </c>
    </row>
    <row r="2106" spans="1:11" x14ac:dyDescent="0.25">
      <c r="A2106" s="39">
        <v>43623</v>
      </c>
      <c r="B2106" s="36">
        <v>11870.650390999999</v>
      </c>
      <c r="C2106" s="36">
        <f t="shared" si="128"/>
        <v>11682.735009849999</v>
      </c>
      <c r="D2106" s="36">
        <f t="shared" si="129"/>
        <v>313.28014837850696</v>
      </c>
      <c r="E2106" s="40">
        <v>11870.650390999999</v>
      </c>
      <c r="F2106" s="36">
        <f t="shared" si="130"/>
        <v>12309.295306607013</v>
      </c>
      <c r="G2106" s="36">
        <f t="shared" si="131"/>
        <v>11056.174713092985</v>
      </c>
      <c r="I2106" s="40">
        <v>11870.650390999999</v>
      </c>
      <c r="J2106" s="36">
        <v>12309.295306607013</v>
      </c>
      <c r="K2106" s="36">
        <v>11056.174713092985</v>
      </c>
    </row>
    <row r="2107" spans="1:11" x14ac:dyDescent="0.25">
      <c r="A2107" s="39">
        <v>43626</v>
      </c>
      <c r="B2107" s="36">
        <v>11922.700194999999</v>
      </c>
      <c r="C2107" s="36">
        <f t="shared" si="128"/>
        <v>11714.92500005</v>
      </c>
      <c r="D2107" s="36">
        <f t="shared" si="129"/>
        <v>302.49154466773325</v>
      </c>
      <c r="E2107" s="40">
        <v>11922.700194999999</v>
      </c>
      <c r="F2107" s="36">
        <f t="shared" si="130"/>
        <v>12319.908089385466</v>
      </c>
      <c r="G2107" s="36">
        <f t="shared" si="131"/>
        <v>11109.941910714533</v>
      </c>
      <c r="I2107" s="40">
        <v>11922.700194999999</v>
      </c>
      <c r="J2107" s="36">
        <v>12319.908089385466</v>
      </c>
      <c r="K2107" s="36">
        <v>11109.941910714533</v>
      </c>
    </row>
    <row r="2108" spans="1:11" x14ac:dyDescent="0.25">
      <c r="A2108" s="39">
        <v>43627</v>
      </c>
      <c r="B2108" s="36">
        <v>11965.599609000001</v>
      </c>
      <c r="C2108" s="36">
        <f t="shared" si="128"/>
        <v>11755.794970749999</v>
      </c>
      <c r="D2108" s="36">
        <f t="shared" si="129"/>
        <v>275.94576337111215</v>
      </c>
      <c r="E2108" s="40">
        <v>11965.599609000001</v>
      </c>
      <c r="F2108" s="36">
        <f t="shared" si="130"/>
        <v>12307.686497492223</v>
      </c>
      <c r="G2108" s="36">
        <f t="shared" si="131"/>
        <v>11203.903444007776</v>
      </c>
      <c r="I2108" s="40">
        <v>11965.599609000001</v>
      </c>
      <c r="J2108" s="36">
        <v>12307.686497492223</v>
      </c>
      <c r="K2108" s="36">
        <v>11203.903444007776</v>
      </c>
    </row>
    <row r="2109" spans="1:11" x14ac:dyDescent="0.25">
      <c r="A2109" s="39">
        <v>43628</v>
      </c>
      <c r="B2109" s="36">
        <v>11906.200194999999</v>
      </c>
      <c r="C2109" s="36">
        <f t="shared" si="128"/>
        <v>11790.002490249999</v>
      </c>
      <c r="D2109" s="36">
        <f t="shared" si="129"/>
        <v>247.20649410650833</v>
      </c>
      <c r="E2109" s="40">
        <v>11906.200194999999</v>
      </c>
      <c r="F2109" s="36">
        <f t="shared" si="130"/>
        <v>12284.415478463015</v>
      </c>
      <c r="G2109" s="36">
        <f t="shared" si="131"/>
        <v>11295.589502036983</v>
      </c>
      <c r="I2109" s="40">
        <v>11906.200194999999</v>
      </c>
      <c r="J2109" s="36">
        <v>12284.415478463015</v>
      </c>
      <c r="K2109" s="36">
        <v>11295.589502036983</v>
      </c>
    </row>
    <row r="2110" spans="1:11" x14ac:dyDescent="0.25">
      <c r="A2110" s="39">
        <v>43629</v>
      </c>
      <c r="B2110" s="36">
        <v>11914.049805000001</v>
      </c>
      <c r="C2110" s="36">
        <f t="shared" si="128"/>
        <v>11827.8549805</v>
      </c>
      <c r="D2110" s="36">
        <f t="shared" si="129"/>
        <v>198.30191324177878</v>
      </c>
      <c r="E2110" s="40">
        <v>11914.049805000001</v>
      </c>
      <c r="F2110" s="36">
        <f t="shared" si="130"/>
        <v>12224.458806983557</v>
      </c>
      <c r="G2110" s="36">
        <f t="shared" si="131"/>
        <v>11431.251154016443</v>
      </c>
      <c r="I2110" s="40">
        <v>11914.049805000001</v>
      </c>
      <c r="J2110" s="36">
        <v>12224.458806983557</v>
      </c>
      <c r="K2110" s="36">
        <v>11431.251154016443</v>
      </c>
    </row>
    <row r="2111" spans="1:11" x14ac:dyDescent="0.25">
      <c r="A2111" s="39">
        <v>43630</v>
      </c>
      <c r="B2111" s="36">
        <v>11823.299805000001</v>
      </c>
      <c r="C2111" s="36">
        <f t="shared" si="128"/>
        <v>11856.1649903</v>
      </c>
      <c r="D2111" s="36">
        <f t="shared" si="129"/>
        <v>146.06762124402314</v>
      </c>
      <c r="E2111" s="40">
        <v>11823.299805000001</v>
      </c>
      <c r="F2111" s="36">
        <f t="shared" si="130"/>
        <v>12148.300232788046</v>
      </c>
      <c r="G2111" s="36">
        <f t="shared" si="131"/>
        <v>11564.029747811954</v>
      </c>
      <c r="I2111" s="40">
        <v>11823.299805000001</v>
      </c>
      <c r="J2111" s="36">
        <v>12148.300232788046</v>
      </c>
      <c r="K2111" s="36">
        <v>11564.029747811954</v>
      </c>
    </row>
    <row r="2112" spans="1:11" x14ac:dyDescent="0.25">
      <c r="A2112" s="39">
        <v>43633</v>
      </c>
      <c r="B2112" s="36">
        <v>11672.150390999999</v>
      </c>
      <c r="C2112" s="36">
        <f t="shared" si="128"/>
        <v>11869.4149903</v>
      </c>
      <c r="D2112" s="36">
        <f t="shared" si="129"/>
        <v>111.00385529408669</v>
      </c>
      <c r="E2112" s="40">
        <v>11672.150390999999</v>
      </c>
      <c r="F2112" s="36">
        <f t="shared" si="130"/>
        <v>12091.422700888173</v>
      </c>
      <c r="G2112" s="36">
        <f t="shared" si="131"/>
        <v>11647.407279711826</v>
      </c>
      <c r="I2112" s="40">
        <v>11672.150390999999</v>
      </c>
      <c r="J2112" s="36">
        <v>12091.422700888173</v>
      </c>
      <c r="K2112" s="36">
        <v>11647.407279711826</v>
      </c>
    </row>
    <row r="2113" spans="1:11" x14ac:dyDescent="0.25">
      <c r="A2113" s="39">
        <v>43634</v>
      </c>
      <c r="B2113" s="36">
        <v>11691.5</v>
      </c>
      <c r="C2113" s="36">
        <f t="shared" si="128"/>
        <v>11862.5774903</v>
      </c>
      <c r="D2113" s="36">
        <f t="shared" si="129"/>
        <v>117.68365739399356</v>
      </c>
      <c r="E2113" s="40">
        <v>11691.5</v>
      </c>
      <c r="F2113" s="36">
        <f t="shared" si="130"/>
        <v>12097.944805087987</v>
      </c>
      <c r="G2113" s="36">
        <f t="shared" si="131"/>
        <v>11627.210175512013</v>
      </c>
      <c r="I2113" s="40">
        <v>11691.5</v>
      </c>
      <c r="J2113" s="36">
        <v>12097.944805087987</v>
      </c>
      <c r="K2113" s="36">
        <v>11627.210175512013</v>
      </c>
    </row>
    <row r="2114" spans="1:11" x14ac:dyDescent="0.25">
      <c r="A2114" s="39">
        <v>43635</v>
      </c>
      <c r="B2114" s="36">
        <v>11691.450194999999</v>
      </c>
      <c r="C2114" s="36">
        <f t="shared" si="128"/>
        <v>11861.6950196</v>
      </c>
      <c r="D2114" s="36">
        <f t="shared" si="129"/>
        <v>118.95442231830245</v>
      </c>
      <c r="E2114" s="40">
        <v>11691.450194999999</v>
      </c>
      <c r="F2114" s="36">
        <f t="shared" si="130"/>
        <v>12099.603864236604</v>
      </c>
      <c r="G2114" s="36">
        <f t="shared" si="131"/>
        <v>11623.786174963396</v>
      </c>
      <c r="I2114" s="40">
        <v>11691.450194999999</v>
      </c>
      <c r="J2114" s="36">
        <v>12099.603864236604</v>
      </c>
      <c r="K2114" s="36">
        <v>11623.786174963396</v>
      </c>
    </row>
    <row r="2115" spans="1:11" x14ac:dyDescent="0.25">
      <c r="A2115" s="39">
        <v>43636</v>
      </c>
      <c r="B2115" s="36">
        <v>11831.75</v>
      </c>
      <c r="C2115" s="36">
        <f t="shared" si="128"/>
        <v>11866.387500050001</v>
      </c>
      <c r="D2115" s="36">
        <f t="shared" si="129"/>
        <v>115.61827934737371</v>
      </c>
      <c r="E2115" s="40">
        <v>11831.75</v>
      </c>
      <c r="F2115" s="36">
        <f t="shared" si="130"/>
        <v>12097.624058744748</v>
      </c>
      <c r="G2115" s="36">
        <f t="shared" si="131"/>
        <v>11635.150941355254</v>
      </c>
      <c r="I2115" s="40">
        <v>11831.75</v>
      </c>
      <c r="J2115" s="36">
        <v>12097.624058744748</v>
      </c>
      <c r="K2115" s="36">
        <v>11635.150941355254</v>
      </c>
    </row>
    <row r="2116" spans="1:11" x14ac:dyDescent="0.25">
      <c r="A2116" s="39">
        <v>43637</v>
      </c>
      <c r="B2116" s="36">
        <v>11724.099609000001</v>
      </c>
      <c r="C2116" s="36">
        <f t="shared" si="128"/>
        <v>11869.73999025</v>
      </c>
      <c r="D2116" s="36">
        <f t="shared" si="129"/>
        <v>110.06766660977418</v>
      </c>
      <c r="E2116" s="40">
        <v>11724.099609000001</v>
      </c>
      <c r="F2116" s="36">
        <f t="shared" si="130"/>
        <v>12089.875323469549</v>
      </c>
      <c r="G2116" s="36">
        <f t="shared" si="131"/>
        <v>11649.604657030452</v>
      </c>
      <c r="I2116" s="40">
        <v>11724.099609000001</v>
      </c>
      <c r="J2116" s="36">
        <v>12089.875323469549</v>
      </c>
      <c r="K2116" s="36">
        <v>11649.604657030452</v>
      </c>
    </row>
    <row r="2117" spans="1:11" x14ac:dyDescent="0.25">
      <c r="A2117" s="39">
        <v>43640</v>
      </c>
      <c r="B2117" s="36">
        <v>11699.650390999999</v>
      </c>
      <c r="C2117" s="36">
        <f t="shared" si="128"/>
        <v>11862.517529350001</v>
      </c>
      <c r="D2117" s="36">
        <f t="shared" si="129"/>
        <v>116.39603384878612</v>
      </c>
      <c r="E2117" s="40">
        <v>11699.650390999999</v>
      </c>
      <c r="F2117" s="36">
        <f t="shared" si="130"/>
        <v>12095.309597047573</v>
      </c>
      <c r="G2117" s="36">
        <f t="shared" si="131"/>
        <v>11629.72546165243</v>
      </c>
      <c r="I2117" s="40">
        <v>11699.650390999999</v>
      </c>
      <c r="J2117" s="36">
        <v>12095.309597047573</v>
      </c>
      <c r="K2117" s="36">
        <v>11629.72546165243</v>
      </c>
    </row>
    <row r="2118" spans="1:11" x14ac:dyDescent="0.25">
      <c r="A2118" s="39">
        <v>43641</v>
      </c>
      <c r="B2118" s="36">
        <v>11796.450194999999</v>
      </c>
      <c r="C2118" s="36">
        <f t="shared" si="128"/>
        <v>11856.1025391</v>
      </c>
      <c r="D2118" s="36">
        <f t="shared" si="129"/>
        <v>116.32116779928236</v>
      </c>
      <c r="E2118" s="40">
        <v>11796.450194999999</v>
      </c>
      <c r="F2118" s="36">
        <f t="shared" si="130"/>
        <v>12088.744874698565</v>
      </c>
      <c r="G2118" s="36">
        <f t="shared" si="131"/>
        <v>11623.460203501436</v>
      </c>
      <c r="I2118" s="40">
        <v>11796.450194999999</v>
      </c>
      <c r="J2118" s="36">
        <v>12088.744874698565</v>
      </c>
      <c r="K2118" s="36">
        <v>11623.460203501436</v>
      </c>
    </row>
    <row r="2119" spans="1:11" x14ac:dyDescent="0.25">
      <c r="A2119" s="39">
        <v>43642</v>
      </c>
      <c r="B2119" s="36">
        <v>11847.549805000001</v>
      </c>
      <c r="C2119" s="36">
        <f t="shared" si="128"/>
        <v>11852.042529349999</v>
      </c>
      <c r="D2119" s="36">
        <f t="shared" si="129"/>
        <v>115.06233770108993</v>
      </c>
      <c r="E2119" s="40">
        <v>11847.549805000001</v>
      </c>
      <c r="F2119" s="36">
        <f t="shared" si="130"/>
        <v>12082.167204752179</v>
      </c>
      <c r="G2119" s="36">
        <f t="shared" si="131"/>
        <v>11621.91785394782</v>
      </c>
      <c r="I2119" s="40">
        <v>11847.549805000001</v>
      </c>
      <c r="J2119" s="36">
        <v>12082.167204752179</v>
      </c>
      <c r="K2119" s="36">
        <v>11621.91785394782</v>
      </c>
    </row>
    <row r="2120" spans="1:11" x14ac:dyDescent="0.25">
      <c r="A2120" s="39">
        <v>43643</v>
      </c>
      <c r="B2120" s="36">
        <v>11841.549805000001</v>
      </c>
      <c r="C2120" s="36">
        <f t="shared" si="128"/>
        <v>11851.065039149998</v>
      </c>
      <c r="D2120" s="36">
        <f t="shared" si="129"/>
        <v>115.06438619043053</v>
      </c>
      <c r="E2120" s="40">
        <v>11841.549805000001</v>
      </c>
      <c r="F2120" s="36">
        <f t="shared" si="130"/>
        <v>12081.19381153086</v>
      </c>
      <c r="G2120" s="36">
        <f t="shared" si="131"/>
        <v>11620.936266769137</v>
      </c>
      <c r="I2120" s="40">
        <v>11841.549805000001</v>
      </c>
      <c r="J2120" s="36">
        <v>12081.19381153086</v>
      </c>
      <c r="K2120" s="36">
        <v>11620.936266769137</v>
      </c>
    </row>
    <row r="2121" spans="1:11" x14ac:dyDescent="0.25">
      <c r="A2121" s="39">
        <v>43644</v>
      </c>
      <c r="B2121" s="36">
        <v>11788.849609000001</v>
      </c>
      <c r="C2121" s="36">
        <f t="shared" si="128"/>
        <v>11843.212500049998</v>
      </c>
      <c r="D2121" s="36">
        <f t="shared" si="129"/>
        <v>113.6013840723982</v>
      </c>
      <c r="E2121" s="40">
        <v>11788.849609000001</v>
      </c>
      <c r="F2121" s="36">
        <f t="shared" si="130"/>
        <v>12070.415268194794</v>
      </c>
      <c r="G2121" s="36">
        <f t="shared" si="131"/>
        <v>11616.009731905202</v>
      </c>
      <c r="I2121" s="40">
        <v>11788.849609000001</v>
      </c>
      <c r="J2121" s="36">
        <v>12070.415268194794</v>
      </c>
      <c r="K2121" s="36">
        <v>11616.009731905202</v>
      </c>
    </row>
    <row r="2122" spans="1:11" x14ac:dyDescent="0.25">
      <c r="A2122" s="39">
        <v>43647</v>
      </c>
      <c r="B2122" s="36">
        <v>11865.599609000001</v>
      </c>
      <c r="C2122" s="36">
        <f t="shared" si="128"/>
        <v>11840.352490249999</v>
      </c>
      <c r="D2122" s="36">
        <f t="shared" si="129"/>
        <v>112.20368349731308</v>
      </c>
      <c r="E2122" s="40">
        <v>11865.599609000001</v>
      </c>
      <c r="F2122" s="36">
        <f t="shared" si="130"/>
        <v>12064.759857244626</v>
      </c>
      <c r="G2122" s="36">
        <f t="shared" si="131"/>
        <v>11615.945123255373</v>
      </c>
      <c r="I2122" s="40">
        <v>11865.599609000001</v>
      </c>
      <c r="J2122" s="36">
        <v>12064.759857244626</v>
      </c>
      <c r="K2122" s="36">
        <v>11615.945123255373</v>
      </c>
    </row>
    <row r="2123" spans="1:11" x14ac:dyDescent="0.25">
      <c r="A2123" s="39">
        <v>43648</v>
      </c>
      <c r="B2123" s="36">
        <v>11910.299805000001</v>
      </c>
      <c r="C2123" s="36">
        <f t="shared" si="128"/>
        <v>11831.439990249997</v>
      </c>
      <c r="D2123" s="36">
        <f t="shared" si="129"/>
        <v>97.577427254776737</v>
      </c>
      <c r="E2123" s="40">
        <v>11910.299805000001</v>
      </c>
      <c r="F2123" s="36">
        <f t="shared" si="130"/>
        <v>12026.594844759551</v>
      </c>
      <c r="G2123" s="36">
        <f t="shared" si="131"/>
        <v>11636.285135740443</v>
      </c>
      <c r="I2123" s="40">
        <v>11910.299805000001</v>
      </c>
      <c r="J2123" s="36">
        <v>12026.594844759551</v>
      </c>
      <c r="K2123" s="36">
        <v>11636.285135740443</v>
      </c>
    </row>
    <row r="2124" spans="1:11" x14ac:dyDescent="0.25">
      <c r="A2124" s="39">
        <v>43649</v>
      </c>
      <c r="B2124" s="36">
        <v>11916.75</v>
      </c>
      <c r="C2124" s="36">
        <f t="shared" si="128"/>
        <v>11826.194970699999</v>
      </c>
      <c r="D2124" s="36">
        <f t="shared" si="129"/>
        <v>89.281732820159291</v>
      </c>
      <c r="E2124" s="40">
        <v>11916.75</v>
      </c>
      <c r="F2124" s="36">
        <f t="shared" si="130"/>
        <v>12004.758436340317</v>
      </c>
      <c r="G2124" s="36">
        <f t="shared" si="131"/>
        <v>11647.63150505968</v>
      </c>
      <c r="I2124" s="40">
        <v>11916.75</v>
      </c>
      <c r="J2124" s="36">
        <v>12004.758436340317</v>
      </c>
      <c r="K2124" s="36">
        <v>11647.63150505968</v>
      </c>
    </row>
    <row r="2125" spans="1:11" x14ac:dyDescent="0.25">
      <c r="A2125" s="39">
        <v>43650</v>
      </c>
      <c r="B2125" s="36">
        <v>11946.75</v>
      </c>
      <c r="C2125" s="36">
        <f t="shared" si="128"/>
        <v>11831.344970699998</v>
      </c>
      <c r="D2125" s="36">
        <f t="shared" si="129"/>
        <v>93.230956720065535</v>
      </c>
      <c r="E2125" s="40">
        <v>11946.75</v>
      </c>
      <c r="F2125" s="36">
        <f t="shared" si="130"/>
        <v>12017.806884140129</v>
      </c>
      <c r="G2125" s="36">
        <f t="shared" si="131"/>
        <v>11644.883057259867</v>
      </c>
      <c r="I2125" s="40">
        <v>11946.75</v>
      </c>
      <c r="J2125" s="36">
        <v>12017.806884140129</v>
      </c>
      <c r="K2125" s="36">
        <v>11644.883057259867</v>
      </c>
    </row>
    <row r="2126" spans="1:11" x14ac:dyDescent="0.25">
      <c r="A2126" s="39">
        <v>43651</v>
      </c>
      <c r="B2126" s="36">
        <v>11811.150390999999</v>
      </c>
      <c r="C2126" s="36">
        <f t="shared" si="128"/>
        <v>11828.369970699998</v>
      </c>
      <c r="D2126" s="36">
        <f t="shared" si="129"/>
        <v>92.859289990182688</v>
      </c>
      <c r="E2126" s="40">
        <v>11811.150390999999</v>
      </c>
      <c r="F2126" s="36">
        <f t="shared" si="130"/>
        <v>12014.088550680362</v>
      </c>
      <c r="G2126" s="36">
        <f t="shared" si="131"/>
        <v>11642.651390719633</v>
      </c>
      <c r="I2126" s="40">
        <v>11811.150390999999</v>
      </c>
      <c r="J2126" s="36">
        <v>12014.088550680362</v>
      </c>
      <c r="K2126" s="36">
        <v>11642.651390719633</v>
      </c>
    </row>
    <row r="2127" spans="1:11" x14ac:dyDescent="0.25">
      <c r="A2127" s="39">
        <v>43654</v>
      </c>
      <c r="B2127" s="36">
        <v>11558.599609000001</v>
      </c>
      <c r="C2127" s="36">
        <f t="shared" si="128"/>
        <v>11810.164941399998</v>
      </c>
      <c r="D2127" s="36">
        <f t="shared" si="129"/>
        <v>107.87017099299925</v>
      </c>
      <c r="E2127" s="40">
        <v>11558.599609000001</v>
      </c>
      <c r="F2127" s="36">
        <f t="shared" si="130"/>
        <v>12025.905283385997</v>
      </c>
      <c r="G2127" s="36">
        <f t="shared" si="131"/>
        <v>11594.424599414</v>
      </c>
      <c r="I2127" s="40">
        <v>11558.599609000001</v>
      </c>
      <c r="J2127" s="36">
        <v>12025.905283385997</v>
      </c>
      <c r="K2127" s="36">
        <v>11594.424599414</v>
      </c>
    </row>
    <row r="2128" spans="1:11" x14ac:dyDescent="0.25">
      <c r="A2128" s="39">
        <v>43655</v>
      </c>
      <c r="B2128" s="36">
        <v>11555.900390999999</v>
      </c>
      <c r="C2128" s="36">
        <f t="shared" si="128"/>
        <v>11789.679980499999</v>
      </c>
      <c r="D2128" s="36">
        <f t="shared" si="129"/>
        <v>115.43541261990354</v>
      </c>
      <c r="E2128" s="40">
        <v>11555.900390999999</v>
      </c>
      <c r="F2128" s="36">
        <f t="shared" si="130"/>
        <v>12020.550805739806</v>
      </c>
      <c r="G2128" s="36">
        <f t="shared" si="131"/>
        <v>11558.809155260193</v>
      </c>
      <c r="I2128" s="40">
        <v>11555.900390999999</v>
      </c>
      <c r="J2128" s="36">
        <v>12020.550805739806</v>
      </c>
      <c r="K2128" s="36">
        <v>11558.809155260193</v>
      </c>
    </row>
    <row r="2129" spans="1:11" x14ac:dyDescent="0.25">
      <c r="A2129" s="39">
        <v>43656</v>
      </c>
      <c r="B2129" s="36">
        <v>11498.900390999999</v>
      </c>
      <c r="C2129" s="36">
        <f t="shared" si="128"/>
        <v>11769.314990299999</v>
      </c>
      <c r="D2129" s="36">
        <f t="shared" si="129"/>
        <v>128.93541998624565</v>
      </c>
      <c r="E2129" s="40">
        <v>11498.900390999999</v>
      </c>
      <c r="F2129" s="36">
        <f t="shared" si="130"/>
        <v>12027.18583027249</v>
      </c>
      <c r="G2129" s="36">
        <f t="shared" si="131"/>
        <v>11511.444150327508</v>
      </c>
      <c r="I2129" s="40">
        <v>11498.900390999999</v>
      </c>
      <c r="J2129" s="36">
        <v>12027.18583027249</v>
      </c>
      <c r="K2129" s="36">
        <v>11511.444150327508</v>
      </c>
    </row>
    <row r="2130" spans="1:11" x14ac:dyDescent="0.25">
      <c r="A2130" s="39">
        <v>43657</v>
      </c>
      <c r="B2130" s="36">
        <v>11582.900390999999</v>
      </c>
      <c r="C2130" s="36">
        <f t="shared" si="128"/>
        <v>11752.7575196</v>
      </c>
      <c r="D2130" s="36">
        <f t="shared" si="129"/>
        <v>130.62234586371721</v>
      </c>
      <c r="E2130" s="40">
        <v>11582.900390999999</v>
      </c>
      <c r="F2130" s="36">
        <f t="shared" si="130"/>
        <v>12014.002211327434</v>
      </c>
      <c r="G2130" s="36">
        <f t="shared" si="131"/>
        <v>11491.512827872566</v>
      </c>
      <c r="I2130" s="40">
        <v>11582.900390999999</v>
      </c>
      <c r="J2130" s="36">
        <v>12014.002211327434</v>
      </c>
      <c r="K2130" s="36">
        <v>11491.512827872566</v>
      </c>
    </row>
    <row r="2131" spans="1:11" x14ac:dyDescent="0.25">
      <c r="A2131" s="39">
        <v>43658</v>
      </c>
      <c r="B2131" s="36">
        <v>11552.5</v>
      </c>
      <c r="C2131" s="36">
        <f t="shared" si="128"/>
        <v>11739.21752935</v>
      </c>
      <c r="D2131" s="36">
        <f t="shared" si="129"/>
        <v>136.8137383351152</v>
      </c>
      <c r="E2131" s="40">
        <v>11552.5</v>
      </c>
      <c r="F2131" s="36">
        <f t="shared" si="130"/>
        <v>12012.84500602023</v>
      </c>
      <c r="G2131" s="36">
        <f t="shared" si="131"/>
        <v>11465.59005267977</v>
      </c>
      <c r="I2131" s="40">
        <v>11552.5</v>
      </c>
      <c r="J2131" s="36">
        <v>12012.84500602023</v>
      </c>
      <c r="K2131" s="36">
        <v>11465.59005267977</v>
      </c>
    </row>
    <row r="2132" spans="1:11" x14ac:dyDescent="0.25">
      <c r="A2132" s="39">
        <v>43661</v>
      </c>
      <c r="B2132" s="36">
        <v>11588.349609000001</v>
      </c>
      <c r="C2132" s="36">
        <f t="shared" si="128"/>
        <v>11735.02749025</v>
      </c>
      <c r="D2132" s="36">
        <f t="shared" si="129"/>
        <v>140.21674589127758</v>
      </c>
      <c r="E2132" s="40">
        <v>11588.349609000001</v>
      </c>
      <c r="F2132" s="36">
        <f t="shared" si="130"/>
        <v>12015.460982032555</v>
      </c>
      <c r="G2132" s="36">
        <f t="shared" si="131"/>
        <v>11454.593998467446</v>
      </c>
      <c r="I2132" s="40">
        <v>11588.349609000001</v>
      </c>
      <c r="J2132" s="36">
        <v>12015.460982032555</v>
      </c>
      <c r="K2132" s="36">
        <v>11454.593998467446</v>
      </c>
    </row>
    <row r="2133" spans="1:11" x14ac:dyDescent="0.25">
      <c r="A2133" s="39">
        <v>43662</v>
      </c>
      <c r="B2133" s="36">
        <v>11662.599609000001</v>
      </c>
      <c r="C2133" s="36">
        <f t="shared" si="128"/>
        <v>11733.582470700001</v>
      </c>
      <c r="D2133" s="36">
        <f t="shared" si="129"/>
        <v>140.83648127178623</v>
      </c>
      <c r="E2133" s="40">
        <v>11662.599609000001</v>
      </c>
      <c r="F2133" s="36">
        <f t="shared" si="130"/>
        <v>12015.255433243574</v>
      </c>
      <c r="G2133" s="36">
        <f t="shared" si="131"/>
        <v>11451.909508156428</v>
      </c>
      <c r="I2133" s="40">
        <v>11662.599609000001</v>
      </c>
      <c r="J2133" s="36">
        <v>12015.255433243574</v>
      </c>
      <c r="K2133" s="36">
        <v>11451.909508156428</v>
      </c>
    </row>
    <row r="2134" spans="1:11" x14ac:dyDescent="0.25">
      <c r="A2134" s="39">
        <v>43663</v>
      </c>
      <c r="B2134" s="36">
        <v>11687.5</v>
      </c>
      <c r="C2134" s="36">
        <f t="shared" ref="C2134:C2197" si="132">AVERAGE(B2115:B2134)</f>
        <v>11733.384960949999</v>
      </c>
      <c r="D2134" s="36">
        <f t="shared" ref="D2134:D2197" si="133">_xlfn.STDEV.S(B2115:B2134)</f>
        <v>140.90143250018397</v>
      </c>
      <c r="E2134" s="40">
        <v>11687.5</v>
      </c>
      <c r="F2134" s="36">
        <f t="shared" ref="F2134:F2197" si="134">C2134+2*D2134</f>
        <v>12015.187825950366</v>
      </c>
      <c r="G2134" s="36">
        <f t="shared" ref="G2134:G2197" si="135">C2134-2*D2134</f>
        <v>11451.582095949632</v>
      </c>
      <c r="I2134" s="40">
        <v>11687.5</v>
      </c>
      <c r="J2134" s="36">
        <v>12015.187825950366</v>
      </c>
      <c r="K2134" s="36">
        <v>11451.582095949632</v>
      </c>
    </row>
    <row r="2135" spans="1:11" x14ac:dyDescent="0.25">
      <c r="A2135" s="39">
        <v>43664</v>
      </c>
      <c r="B2135" s="36">
        <v>11596.900390999999</v>
      </c>
      <c r="C2135" s="36">
        <f t="shared" si="132"/>
        <v>11721.642480500001</v>
      </c>
      <c r="D2135" s="36">
        <f t="shared" si="133"/>
        <v>142.05367775602332</v>
      </c>
      <c r="E2135" s="40">
        <v>11596.900390999999</v>
      </c>
      <c r="F2135" s="36">
        <f t="shared" si="134"/>
        <v>12005.749836012048</v>
      </c>
      <c r="G2135" s="36">
        <f t="shared" si="135"/>
        <v>11437.535124987953</v>
      </c>
      <c r="I2135" s="40">
        <v>11596.900390999999</v>
      </c>
      <c r="J2135" s="36">
        <v>12005.749836012048</v>
      </c>
      <c r="K2135" s="36">
        <v>11437.535124987953</v>
      </c>
    </row>
    <row r="2136" spans="1:11" x14ac:dyDescent="0.25">
      <c r="A2136" s="39">
        <v>43665</v>
      </c>
      <c r="B2136" s="36">
        <v>11419.25</v>
      </c>
      <c r="C2136" s="36">
        <f t="shared" si="132"/>
        <v>11706.40000005</v>
      </c>
      <c r="D2136" s="36">
        <f t="shared" si="133"/>
        <v>157.31199480705698</v>
      </c>
      <c r="E2136" s="40">
        <v>11419.25</v>
      </c>
      <c r="F2136" s="36">
        <f t="shared" si="134"/>
        <v>12021.023989664114</v>
      </c>
      <c r="G2136" s="36">
        <f t="shared" si="135"/>
        <v>11391.776010435886</v>
      </c>
      <c r="I2136" s="40">
        <v>11419.25</v>
      </c>
      <c r="J2136" s="36">
        <v>12021.023989664114</v>
      </c>
      <c r="K2136" s="36">
        <v>11391.776010435886</v>
      </c>
    </row>
    <row r="2137" spans="1:11" x14ac:dyDescent="0.25">
      <c r="A2137" s="39">
        <v>43668</v>
      </c>
      <c r="B2137" s="36">
        <v>11346.200194999999</v>
      </c>
      <c r="C2137" s="36">
        <f t="shared" si="132"/>
        <v>11688.727490250001</v>
      </c>
      <c r="D2137" s="36">
        <f t="shared" si="133"/>
        <v>176.76124259285663</v>
      </c>
      <c r="E2137" s="40">
        <v>11346.200194999999</v>
      </c>
      <c r="F2137" s="36">
        <f t="shared" si="134"/>
        <v>12042.249975435714</v>
      </c>
      <c r="G2137" s="36">
        <f t="shared" si="135"/>
        <v>11335.205005064288</v>
      </c>
      <c r="I2137" s="40">
        <v>11346.200194999999</v>
      </c>
      <c r="J2137" s="36">
        <v>12042.249975435714</v>
      </c>
      <c r="K2137" s="36">
        <v>11335.205005064288</v>
      </c>
    </row>
    <row r="2138" spans="1:11" x14ac:dyDescent="0.25">
      <c r="A2138" s="39">
        <v>43669</v>
      </c>
      <c r="B2138" s="36">
        <v>11331.049805000001</v>
      </c>
      <c r="C2138" s="36">
        <f t="shared" si="132"/>
        <v>11665.45747075</v>
      </c>
      <c r="D2138" s="36">
        <f t="shared" si="133"/>
        <v>191.82578033657438</v>
      </c>
      <c r="E2138" s="40">
        <v>11331.049805000001</v>
      </c>
      <c r="F2138" s="36">
        <f t="shared" si="134"/>
        <v>12049.109031423148</v>
      </c>
      <c r="G2138" s="36">
        <f t="shared" si="135"/>
        <v>11281.805910076851</v>
      </c>
      <c r="I2138" s="40">
        <v>11331.049805000001</v>
      </c>
      <c r="J2138" s="36">
        <v>12049.109031423148</v>
      </c>
      <c r="K2138" s="36">
        <v>11281.805910076851</v>
      </c>
    </row>
    <row r="2139" spans="1:11" x14ac:dyDescent="0.25">
      <c r="A2139" s="39">
        <v>43670</v>
      </c>
      <c r="B2139" s="36">
        <v>11271.299805000001</v>
      </c>
      <c r="C2139" s="36">
        <f t="shared" si="132"/>
        <v>11636.64497075</v>
      </c>
      <c r="D2139" s="36">
        <f t="shared" si="133"/>
        <v>205.80329317922315</v>
      </c>
      <c r="E2139" s="40">
        <v>11271.299805000001</v>
      </c>
      <c r="F2139" s="36">
        <f t="shared" si="134"/>
        <v>12048.251557108446</v>
      </c>
      <c r="G2139" s="36">
        <f t="shared" si="135"/>
        <v>11225.038384391553</v>
      </c>
      <c r="I2139" s="40">
        <v>11271.299805000001</v>
      </c>
      <c r="J2139" s="36">
        <v>12048.251557108446</v>
      </c>
      <c r="K2139" s="36">
        <v>11225.038384391553</v>
      </c>
    </row>
    <row r="2140" spans="1:11" x14ac:dyDescent="0.25">
      <c r="A2140" s="39">
        <v>43671</v>
      </c>
      <c r="B2140" s="36">
        <v>11252.150390999999</v>
      </c>
      <c r="C2140" s="36">
        <f t="shared" si="132"/>
        <v>11607.17500005</v>
      </c>
      <c r="D2140" s="36">
        <f t="shared" si="133"/>
        <v>216.82219510122803</v>
      </c>
      <c r="E2140" s="40">
        <v>11252.150390999999</v>
      </c>
      <c r="F2140" s="36">
        <f t="shared" si="134"/>
        <v>12040.819390252456</v>
      </c>
      <c r="G2140" s="36">
        <f t="shared" si="135"/>
        <v>11173.530609847543</v>
      </c>
      <c r="I2140" s="40">
        <v>11252.150390999999</v>
      </c>
      <c r="J2140" s="36">
        <v>12040.819390252456</v>
      </c>
      <c r="K2140" s="36">
        <v>11173.530609847543</v>
      </c>
    </row>
    <row r="2141" spans="1:11" x14ac:dyDescent="0.25">
      <c r="A2141" s="39">
        <v>43672</v>
      </c>
      <c r="B2141" s="36">
        <v>11284.299805000001</v>
      </c>
      <c r="C2141" s="36">
        <f t="shared" si="132"/>
        <v>11581.947509850001</v>
      </c>
      <c r="D2141" s="36">
        <f t="shared" si="133"/>
        <v>223.8114366448265</v>
      </c>
      <c r="E2141" s="40">
        <v>11284.299805000001</v>
      </c>
      <c r="F2141" s="36">
        <f t="shared" si="134"/>
        <v>12029.570383139653</v>
      </c>
      <c r="G2141" s="36">
        <f t="shared" si="135"/>
        <v>11134.324636560348</v>
      </c>
      <c r="I2141" s="40">
        <v>11284.299805000001</v>
      </c>
      <c r="J2141" s="36">
        <v>12029.570383139653</v>
      </c>
      <c r="K2141" s="36">
        <v>11134.324636560348</v>
      </c>
    </row>
    <row r="2142" spans="1:11" x14ac:dyDescent="0.25">
      <c r="A2142" s="39">
        <v>43675</v>
      </c>
      <c r="B2142" s="36">
        <v>11189.200194999999</v>
      </c>
      <c r="C2142" s="36">
        <f t="shared" si="132"/>
        <v>11548.127539149998</v>
      </c>
      <c r="D2142" s="36">
        <f t="shared" si="133"/>
        <v>229.72016797263174</v>
      </c>
      <c r="E2142" s="40">
        <v>11189.200194999999</v>
      </c>
      <c r="F2142" s="36">
        <f t="shared" si="134"/>
        <v>12007.567875095261</v>
      </c>
      <c r="G2142" s="36">
        <f t="shared" si="135"/>
        <v>11088.687203204736</v>
      </c>
      <c r="I2142" s="40">
        <v>11189.200194999999</v>
      </c>
      <c r="J2142" s="36">
        <v>12007.567875095261</v>
      </c>
      <c r="K2142" s="36">
        <v>11088.687203204736</v>
      </c>
    </row>
    <row r="2143" spans="1:11" x14ac:dyDescent="0.25">
      <c r="A2143" s="39">
        <v>43676</v>
      </c>
      <c r="B2143" s="36">
        <v>11085.400390999999</v>
      </c>
      <c r="C2143" s="36">
        <f t="shared" si="132"/>
        <v>11506.882568450001</v>
      </c>
      <c r="D2143" s="36">
        <f t="shared" si="133"/>
        <v>235.25802936320798</v>
      </c>
      <c r="E2143" s="40">
        <v>11085.400390999999</v>
      </c>
      <c r="F2143" s="36">
        <f t="shared" si="134"/>
        <v>11977.398627176417</v>
      </c>
      <c r="G2143" s="36">
        <f t="shared" si="135"/>
        <v>11036.366509723584</v>
      </c>
      <c r="I2143" s="40">
        <v>11085.400390999999</v>
      </c>
      <c r="J2143" s="36">
        <v>11977.398627176417</v>
      </c>
      <c r="K2143" s="36">
        <v>11036.366509723584</v>
      </c>
    </row>
    <row r="2144" spans="1:11" x14ac:dyDescent="0.25">
      <c r="A2144" s="39">
        <v>43677</v>
      </c>
      <c r="B2144" s="36">
        <v>11118</v>
      </c>
      <c r="C2144" s="36">
        <f t="shared" si="132"/>
        <v>11466.945068450001</v>
      </c>
      <c r="D2144" s="36">
        <f t="shared" si="133"/>
        <v>229.75029118488112</v>
      </c>
      <c r="E2144" s="40">
        <v>11118</v>
      </c>
      <c r="F2144" s="36">
        <f t="shared" si="134"/>
        <v>11926.445650819764</v>
      </c>
      <c r="G2144" s="36">
        <f t="shared" si="135"/>
        <v>11007.444486080238</v>
      </c>
      <c r="I2144" s="40">
        <v>11118</v>
      </c>
      <c r="J2144" s="36">
        <v>11926.445650819764</v>
      </c>
      <c r="K2144" s="36">
        <v>11007.444486080238</v>
      </c>
    </row>
    <row r="2145" spans="1:11" x14ac:dyDescent="0.25">
      <c r="A2145" s="39">
        <v>43678</v>
      </c>
      <c r="B2145" s="36">
        <v>10980</v>
      </c>
      <c r="C2145" s="36">
        <f t="shared" si="132"/>
        <v>11418.607568449999</v>
      </c>
      <c r="D2145" s="36">
        <f t="shared" si="133"/>
        <v>225.14219821379908</v>
      </c>
      <c r="E2145" s="40">
        <v>10980</v>
      </c>
      <c r="F2145" s="36">
        <f t="shared" si="134"/>
        <v>11868.891964877597</v>
      </c>
      <c r="G2145" s="36">
        <f t="shared" si="135"/>
        <v>10968.323172022401</v>
      </c>
      <c r="I2145" s="40">
        <v>10980</v>
      </c>
      <c r="J2145" s="36">
        <v>11868.891964877597</v>
      </c>
      <c r="K2145" s="36">
        <v>10968.323172022401</v>
      </c>
    </row>
    <row r="2146" spans="1:11" x14ac:dyDescent="0.25">
      <c r="A2146" s="39">
        <v>43679</v>
      </c>
      <c r="B2146" s="36">
        <v>10997.349609000001</v>
      </c>
      <c r="C2146" s="36">
        <f t="shared" si="132"/>
        <v>11377.917529349999</v>
      </c>
      <c r="D2146" s="36">
        <f t="shared" si="133"/>
        <v>224.00023427379159</v>
      </c>
      <c r="E2146" s="40">
        <v>10997.349609000001</v>
      </c>
      <c r="F2146" s="36">
        <f t="shared" si="134"/>
        <v>11825.917997897583</v>
      </c>
      <c r="G2146" s="36">
        <f t="shared" si="135"/>
        <v>10929.917060802416</v>
      </c>
      <c r="I2146" s="40">
        <v>10997.349609000001</v>
      </c>
      <c r="J2146" s="36">
        <v>11825.917997897583</v>
      </c>
      <c r="K2146" s="36">
        <v>10929.917060802416</v>
      </c>
    </row>
    <row r="2147" spans="1:11" x14ac:dyDescent="0.25">
      <c r="A2147" s="39">
        <v>43682</v>
      </c>
      <c r="B2147" s="36">
        <v>10862.599609000001</v>
      </c>
      <c r="C2147" s="36">
        <f t="shared" si="132"/>
        <v>11343.11752935</v>
      </c>
      <c r="D2147" s="36">
        <f t="shared" si="133"/>
        <v>247.30460008775833</v>
      </c>
      <c r="E2147" s="40">
        <v>10862.599609000001</v>
      </c>
      <c r="F2147" s="36">
        <f t="shared" si="134"/>
        <v>11837.726729525517</v>
      </c>
      <c r="G2147" s="36">
        <f t="shared" si="135"/>
        <v>10848.508329174483</v>
      </c>
      <c r="I2147" s="40">
        <v>10862.599609000001</v>
      </c>
      <c r="J2147" s="36">
        <v>11837.726729525517</v>
      </c>
      <c r="K2147" s="36">
        <v>10848.508329174483</v>
      </c>
    </row>
    <row r="2148" spans="1:11" x14ac:dyDescent="0.25">
      <c r="A2148" s="39">
        <v>43683</v>
      </c>
      <c r="B2148" s="36">
        <v>10948.25</v>
      </c>
      <c r="C2148" s="36">
        <f t="shared" si="132"/>
        <v>11312.735009799999</v>
      </c>
      <c r="D2148" s="36">
        <f t="shared" si="133"/>
        <v>256.92653147151083</v>
      </c>
      <c r="E2148" s="40">
        <v>10948.25</v>
      </c>
      <c r="F2148" s="36">
        <f t="shared" si="134"/>
        <v>11826.588072743021</v>
      </c>
      <c r="G2148" s="36">
        <f t="shared" si="135"/>
        <v>10798.881946856976</v>
      </c>
      <c r="I2148" s="40">
        <v>10948.25</v>
      </c>
      <c r="J2148" s="36">
        <v>11826.588072743021</v>
      </c>
      <c r="K2148" s="36">
        <v>10798.881946856976</v>
      </c>
    </row>
    <row r="2149" spans="1:11" x14ac:dyDescent="0.25">
      <c r="A2149" s="39">
        <v>43684</v>
      </c>
      <c r="B2149" s="36">
        <v>10855.5</v>
      </c>
      <c r="C2149" s="36">
        <f t="shared" si="132"/>
        <v>11280.564990250001</v>
      </c>
      <c r="D2149" s="36">
        <f t="shared" si="133"/>
        <v>272.21525062445488</v>
      </c>
      <c r="E2149" s="40">
        <v>10855.5</v>
      </c>
      <c r="F2149" s="36">
        <f t="shared" si="134"/>
        <v>11824.99549149891</v>
      </c>
      <c r="G2149" s="36">
        <f t="shared" si="135"/>
        <v>10736.134489001091</v>
      </c>
      <c r="I2149" s="40">
        <v>10855.5</v>
      </c>
      <c r="J2149" s="36">
        <v>11824.99549149891</v>
      </c>
      <c r="K2149" s="36">
        <v>10736.134489001091</v>
      </c>
    </row>
    <row r="2150" spans="1:11" x14ac:dyDescent="0.25">
      <c r="A2150" s="39">
        <v>43685</v>
      </c>
      <c r="B2150" s="36">
        <v>11032.450194999999</v>
      </c>
      <c r="C2150" s="36">
        <f t="shared" si="132"/>
        <v>11253.042480450002</v>
      </c>
      <c r="D2150" s="36">
        <f t="shared" si="133"/>
        <v>267.83009116539637</v>
      </c>
      <c r="E2150" s="40">
        <v>11032.450194999999</v>
      </c>
      <c r="F2150" s="36">
        <f t="shared" si="134"/>
        <v>11788.702662780794</v>
      </c>
      <c r="G2150" s="36">
        <f t="shared" si="135"/>
        <v>10717.38229811921</v>
      </c>
      <c r="I2150" s="40">
        <v>11032.450194999999</v>
      </c>
      <c r="J2150" s="36">
        <v>11788.702662780794</v>
      </c>
      <c r="K2150" s="36">
        <v>10717.38229811921</v>
      </c>
    </row>
    <row r="2151" spans="1:11" x14ac:dyDescent="0.25">
      <c r="A2151" s="39">
        <v>43686</v>
      </c>
      <c r="B2151" s="36">
        <v>11109.650390999999</v>
      </c>
      <c r="C2151" s="36">
        <f t="shared" si="132"/>
        <v>11230.9</v>
      </c>
      <c r="D2151" s="36">
        <f t="shared" si="133"/>
        <v>259.96020884093736</v>
      </c>
      <c r="E2151" s="40">
        <v>11109.650390999999</v>
      </c>
      <c r="F2151" s="36">
        <f t="shared" si="134"/>
        <v>11750.820417681874</v>
      </c>
      <c r="G2151" s="36">
        <f t="shared" si="135"/>
        <v>10710.979582318125</v>
      </c>
      <c r="I2151" s="40">
        <v>11109.650390999999</v>
      </c>
      <c r="J2151" s="36">
        <v>11750.820417681874</v>
      </c>
      <c r="K2151" s="36">
        <v>10710.979582318125</v>
      </c>
    </row>
    <row r="2152" spans="1:11" x14ac:dyDescent="0.25">
      <c r="A2152" s="39">
        <v>43690</v>
      </c>
      <c r="B2152" s="36">
        <v>10925.849609000001</v>
      </c>
      <c r="C2152" s="36">
        <f t="shared" si="132"/>
        <v>11197.775000000001</v>
      </c>
      <c r="D2152" s="36">
        <f t="shared" si="133"/>
        <v>254.15982321602809</v>
      </c>
      <c r="E2152" s="40">
        <v>10925.849609000001</v>
      </c>
      <c r="F2152" s="36">
        <f t="shared" si="134"/>
        <v>11706.094646432057</v>
      </c>
      <c r="G2152" s="36">
        <f t="shared" si="135"/>
        <v>10689.455353567946</v>
      </c>
      <c r="I2152" s="40">
        <v>10925.849609000001</v>
      </c>
      <c r="J2152" s="36">
        <v>11706.094646432057</v>
      </c>
      <c r="K2152" s="36">
        <v>10689.455353567946</v>
      </c>
    </row>
    <row r="2153" spans="1:11" x14ac:dyDescent="0.25">
      <c r="A2153" s="39">
        <v>43691</v>
      </c>
      <c r="B2153" s="36">
        <v>11029.400390999999</v>
      </c>
      <c r="C2153" s="36">
        <f t="shared" si="132"/>
        <v>11166.115039100001</v>
      </c>
      <c r="D2153" s="36">
        <f t="shared" si="133"/>
        <v>231.65174955284192</v>
      </c>
      <c r="E2153" s="40">
        <v>11029.400390999999</v>
      </c>
      <c r="F2153" s="36">
        <f t="shared" si="134"/>
        <v>11629.418538205686</v>
      </c>
      <c r="G2153" s="36">
        <f t="shared" si="135"/>
        <v>10702.811539994316</v>
      </c>
      <c r="I2153" s="40">
        <v>11029.400390999999</v>
      </c>
      <c r="J2153" s="36">
        <v>11629.418538205686</v>
      </c>
      <c r="K2153" s="36">
        <v>10702.811539994316</v>
      </c>
    </row>
    <row r="2154" spans="1:11" x14ac:dyDescent="0.25">
      <c r="A2154" s="39">
        <v>43693</v>
      </c>
      <c r="B2154" s="36">
        <v>11047.799805000001</v>
      </c>
      <c r="C2154" s="36">
        <f t="shared" si="132"/>
        <v>11134.130029350001</v>
      </c>
      <c r="D2154" s="36">
        <f t="shared" si="133"/>
        <v>197.52195461454411</v>
      </c>
      <c r="E2154" s="40">
        <v>11047.799805000001</v>
      </c>
      <c r="F2154" s="36">
        <f t="shared" si="134"/>
        <v>11529.17393857909</v>
      </c>
      <c r="G2154" s="36">
        <f t="shared" si="135"/>
        <v>10739.086120120912</v>
      </c>
      <c r="I2154" s="40">
        <v>11047.799805000001</v>
      </c>
      <c r="J2154" s="36">
        <v>11529.17393857909</v>
      </c>
      <c r="K2154" s="36">
        <v>10739.086120120912</v>
      </c>
    </row>
    <row r="2155" spans="1:11" x14ac:dyDescent="0.25">
      <c r="A2155" s="39">
        <v>43696</v>
      </c>
      <c r="B2155" s="36">
        <v>11053.900390999999</v>
      </c>
      <c r="C2155" s="36">
        <f t="shared" si="132"/>
        <v>11106.980029350001</v>
      </c>
      <c r="D2155" s="36">
        <f t="shared" si="133"/>
        <v>165.24646119124313</v>
      </c>
      <c r="E2155" s="40">
        <v>11053.900390999999</v>
      </c>
      <c r="F2155" s="36">
        <f t="shared" si="134"/>
        <v>11437.472951732487</v>
      </c>
      <c r="G2155" s="36">
        <f t="shared" si="135"/>
        <v>10776.487106967516</v>
      </c>
      <c r="I2155" s="40">
        <v>11053.900390999999</v>
      </c>
      <c r="J2155" s="36">
        <v>11437.472951732487</v>
      </c>
      <c r="K2155" s="36">
        <v>10776.487106967516</v>
      </c>
    </row>
    <row r="2156" spans="1:11" x14ac:dyDescent="0.25">
      <c r="A2156" s="39">
        <v>43697</v>
      </c>
      <c r="B2156" s="36">
        <v>11017</v>
      </c>
      <c r="C2156" s="36">
        <f t="shared" si="132"/>
        <v>11086.867529350002</v>
      </c>
      <c r="D2156" s="36">
        <f t="shared" si="133"/>
        <v>148.91097371733051</v>
      </c>
      <c r="E2156" s="40">
        <v>11017</v>
      </c>
      <c r="F2156" s="36">
        <f t="shared" si="134"/>
        <v>11384.689476784662</v>
      </c>
      <c r="G2156" s="36">
        <f t="shared" si="135"/>
        <v>10789.045581915341</v>
      </c>
      <c r="I2156" s="40">
        <v>11017</v>
      </c>
      <c r="J2156" s="36">
        <v>11384.689476784662</v>
      </c>
      <c r="K2156" s="36">
        <v>10789.045581915341</v>
      </c>
    </row>
    <row r="2157" spans="1:11" x14ac:dyDescent="0.25">
      <c r="A2157" s="39">
        <v>43698</v>
      </c>
      <c r="B2157" s="36">
        <v>10918.700194999999</v>
      </c>
      <c r="C2157" s="36">
        <f t="shared" si="132"/>
        <v>11065.49252935</v>
      </c>
      <c r="D2157" s="36">
        <f t="shared" si="133"/>
        <v>140.15106363918014</v>
      </c>
      <c r="E2157" s="40">
        <v>10918.700194999999</v>
      </c>
      <c r="F2157" s="36">
        <f t="shared" si="134"/>
        <v>11345.794656628361</v>
      </c>
      <c r="G2157" s="36">
        <f t="shared" si="135"/>
        <v>10785.190402071639</v>
      </c>
      <c r="I2157" s="40">
        <v>10918.700194999999</v>
      </c>
      <c r="J2157" s="36">
        <v>11345.794656628361</v>
      </c>
      <c r="K2157" s="36">
        <v>10785.190402071639</v>
      </c>
    </row>
    <row r="2158" spans="1:11" x14ac:dyDescent="0.25">
      <c r="A2158" s="39">
        <v>43699</v>
      </c>
      <c r="B2158" s="36">
        <v>10741.349609000001</v>
      </c>
      <c r="C2158" s="36">
        <f t="shared" si="132"/>
        <v>11036.007519549999</v>
      </c>
      <c r="D2158" s="36">
        <f t="shared" si="133"/>
        <v>143.3370599319789</v>
      </c>
      <c r="E2158" s="40">
        <v>10741.349609000001</v>
      </c>
      <c r="F2158" s="36">
        <f t="shared" si="134"/>
        <v>11322.681639413957</v>
      </c>
      <c r="G2158" s="36">
        <f t="shared" si="135"/>
        <v>10749.333399686042</v>
      </c>
      <c r="I2158" s="40">
        <v>10741.349609000001</v>
      </c>
      <c r="J2158" s="36">
        <v>11322.681639413957</v>
      </c>
      <c r="K2158" s="36">
        <v>10749.333399686042</v>
      </c>
    </row>
    <row r="2159" spans="1:11" x14ac:dyDescent="0.25">
      <c r="A2159" s="39">
        <v>43700</v>
      </c>
      <c r="B2159" s="36">
        <v>10829.349609000001</v>
      </c>
      <c r="C2159" s="36">
        <f t="shared" si="132"/>
        <v>11013.91000975</v>
      </c>
      <c r="D2159" s="36">
        <f t="shared" si="133"/>
        <v>139.15984294145451</v>
      </c>
      <c r="E2159" s="40">
        <v>10829.349609000001</v>
      </c>
      <c r="F2159" s="36">
        <f t="shared" si="134"/>
        <v>11292.229695632908</v>
      </c>
      <c r="G2159" s="36">
        <f t="shared" si="135"/>
        <v>10735.590323867091</v>
      </c>
      <c r="I2159" s="40">
        <v>10829.349609000001</v>
      </c>
      <c r="J2159" s="36">
        <v>11292.229695632908</v>
      </c>
      <c r="K2159" s="36">
        <v>10735.590323867091</v>
      </c>
    </row>
    <row r="2160" spans="1:11" x14ac:dyDescent="0.25">
      <c r="A2160" s="39">
        <v>43703</v>
      </c>
      <c r="B2160" s="36">
        <v>11057.849609000001</v>
      </c>
      <c r="C2160" s="36">
        <f t="shared" si="132"/>
        <v>11004.19497065</v>
      </c>
      <c r="D2160" s="36">
        <f t="shared" si="133"/>
        <v>127.98608997036206</v>
      </c>
      <c r="E2160" s="40">
        <v>11057.849609000001</v>
      </c>
      <c r="F2160" s="36">
        <f t="shared" si="134"/>
        <v>11260.167150590723</v>
      </c>
      <c r="G2160" s="36">
        <f t="shared" si="135"/>
        <v>10748.222790709277</v>
      </c>
      <c r="I2160" s="40">
        <v>11057.849609000001</v>
      </c>
      <c r="J2160" s="36">
        <v>11260.167150590723</v>
      </c>
      <c r="K2160" s="36">
        <v>10748.222790709277</v>
      </c>
    </row>
    <row r="2161" spans="1:11" x14ac:dyDescent="0.25">
      <c r="A2161" s="39">
        <v>43704</v>
      </c>
      <c r="B2161" s="36">
        <v>11105.349609000001</v>
      </c>
      <c r="C2161" s="36">
        <f t="shared" si="132"/>
        <v>10995.24746085</v>
      </c>
      <c r="D2161" s="36">
        <f t="shared" si="133"/>
        <v>112.71779602949428</v>
      </c>
      <c r="E2161" s="40">
        <v>11105.349609000001</v>
      </c>
      <c r="F2161" s="36">
        <f t="shared" si="134"/>
        <v>11220.683052908988</v>
      </c>
      <c r="G2161" s="36">
        <f t="shared" si="135"/>
        <v>10769.811868791012</v>
      </c>
      <c r="I2161" s="40">
        <v>11105.349609000001</v>
      </c>
      <c r="J2161" s="36">
        <v>11220.683052908988</v>
      </c>
      <c r="K2161" s="36">
        <v>10769.811868791012</v>
      </c>
    </row>
    <row r="2162" spans="1:11" x14ac:dyDescent="0.25">
      <c r="A2162" s="39">
        <v>43705</v>
      </c>
      <c r="B2162" s="36">
        <v>11046.099609000001</v>
      </c>
      <c r="C2162" s="36">
        <f t="shared" si="132"/>
        <v>10988.09243155</v>
      </c>
      <c r="D2162" s="36">
        <f t="shared" si="133"/>
        <v>103.95978936581783</v>
      </c>
      <c r="E2162" s="40">
        <v>11046.099609000001</v>
      </c>
      <c r="F2162" s="36">
        <f t="shared" si="134"/>
        <v>11196.012010281635</v>
      </c>
      <c r="G2162" s="36">
        <f t="shared" si="135"/>
        <v>10780.172852818365</v>
      </c>
      <c r="I2162" s="40">
        <v>11046.099609000001</v>
      </c>
      <c r="J2162" s="36">
        <v>11196.012010281635</v>
      </c>
      <c r="K2162" s="36">
        <v>10780.172852818365</v>
      </c>
    </row>
    <row r="2163" spans="1:11" x14ac:dyDescent="0.25">
      <c r="A2163" s="39">
        <v>43706</v>
      </c>
      <c r="B2163" s="36">
        <v>10948.299805000001</v>
      </c>
      <c r="C2163" s="36">
        <f t="shared" si="132"/>
        <v>10981.237402249999</v>
      </c>
      <c r="D2163" s="36">
        <f t="shared" si="133"/>
        <v>101.70129221247747</v>
      </c>
      <c r="E2163" s="40">
        <v>10948.299805000001</v>
      </c>
      <c r="F2163" s="36">
        <f t="shared" si="134"/>
        <v>11184.639986674954</v>
      </c>
      <c r="G2163" s="36">
        <f t="shared" si="135"/>
        <v>10777.834817825044</v>
      </c>
      <c r="I2163" s="40">
        <v>10948.299805000001</v>
      </c>
      <c r="J2163" s="36">
        <v>11184.639986674954</v>
      </c>
      <c r="K2163" s="36">
        <v>10777.834817825044</v>
      </c>
    </row>
    <row r="2164" spans="1:11" x14ac:dyDescent="0.25">
      <c r="A2164" s="39">
        <v>43707</v>
      </c>
      <c r="B2164" s="36">
        <v>11023.25</v>
      </c>
      <c r="C2164" s="36">
        <f t="shared" si="132"/>
        <v>10976.49990225</v>
      </c>
      <c r="D2164" s="36">
        <f t="shared" si="133"/>
        <v>97.097909354002041</v>
      </c>
      <c r="E2164" s="40">
        <v>11023.25</v>
      </c>
      <c r="F2164" s="36">
        <f t="shared" si="134"/>
        <v>11170.695720958003</v>
      </c>
      <c r="G2164" s="36">
        <f t="shared" si="135"/>
        <v>10782.304083541996</v>
      </c>
      <c r="I2164" s="40">
        <v>11023.25</v>
      </c>
      <c r="J2164" s="36">
        <v>11170.695720958003</v>
      </c>
      <c r="K2164" s="36">
        <v>10782.304083541996</v>
      </c>
    </row>
    <row r="2165" spans="1:11" x14ac:dyDescent="0.25">
      <c r="A2165" s="39">
        <v>43711</v>
      </c>
      <c r="B2165" s="36">
        <v>10797.900390999999</v>
      </c>
      <c r="C2165" s="36">
        <f t="shared" si="132"/>
        <v>10967.3949218</v>
      </c>
      <c r="D2165" s="36">
        <f t="shared" si="133"/>
        <v>104.97107305098365</v>
      </c>
      <c r="E2165" s="40">
        <v>10797.900390999999</v>
      </c>
      <c r="F2165" s="36">
        <f t="shared" si="134"/>
        <v>11177.337067901966</v>
      </c>
      <c r="G2165" s="36">
        <f t="shared" si="135"/>
        <v>10757.452775698033</v>
      </c>
      <c r="I2165" s="40">
        <v>10797.900390999999</v>
      </c>
      <c r="J2165" s="36">
        <v>11177.337067901966</v>
      </c>
      <c r="K2165" s="36">
        <v>10757.452775698033</v>
      </c>
    </row>
    <row r="2166" spans="1:11" x14ac:dyDescent="0.25">
      <c r="A2166" s="39">
        <v>43712</v>
      </c>
      <c r="B2166" s="36">
        <v>10844.650390999999</v>
      </c>
      <c r="C2166" s="36">
        <f t="shared" si="132"/>
        <v>10959.759960899999</v>
      </c>
      <c r="D2166" s="36">
        <f t="shared" si="133"/>
        <v>108.18178691180582</v>
      </c>
      <c r="E2166" s="40">
        <v>10844.650390999999</v>
      </c>
      <c r="F2166" s="36">
        <f t="shared" si="134"/>
        <v>11176.123534723611</v>
      </c>
      <c r="G2166" s="36">
        <f t="shared" si="135"/>
        <v>10743.396387076387</v>
      </c>
      <c r="I2166" s="40">
        <v>10844.650390999999</v>
      </c>
      <c r="J2166" s="36">
        <v>11176.123534723611</v>
      </c>
      <c r="K2166" s="36">
        <v>10743.396387076387</v>
      </c>
    </row>
    <row r="2167" spans="1:11" x14ac:dyDescent="0.25">
      <c r="A2167" s="39">
        <v>43713</v>
      </c>
      <c r="B2167" s="36">
        <v>10847.900390999999</v>
      </c>
      <c r="C2167" s="36">
        <f t="shared" si="132"/>
        <v>10959.025</v>
      </c>
      <c r="D2167" s="36">
        <f t="shared" si="133"/>
        <v>108.92399750467894</v>
      </c>
      <c r="E2167" s="40">
        <v>10847.900390999999</v>
      </c>
      <c r="F2167" s="36">
        <f t="shared" si="134"/>
        <v>11176.872995009358</v>
      </c>
      <c r="G2167" s="36">
        <f t="shared" si="135"/>
        <v>10741.177004990641</v>
      </c>
      <c r="I2167" s="40">
        <v>10847.900390999999</v>
      </c>
      <c r="J2167" s="36">
        <v>11176.872995009358</v>
      </c>
      <c r="K2167" s="36">
        <v>10741.177004990641</v>
      </c>
    </row>
    <row r="2168" spans="1:11" x14ac:dyDescent="0.25">
      <c r="A2168" s="39">
        <v>43714</v>
      </c>
      <c r="B2168" s="36">
        <v>10946.200194999999</v>
      </c>
      <c r="C2168" s="36">
        <f t="shared" si="132"/>
        <v>10958.92250975</v>
      </c>
      <c r="D2168" s="36">
        <f t="shared" si="133"/>
        <v>108.93563341640834</v>
      </c>
      <c r="E2168" s="40">
        <v>10946.200194999999</v>
      </c>
      <c r="F2168" s="36">
        <f t="shared" si="134"/>
        <v>11176.793776582817</v>
      </c>
      <c r="G2168" s="36">
        <f t="shared" si="135"/>
        <v>10741.051242917183</v>
      </c>
      <c r="I2168" s="40">
        <v>10946.200194999999</v>
      </c>
      <c r="J2168" s="36">
        <v>11176.793776582817</v>
      </c>
      <c r="K2168" s="36">
        <v>10741.051242917183</v>
      </c>
    </row>
    <row r="2169" spans="1:11" x14ac:dyDescent="0.25">
      <c r="A2169" s="39">
        <v>43717</v>
      </c>
      <c r="B2169" s="36">
        <v>11003.049805000001</v>
      </c>
      <c r="C2169" s="36">
        <f t="shared" si="132"/>
        <v>10966.3</v>
      </c>
      <c r="D2169" s="36">
        <f t="shared" si="133"/>
        <v>106.53265566659358</v>
      </c>
      <c r="E2169" s="40">
        <v>11003.049805000001</v>
      </c>
      <c r="F2169" s="36">
        <f t="shared" si="134"/>
        <v>11179.365311333186</v>
      </c>
      <c r="G2169" s="36">
        <f t="shared" si="135"/>
        <v>10753.234688666813</v>
      </c>
      <c r="I2169" s="40">
        <v>11003.049805000001</v>
      </c>
      <c r="J2169" s="36">
        <v>11179.365311333186</v>
      </c>
      <c r="K2169" s="36">
        <v>10753.234688666813</v>
      </c>
    </row>
    <row r="2170" spans="1:11" x14ac:dyDescent="0.25">
      <c r="A2170" s="39">
        <v>43719</v>
      </c>
      <c r="B2170" s="36">
        <v>11035.700194999999</v>
      </c>
      <c r="C2170" s="36">
        <f t="shared" si="132"/>
        <v>10966.4625</v>
      </c>
      <c r="D2170" s="36">
        <f t="shared" si="133"/>
        <v>106.64129208822169</v>
      </c>
      <c r="E2170" s="40">
        <v>11035.700194999999</v>
      </c>
      <c r="F2170" s="36">
        <f t="shared" si="134"/>
        <v>11179.745084176444</v>
      </c>
      <c r="G2170" s="36">
        <f t="shared" si="135"/>
        <v>10753.179915823555</v>
      </c>
      <c r="I2170" s="40">
        <v>11035.700194999999</v>
      </c>
      <c r="J2170" s="36">
        <v>11179.745084176444</v>
      </c>
      <c r="K2170" s="36">
        <v>10753.179915823555</v>
      </c>
    </row>
    <row r="2171" spans="1:11" x14ac:dyDescent="0.25">
      <c r="A2171" s="39">
        <v>43720</v>
      </c>
      <c r="B2171" s="36">
        <v>10982.799805000001</v>
      </c>
      <c r="C2171" s="36">
        <f t="shared" si="132"/>
        <v>10960.1199707</v>
      </c>
      <c r="D2171" s="36">
        <f t="shared" si="133"/>
        <v>101.31621167982503</v>
      </c>
      <c r="E2171" s="40">
        <v>10982.799805000001</v>
      </c>
      <c r="F2171" s="36">
        <f t="shared" si="134"/>
        <v>11162.752394059649</v>
      </c>
      <c r="G2171" s="36">
        <f t="shared" si="135"/>
        <v>10757.48754734035</v>
      </c>
      <c r="I2171" s="40">
        <v>10982.799805000001</v>
      </c>
      <c r="J2171" s="36">
        <v>11162.752394059649</v>
      </c>
      <c r="K2171" s="36">
        <v>10757.48754734035</v>
      </c>
    </row>
    <row r="2172" spans="1:11" x14ac:dyDescent="0.25">
      <c r="A2172" s="39">
        <v>43721</v>
      </c>
      <c r="B2172" s="36">
        <v>11075.900390999999</v>
      </c>
      <c r="C2172" s="36">
        <f t="shared" si="132"/>
        <v>10967.6225098</v>
      </c>
      <c r="D2172" s="36">
        <f t="shared" si="133"/>
        <v>104.16065688427918</v>
      </c>
      <c r="E2172" s="40">
        <v>11075.900390999999</v>
      </c>
      <c r="F2172" s="36">
        <f t="shared" si="134"/>
        <v>11175.943823568557</v>
      </c>
      <c r="G2172" s="36">
        <f t="shared" si="135"/>
        <v>10759.301196031442</v>
      </c>
      <c r="I2172" s="40">
        <v>11075.900390999999</v>
      </c>
      <c r="J2172" s="36">
        <v>11175.943823568557</v>
      </c>
      <c r="K2172" s="36">
        <v>10759.301196031442</v>
      </c>
    </row>
    <row r="2173" spans="1:11" x14ac:dyDescent="0.25">
      <c r="A2173" s="39">
        <v>43724</v>
      </c>
      <c r="B2173" s="36">
        <v>11003.5</v>
      </c>
      <c r="C2173" s="36">
        <f t="shared" si="132"/>
        <v>10966.32749025</v>
      </c>
      <c r="D2173" s="36">
        <f t="shared" si="133"/>
        <v>103.51113659727086</v>
      </c>
      <c r="E2173" s="40">
        <v>11003.5</v>
      </c>
      <c r="F2173" s="36">
        <f t="shared" si="134"/>
        <v>11173.349763444541</v>
      </c>
      <c r="G2173" s="36">
        <f t="shared" si="135"/>
        <v>10759.305217055458</v>
      </c>
      <c r="I2173" s="40">
        <v>11003.5</v>
      </c>
      <c r="J2173" s="36">
        <v>11173.349763444541</v>
      </c>
      <c r="K2173" s="36">
        <v>10759.305217055458</v>
      </c>
    </row>
    <row r="2174" spans="1:11" x14ac:dyDescent="0.25">
      <c r="A2174" s="39">
        <v>43725</v>
      </c>
      <c r="B2174" s="36">
        <v>10817.599609000001</v>
      </c>
      <c r="C2174" s="36">
        <f t="shared" si="132"/>
        <v>10954.817480449999</v>
      </c>
      <c r="D2174" s="36">
        <f t="shared" si="133"/>
        <v>106.72374339287768</v>
      </c>
      <c r="E2174" s="40">
        <v>10817.599609000001</v>
      </c>
      <c r="F2174" s="36">
        <f t="shared" si="134"/>
        <v>11168.264967235755</v>
      </c>
      <c r="G2174" s="36">
        <f t="shared" si="135"/>
        <v>10741.369993664244</v>
      </c>
      <c r="I2174" s="40">
        <v>10817.599609000001</v>
      </c>
      <c r="J2174" s="36">
        <v>11168.264967235755</v>
      </c>
      <c r="K2174" s="36">
        <v>10741.369993664244</v>
      </c>
    </row>
    <row r="2175" spans="1:11" x14ac:dyDescent="0.25">
      <c r="A2175" s="39">
        <v>43726</v>
      </c>
      <c r="B2175" s="36">
        <v>10840.650390999999</v>
      </c>
      <c r="C2175" s="36">
        <f t="shared" si="132"/>
        <v>10944.154980449999</v>
      </c>
      <c r="D2175" s="36">
        <f t="shared" si="133"/>
        <v>106.95599530387612</v>
      </c>
      <c r="E2175" s="40">
        <v>10840.650390999999</v>
      </c>
      <c r="F2175" s="36">
        <f t="shared" si="134"/>
        <v>11158.066971057751</v>
      </c>
      <c r="G2175" s="36">
        <f t="shared" si="135"/>
        <v>10730.242989842247</v>
      </c>
      <c r="I2175" s="40">
        <v>10840.650390999999</v>
      </c>
      <c r="J2175" s="36">
        <v>11158.066971057751</v>
      </c>
      <c r="K2175" s="36">
        <v>10730.242989842247</v>
      </c>
    </row>
    <row r="2176" spans="1:11" x14ac:dyDescent="0.25">
      <c r="A2176" s="39">
        <v>43727</v>
      </c>
      <c r="B2176" s="36">
        <v>10704.799805000001</v>
      </c>
      <c r="C2176" s="36">
        <f t="shared" si="132"/>
        <v>10928.544970699999</v>
      </c>
      <c r="D2176" s="36">
        <f t="shared" si="133"/>
        <v>117.97929540723636</v>
      </c>
      <c r="E2176" s="40">
        <v>10704.799805000001</v>
      </c>
      <c r="F2176" s="36">
        <f t="shared" si="134"/>
        <v>11164.503561514472</v>
      </c>
      <c r="G2176" s="36">
        <f t="shared" si="135"/>
        <v>10692.586379885526</v>
      </c>
      <c r="I2176" s="40">
        <v>10704.799805000001</v>
      </c>
      <c r="J2176" s="36">
        <v>11164.503561514472</v>
      </c>
      <c r="K2176" s="36">
        <v>10692.586379885526</v>
      </c>
    </row>
    <row r="2177" spans="1:11" x14ac:dyDescent="0.25">
      <c r="A2177" s="39">
        <v>43728</v>
      </c>
      <c r="B2177" s="36">
        <v>11274.200194999999</v>
      </c>
      <c r="C2177" s="36">
        <f t="shared" si="132"/>
        <v>10946.3199707</v>
      </c>
      <c r="D2177" s="36">
        <f t="shared" si="133"/>
        <v>140.96001126267026</v>
      </c>
      <c r="E2177" s="40">
        <v>11274.200194999999</v>
      </c>
      <c r="F2177" s="36">
        <f t="shared" si="134"/>
        <v>11228.239993225341</v>
      </c>
      <c r="G2177" s="36">
        <f t="shared" si="135"/>
        <v>10664.39994817466</v>
      </c>
      <c r="I2177" s="40">
        <v>11274.200194999999</v>
      </c>
      <c r="J2177" s="36">
        <v>11228.239993225341</v>
      </c>
      <c r="K2177" s="36">
        <v>10664.39994817466</v>
      </c>
    </row>
    <row r="2178" spans="1:11" x14ac:dyDescent="0.25">
      <c r="A2178" s="39">
        <v>43731</v>
      </c>
      <c r="B2178" s="36">
        <v>11600.200194999999</v>
      </c>
      <c r="C2178" s="36">
        <f t="shared" si="132"/>
        <v>10989.262500000001</v>
      </c>
      <c r="D2178" s="36">
        <f t="shared" si="133"/>
        <v>195.50071379999349</v>
      </c>
      <c r="E2178" s="40">
        <v>11600.200194999999</v>
      </c>
      <c r="F2178" s="36">
        <f t="shared" si="134"/>
        <v>11380.263927599988</v>
      </c>
      <c r="G2178" s="36">
        <f t="shared" si="135"/>
        <v>10598.261072400013</v>
      </c>
      <c r="I2178" s="40">
        <v>11600.200194999999</v>
      </c>
      <c r="J2178" s="36">
        <v>11380.263927599988</v>
      </c>
      <c r="K2178" s="36">
        <v>10598.261072400013</v>
      </c>
    </row>
    <row r="2179" spans="1:11" x14ac:dyDescent="0.25">
      <c r="A2179" s="39">
        <v>43732</v>
      </c>
      <c r="B2179" s="36">
        <v>11588.200194999999</v>
      </c>
      <c r="C2179" s="36">
        <f t="shared" si="132"/>
        <v>11027.205029300003</v>
      </c>
      <c r="D2179" s="36">
        <f t="shared" si="133"/>
        <v>232.89387373246345</v>
      </c>
      <c r="E2179" s="40">
        <v>11588.200194999999</v>
      </c>
      <c r="F2179" s="36">
        <f t="shared" si="134"/>
        <v>11492.99277676493</v>
      </c>
      <c r="G2179" s="36">
        <f t="shared" si="135"/>
        <v>10561.417281835076</v>
      </c>
      <c r="I2179" s="40">
        <v>11588.200194999999</v>
      </c>
      <c r="J2179" s="36">
        <v>11492.99277676493</v>
      </c>
      <c r="K2179" s="36">
        <v>10561.417281835076</v>
      </c>
    </row>
    <row r="2180" spans="1:11" x14ac:dyDescent="0.25">
      <c r="A2180" s="39">
        <v>43733</v>
      </c>
      <c r="B2180" s="36">
        <v>11440.200194999999</v>
      </c>
      <c r="C2180" s="36">
        <f t="shared" si="132"/>
        <v>11046.322558600001</v>
      </c>
      <c r="D2180" s="36">
        <f t="shared" si="133"/>
        <v>250.56440396117861</v>
      </c>
      <c r="E2180" s="40">
        <v>11440.200194999999</v>
      </c>
      <c r="F2180" s="36">
        <f t="shared" si="134"/>
        <v>11547.451366522359</v>
      </c>
      <c r="G2180" s="36">
        <f t="shared" si="135"/>
        <v>10545.193750677643</v>
      </c>
      <c r="I2180" s="40">
        <v>11440.200194999999</v>
      </c>
      <c r="J2180" s="36">
        <v>11547.451366522359</v>
      </c>
      <c r="K2180" s="36">
        <v>10545.193750677643</v>
      </c>
    </row>
    <row r="2181" spans="1:11" x14ac:dyDescent="0.25">
      <c r="A2181" s="39">
        <v>43734</v>
      </c>
      <c r="B2181" s="36">
        <v>11571.200194999999</v>
      </c>
      <c r="C2181" s="36">
        <f t="shared" si="132"/>
        <v>11069.615087900002</v>
      </c>
      <c r="D2181" s="36">
        <f t="shared" si="133"/>
        <v>276.63669812172259</v>
      </c>
      <c r="E2181" s="40">
        <v>11571.200194999999</v>
      </c>
      <c r="F2181" s="36">
        <f t="shared" si="134"/>
        <v>11622.888484143446</v>
      </c>
      <c r="G2181" s="36">
        <f t="shared" si="135"/>
        <v>10516.341691656557</v>
      </c>
      <c r="I2181" s="40">
        <v>11571.200194999999</v>
      </c>
      <c r="J2181" s="36">
        <v>11622.888484143446</v>
      </c>
      <c r="K2181" s="36">
        <v>10516.341691656557</v>
      </c>
    </row>
    <row r="2182" spans="1:11" x14ac:dyDescent="0.25">
      <c r="A2182" s="39">
        <v>43735</v>
      </c>
      <c r="B2182" s="36">
        <v>11512.400390999999</v>
      </c>
      <c r="C2182" s="36">
        <f t="shared" si="132"/>
        <v>11092.930127000003</v>
      </c>
      <c r="D2182" s="36">
        <f t="shared" si="133"/>
        <v>293.67574475895975</v>
      </c>
      <c r="E2182" s="40">
        <v>11512.400390999999</v>
      </c>
      <c r="F2182" s="36">
        <f t="shared" si="134"/>
        <v>11680.281616517923</v>
      </c>
      <c r="G2182" s="36">
        <f t="shared" si="135"/>
        <v>10505.578637482084</v>
      </c>
      <c r="I2182" s="40">
        <v>11512.400390999999</v>
      </c>
      <c r="J2182" s="36">
        <v>11680.281616517923</v>
      </c>
      <c r="K2182" s="36">
        <v>10505.578637482084</v>
      </c>
    </row>
    <row r="2183" spans="1:11" x14ac:dyDescent="0.25">
      <c r="A2183" s="39">
        <v>43738</v>
      </c>
      <c r="B2183" s="36">
        <v>11474.450194999999</v>
      </c>
      <c r="C2183" s="36">
        <f t="shared" si="132"/>
        <v>11119.237646500002</v>
      </c>
      <c r="D2183" s="36">
        <f t="shared" si="133"/>
        <v>303.4417778833282</v>
      </c>
      <c r="E2183" s="40">
        <v>11474.450194999999</v>
      </c>
      <c r="F2183" s="36">
        <f t="shared" si="134"/>
        <v>11726.121202266659</v>
      </c>
      <c r="G2183" s="36">
        <f t="shared" si="135"/>
        <v>10512.354090733344</v>
      </c>
      <c r="I2183" s="40">
        <v>11474.450194999999</v>
      </c>
      <c r="J2183" s="36">
        <v>11726.121202266659</v>
      </c>
      <c r="K2183" s="36">
        <v>10512.354090733344</v>
      </c>
    </row>
    <row r="2184" spans="1:11" x14ac:dyDescent="0.25">
      <c r="A2184" s="39">
        <v>43739</v>
      </c>
      <c r="B2184" s="36">
        <v>11359.900390999999</v>
      </c>
      <c r="C2184" s="36">
        <f t="shared" si="132"/>
        <v>11136.070166050004</v>
      </c>
      <c r="D2184" s="36">
        <f t="shared" si="133"/>
        <v>307.15156491428132</v>
      </c>
      <c r="E2184" s="40">
        <v>11359.900390999999</v>
      </c>
      <c r="F2184" s="36">
        <f t="shared" si="134"/>
        <v>11750.373295878566</v>
      </c>
      <c r="G2184" s="36">
        <f t="shared" si="135"/>
        <v>10521.767036221441</v>
      </c>
      <c r="I2184" s="40">
        <v>11359.900390999999</v>
      </c>
      <c r="J2184" s="36">
        <v>11750.373295878566</v>
      </c>
      <c r="K2184" s="36">
        <v>10521.767036221441</v>
      </c>
    </row>
    <row r="2185" spans="1:11" x14ac:dyDescent="0.25">
      <c r="A2185" s="39">
        <v>43741</v>
      </c>
      <c r="B2185" s="36">
        <v>11314</v>
      </c>
      <c r="C2185" s="36">
        <f t="shared" si="132"/>
        <v>11161.875146500004</v>
      </c>
      <c r="D2185" s="36">
        <f t="shared" si="133"/>
        <v>298.81184728575278</v>
      </c>
      <c r="E2185" s="40">
        <v>11314</v>
      </c>
      <c r="F2185" s="36">
        <f t="shared" si="134"/>
        <v>11759.49884107151</v>
      </c>
      <c r="G2185" s="36">
        <f t="shared" si="135"/>
        <v>10564.251451928498</v>
      </c>
      <c r="I2185" s="40">
        <v>11314</v>
      </c>
      <c r="J2185" s="36">
        <v>11759.49884107151</v>
      </c>
      <c r="K2185" s="36">
        <v>10564.251451928498</v>
      </c>
    </row>
    <row r="2186" spans="1:11" x14ac:dyDescent="0.25">
      <c r="A2186" s="39">
        <v>43742</v>
      </c>
      <c r="B2186" s="36">
        <v>11174.75</v>
      </c>
      <c r="C2186" s="36">
        <f t="shared" si="132"/>
        <v>11178.380126950004</v>
      </c>
      <c r="D2186" s="36">
        <f t="shared" si="133"/>
        <v>289.33388200500804</v>
      </c>
      <c r="E2186" s="40">
        <v>11174.75</v>
      </c>
      <c r="F2186" s="36">
        <f t="shared" si="134"/>
        <v>11757.047890960021</v>
      </c>
      <c r="G2186" s="36">
        <f t="shared" si="135"/>
        <v>10599.712362939987</v>
      </c>
      <c r="I2186" s="40">
        <v>11174.75</v>
      </c>
      <c r="J2186" s="36">
        <v>11757.047890960021</v>
      </c>
      <c r="K2186" s="36">
        <v>10599.712362939987</v>
      </c>
    </row>
    <row r="2187" spans="1:11" x14ac:dyDescent="0.25">
      <c r="A2187" s="39">
        <v>43745</v>
      </c>
      <c r="B2187" s="36">
        <v>11126.400390999999</v>
      </c>
      <c r="C2187" s="36">
        <f t="shared" si="132"/>
        <v>11192.305126950003</v>
      </c>
      <c r="D2187" s="36">
        <f t="shared" si="133"/>
        <v>279.11276110500387</v>
      </c>
      <c r="E2187" s="40">
        <v>11126.400390999999</v>
      </c>
      <c r="F2187" s="36">
        <f t="shared" si="134"/>
        <v>11750.530649160011</v>
      </c>
      <c r="G2187" s="36">
        <f t="shared" si="135"/>
        <v>10634.079604739994</v>
      </c>
      <c r="I2187" s="40">
        <v>11126.400390999999</v>
      </c>
      <c r="J2187" s="36">
        <v>11750.530649160011</v>
      </c>
      <c r="K2187" s="36">
        <v>10634.079604739994</v>
      </c>
    </row>
    <row r="2188" spans="1:11" x14ac:dyDescent="0.25">
      <c r="A2188" s="39">
        <v>43747</v>
      </c>
      <c r="B2188" s="36">
        <v>11313.299805000001</v>
      </c>
      <c r="C2188" s="36">
        <f t="shared" si="132"/>
        <v>11210.660107450001</v>
      </c>
      <c r="D2188" s="36">
        <f t="shared" si="133"/>
        <v>274.10223824665758</v>
      </c>
      <c r="E2188" s="40">
        <v>11313.299805000001</v>
      </c>
      <c r="F2188" s="36">
        <f t="shared" si="134"/>
        <v>11758.864583943316</v>
      </c>
      <c r="G2188" s="36">
        <f t="shared" si="135"/>
        <v>10662.455630956687</v>
      </c>
      <c r="I2188" s="40">
        <v>11313.299805000001</v>
      </c>
      <c r="J2188" s="36">
        <v>11758.864583943316</v>
      </c>
      <c r="K2188" s="36">
        <v>10662.455630956687</v>
      </c>
    </row>
    <row r="2189" spans="1:11" x14ac:dyDescent="0.25">
      <c r="A2189" s="39">
        <v>43748</v>
      </c>
      <c r="B2189" s="36">
        <v>11234.549805000001</v>
      </c>
      <c r="C2189" s="36">
        <f t="shared" si="132"/>
        <v>11222.23510745</v>
      </c>
      <c r="D2189" s="36">
        <f t="shared" si="133"/>
        <v>269.72673995520296</v>
      </c>
      <c r="E2189" s="40">
        <v>11234.549805000001</v>
      </c>
      <c r="F2189" s="36">
        <f t="shared" si="134"/>
        <v>11761.688587360406</v>
      </c>
      <c r="G2189" s="36">
        <f t="shared" si="135"/>
        <v>10682.781627539594</v>
      </c>
      <c r="I2189" s="40">
        <v>11234.549805000001</v>
      </c>
      <c r="J2189" s="36">
        <v>11761.688587360406</v>
      </c>
      <c r="K2189" s="36">
        <v>10682.781627539594</v>
      </c>
    </row>
    <row r="2190" spans="1:11" x14ac:dyDescent="0.25">
      <c r="A2190" s="39">
        <v>43749</v>
      </c>
      <c r="B2190" s="36">
        <v>11305.049805000001</v>
      </c>
      <c r="C2190" s="36">
        <f t="shared" si="132"/>
        <v>11235.702587949998</v>
      </c>
      <c r="D2190" s="36">
        <f t="shared" si="133"/>
        <v>266.62938111855237</v>
      </c>
      <c r="E2190" s="40">
        <v>11305.049805000001</v>
      </c>
      <c r="F2190" s="36">
        <f t="shared" si="134"/>
        <v>11768.961350187103</v>
      </c>
      <c r="G2190" s="36">
        <f t="shared" si="135"/>
        <v>10702.443825712893</v>
      </c>
      <c r="I2190" s="40">
        <v>11305.049805000001</v>
      </c>
      <c r="J2190" s="36">
        <v>11768.961350187103</v>
      </c>
      <c r="K2190" s="36">
        <v>10702.443825712893</v>
      </c>
    </row>
    <row r="2191" spans="1:11" x14ac:dyDescent="0.25">
      <c r="A2191" s="39">
        <v>43752</v>
      </c>
      <c r="B2191" s="36">
        <v>11341.150390999999</v>
      </c>
      <c r="C2191" s="36">
        <f t="shared" si="132"/>
        <v>11253.620117249999</v>
      </c>
      <c r="D2191" s="36">
        <f t="shared" si="133"/>
        <v>260.71480436206764</v>
      </c>
      <c r="E2191" s="40">
        <v>11341.150390999999</v>
      </c>
      <c r="F2191" s="36">
        <f t="shared" si="134"/>
        <v>11775.049725974133</v>
      </c>
      <c r="G2191" s="36">
        <f t="shared" si="135"/>
        <v>10732.190508525864</v>
      </c>
      <c r="I2191" s="40">
        <v>11341.150390999999</v>
      </c>
      <c r="J2191" s="36">
        <v>11775.049725974133</v>
      </c>
      <c r="K2191" s="36">
        <v>10732.190508525864</v>
      </c>
    </row>
    <row r="2192" spans="1:11" x14ac:dyDescent="0.25">
      <c r="A2192" s="39">
        <v>43753</v>
      </c>
      <c r="B2192" s="36">
        <v>11428.299805000001</v>
      </c>
      <c r="C2192" s="36">
        <f t="shared" si="132"/>
        <v>11271.240087949996</v>
      </c>
      <c r="D2192" s="36">
        <f t="shared" si="133"/>
        <v>259.97888577446952</v>
      </c>
      <c r="E2192" s="40">
        <v>11428.299805000001</v>
      </c>
      <c r="F2192" s="36">
        <f t="shared" si="134"/>
        <v>11791.197859498936</v>
      </c>
      <c r="G2192" s="36">
        <f t="shared" si="135"/>
        <v>10751.282316401057</v>
      </c>
      <c r="I2192" s="40">
        <v>11428.299805000001</v>
      </c>
      <c r="J2192" s="36">
        <v>11791.197859498936</v>
      </c>
      <c r="K2192" s="36">
        <v>10751.282316401057</v>
      </c>
    </row>
    <row r="2193" spans="1:11" x14ac:dyDescent="0.25">
      <c r="A2193" s="39">
        <v>43754</v>
      </c>
      <c r="B2193" s="36">
        <v>11464</v>
      </c>
      <c r="C2193" s="36">
        <f t="shared" si="132"/>
        <v>11294.265087949996</v>
      </c>
      <c r="D2193" s="36">
        <f t="shared" si="133"/>
        <v>255.36970273458019</v>
      </c>
      <c r="E2193" s="40">
        <v>11464</v>
      </c>
      <c r="F2193" s="36">
        <f t="shared" si="134"/>
        <v>11805.004493419157</v>
      </c>
      <c r="G2193" s="36">
        <f t="shared" si="135"/>
        <v>10783.525682480835</v>
      </c>
      <c r="I2193" s="40">
        <v>11464</v>
      </c>
      <c r="J2193" s="36">
        <v>11805.004493419157</v>
      </c>
      <c r="K2193" s="36">
        <v>10783.525682480835</v>
      </c>
    </row>
    <row r="2194" spans="1:11" x14ac:dyDescent="0.25">
      <c r="A2194" s="39">
        <v>43755</v>
      </c>
      <c r="B2194" s="36">
        <v>11586.349609000001</v>
      </c>
      <c r="C2194" s="36">
        <f t="shared" si="132"/>
        <v>11332.702587949998</v>
      </c>
      <c r="D2194" s="36">
        <f t="shared" si="133"/>
        <v>237.04480776844315</v>
      </c>
      <c r="E2194" s="40">
        <v>11586.349609000001</v>
      </c>
      <c r="F2194" s="36">
        <f t="shared" si="134"/>
        <v>11806.792203486884</v>
      </c>
      <c r="G2194" s="36">
        <f t="shared" si="135"/>
        <v>10858.612972413111</v>
      </c>
      <c r="I2194" s="40">
        <v>11586.349609000001</v>
      </c>
      <c r="J2194" s="36">
        <v>11806.792203486884</v>
      </c>
      <c r="K2194" s="36">
        <v>10858.612972413111</v>
      </c>
    </row>
    <row r="2195" spans="1:11" x14ac:dyDescent="0.25">
      <c r="A2195" s="39">
        <v>43756</v>
      </c>
      <c r="B2195" s="36">
        <v>11661.849609000001</v>
      </c>
      <c r="C2195" s="36">
        <f t="shared" si="132"/>
        <v>11373.762548849996</v>
      </c>
      <c r="D2195" s="36">
        <f t="shared" si="133"/>
        <v>217.65721070553531</v>
      </c>
      <c r="E2195" s="40">
        <v>11661.849609000001</v>
      </c>
      <c r="F2195" s="36">
        <f t="shared" si="134"/>
        <v>11809.076970261067</v>
      </c>
      <c r="G2195" s="36">
        <f t="shared" si="135"/>
        <v>10938.448127438925</v>
      </c>
      <c r="I2195" s="40">
        <v>11661.849609000001</v>
      </c>
      <c r="J2195" s="36">
        <v>11809.076970261067</v>
      </c>
      <c r="K2195" s="36">
        <v>10938.448127438925</v>
      </c>
    </row>
    <row r="2196" spans="1:11" x14ac:dyDescent="0.25">
      <c r="A2196" s="39">
        <v>43760</v>
      </c>
      <c r="B2196" s="36">
        <v>11588.349609000001</v>
      </c>
      <c r="C2196" s="36">
        <f t="shared" si="132"/>
        <v>11417.940039049998</v>
      </c>
      <c r="D2196" s="36">
        <f t="shared" si="133"/>
        <v>155.53337888278796</v>
      </c>
      <c r="E2196" s="40">
        <v>11588.349609000001</v>
      </c>
      <c r="F2196" s="36">
        <f t="shared" si="134"/>
        <v>11729.006796815574</v>
      </c>
      <c r="G2196" s="36">
        <f t="shared" si="135"/>
        <v>11106.873281284421</v>
      </c>
      <c r="I2196" s="40">
        <v>11588.349609000001</v>
      </c>
      <c r="J2196" s="36">
        <v>11729.006796815574</v>
      </c>
      <c r="K2196" s="36">
        <v>11106.873281284421</v>
      </c>
    </row>
    <row r="2197" spans="1:11" x14ac:dyDescent="0.25">
      <c r="A2197" s="39">
        <v>43761</v>
      </c>
      <c r="B2197" s="36">
        <v>11604.099609000001</v>
      </c>
      <c r="C2197" s="36">
        <f t="shared" si="132"/>
        <v>11434.435009749997</v>
      </c>
      <c r="D2197" s="36">
        <f t="shared" si="133"/>
        <v>156.97377731660418</v>
      </c>
      <c r="E2197" s="40">
        <v>11604.099609000001</v>
      </c>
      <c r="F2197" s="36">
        <f t="shared" si="134"/>
        <v>11748.382564383206</v>
      </c>
      <c r="G2197" s="36">
        <f t="shared" si="135"/>
        <v>11120.487455116789</v>
      </c>
      <c r="I2197" s="40">
        <v>11604.099609000001</v>
      </c>
      <c r="J2197" s="36">
        <v>11748.382564383206</v>
      </c>
      <c r="K2197" s="36">
        <v>11120.487455116789</v>
      </c>
    </row>
    <row r="2198" spans="1:11" x14ac:dyDescent="0.25">
      <c r="A2198" s="39">
        <v>43762</v>
      </c>
      <c r="B2198" s="36">
        <v>11582.599609000001</v>
      </c>
      <c r="C2198" s="36">
        <f t="shared" ref="C2198:C2261" si="136">AVERAGE(B2179:B2198)</f>
        <v>11433.554980449999</v>
      </c>
      <c r="D2198" s="36">
        <f t="shared" ref="D2198:D2261" si="137">_xlfn.STDEV.S(B2179:B2198)</f>
        <v>156.04212173141343</v>
      </c>
      <c r="E2198" s="40">
        <v>11582.599609000001</v>
      </c>
      <c r="F2198" s="36">
        <f t="shared" ref="F2198:F2261" si="138">C2198+2*D2198</f>
        <v>11745.639223912825</v>
      </c>
      <c r="G2198" s="36">
        <f t="shared" ref="G2198:G2261" si="139">C2198-2*D2198</f>
        <v>11121.470736987172</v>
      </c>
      <c r="I2198" s="40">
        <v>11582.599609000001</v>
      </c>
      <c r="J2198" s="36">
        <v>11745.639223912825</v>
      </c>
      <c r="K2198" s="36">
        <v>11121.470736987172</v>
      </c>
    </row>
    <row r="2199" spans="1:11" x14ac:dyDescent="0.25">
      <c r="A2199" s="39">
        <v>43763</v>
      </c>
      <c r="B2199" s="36">
        <v>11583.900390999999</v>
      </c>
      <c r="C2199" s="36">
        <f t="shared" si="136"/>
        <v>11433.339990249999</v>
      </c>
      <c r="D2199" s="36">
        <f t="shared" si="137"/>
        <v>155.82064706931391</v>
      </c>
      <c r="E2199" s="40">
        <v>11583.900390999999</v>
      </c>
      <c r="F2199" s="36">
        <f t="shared" si="138"/>
        <v>11744.981284388627</v>
      </c>
      <c r="G2199" s="36">
        <f t="shared" si="139"/>
        <v>11121.698696111371</v>
      </c>
      <c r="I2199" s="40">
        <v>11583.900390999999</v>
      </c>
      <c r="J2199" s="36">
        <v>11744.981284388627</v>
      </c>
      <c r="K2199" s="36">
        <v>11121.698696111371</v>
      </c>
    </row>
    <row r="2200" spans="1:11" x14ac:dyDescent="0.25">
      <c r="A2200" s="39">
        <v>43767</v>
      </c>
      <c r="B2200" s="36">
        <v>11786.849609000001</v>
      </c>
      <c r="C2200" s="36">
        <f t="shared" si="136"/>
        <v>11450.67246095</v>
      </c>
      <c r="D2200" s="36">
        <f t="shared" si="137"/>
        <v>174.75322515465626</v>
      </c>
      <c r="E2200" s="40">
        <v>11786.849609000001</v>
      </c>
      <c r="F2200" s="36">
        <f t="shared" si="138"/>
        <v>11800.178911259312</v>
      </c>
      <c r="G2200" s="36">
        <f t="shared" si="139"/>
        <v>11101.166010640687</v>
      </c>
      <c r="I2200" s="40">
        <v>11786.849609000001</v>
      </c>
      <c r="J2200" s="36">
        <v>11800.178911259312</v>
      </c>
      <c r="K2200" s="36">
        <v>11101.166010640687</v>
      </c>
    </row>
    <row r="2201" spans="1:11" x14ac:dyDescent="0.25">
      <c r="A2201" s="39">
        <v>43768</v>
      </c>
      <c r="B2201" s="36">
        <v>11844.099609000001</v>
      </c>
      <c r="C2201" s="36">
        <f t="shared" si="136"/>
        <v>11464.317431649999</v>
      </c>
      <c r="D2201" s="36">
        <f t="shared" si="137"/>
        <v>194.2284853595967</v>
      </c>
      <c r="E2201" s="40">
        <v>11844.099609000001</v>
      </c>
      <c r="F2201" s="36">
        <f t="shared" si="138"/>
        <v>11852.774402369192</v>
      </c>
      <c r="G2201" s="36">
        <f t="shared" si="139"/>
        <v>11075.860460930806</v>
      </c>
      <c r="I2201" s="40">
        <v>11844.099609000001</v>
      </c>
      <c r="J2201" s="36">
        <v>11852.774402369192</v>
      </c>
      <c r="K2201" s="36">
        <v>11075.860460930806</v>
      </c>
    </row>
    <row r="2202" spans="1:11" x14ac:dyDescent="0.25">
      <c r="A2202" s="39">
        <v>43769</v>
      </c>
      <c r="B2202" s="36">
        <v>11877.450194999999</v>
      </c>
      <c r="C2202" s="36">
        <f t="shared" si="136"/>
        <v>11482.569921850001</v>
      </c>
      <c r="D2202" s="36">
        <f t="shared" si="137"/>
        <v>215.02423696679665</v>
      </c>
      <c r="E2202" s="40">
        <v>11877.450194999999</v>
      </c>
      <c r="F2202" s="36">
        <f t="shared" si="138"/>
        <v>11912.618395783595</v>
      </c>
      <c r="G2202" s="36">
        <f t="shared" si="139"/>
        <v>11052.521447916408</v>
      </c>
      <c r="I2202" s="40">
        <v>11877.450194999999</v>
      </c>
      <c r="J2202" s="36">
        <v>11912.618395783595</v>
      </c>
      <c r="K2202" s="36">
        <v>11052.521447916408</v>
      </c>
    </row>
    <row r="2203" spans="1:11" x14ac:dyDescent="0.25">
      <c r="A2203" s="39">
        <v>43770</v>
      </c>
      <c r="B2203" s="36">
        <v>11890.599609000001</v>
      </c>
      <c r="C2203" s="36">
        <f t="shared" si="136"/>
        <v>11503.377392550001</v>
      </c>
      <c r="D2203" s="36">
        <f t="shared" si="137"/>
        <v>233.53533555161366</v>
      </c>
      <c r="E2203" s="40">
        <v>11890.599609000001</v>
      </c>
      <c r="F2203" s="36">
        <f t="shared" si="138"/>
        <v>11970.448063653228</v>
      </c>
      <c r="G2203" s="36">
        <f t="shared" si="139"/>
        <v>11036.306721446774</v>
      </c>
      <c r="I2203" s="40">
        <v>11890.599609000001</v>
      </c>
      <c r="J2203" s="36">
        <v>11970.448063653228</v>
      </c>
      <c r="K2203" s="36">
        <v>11036.306721446774</v>
      </c>
    </row>
    <row r="2204" spans="1:11" x14ac:dyDescent="0.25">
      <c r="A2204" s="39">
        <v>43773</v>
      </c>
      <c r="B2204" s="36">
        <v>11941.299805000001</v>
      </c>
      <c r="C2204" s="36">
        <f t="shared" si="136"/>
        <v>11532.447363249999</v>
      </c>
      <c r="D2204" s="36">
        <f t="shared" si="137"/>
        <v>250.31826388936852</v>
      </c>
      <c r="E2204" s="40">
        <v>11941.299805000001</v>
      </c>
      <c r="F2204" s="36">
        <f t="shared" si="138"/>
        <v>12033.083891028737</v>
      </c>
      <c r="G2204" s="36">
        <f t="shared" si="139"/>
        <v>11031.810835471262</v>
      </c>
      <c r="I2204" s="40">
        <v>11941.299805000001</v>
      </c>
      <c r="J2204" s="36">
        <v>12033.083891028737</v>
      </c>
      <c r="K2204" s="36">
        <v>11031.810835471262</v>
      </c>
    </row>
    <row r="2205" spans="1:11" x14ac:dyDescent="0.25">
      <c r="A2205" s="39">
        <v>43774</v>
      </c>
      <c r="B2205" s="36">
        <v>11917.200194999999</v>
      </c>
      <c r="C2205" s="36">
        <f t="shared" si="136"/>
        <v>11562.607373000001</v>
      </c>
      <c r="D2205" s="36">
        <f t="shared" si="137"/>
        <v>258.80783348202448</v>
      </c>
      <c r="E2205" s="40">
        <v>11917.200194999999</v>
      </c>
      <c r="F2205" s="36">
        <f t="shared" si="138"/>
        <v>12080.22303996405</v>
      </c>
      <c r="G2205" s="36">
        <f t="shared" si="139"/>
        <v>11044.991706035951</v>
      </c>
      <c r="I2205" s="40">
        <v>11917.200194999999</v>
      </c>
      <c r="J2205" s="36">
        <v>12080.22303996405</v>
      </c>
      <c r="K2205" s="36">
        <v>11044.991706035951</v>
      </c>
    </row>
    <row r="2206" spans="1:11" x14ac:dyDescent="0.25">
      <c r="A2206" s="39">
        <v>43775</v>
      </c>
      <c r="B2206" s="36">
        <v>11966.049805000001</v>
      </c>
      <c r="C2206" s="36">
        <f t="shared" si="136"/>
        <v>11602.17236325</v>
      </c>
      <c r="D2206" s="36">
        <f t="shared" si="137"/>
        <v>256.87116203709758</v>
      </c>
      <c r="E2206" s="40">
        <v>11966.049805000001</v>
      </c>
      <c r="F2206" s="36">
        <f t="shared" si="138"/>
        <v>12115.914687324195</v>
      </c>
      <c r="G2206" s="36">
        <f t="shared" si="139"/>
        <v>11088.430039175804</v>
      </c>
      <c r="I2206" s="40">
        <v>11966.049805000001</v>
      </c>
      <c r="J2206" s="36">
        <v>12115.914687324195</v>
      </c>
      <c r="K2206" s="36">
        <v>11088.430039175804</v>
      </c>
    </row>
    <row r="2207" spans="1:11" x14ac:dyDescent="0.25">
      <c r="A2207" s="39">
        <v>43776</v>
      </c>
      <c r="B2207" s="36">
        <v>12012.049805000001</v>
      </c>
      <c r="C2207" s="36">
        <f t="shared" si="136"/>
        <v>11646.454833949998</v>
      </c>
      <c r="D2207" s="36">
        <f t="shared" si="137"/>
        <v>246.6720481349179</v>
      </c>
      <c r="E2207" s="40">
        <v>12012.049805000001</v>
      </c>
      <c r="F2207" s="36">
        <f t="shared" si="138"/>
        <v>12139.798930219833</v>
      </c>
      <c r="G2207" s="36">
        <f t="shared" si="139"/>
        <v>11153.110737680163</v>
      </c>
      <c r="I2207" s="40">
        <v>12012.049805000001</v>
      </c>
      <c r="J2207" s="36">
        <v>12139.798930219833</v>
      </c>
      <c r="K2207" s="36">
        <v>11153.110737680163</v>
      </c>
    </row>
    <row r="2208" spans="1:11" x14ac:dyDescent="0.25">
      <c r="A2208" s="39">
        <v>43777</v>
      </c>
      <c r="B2208" s="36">
        <v>11908.150390999999</v>
      </c>
      <c r="C2208" s="36">
        <f t="shared" si="136"/>
        <v>11676.197363249999</v>
      </c>
      <c r="D2208" s="36">
        <f t="shared" si="137"/>
        <v>240.16384950501001</v>
      </c>
      <c r="E2208" s="40">
        <v>11908.150390999999</v>
      </c>
      <c r="F2208" s="36">
        <f t="shared" si="138"/>
        <v>12156.52506226002</v>
      </c>
      <c r="G2208" s="36">
        <f t="shared" si="139"/>
        <v>11195.869664239979</v>
      </c>
      <c r="I2208" s="40">
        <v>11908.150390999999</v>
      </c>
      <c r="J2208" s="36">
        <v>12156.52506226002</v>
      </c>
      <c r="K2208" s="36">
        <v>11195.869664239979</v>
      </c>
    </row>
    <row r="2209" spans="1:11" x14ac:dyDescent="0.25">
      <c r="A2209" s="39">
        <v>43780</v>
      </c>
      <c r="B2209" s="36">
        <v>11913.450194999999</v>
      </c>
      <c r="C2209" s="36">
        <f t="shared" si="136"/>
        <v>11710.14238275</v>
      </c>
      <c r="D2209" s="36">
        <f t="shared" si="137"/>
        <v>221.72598915403094</v>
      </c>
      <c r="E2209" s="40">
        <v>11913.450194999999</v>
      </c>
      <c r="F2209" s="36">
        <f t="shared" si="138"/>
        <v>12153.594361058062</v>
      </c>
      <c r="G2209" s="36">
        <f t="shared" si="139"/>
        <v>11266.690404441939</v>
      </c>
      <c r="I2209" s="40">
        <v>11913.450194999999</v>
      </c>
      <c r="J2209" s="36">
        <v>12153.594361058062</v>
      </c>
      <c r="K2209" s="36">
        <v>11266.690404441939</v>
      </c>
    </row>
    <row r="2210" spans="1:11" x14ac:dyDescent="0.25">
      <c r="A2210" s="39">
        <v>43782</v>
      </c>
      <c r="B2210" s="36">
        <v>11840.450194999999</v>
      </c>
      <c r="C2210" s="36">
        <f t="shared" si="136"/>
        <v>11736.91240225</v>
      </c>
      <c r="D2210" s="36">
        <f t="shared" si="137"/>
        <v>201.65542804822834</v>
      </c>
      <c r="E2210" s="40">
        <v>11840.450194999999</v>
      </c>
      <c r="F2210" s="36">
        <f t="shared" si="138"/>
        <v>12140.223258346457</v>
      </c>
      <c r="G2210" s="36">
        <f t="shared" si="139"/>
        <v>11333.601546153543</v>
      </c>
      <c r="I2210" s="40">
        <v>11840.450194999999</v>
      </c>
      <c r="J2210" s="36">
        <v>12140.223258346457</v>
      </c>
      <c r="K2210" s="36">
        <v>11333.601546153543</v>
      </c>
    </row>
    <row r="2211" spans="1:11" x14ac:dyDescent="0.25">
      <c r="A2211" s="39">
        <v>43783</v>
      </c>
      <c r="B2211" s="36">
        <v>11872.099609000001</v>
      </c>
      <c r="C2211" s="36">
        <f t="shared" si="136"/>
        <v>11763.459863149999</v>
      </c>
      <c r="D2211" s="36">
        <f t="shared" si="137"/>
        <v>180.6692207614513</v>
      </c>
      <c r="E2211" s="40">
        <v>11872.099609000001</v>
      </c>
      <c r="F2211" s="36">
        <f t="shared" si="138"/>
        <v>12124.798304672902</v>
      </c>
      <c r="G2211" s="36">
        <f t="shared" si="139"/>
        <v>11402.121421627096</v>
      </c>
      <c r="I2211" s="40">
        <v>11872.099609000001</v>
      </c>
      <c r="J2211" s="36">
        <v>12124.798304672902</v>
      </c>
      <c r="K2211" s="36">
        <v>11402.121421627096</v>
      </c>
    </row>
    <row r="2212" spans="1:11" x14ac:dyDescent="0.25">
      <c r="A2212" s="39">
        <v>43784</v>
      </c>
      <c r="B2212" s="36">
        <v>11895.450194999999</v>
      </c>
      <c r="C2212" s="36">
        <f t="shared" si="136"/>
        <v>11786.817382650001</v>
      </c>
      <c r="D2212" s="36">
        <f t="shared" si="137"/>
        <v>164.53502075775694</v>
      </c>
      <c r="E2212" s="40">
        <v>11895.450194999999</v>
      </c>
      <c r="F2212" s="36">
        <f t="shared" si="138"/>
        <v>12115.887424165514</v>
      </c>
      <c r="G2212" s="36">
        <f t="shared" si="139"/>
        <v>11457.747341134487</v>
      </c>
      <c r="I2212" s="40">
        <v>11895.450194999999</v>
      </c>
      <c r="J2212" s="36">
        <v>12115.887424165514</v>
      </c>
      <c r="K2212" s="36">
        <v>11457.747341134487</v>
      </c>
    </row>
    <row r="2213" spans="1:11" x14ac:dyDescent="0.25">
      <c r="A2213" s="39">
        <v>43787</v>
      </c>
      <c r="B2213" s="36">
        <v>11884.5</v>
      </c>
      <c r="C2213" s="36">
        <f t="shared" si="136"/>
        <v>11807.84238265</v>
      </c>
      <c r="D2213" s="36">
        <f t="shared" si="137"/>
        <v>147.05056537243527</v>
      </c>
      <c r="E2213" s="40">
        <v>11884.5</v>
      </c>
      <c r="F2213" s="36">
        <f t="shared" si="138"/>
        <v>12101.94351339487</v>
      </c>
      <c r="G2213" s="36">
        <f t="shared" si="139"/>
        <v>11513.74125190513</v>
      </c>
      <c r="I2213" s="40">
        <v>11884.5</v>
      </c>
      <c r="J2213" s="36">
        <v>12101.94351339487</v>
      </c>
      <c r="K2213" s="36">
        <v>11513.74125190513</v>
      </c>
    </row>
    <row r="2214" spans="1:11" x14ac:dyDescent="0.25">
      <c r="A2214" s="39">
        <v>43788</v>
      </c>
      <c r="B2214" s="36">
        <v>11940.099609000001</v>
      </c>
      <c r="C2214" s="36">
        <f t="shared" si="136"/>
        <v>11825.52988265</v>
      </c>
      <c r="D2214" s="36">
        <f t="shared" si="137"/>
        <v>140.11827311771668</v>
      </c>
      <c r="E2214" s="40">
        <v>11940.099609000001</v>
      </c>
      <c r="F2214" s="36">
        <f t="shared" si="138"/>
        <v>12105.766428885434</v>
      </c>
      <c r="G2214" s="36">
        <f t="shared" si="139"/>
        <v>11545.293336414567</v>
      </c>
      <c r="I2214" s="40">
        <v>11940.099609000001</v>
      </c>
      <c r="J2214" s="36">
        <v>12105.766428885434</v>
      </c>
      <c r="K2214" s="36">
        <v>11545.293336414567</v>
      </c>
    </row>
    <row r="2215" spans="1:11" x14ac:dyDescent="0.25">
      <c r="A2215" s="39">
        <v>43789</v>
      </c>
      <c r="B2215" s="36">
        <v>11999.099609000001</v>
      </c>
      <c r="C2215" s="36">
        <f t="shared" si="136"/>
        <v>11842.392382650001</v>
      </c>
      <c r="D2215" s="36">
        <f t="shared" si="137"/>
        <v>139.6759065548388</v>
      </c>
      <c r="E2215" s="40">
        <v>11999.099609000001</v>
      </c>
      <c r="F2215" s="36">
        <f t="shared" si="138"/>
        <v>12121.744195759678</v>
      </c>
      <c r="G2215" s="36">
        <f t="shared" si="139"/>
        <v>11563.040569540324</v>
      </c>
      <c r="I2215" s="40">
        <v>11999.099609000001</v>
      </c>
      <c r="J2215" s="36">
        <v>12121.744195759678</v>
      </c>
      <c r="K2215" s="36">
        <v>11563.040569540324</v>
      </c>
    </row>
    <row r="2216" spans="1:11" x14ac:dyDescent="0.25">
      <c r="A2216" s="39">
        <v>43790</v>
      </c>
      <c r="B2216" s="36">
        <v>11968.400390999999</v>
      </c>
      <c r="C2216" s="36">
        <f t="shared" si="136"/>
        <v>11861.394921750001</v>
      </c>
      <c r="D2216" s="36">
        <f t="shared" si="137"/>
        <v>128.71759705609577</v>
      </c>
      <c r="E2216" s="40">
        <v>11968.400390999999</v>
      </c>
      <c r="F2216" s="36">
        <f t="shared" si="138"/>
        <v>12118.830115862193</v>
      </c>
      <c r="G2216" s="36">
        <f t="shared" si="139"/>
        <v>11603.95972763781</v>
      </c>
      <c r="I2216" s="40">
        <v>11968.400390999999</v>
      </c>
      <c r="J2216" s="36">
        <v>12118.830115862193</v>
      </c>
      <c r="K2216" s="36">
        <v>11603.95972763781</v>
      </c>
    </row>
    <row r="2217" spans="1:11" x14ac:dyDescent="0.25">
      <c r="A2217" s="39">
        <v>43791</v>
      </c>
      <c r="B2217" s="36">
        <v>11914.400390999999</v>
      </c>
      <c r="C2217" s="36">
        <f t="shared" si="136"/>
        <v>11876.90996085</v>
      </c>
      <c r="D2217" s="36">
        <f t="shared" si="137"/>
        <v>113.92300010090275</v>
      </c>
      <c r="E2217" s="40">
        <v>11914.400390999999</v>
      </c>
      <c r="F2217" s="36">
        <f t="shared" si="138"/>
        <v>12104.755961051806</v>
      </c>
      <c r="G2217" s="36">
        <f t="shared" si="139"/>
        <v>11649.063960648195</v>
      </c>
      <c r="I2217" s="40">
        <v>11914.400390999999</v>
      </c>
      <c r="J2217" s="36">
        <v>12104.755961051806</v>
      </c>
      <c r="K2217" s="36">
        <v>11649.063960648195</v>
      </c>
    </row>
    <row r="2218" spans="1:11" x14ac:dyDescent="0.25">
      <c r="A2218" s="39">
        <v>43794</v>
      </c>
      <c r="B2218" s="36">
        <v>12073.75</v>
      </c>
      <c r="C2218" s="36">
        <f t="shared" si="136"/>
        <v>11901.467480400001</v>
      </c>
      <c r="D2218" s="36">
        <f t="shared" si="137"/>
        <v>99.116234679912395</v>
      </c>
      <c r="E2218" s="40">
        <v>12073.75</v>
      </c>
      <c r="F2218" s="36">
        <f t="shared" si="138"/>
        <v>12099.699949759826</v>
      </c>
      <c r="G2218" s="36">
        <f t="shared" si="139"/>
        <v>11703.235011040175</v>
      </c>
      <c r="I2218" s="40">
        <v>12073.75</v>
      </c>
      <c r="J2218" s="36">
        <v>12099.699949759826</v>
      </c>
      <c r="K2218" s="36">
        <v>11703.235011040175</v>
      </c>
    </row>
    <row r="2219" spans="1:11" x14ac:dyDescent="0.25">
      <c r="A2219" s="39">
        <v>43795</v>
      </c>
      <c r="B2219" s="36">
        <v>12037.700194999999</v>
      </c>
      <c r="C2219" s="36">
        <f t="shared" si="136"/>
        <v>11924.157470600001</v>
      </c>
      <c r="D2219" s="36">
        <f t="shared" si="137"/>
        <v>70.363834429612595</v>
      </c>
      <c r="E2219" s="40">
        <v>12037.700194999999</v>
      </c>
      <c r="F2219" s="36">
        <f t="shared" si="138"/>
        <v>12064.885139459226</v>
      </c>
      <c r="G2219" s="36">
        <f t="shared" si="139"/>
        <v>11783.429801740776</v>
      </c>
      <c r="I2219" s="40">
        <v>12037.700194999999</v>
      </c>
      <c r="J2219" s="36">
        <v>12064.885139459226</v>
      </c>
      <c r="K2219" s="36">
        <v>11783.429801740776</v>
      </c>
    </row>
    <row r="2220" spans="1:11" x14ac:dyDescent="0.25">
      <c r="A2220" s="39">
        <v>43796</v>
      </c>
      <c r="B2220" s="36">
        <v>12100.700194999999</v>
      </c>
      <c r="C2220" s="36">
        <f t="shared" si="136"/>
        <v>11939.849999900001</v>
      </c>
      <c r="D2220" s="36">
        <f t="shared" si="137"/>
        <v>73.074975874423245</v>
      </c>
      <c r="E2220" s="40">
        <v>12100.700194999999</v>
      </c>
      <c r="F2220" s="36">
        <f t="shared" si="138"/>
        <v>12085.999951648848</v>
      </c>
      <c r="G2220" s="36">
        <f t="shared" si="139"/>
        <v>11793.700048151155</v>
      </c>
      <c r="I2220" s="40">
        <v>12100.700194999999</v>
      </c>
      <c r="J2220" s="36">
        <v>12085.999951648848</v>
      </c>
      <c r="K2220" s="36">
        <v>11793.700048151155</v>
      </c>
    </row>
    <row r="2221" spans="1:11" x14ac:dyDescent="0.25">
      <c r="A2221" s="39">
        <v>43797</v>
      </c>
      <c r="B2221" s="36">
        <v>12151.150390999999</v>
      </c>
      <c r="C2221" s="36">
        <f t="shared" si="136"/>
        <v>11955.202539000002</v>
      </c>
      <c r="D2221" s="36">
        <f t="shared" si="137"/>
        <v>83.421819267179316</v>
      </c>
      <c r="E2221" s="40">
        <v>12151.150390999999</v>
      </c>
      <c r="F2221" s="36">
        <f t="shared" si="138"/>
        <v>12122.046177534361</v>
      </c>
      <c r="G2221" s="36">
        <f t="shared" si="139"/>
        <v>11788.358900465642</v>
      </c>
      <c r="I2221" s="40">
        <v>12151.150390999999</v>
      </c>
      <c r="J2221" s="36">
        <v>12122.046177534361</v>
      </c>
      <c r="K2221" s="36">
        <v>11788.358900465642</v>
      </c>
    </row>
    <row r="2222" spans="1:11" x14ac:dyDescent="0.25">
      <c r="A2222" s="39">
        <v>43798</v>
      </c>
      <c r="B2222" s="36">
        <v>12056.049805000001</v>
      </c>
      <c r="C2222" s="36">
        <f t="shared" si="136"/>
        <v>11964.132519500001</v>
      </c>
      <c r="D2222" s="36">
        <f t="shared" si="137"/>
        <v>84.216091628571021</v>
      </c>
      <c r="E2222" s="40">
        <v>12056.049805000001</v>
      </c>
      <c r="F2222" s="36">
        <f t="shared" si="138"/>
        <v>12132.564702757143</v>
      </c>
      <c r="G2222" s="36">
        <f t="shared" si="139"/>
        <v>11795.700336242859</v>
      </c>
      <c r="I2222" s="40">
        <v>12056.049805000001</v>
      </c>
      <c r="J2222" s="36">
        <v>12132.564702757143</v>
      </c>
      <c r="K2222" s="36">
        <v>11795.700336242859</v>
      </c>
    </row>
    <row r="2223" spans="1:11" x14ac:dyDescent="0.25">
      <c r="A2223" s="39">
        <v>43801</v>
      </c>
      <c r="B2223" s="36">
        <v>12048.200194999999</v>
      </c>
      <c r="C2223" s="36">
        <f t="shared" si="136"/>
        <v>11972.012548800001</v>
      </c>
      <c r="D2223" s="36">
        <f t="shared" si="137"/>
        <v>84.346727886067711</v>
      </c>
      <c r="E2223" s="40">
        <v>12048.200194999999</v>
      </c>
      <c r="F2223" s="36">
        <f t="shared" si="138"/>
        <v>12140.706004572137</v>
      </c>
      <c r="G2223" s="36">
        <f t="shared" si="139"/>
        <v>11803.319093027865</v>
      </c>
      <c r="I2223" s="40">
        <v>12048.200194999999</v>
      </c>
      <c r="J2223" s="36">
        <v>12140.706004572137</v>
      </c>
      <c r="K2223" s="36">
        <v>11803.319093027865</v>
      </c>
    </row>
    <row r="2224" spans="1:11" x14ac:dyDescent="0.25">
      <c r="A2224" s="39">
        <v>43802</v>
      </c>
      <c r="B2224" s="36">
        <v>11994.200194999999</v>
      </c>
      <c r="C2224" s="36">
        <f t="shared" si="136"/>
        <v>11974.657568300001</v>
      </c>
      <c r="D2224" s="36">
        <f t="shared" si="137"/>
        <v>84.162166786478366</v>
      </c>
      <c r="E2224" s="40">
        <v>11994.200194999999</v>
      </c>
      <c r="F2224" s="36">
        <f t="shared" si="138"/>
        <v>12142.981901872958</v>
      </c>
      <c r="G2224" s="36">
        <f t="shared" si="139"/>
        <v>11806.333234727044</v>
      </c>
      <c r="I2224" s="40">
        <v>11994.200194999999</v>
      </c>
      <c r="J2224" s="36">
        <v>12142.981901872958</v>
      </c>
      <c r="K2224" s="36">
        <v>11806.333234727044</v>
      </c>
    </row>
    <row r="2225" spans="1:11" x14ac:dyDescent="0.25">
      <c r="A2225" s="39">
        <v>43803</v>
      </c>
      <c r="B2225" s="36">
        <v>12043.200194999999</v>
      </c>
      <c r="C2225" s="36">
        <f t="shared" si="136"/>
        <v>11980.957568300002</v>
      </c>
      <c r="D2225" s="36">
        <f t="shared" si="137"/>
        <v>84.350483720606263</v>
      </c>
      <c r="E2225" s="40">
        <v>12043.200194999999</v>
      </c>
      <c r="F2225" s="36">
        <f t="shared" si="138"/>
        <v>12149.658535741215</v>
      </c>
      <c r="G2225" s="36">
        <f t="shared" si="139"/>
        <v>11812.256600858789</v>
      </c>
      <c r="I2225" s="40">
        <v>12043.200194999999</v>
      </c>
      <c r="J2225" s="36">
        <v>12149.658535741215</v>
      </c>
      <c r="K2225" s="36">
        <v>11812.256600858789</v>
      </c>
    </row>
    <row r="2226" spans="1:11" x14ac:dyDescent="0.25">
      <c r="A2226" s="39">
        <v>43804</v>
      </c>
      <c r="B2226" s="36">
        <v>12018.400390999999</v>
      </c>
      <c r="C2226" s="36">
        <f t="shared" si="136"/>
        <v>11983.575097600002</v>
      </c>
      <c r="D2226" s="36">
        <f t="shared" si="137"/>
        <v>84.6751602010862</v>
      </c>
      <c r="E2226" s="40">
        <v>12018.400390999999</v>
      </c>
      <c r="F2226" s="36">
        <f t="shared" si="138"/>
        <v>12152.925418002174</v>
      </c>
      <c r="G2226" s="36">
        <f t="shared" si="139"/>
        <v>11814.224777197829</v>
      </c>
      <c r="I2226" s="40">
        <v>12018.400390999999</v>
      </c>
      <c r="J2226" s="36">
        <v>12152.925418002174</v>
      </c>
      <c r="K2226" s="36">
        <v>11814.224777197829</v>
      </c>
    </row>
    <row r="2227" spans="1:11" x14ac:dyDescent="0.25">
      <c r="A2227" s="39">
        <v>43805</v>
      </c>
      <c r="B2227" s="36">
        <v>11921.5</v>
      </c>
      <c r="C2227" s="36">
        <f t="shared" si="136"/>
        <v>11979.047607350003</v>
      </c>
      <c r="D2227" s="36">
        <f t="shared" si="137"/>
        <v>85.489401549262396</v>
      </c>
      <c r="E2227" s="40">
        <v>11921.5</v>
      </c>
      <c r="F2227" s="36">
        <f t="shared" si="138"/>
        <v>12150.026410448529</v>
      </c>
      <c r="G2227" s="36">
        <f t="shared" si="139"/>
        <v>11808.068804251478</v>
      </c>
      <c r="I2227" s="40">
        <v>11921.5</v>
      </c>
      <c r="J2227" s="36">
        <v>12150.026410448529</v>
      </c>
      <c r="K2227" s="36">
        <v>11808.068804251478</v>
      </c>
    </row>
    <row r="2228" spans="1:11" x14ac:dyDescent="0.25">
      <c r="A2228" s="39">
        <v>43808</v>
      </c>
      <c r="B2228" s="36">
        <v>11937.5</v>
      </c>
      <c r="C2228" s="36">
        <f t="shared" si="136"/>
        <v>11980.515087800002</v>
      </c>
      <c r="D2228" s="36">
        <f t="shared" si="137"/>
        <v>84.453985035975236</v>
      </c>
      <c r="E2228" s="40">
        <v>11937.5</v>
      </c>
      <c r="F2228" s="36">
        <f t="shared" si="138"/>
        <v>12149.423057871953</v>
      </c>
      <c r="G2228" s="36">
        <f t="shared" si="139"/>
        <v>11811.607117728052</v>
      </c>
      <c r="I2228" s="40">
        <v>11937.5</v>
      </c>
      <c r="J2228" s="36">
        <v>12149.423057871953</v>
      </c>
      <c r="K2228" s="36">
        <v>11811.607117728052</v>
      </c>
    </row>
    <row r="2229" spans="1:11" x14ac:dyDescent="0.25">
      <c r="A2229" s="39">
        <v>43809</v>
      </c>
      <c r="B2229" s="36">
        <v>11856.799805000001</v>
      </c>
      <c r="C2229" s="36">
        <f t="shared" si="136"/>
        <v>11977.682568300002</v>
      </c>
      <c r="D2229" s="36">
        <f t="shared" si="137"/>
        <v>87.708951772123342</v>
      </c>
      <c r="E2229" s="40">
        <v>11856.799805000001</v>
      </c>
      <c r="F2229" s="36">
        <f t="shared" si="138"/>
        <v>12153.100471844249</v>
      </c>
      <c r="G2229" s="36">
        <f t="shared" si="139"/>
        <v>11802.264664755756</v>
      </c>
      <c r="I2229" s="40">
        <v>11856.799805000001</v>
      </c>
      <c r="J2229" s="36">
        <v>12153.100471844249</v>
      </c>
      <c r="K2229" s="36">
        <v>11802.264664755756</v>
      </c>
    </row>
    <row r="2230" spans="1:11" x14ac:dyDescent="0.25">
      <c r="A2230" s="39">
        <v>43810</v>
      </c>
      <c r="B2230" s="36">
        <v>11910.150390999999</v>
      </c>
      <c r="C2230" s="36">
        <f t="shared" si="136"/>
        <v>11981.167578100001</v>
      </c>
      <c r="D2230" s="36">
        <f t="shared" si="137"/>
        <v>83.240080496918083</v>
      </c>
      <c r="E2230" s="40">
        <v>11910.150390999999</v>
      </c>
      <c r="F2230" s="36">
        <f t="shared" si="138"/>
        <v>12147.647739093838</v>
      </c>
      <c r="G2230" s="36">
        <f t="shared" si="139"/>
        <v>11814.687417106165</v>
      </c>
      <c r="I2230" s="40">
        <v>11910.150390999999</v>
      </c>
      <c r="J2230" s="36">
        <v>12147.647739093838</v>
      </c>
      <c r="K2230" s="36">
        <v>11814.687417106165</v>
      </c>
    </row>
    <row r="2231" spans="1:11" x14ac:dyDescent="0.25">
      <c r="A2231" s="39">
        <v>43811</v>
      </c>
      <c r="B2231" s="36">
        <v>11971.799805000001</v>
      </c>
      <c r="C2231" s="36">
        <f t="shared" si="136"/>
        <v>11986.1525879</v>
      </c>
      <c r="D2231" s="36">
        <f t="shared" si="137"/>
        <v>79.254498745519484</v>
      </c>
      <c r="E2231" s="40">
        <v>11971.799805000001</v>
      </c>
      <c r="F2231" s="36">
        <f t="shared" si="138"/>
        <v>12144.661585391039</v>
      </c>
      <c r="G2231" s="36">
        <f t="shared" si="139"/>
        <v>11827.643590408961</v>
      </c>
      <c r="I2231" s="40">
        <v>11971.799805000001</v>
      </c>
      <c r="J2231" s="36">
        <v>12144.661585391039</v>
      </c>
      <c r="K2231" s="36">
        <v>11827.643590408961</v>
      </c>
    </row>
    <row r="2232" spans="1:11" x14ac:dyDescent="0.25">
      <c r="A2232" s="39">
        <v>43812</v>
      </c>
      <c r="B2232" s="36">
        <v>12086.700194999999</v>
      </c>
      <c r="C2232" s="36">
        <f t="shared" si="136"/>
        <v>11995.7150879</v>
      </c>
      <c r="D2232" s="36">
        <f t="shared" si="137"/>
        <v>79.272449899204972</v>
      </c>
      <c r="E2232" s="40">
        <v>12086.700194999999</v>
      </c>
      <c r="F2232" s="36">
        <f t="shared" si="138"/>
        <v>12154.25998769841</v>
      </c>
      <c r="G2232" s="36">
        <f t="shared" si="139"/>
        <v>11837.170188101591</v>
      </c>
      <c r="I2232" s="40">
        <v>12086.700194999999</v>
      </c>
      <c r="J2232" s="36">
        <v>12154.25998769841</v>
      </c>
      <c r="K2232" s="36">
        <v>11837.170188101591</v>
      </c>
    </row>
    <row r="2233" spans="1:11" x14ac:dyDescent="0.25">
      <c r="A2233" s="39">
        <v>43815</v>
      </c>
      <c r="B2233" s="36">
        <v>12053.950194999999</v>
      </c>
      <c r="C2233" s="36">
        <f t="shared" si="136"/>
        <v>12004.187597650001</v>
      </c>
      <c r="D2233" s="36">
        <f t="shared" si="137"/>
        <v>75.73679090684783</v>
      </c>
      <c r="E2233" s="40">
        <v>12053.950194999999</v>
      </c>
      <c r="F2233" s="36">
        <f t="shared" si="138"/>
        <v>12155.661179463697</v>
      </c>
      <c r="G2233" s="36">
        <f t="shared" si="139"/>
        <v>11852.714015836305</v>
      </c>
      <c r="I2233" s="40">
        <v>12053.950194999999</v>
      </c>
      <c r="J2233" s="36">
        <v>12155.661179463697</v>
      </c>
      <c r="K2233" s="36">
        <v>11852.714015836305</v>
      </c>
    </row>
    <row r="2234" spans="1:11" x14ac:dyDescent="0.25">
      <c r="A2234" s="39">
        <v>43816</v>
      </c>
      <c r="B2234" s="36">
        <v>12165</v>
      </c>
      <c r="C2234" s="36">
        <f t="shared" si="136"/>
        <v>12015.4326172</v>
      </c>
      <c r="D2234" s="36">
        <f t="shared" si="137"/>
        <v>82.145415865711328</v>
      </c>
      <c r="E2234" s="40">
        <v>12165</v>
      </c>
      <c r="F2234" s="36">
        <f t="shared" si="138"/>
        <v>12179.723448931423</v>
      </c>
      <c r="G2234" s="36">
        <f t="shared" si="139"/>
        <v>11851.141785468577</v>
      </c>
      <c r="I2234" s="40">
        <v>12165</v>
      </c>
      <c r="J2234" s="36">
        <v>12179.723448931423</v>
      </c>
      <c r="K2234" s="36">
        <v>11851.141785468577</v>
      </c>
    </row>
    <row r="2235" spans="1:11" x14ac:dyDescent="0.25">
      <c r="A2235" s="39">
        <v>43817</v>
      </c>
      <c r="B2235" s="36">
        <v>12221.650390999999</v>
      </c>
      <c r="C2235" s="36">
        <f t="shared" si="136"/>
        <v>12026.560156299998</v>
      </c>
      <c r="D2235" s="36">
        <f t="shared" si="137"/>
        <v>94.030252173656848</v>
      </c>
      <c r="E2235" s="40">
        <v>12221.650390999999</v>
      </c>
      <c r="F2235" s="36">
        <f t="shared" si="138"/>
        <v>12214.620660647312</v>
      </c>
      <c r="G2235" s="36">
        <f t="shared" si="139"/>
        <v>11838.499651952685</v>
      </c>
      <c r="I2235" s="40">
        <v>12221.650390999999</v>
      </c>
      <c r="J2235" s="36">
        <v>12214.620660647312</v>
      </c>
      <c r="K2235" s="36">
        <v>11838.499651952685</v>
      </c>
    </row>
    <row r="2236" spans="1:11" x14ac:dyDescent="0.25">
      <c r="A2236" s="39">
        <v>43818</v>
      </c>
      <c r="B2236" s="36">
        <v>12259.700194999999</v>
      </c>
      <c r="C2236" s="36">
        <f t="shared" si="136"/>
        <v>12041.1251465</v>
      </c>
      <c r="D2236" s="36">
        <f t="shared" si="137"/>
        <v>106.30666135184786</v>
      </c>
      <c r="E2236" s="40">
        <v>12259.700194999999</v>
      </c>
      <c r="F2236" s="36">
        <f t="shared" si="138"/>
        <v>12253.738469203696</v>
      </c>
      <c r="G2236" s="36">
        <f t="shared" si="139"/>
        <v>11828.511823796305</v>
      </c>
      <c r="I2236" s="40">
        <v>12259.700194999999</v>
      </c>
      <c r="J2236" s="36">
        <v>12253.738469203696</v>
      </c>
      <c r="K2236" s="36">
        <v>11828.511823796305</v>
      </c>
    </row>
    <row r="2237" spans="1:11" x14ac:dyDescent="0.25">
      <c r="A2237" s="39">
        <v>43819</v>
      </c>
      <c r="B2237" s="36">
        <v>12271.799805000001</v>
      </c>
      <c r="C2237" s="36">
        <f t="shared" si="136"/>
        <v>12058.9951172</v>
      </c>
      <c r="D2237" s="36">
        <f t="shared" si="137"/>
        <v>113.6675522067783</v>
      </c>
      <c r="E2237" s="40">
        <v>12271.799805000001</v>
      </c>
      <c r="F2237" s="36">
        <f t="shared" si="138"/>
        <v>12286.330221613556</v>
      </c>
      <c r="G2237" s="36">
        <f t="shared" si="139"/>
        <v>11831.660012786444</v>
      </c>
      <c r="I2237" s="40">
        <v>12271.799805000001</v>
      </c>
      <c r="J2237" s="36">
        <v>12286.330221613556</v>
      </c>
      <c r="K2237" s="36">
        <v>11831.660012786444</v>
      </c>
    </row>
    <row r="2238" spans="1:11" x14ac:dyDescent="0.25">
      <c r="A2238" s="39">
        <v>43822</v>
      </c>
      <c r="B2238" s="36">
        <v>12262.75</v>
      </c>
      <c r="C2238" s="36">
        <f t="shared" si="136"/>
        <v>12068.445117200001</v>
      </c>
      <c r="D2238" s="36">
        <f t="shared" si="137"/>
        <v>122.47410720279932</v>
      </c>
      <c r="E2238" s="40">
        <v>12262.75</v>
      </c>
      <c r="F2238" s="36">
        <f t="shared" si="138"/>
        <v>12313.393331605599</v>
      </c>
      <c r="G2238" s="36">
        <f t="shared" si="139"/>
        <v>11823.496902794403</v>
      </c>
      <c r="I2238" s="40">
        <v>12262.75</v>
      </c>
      <c r="J2238" s="36">
        <v>12313.393331605599</v>
      </c>
      <c r="K2238" s="36">
        <v>11823.496902794403</v>
      </c>
    </row>
    <row r="2239" spans="1:11" x14ac:dyDescent="0.25">
      <c r="A2239" s="39">
        <v>43823</v>
      </c>
      <c r="B2239" s="36">
        <v>12214.549805000001</v>
      </c>
      <c r="C2239" s="36">
        <f t="shared" si="136"/>
        <v>12077.2875977</v>
      </c>
      <c r="D2239" s="36">
        <f t="shared" si="137"/>
        <v>126.45693506518479</v>
      </c>
      <c r="E2239" s="40">
        <v>12214.549805000001</v>
      </c>
      <c r="F2239" s="36">
        <f t="shared" si="138"/>
        <v>12330.201467830369</v>
      </c>
      <c r="G2239" s="36">
        <f t="shared" si="139"/>
        <v>11824.373727569631</v>
      </c>
      <c r="I2239" s="40">
        <v>12214.549805000001</v>
      </c>
      <c r="J2239" s="36">
        <v>12330.201467830369</v>
      </c>
      <c r="K2239" s="36">
        <v>11824.373727569631</v>
      </c>
    </row>
    <row r="2240" spans="1:11" x14ac:dyDescent="0.25">
      <c r="A2240" s="39">
        <v>43825</v>
      </c>
      <c r="B2240" s="36">
        <v>12126.549805000001</v>
      </c>
      <c r="C2240" s="36">
        <f t="shared" si="136"/>
        <v>12078.580078199999</v>
      </c>
      <c r="D2240" s="36">
        <f t="shared" si="137"/>
        <v>126.84034252273409</v>
      </c>
      <c r="E2240" s="40">
        <v>12126.549805000001</v>
      </c>
      <c r="F2240" s="36">
        <f t="shared" si="138"/>
        <v>12332.260763245467</v>
      </c>
      <c r="G2240" s="36">
        <f t="shared" si="139"/>
        <v>11824.89939315453</v>
      </c>
      <c r="I2240" s="40">
        <v>12126.549805000001</v>
      </c>
      <c r="J2240" s="36">
        <v>12332.260763245467</v>
      </c>
      <c r="K2240" s="36">
        <v>11824.89939315453</v>
      </c>
    </row>
    <row r="2241" spans="1:11" x14ac:dyDescent="0.25">
      <c r="A2241" s="39">
        <v>43826</v>
      </c>
      <c r="B2241" s="36">
        <v>12245.799805000001</v>
      </c>
      <c r="C2241" s="36">
        <f t="shared" si="136"/>
        <v>12083.312548899999</v>
      </c>
      <c r="D2241" s="36">
        <f t="shared" si="137"/>
        <v>131.37512351379951</v>
      </c>
      <c r="E2241" s="40">
        <v>12245.799805000001</v>
      </c>
      <c r="F2241" s="36">
        <f t="shared" si="138"/>
        <v>12346.062795927599</v>
      </c>
      <c r="G2241" s="36">
        <f t="shared" si="139"/>
        <v>11820.5623018724</v>
      </c>
      <c r="I2241" s="40">
        <v>12245.799805000001</v>
      </c>
      <c r="J2241" s="36">
        <v>12346.062795927599</v>
      </c>
      <c r="K2241" s="36">
        <v>11820.5623018724</v>
      </c>
    </row>
    <row r="2242" spans="1:11" x14ac:dyDescent="0.25">
      <c r="A2242" s="39">
        <v>43829</v>
      </c>
      <c r="B2242" s="36">
        <v>12255.849609000001</v>
      </c>
      <c r="C2242" s="36">
        <f t="shared" si="136"/>
        <v>12093.302539099999</v>
      </c>
      <c r="D2242" s="36">
        <f t="shared" si="137"/>
        <v>136.68227088399846</v>
      </c>
      <c r="E2242" s="40">
        <v>12255.849609000001</v>
      </c>
      <c r="F2242" s="36">
        <f t="shared" si="138"/>
        <v>12366.667080867996</v>
      </c>
      <c r="G2242" s="36">
        <f t="shared" si="139"/>
        <v>11819.937997332003</v>
      </c>
      <c r="I2242" s="40">
        <v>12255.849609000001</v>
      </c>
      <c r="J2242" s="36">
        <v>12366.667080867996</v>
      </c>
      <c r="K2242" s="36">
        <v>11819.937997332003</v>
      </c>
    </row>
    <row r="2243" spans="1:11" x14ac:dyDescent="0.25">
      <c r="A2243" s="39">
        <v>43830</v>
      </c>
      <c r="B2243" s="36">
        <v>12168.450194999999</v>
      </c>
      <c r="C2243" s="36">
        <f t="shared" si="136"/>
        <v>12099.315039099998</v>
      </c>
      <c r="D2243" s="36">
        <f t="shared" si="137"/>
        <v>137.23755162128219</v>
      </c>
      <c r="E2243" s="40">
        <v>12168.450194999999</v>
      </c>
      <c r="F2243" s="36">
        <f t="shared" si="138"/>
        <v>12373.790142342563</v>
      </c>
      <c r="G2243" s="36">
        <f t="shared" si="139"/>
        <v>11824.839935857433</v>
      </c>
      <c r="I2243" s="40">
        <v>12168.450194999999</v>
      </c>
      <c r="J2243" s="36">
        <v>12373.790142342563</v>
      </c>
      <c r="K2243" s="36">
        <v>11824.839935857433</v>
      </c>
    </row>
    <row r="2244" spans="1:11" x14ac:dyDescent="0.25">
      <c r="A2244" s="39">
        <v>43831</v>
      </c>
      <c r="B2244" s="36">
        <v>12182.5</v>
      </c>
      <c r="C2244" s="36">
        <f t="shared" si="136"/>
        <v>12108.730029349997</v>
      </c>
      <c r="D2244" s="36">
        <f t="shared" si="137"/>
        <v>136.10107164717755</v>
      </c>
      <c r="E2244" s="40">
        <v>12182.5</v>
      </c>
      <c r="F2244" s="36">
        <f t="shared" si="138"/>
        <v>12380.932172644352</v>
      </c>
      <c r="G2244" s="36">
        <f t="shared" si="139"/>
        <v>11836.527886055643</v>
      </c>
      <c r="I2244" s="40">
        <v>12182.5</v>
      </c>
      <c r="J2244" s="36">
        <v>12380.932172644352</v>
      </c>
      <c r="K2244" s="36">
        <v>11836.527886055643</v>
      </c>
    </row>
    <row r="2245" spans="1:11" x14ac:dyDescent="0.25">
      <c r="A2245" s="39">
        <v>43832</v>
      </c>
      <c r="B2245" s="36">
        <v>12282.200194999999</v>
      </c>
      <c r="C2245" s="36">
        <f t="shared" si="136"/>
        <v>12120.68002935</v>
      </c>
      <c r="D2245" s="36">
        <f t="shared" si="137"/>
        <v>140.46693215419117</v>
      </c>
      <c r="E2245" s="40">
        <v>12282.200194999999</v>
      </c>
      <c r="F2245" s="36">
        <f t="shared" si="138"/>
        <v>12401.613893658383</v>
      </c>
      <c r="G2245" s="36">
        <f t="shared" si="139"/>
        <v>11839.746165041617</v>
      </c>
      <c r="I2245" s="40">
        <v>12282.200194999999</v>
      </c>
      <c r="J2245" s="36">
        <v>12401.613893658383</v>
      </c>
      <c r="K2245" s="36">
        <v>11839.746165041617</v>
      </c>
    </row>
    <row r="2246" spans="1:11" x14ac:dyDescent="0.25">
      <c r="A2246" s="39">
        <v>43833</v>
      </c>
      <c r="B2246" s="36">
        <v>12226.650390999999</v>
      </c>
      <c r="C2246" s="36">
        <f t="shared" si="136"/>
        <v>12131.09252935</v>
      </c>
      <c r="D2246" s="36">
        <f t="shared" si="137"/>
        <v>140.20443936766381</v>
      </c>
      <c r="E2246" s="40">
        <v>12226.650390999999</v>
      </c>
      <c r="F2246" s="36">
        <f t="shared" si="138"/>
        <v>12411.501408085329</v>
      </c>
      <c r="G2246" s="36">
        <f t="shared" si="139"/>
        <v>11850.683650614672</v>
      </c>
      <c r="I2246" s="40">
        <v>12226.650390999999</v>
      </c>
      <c r="J2246" s="36">
        <v>12411.501408085329</v>
      </c>
      <c r="K2246" s="36">
        <v>11850.683650614672</v>
      </c>
    </row>
    <row r="2247" spans="1:11" x14ac:dyDescent="0.25">
      <c r="A2247" s="39">
        <v>43836</v>
      </c>
      <c r="B2247" s="36">
        <v>11993.049805000001</v>
      </c>
      <c r="C2247" s="36">
        <f t="shared" si="136"/>
        <v>12134.670019599998</v>
      </c>
      <c r="D2247" s="36">
        <f t="shared" si="137"/>
        <v>135.40566889448203</v>
      </c>
      <c r="E2247" s="40">
        <v>11993.049805000001</v>
      </c>
      <c r="F2247" s="36">
        <f t="shared" si="138"/>
        <v>12405.481357388962</v>
      </c>
      <c r="G2247" s="36">
        <f t="shared" si="139"/>
        <v>11863.858681811034</v>
      </c>
      <c r="I2247" s="40">
        <v>11993.049805000001</v>
      </c>
      <c r="J2247" s="36">
        <v>12405.481357388962</v>
      </c>
      <c r="K2247" s="36">
        <v>11863.858681811034</v>
      </c>
    </row>
    <row r="2248" spans="1:11" x14ac:dyDescent="0.25">
      <c r="A2248" s="39">
        <v>43837</v>
      </c>
      <c r="B2248" s="36">
        <v>12052.950194999999</v>
      </c>
      <c r="C2248" s="36">
        <f t="shared" si="136"/>
        <v>12140.442529349999</v>
      </c>
      <c r="D2248" s="36">
        <f t="shared" si="137"/>
        <v>128.86036586651571</v>
      </c>
      <c r="E2248" s="40">
        <v>12052.950194999999</v>
      </c>
      <c r="F2248" s="36">
        <f t="shared" si="138"/>
        <v>12398.163261083031</v>
      </c>
      <c r="G2248" s="36">
        <f t="shared" si="139"/>
        <v>11882.721797616967</v>
      </c>
      <c r="I2248" s="40">
        <v>12052.950194999999</v>
      </c>
      <c r="J2248" s="36">
        <v>12398.163261083031</v>
      </c>
      <c r="K2248" s="36">
        <v>11882.721797616967</v>
      </c>
    </row>
    <row r="2249" spans="1:11" x14ac:dyDescent="0.25">
      <c r="A2249" s="39">
        <v>43838</v>
      </c>
      <c r="B2249" s="36">
        <v>12025.349609000001</v>
      </c>
      <c r="C2249" s="36">
        <f t="shared" si="136"/>
        <v>12148.870019550001</v>
      </c>
      <c r="D2249" s="36">
        <f t="shared" si="137"/>
        <v>113.98698387151445</v>
      </c>
      <c r="E2249" s="40">
        <v>12025.349609000001</v>
      </c>
      <c r="F2249" s="36">
        <f t="shared" si="138"/>
        <v>12376.84398729303</v>
      </c>
      <c r="G2249" s="36">
        <f t="shared" si="139"/>
        <v>11920.896051806971</v>
      </c>
      <c r="I2249" s="40">
        <v>12025.349609000001</v>
      </c>
      <c r="J2249" s="36">
        <v>12376.84398729303</v>
      </c>
      <c r="K2249" s="36">
        <v>11920.896051806971</v>
      </c>
    </row>
    <row r="2250" spans="1:11" x14ac:dyDescent="0.25">
      <c r="A2250" s="39">
        <v>43839</v>
      </c>
      <c r="B2250" s="36">
        <v>12215.900390999999</v>
      </c>
      <c r="C2250" s="36">
        <f t="shared" si="136"/>
        <v>12164.157519550001</v>
      </c>
      <c r="D2250" s="36">
        <f t="shared" si="137"/>
        <v>99.920882877943839</v>
      </c>
      <c r="E2250" s="40">
        <v>12215.900390999999</v>
      </c>
      <c r="F2250" s="36">
        <f t="shared" si="138"/>
        <v>12363.999285305888</v>
      </c>
      <c r="G2250" s="36">
        <f t="shared" si="139"/>
        <v>11964.315753794113</v>
      </c>
      <c r="I2250" s="40">
        <v>12215.900390999999</v>
      </c>
      <c r="J2250" s="36">
        <v>12363.999285305888</v>
      </c>
      <c r="K2250" s="36">
        <v>11964.315753794113</v>
      </c>
    </row>
    <row r="2251" spans="1:11" x14ac:dyDescent="0.25">
      <c r="A2251" s="39">
        <v>43840</v>
      </c>
      <c r="B2251" s="36">
        <v>12256.799805000001</v>
      </c>
      <c r="C2251" s="36">
        <f t="shared" si="136"/>
        <v>12178.407519550001</v>
      </c>
      <c r="D2251" s="36">
        <f t="shared" si="137"/>
        <v>90.965385716808711</v>
      </c>
      <c r="E2251" s="40">
        <v>12256.799805000001</v>
      </c>
      <c r="F2251" s="36">
        <f t="shared" si="138"/>
        <v>12360.338290983618</v>
      </c>
      <c r="G2251" s="36">
        <f t="shared" si="139"/>
        <v>11996.476748116384</v>
      </c>
      <c r="I2251" s="40">
        <v>12256.799805000001</v>
      </c>
      <c r="J2251" s="36">
        <v>12360.338290983618</v>
      </c>
      <c r="K2251" s="36">
        <v>11996.476748116384</v>
      </c>
    </row>
    <row r="2252" spans="1:11" x14ac:dyDescent="0.25">
      <c r="A2252" s="39">
        <v>43843</v>
      </c>
      <c r="B2252" s="36">
        <v>12329.549805000001</v>
      </c>
      <c r="C2252" s="36">
        <f t="shared" si="136"/>
        <v>12190.55000005</v>
      </c>
      <c r="D2252" s="36">
        <f t="shared" si="137"/>
        <v>94.229363787074774</v>
      </c>
      <c r="E2252" s="40">
        <v>12329.549805000001</v>
      </c>
      <c r="F2252" s="36">
        <f t="shared" si="138"/>
        <v>12379.008727624148</v>
      </c>
      <c r="G2252" s="36">
        <f t="shared" si="139"/>
        <v>12002.091272475851</v>
      </c>
      <c r="I2252" s="40">
        <v>12329.549805000001</v>
      </c>
      <c r="J2252" s="36">
        <v>12379.008727624148</v>
      </c>
      <c r="K2252" s="36">
        <v>12002.091272475851</v>
      </c>
    </row>
    <row r="2253" spans="1:11" x14ac:dyDescent="0.25">
      <c r="A2253" s="39">
        <v>43844</v>
      </c>
      <c r="B2253" s="36">
        <v>12362.299805000001</v>
      </c>
      <c r="C2253" s="36">
        <f t="shared" si="136"/>
        <v>12205.96748055</v>
      </c>
      <c r="D2253" s="36">
        <f t="shared" si="137"/>
        <v>95.913558027371195</v>
      </c>
      <c r="E2253" s="40">
        <v>12362.299805000001</v>
      </c>
      <c r="F2253" s="36">
        <f t="shared" si="138"/>
        <v>12397.794596604743</v>
      </c>
      <c r="G2253" s="36">
        <f t="shared" si="139"/>
        <v>12014.140364495257</v>
      </c>
      <c r="I2253" s="40">
        <v>12362.299805000001</v>
      </c>
      <c r="J2253" s="36">
        <v>12397.794596604743</v>
      </c>
      <c r="K2253" s="36">
        <v>12014.140364495257</v>
      </c>
    </row>
    <row r="2254" spans="1:11" x14ac:dyDescent="0.25">
      <c r="A2254" s="39">
        <v>43845</v>
      </c>
      <c r="B2254" s="36">
        <v>12343.299805000001</v>
      </c>
      <c r="C2254" s="36">
        <f t="shared" si="136"/>
        <v>12214.882470799999</v>
      </c>
      <c r="D2254" s="36">
        <f t="shared" si="137"/>
        <v>100.10023752771696</v>
      </c>
      <c r="E2254" s="40">
        <v>12343.299805000001</v>
      </c>
      <c r="F2254" s="36">
        <f t="shared" si="138"/>
        <v>12415.082945855433</v>
      </c>
      <c r="G2254" s="36">
        <f t="shared" si="139"/>
        <v>12014.681995744566</v>
      </c>
      <c r="I2254" s="40">
        <v>12343.299805000001</v>
      </c>
      <c r="J2254" s="36">
        <v>12415.082945855433</v>
      </c>
      <c r="K2254" s="36">
        <v>12014.681995744566</v>
      </c>
    </row>
    <row r="2255" spans="1:11" x14ac:dyDescent="0.25">
      <c r="A2255" s="39">
        <v>43846</v>
      </c>
      <c r="B2255" s="36">
        <v>12355.5</v>
      </c>
      <c r="C2255" s="36">
        <f t="shared" si="136"/>
        <v>12221.574951249997</v>
      </c>
      <c r="D2255" s="36">
        <f t="shared" si="137"/>
        <v>104.93426322979252</v>
      </c>
      <c r="E2255" s="40">
        <v>12355.5</v>
      </c>
      <c r="F2255" s="36">
        <f t="shared" si="138"/>
        <v>12431.443477709581</v>
      </c>
      <c r="G2255" s="36">
        <f t="shared" si="139"/>
        <v>12011.706424790413</v>
      </c>
      <c r="I2255" s="40">
        <v>12355.5</v>
      </c>
      <c r="J2255" s="36">
        <v>12431.443477709581</v>
      </c>
      <c r="K2255" s="36">
        <v>12011.706424790413</v>
      </c>
    </row>
    <row r="2256" spans="1:11" x14ac:dyDescent="0.25">
      <c r="A2256" s="39">
        <v>43847</v>
      </c>
      <c r="B2256" s="36">
        <v>12352.349609000001</v>
      </c>
      <c r="C2256" s="36">
        <f t="shared" si="136"/>
        <v>12226.207421949997</v>
      </c>
      <c r="D2256" s="36">
        <f t="shared" si="137"/>
        <v>108.68401170242255</v>
      </c>
      <c r="E2256" s="40">
        <v>12352.349609000001</v>
      </c>
      <c r="F2256" s="36">
        <f t="shared" si="138"/>
        <v>12443.575445354842</v>
      </c>
      <c r="G2256" s="36">
        <f t="shared" si="139"/>
        <v>12008.839398545153</v>
      </c>
      <c r="I2256" s="40">
        <v>12352.349609000001</v>
      </c>
      <c r="J2256" s="36">
        <v>12443.575445354842</v>
      </c>
      <c r="K2256" s="36">
        <v>12008.839398545153</v>
      </c>
    </row>
    <row r="2257" spans="1:11" x14ac:dyDescent="0.25">
      <c r="A2257" s="39">
        <v>43850</v>
      </c>
      <c r="B2257" s="36">
        <v>12224.549805000001</v>
      </c>
      <c r="C2257" s="36">
        <f t="shared" si="136"/>
        <v>12223.844921949998</v>
      </c>
      <c r="D2257" s="36">
        <f t="shared" si="137"/>
        <v>108.15304160788206</v>
      </c>
      <c r="E2257" s="40">
        <v>12224.549805000001</v>
      </c>
      <c r="F2257" s="36">
        <f t="shared" si="138"/>
        <v>12440.151005165762</v>
      </c>
      <c r="G2257" s="36">
        <f t="shared" si="139"/>
        <v>12007.538838734234</v>
      </c>
      <c r="I2257" s="40">
        <v>12224.549805000001</v>
      </c>
      <c r="J2257" s="36">
        <v>12440.151005165762</v>
      </c>
      <c r="K2257" s="36">
        <v>12007.538838734234</v>
      </c>
    </row>
    <row r="2258" spans="1:11" x14ac:dyDescent="0.25">
      <c r="A2258" s="39">
        <v>43851</v>
      </c>
      <c r="B2258" s="36">
        <v>12169.849609000001</v>
      </c>
      <c r="C2258" s="36">
        <f t="shared" si="136"/>
        <v>12219.199902399998</v>
      </c>
      <c r="D2258" s="36">
        <f t="shared" si="137"/>
        <v>108.388893478841</v>
      </c>
      <c r="E2258" s="40">
        <v>12169.849609000001</v>
      </c>
      <c r="F2258" s="36">
        <f t="shared" si="138"/>
        <v>12435.97768935768</v>
      </c>
      <c r="G2258" s="36">
        <f t="shared" si="139"/>
        <v>12002.422115442316</v>
      </c>
      <c r="I2258" s="40">
        <v>12169.849609000001</v>
      </c>
      <c r="J2258" s="36">
        <v>12435.97768935768</v>
      </c>
      <c r="K2258" s="36">
        <v>12002.422115442316</v>
      </c>
    </row>
    <row r="2259" spans="1:11" x14ac:dyDescent="0.25">
      <c r="A2259" s="39">
        <v>43852</v>
      </c>
      <c r="B2259" s="36">
        <v>12106.900390999999</v>
      </c>
      <c r="C2259" s="36">
        <f t="shared" si="136"/>
        <v>12213.817431699998</v>
      </c>
      <c r="D2259" s="36">
        <f t="shared" si="137"/>
        <v>111.26663788062524</v>
      </c>
      <c r="E2259" s="40">
        <v>12106.900390999999</v>
      </c>
      <c r="F2259" s="36">
        <f t="shared" si="138"/>
        <v>12436.350707461248</v>
      </c>
      <c r="G2259" s="36">
        <f t="shared" si="139"/>
        <v>11991.284155938747</v>
      </c>
      <c r="I2259" s="40">
        <v>12106.900390999999</v>
      </c>
      <c r="J2259" s="36">
        <v>12436.350707461248</v>
      </c>
      <c r="K2259" s="36">
        <v>11991.284155938747</v>
      </c>
    </row>
    <row r="2260" spans="1:11" x14ac:dyDescent="0.25">
      <c r="A2260" s="39">
        <v>43853</v>
      </c>
      <c r="B2260" s="36">
        <v>12180.349609000001</v>
      </c>
      <c r="C2260" s="36">
        <f t="shared" si="136"/>
        <v>12216.507421899998</v>
      </c>
      <c r="D2260" s="36">
        <f t="shared" si="137"/>
        <v>109.68489915274566</v>
      </c>
      <c r="E2260" s="40">
        <v>12180.349609000001</v>
      </c>
      <c r="F2260" s="36">
        <f t="shared" si="138"/>
        <v>12435.87722020549</v>
      </c>
      <c r="G2260" s="36">
        <f t="shared" si="139"/>
        <v>11997.137623594506</v>
      </c>
      <c r="I2260" s="40">
        <v>12180.349609000001</v>
      </c>
      <c r="J2260" s="36">
        <v>12435.87722020549</v>
      </c>
      <c r="K2260" s="36">
        <v>11997.137623594506</v>
      </c>
    </row>
    <row r="2261" spans="1:11" x14ac:dyDescent="0.25">
      <c r="A2261" s="39">
        <v>43854</v>
      </c>
      <c r="B2261" s="36">
        <v>12248.25</v>
      </c>
      <c r="C2261" s="36">
        <f t="shared" si="136"/>
        <v>12216.629931649997</v>
      </c>
      <c r="D2261" s="36">
        <f t="shared" si="137"/>
        <v>109.72070099858388</v>
      </c>
      <c r="E2261" s="40">
        <v>12248.25</v>
      </c>
      <c r="F2261" s="36">
        <f t="shared" si="138"/>
        <v>12436.071333647165</v>
      </c>
      <c r="G2261" s="36">
        <f t="shared" si="139"/>
        <v>11997.188529652829</v>
      </c>
      <c r="I2261" s="40">
        <v>12248.25</v>
      </c>
      <c r="J2261" s="36">
        <v>12436.071333647165</v>
      </c>
      <c r="K2261" s="36">
        <v>11997.188529652829</v>
      </c>
    </row>
    <row r="2262" spans="1:11" x14ac:dyDescent="0.25">
      <c r="A2262" s="39">
        <v>43857</v>
      </c>
      <c r="B2262" s="36">
        <v>12119</v>
      </c>
      <c r="C2262" s="36">
        <f t="shared" ref="C2262:C2325" si="140">AVERAGE(B2243:B2262)</f>
        <v>12209.787451199998</v>
      </c>
      <c r="D2262" s="36">
        <f t="shared" ref="D2262:D2325" si="141">_xlfn.STDEV.S(B2243:B2262)</f>
        <v>111.40042568499534</v>
      </c>
      <c r="E2262" s="40">
        <v>12119</v>
      </c>
      <c r="F2262" s="36">
        <f t="shared" ref="F2262:F2325" si="142">C2262+2*D2262</f>
        <v>12432.58830256999</v>
      </c>
      <c r="G2262" s="36">
        <f t="shared" ref="G2262:G2325" si="143">C2262-2*D2262</f>
        <v>11986.986599830007</v>
      </c>
      <c r="I2262" s="40">
        <v>12119</v>
      </c>
      <c r="J2262" s="36">
        <v>12432.58830256999</v>
      </c>
      <c r="K2262" s="36">
        <v>11986.986599830007</v>
      </c>
    </row>
    <row r="2263" spans="1:11" x14ac:dyDescent="0.25">
      <c r="A2263" s="39">
        <v>43858</v>
      </c>
      <c r="B2263" s="36">
        <v>12055.799805000001</v>
      </c>
      <c r="C2263" s="36">
        <f t="shared" si="140"/>
        <v>12204.154931699999</v>
      </c>
      <c r="D2263" s="36">
        <f t="shared" si="141"/>
        <v>116.33887953254657</v>
      </c>
      <c r="E2263" s="40">
        <v>12055.799805000001</v>
      </c>
      <c r="F2263" s="36">
        <f t="shared" si="142"/>
        <v>12436.832690765092</v>
      </c>
      <c r="G2263" s="36">
        <f t="shared" si="143"/>
        <v>11971.477172634906</v>
      </c>
      <c r="I2263" s="40">
        <v>12055.799805000001</v>
      </c>
      <c r="J2263" s="36">
        <v>12436.832690765092</v>
      </c>
      <c r="K2263" s="36">
        <v>11971.477172634906</v>
      </c>
    </row>
    <row r="2264" spans="1:11" x14ac:dyDescent="0.25">
      <c r="A2264" s="39">
        <v>43859</v>
      </c>
      <c r="B2264" s="36">
        <v>12129.5</v>
      </c>
      <c r="C2264" s="36">
        <f t="shared" si="140"/>
        <v>12201.504931699999</v>
      </c>
      <c r="D2264" s="36">
        <f t="shared" si="141"/>
        <v>117.45636047106787</v>
      </c>
      <c r="E2264" s="40">
        <v>12129.5</v>
      </c>
      <c r="F2264" s="36">
        <f t="shared" si="142"/>
        <v>12436.417652642134</v>
      </c>
      <c r="G2264" s="36">
        <f t="shared" si="143"/>
        <v>11966.592210757864</v>
      </c>
      <c r="I2264" s="40">
        <v>12129.5</v>
      </c>
      <c r="J2264" s="36">
        <v>12436.417652642134</v>
      </c>
      <c r="K2264" s="36">
        <v>11966.592210757864</v>
      </c>
    </row>
    <row r="2265" spans="1:11" x14ac:dyDescent="0.25">
      <c r="A2265" s="39">
        <v>43860</v>
      </c>
      <c r="B2265" s="36">
        <v>12035.799805000001</v>
      </c>
      <c r="C2265" s="36">
        <f t="shared" si="140"/>
        <v>12189.184912199999</v>
      </c>
      <c r="D2265" s="36">
        <f t="shared" si="141"/>
        <v>121.40292669087262</v>
      </c>
      <c r="E2265" s="40">
        <v>12035.799805000001</v>
      </c>
      <c r="F2265" s="36">
        <f t="shared" si="142"/>
        <v>12431.990765581744</v>
      </c>
      <c r="G2265" s="36">
        <f t="shared" si="143"/>
        <v>11946.379058818253</v>
      </c>
      <c r="I2265" s="40">
        <v>12035.799805000001</v>
      </c>
      <c r="J2265" s="36">
        <v>12431.990765581744</v>
      </c>
      <c r="K2265" s="36">
        <v>11946.379058818253</v>
      </c>
    </row>
    <row r="2266" spans="1:11" x14ac:dyDescent="0.25">
      <c r="A2266" s="39">
        <v>43861</v>
      </c>
      <c r="B2266" s="36">
        <v>11962.099609000001</v>
      </c>
      <c r="C2266" s="36">
        <f t="shared" si="140"/>
        <v>12175.957373099998</v>
      </c>
      <c r="D2266" s="36">
        <f t="shared" si="141"/>
        <v>131.12859469518753</v>
      </c>
      <c r="E2266" s="40">
        <v>11962.099609000001</v>
      </c>
      <c r="F2266" s="36">
        <f t="shared" si="142"/>
        <v>12438.214562490373</v>
      </c>
      <c r="G2266" s="36">
        <f t="shared" si="143"/>
        <v>11913.700183709623</v>
      </c>
      <c r="I2266" s="40">
        <v>11962.099609000001</v>
      </c>
      <c r="J2266" s="36">
        <v>12438.214562490373</v>
      </c>
      <c r="K2266" s="36">
        <v>11913.700183709623</v>
      </c>
    </row>
    <row r="2267" spans="1:11" x14ac:dyDescent="0.25">
      <c r="A2267" s="39">
        <v>43864</v>
      </c>
      <c r="B2267" s="36">
        <v>11707.900390999999</v>
      </c>
      <c r="C2267" s="36">
        <f t="shared" si="140"/>
        <v>12161.6999024</v>
      </c>
      <c r="D2267" s="36">
        <f t="shared" si="141"/>
        <v>163.55525530133906</v>
      </c>
      <c r="E2267" s="40">
        <v>11707.900390999999</v>
      </c>
      <c r="F2267" s="36">
        <f t="shared" si="142"/>
        <v>12488.810413002679</v>
      </c>
      <c r="G2267" s="36">
        <f t="shared" si="143"/>
        <v>11834.589391797321</v>
      </c>
      <c r="I2267" s="40">
        <v>11707.900390999999</v>
      </c>
      <c r="J2267" s="36">
        <v>12488.810413002679</v>
      </c>
      <c r="K2267" s="36">
        <v>11834.589391797321</v>
      </c>
    </row>
    <row r="2268" spans="1:11" x14ac:dyDescent="0.25">
      <c r="A2268" s="39">
        <v>43865</v>
      </c>
      <c r="B2268" s="36">
        <v>11979.650390999999</v>
      </c>
      <c r="C2268" s="36">
        <f t="shared" si="140"/>
        <v>12158.034912199999</v>
      </c>
      <c r="D2268" s="36">
        <f t="shared" si="141"/>
        <v>166.90731620858662</v>
      </c>
      <c r="E2268" s="40">
        <v>11979.650390999999</v>
      </c>
      <c r="F2268" s="36">
        <f t="shared" si="142"/>
        <v>12491.849544617173</v>
      </c>
      <c r="G2268" s="36">
        <f t="shared" si="143"/>
        <v>11824.220279782825</v>
      </c>
      <c r="I2268" s="40">
        <v>11979.650390999999</v>
      </c>
      <c r="J2268" s="36">
        <v>12491.849544617173</v>
      </c>
      <c r="K2268" s="36">
        <v>11824.220279782825</v>
      </c>
    </row>
    <row r="2269" spans="1:11" x14ac:dyDescent="0.25">
      <c r="A2269" s="39">
        <v>43866</v>
      </c>
      <c r="B2269" s="36">
        <v>12089.150390999999</v>
      </c>
      <c r="C2269" s="36">
        <f t="shared" si="140"/>
        <v>12161.224951300001</v>
      </c>
      <c r="D2269" s="36">
        <f t="shared" si="141"/>
        <v>164.83471026608768</v>
      </c>
      <c r="E2269" s="40">
        <v>12089.150390999999</v>
      </c>
      <c r="F2269" s="36">
        <f t="shared" si="142"/>
        <v>12490.894371832175</v>
      </c>
      <c r="G2269" s="36">
        <f t="shared" si="143"/>
        <v>11831.555530767826</v>
      </c>
      <c r="I2269" s="40">
        <v>12089.150390999999</v>
      </c>
      <c r="J2269" s="36">
        <v>12490.894371832175</v>
      </c>
      <c r="K2269" s="36">
        <v>11831.555530767826</v>
      </c>
    </row>
    <row r="2270" spans="1:11" x14ac:dyDescent="0.25">
      <c r="A2270" s="39">
        <v>43867</v>
      </c>
      <c r="B2270" s="36">
        <v>12137.950194999999</v>
      </c>
      <c r="C2270" s="36">
        <f t="shared" si="140"/>
        <v>12157.327441500001</v>
      </c>
      <c r="D2270" s="36">
        <f t="shared" si="141"/>
        <v>164.39484743225452</v>
      </c>
      <c r="E2270" s="40">
        <v>12137.950194999999</v>
      </c>
      <c r="F2270" s="36">
        <f t="shared" si="142"/>
        <v>12486.11713636451</v>
      </c>
      <c r="G2270" s="36">
        <f t="shared" si="143"/>
        <v>11828.537746635493</v>
      </c>
      <c r="I2270" s="40">
        <v>12137.950194999999</v>
      </c>
      <c r="J2270" s="36">
        <v>12486.11713636451</v>
      </c>
      <c r="K2270" s="36">
        <v>11828.537746635493</v>
      </c>
    </row>
    <row r="2271" spans="1:11" x14ac:dyDescent="0.25">
      <c r="A2271" s="39">
        <v>43868</v>
      </c>
      <c r="B2271" s="36">
        <v>12098.349609000001</v>
      </c>
      <c r="C2271" s="36">
        <f t="shared" si="140"/>
        <v>12149.404931699999</v>
      </c>
      <c r="D2271" s="36">
        <f t="shared" si="141"/>
        <v>163.16216695421551</v>
      </c>
      <c r="E2271" s="40">
        <v>12098.349609000001</v>
      </c>
      <c r="F2271" s="36">
        <f t="shared" si="142"/>
        <v>12475.72926560843</v>
      </c>
      <c r="G2271" s="36">
        <f t="shared" si="143"/>
        <v>11823.080597791568</v>
      </c>
      <c r="I2271" s="40">
        <v>12098.349609000001</v>
      </c>
      <c r="J2271" s="36">
        <v>12475.72926560843</v>
      </c>
      <c r="K2271" s="36">
        <v>11823.080597791568</v>
      </c>
    </row>
    <row r="2272" spans="1:11" x14ac:dyDescent="0.25">
      <c r="A2272" s="39">
        <v>43871</v>
      </c>
      <c r="B2272" s="36">
        <v>12031.5</v>
      </c>
      <c r="C2272" s="36">
        <f t="shared" si="140"/>
        <v>12134.50244145</v>
      </c>
      <c r="D2272" s="36">
        <f t="shared" si="141"/>
        <v>159.41070343259034</v>
      </c>
      <c r="E2272" s="40">
        <v>12031.5</v>
      </c>
      <c r="F2272" s="36">
        <f t="shared" si="142"/>
        <v>12453.323848315182</v>
      </c>
      <c r="G2272" s="36">
        <f t="shared" si="143"/>
        <v>11815.681034584819</v>
      </c>
      <c r="I2272" s="40">
        <v>12031.5</v>
      </c>
      <c r="J2272" s="36">
        <v>12453.323848315182</v>
      </c>
      <c r="K2272" s="36">
        <v>11815.681034584819</v>
      </c>
    </row>
    <row r="2273" spans="1:11" x14ac:dyDescent="0.25">
      <c r="A2273" s="39">
        <v>43872</v>
      </c>
      <c r="B2273" s="36">
        <v>12107.900390999999</v>
      </c>
      <c r="C2273" s="36">
        <f t="shared" si="140"/>
        <v>12121.78247075</v>
      </c>
      <c r="D2273" s="36">
        <f t="shared" si="141"/>
        <v>150.15846930286827</v>
      </c>
      <c r="E2273" s="40">
        <v>12107.900390999999</v>
      </c>
      <c r="F2273" s="36">
        <f t="shared" si="142"/>
        <v>12422.099409355736</v>
      </c>
      <c r="G2273" s="36">
        <f t="shared" si="143"/>
        <v>11821.465532144264</v>
      </c>
      <c r="I2273" s="40">
        <v>12107.900390999999</v>
      </c>
      <c r="J2273" s="36">
        <v>12422.099409355736</v>
      </c>
      <c r="K2273" s="36">
        <v>11821.465532144264</v>
      </c>
    </row>
    <row r="2274" spans="1:11" x14ac:dyDescent="0.25">
      <c r="A2274" s="39">
        <v>43873</v>
      </c>
      <c r="B2274" s="36">
        <v>12201.200194999999</v>
      </c>
      <c r="C2274" s="36">
        <f t="shared" si="140"/>
        <v>12114.67749025</v>
      </c>
      <c r="D2274" s="36">
        <f t="shared" si="141"/>
        <v>142.28055730583907</v>
      </c>
      <c r="E2274" s="40">
        <v>12201.200194999999</v>
      </c>
      <c r="F2274" s="36">
        <f t="shared" si="142"/>
        <v>12399.238604861679</v>
      </c>
      <c r="G2274" s="36">
        <f t="shared" si="143"/>
        <v>11830.116375638321</v>
      </c>
      <c r="I2274" s="40">
        <v>12201.200194999999</v>
      </c>
      <c r="J2274" s="36">
        <v>12399.238604861679</v>
      </c>
      <c r="K2274" s="36">
        <v>11830.116375638321</v>
      </c>
    </row>
    <row r="2275" spans="1:11" x14ac:dyDescent="0.25">
      <c r="A2275" s="39">
        <v>43874</v>
      </c>
      <c r="B2275" s="36">
        <v>12174.650390999999</v>
      </c>
      <c r="C2275" s="36">
        <f t="shared" si="140"/>
        <v>12105.635009800002</v>
      </c>
      <c r="D2275" s="36">
        <f t="shared" si="141"/>
        <v>131.50891931453302</v>
      </c>
      <c r="E2275" s="40">
        <v>12174.650390999999</v>
      </c>
      <c r="F2275" s="36">
        <f t="shared" si="142"/>
        <v>12368.652848429068</v>
      </c>
      <c r="G2275" s="36">
        <f t="shared" si="143"/>
        <v>11842.617171170936</v>
      </c>
      <c r="I2275" s="40">
        <v>12174.650390999999</v>
      </c>
      <c r="J2275" s="36">
        <v>12368.652848429068</v>
      </c>
      <c r="K2275" s="36">
        <v>11842.617171170936</v>
      </c>
    </row>
    <row r="2276" spans="1:11" x14ac:dyDescent="0.25">
      <c r="A2276" s="39">
        <v>43875</v>
      </c>
      <c r="B2276" s="36">
        <v>12113.450194999999</v>
      </c>
      <c r="C2276" s="36">
        <f t="shared" si="140"/>
        <v>12093.690039100002</v>
      </c>
      <c r="D2276" s="36">
        <f t="shared" si="141"/>
        <v>118.08486210016103</v>
      </c>
      <c r="E2276" s="40">
        <v>12113.450194999999</v>
      </c>
      <c r="F2276" s="36">
        <f t="shared" si="142"/>
        <v>12329.859763300325</v>
      </c>
      <c r="G2276" s="36">
        <f t="shared" si="143"/>
        <v>11857.520314899679</v>
      </c>
      <c r="I2276" s="40">
        <v>12113.450194999999</v>
      </c>
      <c r="J2276" s="36">
        <v>12329.859763300325</v>
      </c>
      <c r="K2276" s="36">
        <v>11857.520314899679</v>
      </c>
    </row>
    <row r="2277" spans="1:11" x14ac:dyDescent="0.25">
      <c r="A2277" s="39">
        <v>43878</v>
      </c>
      <c r="B2277" s="36">
        <v>12045.799805000001</v>
      </c>
      <c r="C2277" s="36">
        <f t="shared" si="140"/>
        <v>12084.752539100002</v>
      </c>
      <c r="D2277" s="36">
        <f t="shared" si="141"/>
        <v>114.36513007234346</v>
      </c>
      <c r="E2277" s="40">
        <v>12045.799805000001</v>
      </c>
      <c r="F2277" s="36">
        <f t="shared" si="142"/>
        <v>12313.482799244688</v>
      </c>
      <c r="G2277" s="36">
        <f t="shared" si="143"/>
        <v>11856.022278955315</v>
      </c>
      <c r="I2277" s="40">
        <v>12045.799805000001</v>
      </c>
      <c r="J2277" s="36">
        <v>12313.482799244688</v>
      </c>
      <c r="K2277" s="36">
        <v>11856.022278955315</v>
      </c>
    </row>
    <row r="2278" spans="1:11" x14ac:dyDescent="0.25">
      <c r="A2278" s="39">
        <v>43879</v>
      </c>
      <c r="B2278" s="36">
        <v>11992.5</v>
      </c>
      <c r="C2278" s="36">
        <f t="shared" si="140"/>
        <v>12075.885058650001</v>
      </c>
      <c r="D2278" s="36">
        <f t="shared" si="141"/>
        <v>114.29524372546959</v>
      </c>
      <c r="E2278" s="40">
        <v>11992.5</v>
      </c>
      <c r="F2278" s="36">
        <f t="shared" si="142"/>
        <v>12304.475546100941</v>
      </c>
      <c r="G2278" s="36">
        <f t="shared" si="143"/>
        <v>11847.294571199061</v>
      </c>
      <c r="I2278" s="40">
        <v>11992.5</v>
      </c>
      <c r="J2278" s="36">
        <v>12304.475546100941</v>
      </c>
      <c r="K2278" s="36">
        <v>11847.294571199061</v>
      </c>
    </row>
    <row r="2279" spans="1:11" x14ac:dyDescent="0.25">
      <c r="A2279" s="39">
        <v>43880</v>
      </c>
      <c r="B2279" s="36">
        <v>12125.900390999999</v>
      </c>
      <c r="C2279" s="36">
        <f t="shared" si="140"/>
        <v>12076.835058650002</v>
      </c>
      <c r="D2279" s="36">
        <f t="shared" si="141"/>
        <v>114.64503217743233</v>
      </c>
      <c r="E2279" s="40">
        <v>12125.900390999999</v>
      </c>
      <c r="F2279" s="36">
        <f t="shared" si="142"/>
        <v>12306.125123004867</v>
      </c>
      <c r="G2279" s="36">
        <f t="shared" si="143"/>
        <v>11847.544994295136</v>
      </c>
      <c r="I2279" s="40">
        <v>12125.900390999999</v>
      </c>
      <c r="J2279" s="36">
        <v>12306.125123004867</v>
      </c>
      <c r="K2279" s="36">
        <v>11847.544994295136</v>
      </c>
    </row>
    <row r="2280" spans="1:11" x14ac:dyDescent="0.25">
      <c r="A2280" s="39">
        <v>43881</v>
      </c>
      <c r="B2280" s="36">
        <v>12080.849609000001</v>
      </c>
      <c r="C2280" s="36">
        <f t="shared" si="140"/>
        <v>12071.860058650002</v>
      </c>
      <c r="D2280" s="36">
        <f t="shared" si="141"/>
        <v>112.04604942345784</v>
      </c>
      <c r="E2280" s="40">
        <v>12080.849609000001</v>
      </c>
      <c r="F2280" s="36">
        <f t="shared" si="142"/>
        <v>12295.952157496917</v>
      </c>
      <c r="G2280" s="36">
        <f t="shared" si="143"/>
        <v>11847.767959803086</v>
      </c>
      <c r="I2280" s="40">
        <v>12080.849609000001</v>
      </c>
      <c r="J2280" s="36">
        <v>12295.952157496917</v>
      </c>
      <c r="K2280" s="36">
        <v>11847.767959803086</v>
      </c>
    </row>
    <row r="2281" spans="1:11" x14ac:dyDescent="0.25">
      <c r="A2281" s="39">
        <v>43885</v>
      </c>
      <c r="B2281" s="36">
        <v>11829.400390999999</v>
      </c>
      <c r="C2281" s="36">
        <f t="shared" si="140"/>
        <v>12050.9175782</v>
      </c>
      <c r="D2281" s="36">
        <f t="shared" si="141"/>
        <v>116.40074966212627</v>
      </c>
      <c r="E2281" s="40">
        <v>11829.400390999999</v>
      </c>
      <c r="F2281" s="36">
        <f t="shared" si="142"/>
        <v>12283.719077524252</v>
      </c>
      <c r="G2281" s="36">
        <f t="shared" si="143"/>
        <v>11818.116078875748</v>
      </c>
      <c r="I2281" s="40">
        <v>11829.400390999999</v>
      </c>
      <c r="J2281" s="36">
        <v>12283.719077524252</v>
      </c>
      <c r="K2281" s="36">
        <v>11818.116078875748</v>
      </c>
    </row>
    <row r="2282" spans="1:11" x14ac:dyDescent="0.25">
      <c r="A2282" s="39">
        <v>43886</v>
      </c>
      <c r="B2282" s="36">
        <v>11797.900390999999</v>
      </c>
      <c r="C2282" s="36">
        <f t="shared" si="140"/>
        <v>12034.862597750001</v>
      </c>
      <c r="D2282" s="36">
        <f t="shared" si="141"/>
        <v>128.07497574542734</v>
      </c>
      <c r="E2282" s="40">
        <v>11797.900390999999</v>
      </c>
      <c r="F2282" s="36">
        <f t="shared" si="142"/>
        <v>12291.012549240857</v>
      </c>
      <c r="G2282" s="36">
        <f t="shared" si="143"/>
        <v>11778.712646259146</v>
      </c>
      <c r="I2282" s="40">
        <v>11797.900390999999</v>
      </c>
      <c r="J2282" s="36">
        <v>12291.012549240857</v>
      </c>
      <c r="K2282" s="36">
        <v>11778.712646259146</v>
      </c>
    </row>
    <row r="2283" spans="1:11" x14ac:dyDescent="0.25">
      <c r="A2283" s="39">
        <v>43887</v>
      </c>
      <c r="B2283" s="36">
        <v>11678.5</v>
      </c>
      <c r="C2283" s="36">
        <f t="shared" si="140"/>
        <v>12015.997607500001</v>
      </c>
      <c r="D2283" s="36">
        <f t="shared" si="141"/>
        <v>150.63007425245306</v>
      </c>
      <c r="E2283" s="40">
        <v>11678.5</v>
      </c>
      <c r="F2283" s="36">
        <f t="shared" si="142"/>
        <v>12317.257756004907</v>
      </c>
      <c r="G2283" s="36">
        <f t="shared" si="143"/>
        <v>11714.737458995096</v>
      </c>
      <c r="I2283" s="40">
        <v>11678.5</v>
      </c>
      <c r="J2283" s="36">
        <v>12317.257756004907</v>
      </c>
      <c r="K2283" s="36">
        <v>11714.737458995096</v>
      </c>
    </row>
    <row r="2284" spans="1:11" x14ac:dyDescent="0.25">
      <c r="A2284" s="39">
        <v>43888</v>
      </c>
      <c r="B2284" s="36">
        <v>11633.299805000001</v>
      </c>
      <c r="C2284" s="36">
        <f t="shared" si="140"/>
        <v>11991.187597749999</v>
      </c>
      <c r="D2284" s="36">
        <f t="shared" si="141"/>
        <v>170.50436780574418</v>
      </c>
      <c r="E2284" s="40">
        <v>11633.299805000001</v>
      </c>
      <c r="F2284" s="36">
        <f t="shared" si="142"/>
        <v>12332.196333361488</v>
      </c>
      <c r="G2284" s="36">
        <f t="shared" si="143"/>
        <v>11650.178862138509</v>
      </c>
      <c r="I2284" s="40">
        <v>11633.299805000001</v>
      </c>
      <c r="J2284" s="36">
        <v>12332.196333361488</v>
      </c>
      <c r="K2284" s="36">
        <v>11650.178862138509</v>
      </c>
    </row>
    <row r="2285" spans="1:11" x14ac:dyDescent="0.25">
      <c r="A2285" s="39">
        <v>43889</v>
      </c>
      <c r="B2285" s="36">
        <v>11201.75</v>
      </c>
      <c r="C2285" s="36">
        <f t="shared" si="140"/>
        <v>11949.485107500001</v>
      </c>
      <c r="D2285" s="36">
        <f t="shared" si="141"/>
        <v>244.82029577248781</v>
      </c>
      <c r="E2285" s="40">
        <v>11201.75</v>
      </c>
      <c r="F2285" s="36">
        <f t="shared" si="142"/>
        <v>12439.125699044976</v>
      </c>
      <c r="G2285" s="36">
        <f t="shared" si="143"/>
        <v>11459.844515955025</v>
      </c>
      <c r="I2285" s="40">
        <v>11201.75</v>
      </c>
      <c r="J2285" s="36">
        <v>12439.125699044976</v>
      </c>
      <c r="K2285" s="36">
        <v>11459.844515955025</v>
      </c>
    </row>
    <row r="2286" spans="1:11" x14ac:dyDescent="0.25">
      <c r="A2286" s="39">
        <v>43892</v>
      </c>
      <c r="B2286" s="36">
        <v>11132.75</v>
      </c>
      <c r="C2286" s="36">
        <f t="shared" si="140"/>
        <v>11908.017627049998</v>
      </c>
      <c r="D2286" s="36">
        <f t="shared" si="141"/>
        <v>305.33059207650211</v>
      </c>
      <c r="E2286" s="40">
        <v>11132.75</v>
      </c>
      <c r="F2286" s="36">
        <f t="shared" si="142"/>
        <v>12518.678811203003</v>
      </c>
      <c r="G2286" s="36">
        <f t="shared" si="143"/>
        <v>11297.356442896993</v>
      </c>
      <c r="I2286" s="40">
        <v>11132.75</v>
      </c>
      <c r="J2286" s="36">
        <v>12518.678811203003</v>
      </c>
      <c r="K2286" s="36">
        <v>11297.356442896993</v>
      </c>
    </row>
    <row r="2287" spans="1:11" x14ac:dyDescent="0.25">
      <c r="A2287" s="39">
        <v>43893</v>
      </c>
      <c r="B2287" s="36">
        <v>11303.299805000001</v>
      </c>
      <c r="C2287" s="36">
        <f t="shared" si="140"/>
        <v>11887.787597749999</v>
      </c>
      <c r="D2287" s="36">
        <f t="shared" si="141"/>
        <v>331.56409979059345</v>
      </c>
      <c r="E2287" s="40">
        <v>11303.299805000001</v>
      </c>
      <c r="F2287" s="36">
        <f t="shared" si="142"/>
        <v>12550.915797331185</v>
      </c>
      <c r="G2287" s="36">
        <f t="shared" si="143"/>
        <v>11224.659398168813</v>
      </c>
      <c r="I2287" s="40">
        <v>11303.299805000001</v>
      </c>
      <c r="J2287" s="36">
        <v>12550.915797331185</v>
      </c>
      <c r="K2287" s="36">
        <v>11224.659398168813</v>
      </c>
    </row>
    <row r="2288" spans="1:11" x14ac:dyDescent="0.25">
      <c r="A2288" s="39">
        <v>43894</v>
      </c>
      <c r="B2288" s="36">
        <v>11251</v>
      </c>
      <c r="C2288" s="36">
        <f t="shared" si="140"/>
        <v>11851.355078199998</v>
      </c>
      <c r="D2288" s="36">
        <f t="shared" si="141"/>
        <v>359.77137443384112</v>
      </c>
      <c r="E2288" s="40">
        <v>11251</v>
      </c>
      <c r="F2288" s="36">
        <f t="shared" si="142"/>
        <v>12570.89782706768</v>
      </c>
      <c r="G2288" s="36">
        <f t="shared" si="143"/>
        <v>11131.812329332317</v>
      </c>
      <c r="I2288" s="40">
        <v>11251</v>
      </c>
      <c r="J2288" s="36">
        <v>12570.89782706768</v>
      </c>
      <c r="K2288" s="36">
        <v>11131.812329332317</v>
      </c>
    </row>
    <row r="2289" spans="1:11" x14ac:dyDescent="0.25">
      <c r="A2289" s="39">
        <v>43895</v>
      </c>
      <c r="B2289" s="36">
        <v>11269</v>
      </c>
      <c r="C2289" s="36">
        <f t="shared" si="140"/>
        <v>11810.347558649999</v>
      </c>
      <c r="D2289" s="36">
        <f t="shared" si="141"/>
        <v>377.54273989500302</v>
      </c>
      <c r="E2289" s="40">
        <v>11269</v>
      </c>
      <c r="F2289" s="36">
        <f t="shared" si="142"/>
        <v>12565.433038440005</v>
      </c>
      <c r="G2289" s="36">
        <f t="shared" si="143"/>
        <v>11055.262078859992</v>
      </c>
      <c r="I2289" s="40">
        <v>11269</v>
      </c>
      <c r="J2289" s="36">
        <v>12565.433038440005</v>
      </c>
      <c r="K2289" s="36">
        <v>11055.262078859992</v>
      </c>
    </row>
    <row r="2290" spans="1:11" x14ac:dyDescent="0.25">
      <c r="A2290" s="39">
        <v>43896</v>
      </c>
      <c r="B2290" s="36">
        <v>10989.450194999999</v>
      </c>
      <c r="C2290" s="36">
        <f t="shared" si="140"/>
        <v>11752.92255865</v>
      </c>
      <c r="D2290" s="36">
        <f t="shared" si="141"/>
        <v>410.95705181577409</v>
      </c>
      <c r="E2290" s="40">
        <v>10989.450194999999</v>
      </c>
      <c r="F2290" s="36">
        <f t="shared" si="142"/>
        <v>12574.836662281548</v>
      </c>
      <c r="G2290" s="36">
        <f t="shared" si="143"/>
        <v>10931.008455018451</v>
      </c>
      <c r="I2290" s="40">
        <v>10989.450194999999</v>
      </c>
      <c r="J2290" s="36">
        <v>12574.836662281548</v>
      </c>
      <c r="K2290" s="36">
        <v>10931.008455018451</v>
      </c>
    </row>
    <row r="2291" spans="1:11" x14ac:dyDescent="0.25">
      <c r="A2291" s="39">
        <v>43899</v>
      </c>
      <c r="B2291" s="36">
        <v>10451.450194999999</v>
      </c>
      <c r="C2291" s="36">
        <f t="shared" si="140"/>
        <v>11670.57758795</v>
      </c>
      <c r="D2291" s="36">
        <f t="shared" si="141"/>
        <v>494.58780565472068</v>
      </c>
      <c r="E2291" s="40">
        <v>10451.450194999999</v>
      </c>
      <c r="F2291" s="36">
        <f t="shared" si="142"/>
        <v>12659.753199259441</v>
      </c>
      <c r="G2291" s="36">
        <f t="shared" si="143"/>
        <v>10681.401976640558</v>
      </c>
      <c r="I2291" s="40">
        <v>10451.450194999999</v>
      </c>
      <c r="J2291" s="36">
        <v>12659.753199259441</v>
      </c>
      <c r="K2291" s="36">
        <v>10681.401976640558</v>
      </c>
    </row>
    <row r="2292" spans="1:11" x14ac:dyDescent="0.25">
      <c r="A2292" s="39">
        <v>43901</v>
      </c>
      <c r="B2292" s="36">
        <v>10458.400390999999</v>
      </c>
      <c r="C2292" s="36">
        <f t="shared" si="140"/>
        <v>11591.922607500001</v>
      </c>
      <c r="D2292" s="36">
        <f t="shared" si="141"/>
        <v>555.50362653790194</v>
      </c>
      <c r="E2292" s="40">
        <v>10458.400390999999</v>
      </c>
      <c r="F2292" s="36">
        <f t="shared" si="142"/>
        <v>12702.929860575805</v>
      </c>
      <c r="G2292" s="36">
        <f t="shared" si="143"/>
        <v>10480.915354424196</v>
      </c>
      <c r="I2292" s="40">
        <v>10458.400390999999</v>
      </c>
      <c r="J2292" s="36">
        <v>12702.929860575805</v>
      </c>
      <c r="K2292" s="36">
        <v>10480.915354424196</v>
      </c>
    </row>
    <row r="2293" spans="1:11" x14ac:dyDescent="0.25">
      <c r="A2293" s="39">
        <v>43902</v>
      </c>
      <c r="B2293" s="36">
        <v>9590.1503909999992</v>
      </c>
      <c r="C2293" s="36">
        <f t="shared" si="140"/>
        <v>11466.035107500002</v>
      </c>
      <c r="D2293" s="36">
        <f t="shared" si="141"/>
        <v>699.13506651543184</v>
      </c>
      <c r="E2293" s="40">
        <v>9590.1503909999992</v>
      </c>
      <c r="F2293" s="36">
        <f t="shared" si="142"/>
        <v>12864.305240530866</v>
      </c>
      <c r="G2293" s="36">
        <f t="shared" si="143"/>
        <v>10067.764974469137</v>
      </c>
      <c r="I2293" s="40">
        <v>9590.1503909999992</v>
      </c>
      <c r="J2293" s="36">
        <v>12864.305240530866</v>
      </c>
      <c r="K2293" s="36">
        <v>10067.764974469137</v>
      </c>
    </row>
    <row r="2294" spans="1:11" x14ac:dyDescent="0.25">
      <c r="A2294" s="39">
        <v>43903</v>
      </c>
      <c r="B2294" s="36">
        <v>9955.2001949999994</v>
      </c>
      <c r="C2294" s="36">
        <f t="shared" si="140"/>
        <v>11353.735107500001</v>
      </c>
      <c r="D2294" s="36">
        <f t="shared" si="141"/>
        <v>753.13155383823914</v>
      </c>
      <c r="E2294" s="40">
        <v>9955.2001949999994</v>
      </c>
      <c r="F2294" s="36">
        <f t="shared" si="142"/>
        <v>12859.998215176478</v>
      </c>
      <c r="G2294" s="36">
        <f t="shared" si="143"/>
        <v>9847.4719998235232</v>
      </c>
      <c r="I2294" s="40">
        <v>9955.2001949999994</v>
      </c>
      <c r="J2294" s="36">
        <v>12859.998215176478</v>
      </c>
      <c r="K2294" s="36">
        <v>9847.4719998235232</v>
      </c>
    </row>
    <row r="2295" spans="1:11" x14ac:dyDescent="0.25">
      <c r="A2295" s="39">
        <v>43906</v>
      </c>
      <c r="B2295" s="36">
        <v>9197.4003909999992</v>
      </c>
      <c r="C2295" s="36">
        <f t="shared" si="140"/>
        <v>11204.872607500003</v>
      </c>
      <c r="D2295" s="36">
        <f t="shared" si="141"/>
        <v>867.83494183494133</v>
      </c>
      <c r="E2295" s="40">
        <v>9197.4003909999992</v>
      </c>
      <c r="F2295" s="36">
        <f t="shared" si="142"/>
        <v>12940.542491169886</v>
      </c>
      <c r="G2295" s="36">
        <f t="shared" si="143"/>
        <v>9469.2027238301198</v>
      </c>
      <c r="I2295" s="40">
        <v>9197.4003909999992</v>
      </c>
      <c r="J2295" s="36">
        <v>12940.542491169886</v>
      </c>
      <c r="K2295" s="36">
        <v>9469.2027238301198</v>
      </c>
    </row>
    <row r="2296" spans="1:11" x14ac:dyDescent="0.25">
      <c r="A2296" s="39">
        <v>43907</v>
      </c>
      <c r="B2296" s="36">
        <v>8967.0498050000006</v>
      </c>
      <c r="C2296" s="36">
        <f t="shared" si="140"/>
        <v>11047.552588000002</v>
      </c>
      <c r="D2296" s="36">
        <f t="shared" si="141"/>
        <v>973.24628059898725</v>
      </c>
      <c r="E2296" s="40">
        <v>8967.0498050000006</v>
      </c>
      <c r="F2296" s="36">
        <f t="shared" si="142"/>
        <v>12994.045149197977</v>
      </c>
      <c r="G2296" s="36">
        <f t="shared" si="143"/>
        <v>9101.060026802028</v>
      </c>
      <c r="I2296" s="40">
        <v>8967.0498050000006</v>
      </c>
      <c r="J2296" s="36">
        <v>12994.045149197977</v>
      </c>
      <c r="K2296" s="36">
        <v>9101.060026802028</v>
      </c>
    </row>
    <row r="2297" spans="1:11" x14ac:dyDescent="0.25">
      <c r="A2297" s="39">
        <v>43908</v>
      </c>
      <c r="B2297" s="36">
        <v>8468.7998050000006</v>
      </c>
      <c r="C2297" s="36">
        <f t="shared" si="140"/>
        <v>10868.702588000002</v>
      </c>
      <c r="D2297" s="36">
        <f t="shared" si="141"/>
        <v>1100.4946278086309</v>
      </c>
      <c r="E2297" s="40">
        <v>8468.7998050000006</v>
      </c>
      <c r="F2297" s="36">
        <f t="shared" si="142"/>
        <v>13069.691843617264</v>
      </c>
      <c r="G2297" s="36">
        <f t="shared" si="143"/>
        <v>8667.7133323827402</v>
      </c>
      <c r="I2297" s="40">
        <v>8468.7998050000006</v>
      </c>
      <c r="J2297" s="36">
        <v>13069.691843617264</v>
      </c>
      <c r="K2297" s="36">
        <v>8667.7133323827402</v>
      </c>
    </row>
    <row r="2298" spans="1:11" x14ac:dyDescent="0.25">
      <c r="A2298" s="39">
        <v>43909</v>
      </c>
      <c r="B2298" s="36">
        <v>8263.4501949999994</v>
      </c>
      <c r="C2298" s="36">
        <f t="shared" si="140"/>
        <v>10682.250097750002</v>
      </c>
      <c r="D2298" s="36">
        <f t="shared" si="141"/>
        <v>1210.4763933105887</v>
      </c>
      <c r="E2298" s="40">
        <v>8263.4501949999994</v>
      </c>
      <c r="F2298" s="36">
        <f t="shared" si="142"/>
        <v>13103.20288437118</v>
      </c>
      <c r="G2298" s="36">
        <f t="shared" si="143"/>
        <v>8261.2973111288247</v>
      </c>
      <c r="I2298" s="40">
        <v>8263.4501949999994</v>
      </c>
      <c r="J2298" s="36">
        <v>13103.20288437118</v>
      </c>
      <c r="K2298" s="36">
        <v>8261.2973111288247</v>
      </c>
    </row>
    <row r="2299" spans="1:11" x14ac:dyDescent="0.25">
      <c r="A2299" s="39">
        <v>43910</v>
      </c>
      <c r="B2299" s="36">
        <v>8745.4501949999994</v>
      </c>
      <c r="C2299" s="36">
        <f t="shared" si="140"/>
        <v>10513.227587950001</v>
      </c>
      <c r="D2299" s="36">
        <f t="shared" si="141"/>
        <v>1234.0669689708309</v>
      </c>
      <c r="E2299" s="40">
        <v>8745.4501949999994</v>
      </c>
      <c r="F2299" s="36">
        <f t="shared" si="142"/>
        <v>12981.361525891663</v>
      </c>
      <c r="G2299" s="36">
        <f t="shared" si="143"/>
        <v>8045.093650008339</v>
      </c>
      <c r="I2299" s="40">
        <v>8745.4501949999994</v>
      </c>
      <c r="J2299" s="36">
        <v>12981.361525891663</v>
      </c>
      <c r="K2299" s="36">
        <v>8045.093650008339</v>
      </c>
    </row>
    <row r="2300" spans="1:11" x14ac:dyDescent="0.25">
      <c r="A2300" s="39">
        <v>43913</v>
      </c>
      <c r="B2300" s="36">
        <v>7610.25</v>
      </c>
      <c r="C2300" s="36">
        <f t="shared" si="140"/>
        <v>10289.6976075</v>
      </c>
      <c r="D2300" s="36">
        <f t="shared" si="141"/>
        <v>1335.8622570470286</v>
      </c>
      <c r="E2300" s="40">
        <v>7610.25</v>
      </c>
      <c r="F2300" s="36">
        <f t="shared" si="142"/>
        <v>12961.422121594058</v>
      </c>
      <c r="G2300" s="36">
        <f t="shared" si="143"/>
        <v>7617.9730934059426</v>
      </c>
      <c r="I2300" s="40">
        <v>7610.25</v>
      </c>
      <c r="J2300" s="36">
        <v>12961.422121594058</v>
      </c>
      <c r="K2300" s="36">
        <v>7617.9730934059426</v>
      </c>
    </row>
    <row r="2301" spans="1:11" x14ac:dyDescent="0.25">
      <c r="A2301" s="39">
        <v>43914</v>
      </c>
      <c r="B2301" s="36">
        <v>7801.0498049999997</v>
      </c>
      <c r="C2301" s="36">
        <f t="shared" si="140"/>
        <v>10088.280078199999</v>
      </c>
      <c r="D2301" s="36">
        <f t="shared" si="141"/>
        <v>1393.9216588164982</v>
      </c>
      <c r="E2301" s="40">
        <v>7801.0498049999997</v>
      </c>
      <c r="F2301" s="36">
        <f t="shared" si="142"/>
        <v>12876.123395832996</v>
      </c>
      <c r="G2301" s="36">
        <f t="shared" si="143"/>
        <v>7300.4367605670031</v>
      </c>
      <c r="I2301" s="40">
        <v>7801.0498049999997</v>
      </c>
      <c r="J2301" s="36">
        <v>12876.123395832996</v>
      </c>
      <c r="K2301" s="36">
        <v>7300.4367605670031</v>
      </c>
    </row>
    <row r="2302" spans="1:11" x14ac:dyDescent="0.25">
      <c r="A2302" s="39">
        <v>43915</v>
      </c>
      <c r="B2302" s="36">
        <v>8317.8496090000008</v>
      </c>
      <c r="C2302" s="36">
        <f t="shared" si="140"/>
        <v>9914.2775390999996</v>
      </c>
      <c r="D2302" s="36">
        <f t="shared" si="141"/>
        <v>1386.4650049203215</v>
      </c>
      <c r="E2302" s="40">
        <v>8317.8496090000008</v>
      </c>
      <c r="F2302" s="36">
        <f t="shared" si="142"/>
        <v>12687.207548940642</v>
      </c>
      <c r="G2302" s="36">
        <f t="shared" si="143"/>
        <v>7141.3475292593566</v>
      </c>
      <c r="I2302" s="40">
        <v>8317.8496090000008</v>
      </c>
      <c r="J2302" s="36">
        <v>12687.207548940642</v>
      </c>
      <c r="K2302" s="36">
        <v>7141.3475292593566</v>
      </c>
    </row>
    <row r="2303" spans="1:11" x14ac:dyDescent="0.25">
      <c r="A2303" s="39">
        <v>43916</v>
      </c>
      <c r="B2303" s="36">
        <v>8641.4501949999994</v>
      </c>
      <c r="C2303" s="36">
        <f t="shared" si="140"/>
        <v>9762.4250488500002</v>
      </c>
      <c r="D2303" s="36">
        <f t="shared" si="141"/>
        <v>1348.8756325166476</v>
      </c>
      <c r="E2303" s="40">
        <v>8641.4501949999994</v>
      </c>
      <c r="F2303" s="36">
        <f t="shared" si="142"/>
        <v>12460.176313883296</v>
      </c>
      <c r="G2303" s="36">
        <f t="shared" si="143"/>
        <v>7064.6737838167046</v>
      </c>
      <c r="I2303" s="40">
        <v>8641.4501949999994</v>
      </c>
      <c r="J2303" s="36">
        <v>12460.176313883296</v>
      </c>
      <c r="K2303" s="36">
        <v>7064.6737838167046</v>
      </c>
    </row>
    <row r="2304" spans="1:11" x14ac:dyDescent="0.25">
      <c r="A2304" s="39">
        <v>43917</v>
      </c>
      <c r="B2304" s="36">
        <v>8660.25</v>
      </c>
      <c r="C2304" s="36">
        <f t="shared" si="140"/>
        <v>9613.7725586000015</v>
      </c>
      <c r="D2304" s="36">
        <f t="shared" si="141"/>
        <v>1294.57390258653</v>
      </c>
      <c r="E2304" s="40">
        <v>8660.25</v>
      </c>
      <c r="F2304" s="36">
        <f t="shared" si="142"/>
        <v>12202.920363773061</v>
      </c>
      <c r="G2304" s="36">
        <f t="shared" si="143"/>
        <v>7024.6247534269414</v>
      </c>
      <c r="I2304" s="40">
        <v>8660.25</v>
      </c>
      <c r="J2304" s="36">
        <v>12202.920363773061</v>
      </c>
      <c r="K2304" s="36">
        <v>7024.6247534269414</v>
      </c>
    </row>
    <row r="2305" spans="1:11" x14ac:dyDescent="0.25">
      <c r="A2305" s="39">
        <v>43920</v>
      </c>
      <c r="B2305" s="36">
        <v>8281.0996090000008</v>
      </c>
      <c r="C2305" s="36">
        <f t="shared" si="140"/>
        <v>9467.7400390500006</v>
      </c>
      <c r="D2305" s="36">
        <f t="shared" si="141"/>
        <v>1270.5229983374225</v>
      </c>
      <c r="E2305" s="40">
        <v>8281.0996090000008</v>
      </c>
      <c r="F2305" s="36">
        <f t="shared" si="142"/>
        <v>12008.786035724846</v>
      </c>
      <c r="G2305" s="36">
        <f t="shared" si="143"/>
        <v>6926.6940423751557</v>
      </c>
      <c r="I2305" s="40">
        <v>8281.0996090000008</v>
      </c>
      <c r="J2305" s="36">
        <v>12008.786035724846</v>
      </c>
      <c r="K2305" s="36">
        <v>6926.6940423751557</v>
      </c>
    </row>
    <row r="2306" spans="1:11" x14ac:dyDescent="0.25">
      <c r="A2306" s="39">
        <v>43921</v>
      </c>
      <c r="B2306" s="36">
        <v>8597.75</v>
      </c>
      <c r="C2306" s="36">
        <f t="shared" si="140"/>
        <v>9340.9900390500006</v>
      </c>
      <c r="D2306" s="36">
        <f t="shared" si="141"/>
        <v>1221.1654990378345</v>
      </c>
      <c r="E2306" s="40">
        <v>8597.75</v>
      </c>
      <c r="F2306" s="36">
        <f t="shared" si="142"/>
        <v>11783.32103712567</v>
      </c>
      <c r="G2306" s="36">
        <f t="shared" si="143"/>
        <v>6898.6590409743312</v>
      </c>
      <c r="I2306" s="40">
        <v>8597.75</v>
      </c>
      <c r="J2306" s="36">
        <v>11783.32103712567</v>
      </c>
      <c r="K2306" s="36">
        <v>6898.6590409743312</v>
      </c>
    </row>
    <row r="2307" spans="1:11" x14ac:dyDescent="0.25">
      <c r="A2307" s="39">
        <v>43922</v>
      </c>
      <c r="B2307" s="36">
        <v>8253.7998050000006</v>
      </c>
      <c r="C2307" s="36">
        <f t="shared" si="140"/>
        <v>9188.5150390500003</v>
      </c>
      <c r="D2307" s="36">
        <f t="shared" si="141"/>
        <v>1151.6580454589662</v>
      </c>
      <c r="E2307" s="40">
        <v>8253.7998050000006</v>
      </c>
      <c r="F2307" s="36">
        <f t="shared" si="142"/>
        <v>11491.831129967934</v>
      </c>
      <c r="G2307" s="36">
        <f t="shared" si="143"/>
        <v>6885.1989481320679</v>
      </c>
      <c r="I2307" s="40">
        <v>8253.7998050000006</v>
      </c>
      <c r="J2307" s="36">
        <v>11491.831129967934</v>
      </c>
      <c r="K2307" s="36">
        <v>6885.1989481320679</v>
      </c>
    </row>
    <row r="2308" spans="1:11" x14ac:dyDescent="0.25">
      <c r="A2308" s="39">
        <v>43924</v>
      </c>
      <c r="B2308" s="36">
        <v>8083.7998049999997</v>
      </c>
      <c r="C2308" s="36">
        <f t="shared" si="140"/>
        <v>9030.1550293</v>
      </c>
      <c r="D2308" s="36">
        <f t="shared" si="141"/>
        <v>1067.8311146819319</v>
      </c>
      <c r="E2308" s="40">
        <v>8083.7998049999997</v>
      </c>
      <c r="F2308" s="36">
        <f t="shared" si="142"/>
        <v>11165.817258663865</v>
      </c>
      <c r="G2308" s="36">
        <f t="shared" si="143"/>
        <v>6894.4927999361362</v>
      </c>
      <c r="I2308" s="40">
        <v>8083.7998049999997</v>
      </c>
      <c r="J2308" s="36">
        <v>11165.817258663865</v>
      </c>
      <c r="K2308" s="36">
        <v>6894.4927999361362</v>
      </c>
    </row>
    <row r="2309" spans="1:11" x14ac:dyDescent="0.25">
      <c r="A2309" s="39">
        <v>43928</v>
      </c>
      <c r="B2309" s="36">
        <v>8792.2001949999994</v>
      </c>
      <c r="C2309" s="36">
        <f t="shared" si="140"/>
        <v>8906.3150390499995</v>
      </c>
      <c r="D2309" s="36">
        <f t="shared" si="141"/>
        <v>929.13291034988981</v>
      </c>
      <c r="E2309" s="40">
        <v>8792.2001949999994</v>
      </c>
      <c r="F2309" s="36">
        <f t="shared" si="142"/>
        <v>10764.58085974978</v>
      </c>
      <c r="G2309" s="36">
        <f t="shared" si="143"/>
        <v>7048.0492183502201</v>
      </c>
      <c r="I2309" s="40">
        <v>8792.2001949999994</v>
      </c>
      <c r="J2309" s="36">
        <v>10764.58085974978</v>
      </c>
      <c r="K2309" s="36">
        <v>7048.0492183502201</v>
      </c>
    </row>
    <row r="2310" spans="1:11" x14ac:dyDescent="0.25">
      <c r="A2310" s="39">
        <v>43929</v>
      </c>
      <c r="B2310" s="36">
        <v>8748.75</v>
      </c>
      <c r="C2310" s="36">
        <f t="shared" si="140"/>
        <v>8794.2800293</v>
      </c>
      <c r="D2310" s="36">
        <f t="shared" si="141"/>
        <v>789.2971267690607</v>
      </c>
      <c r="E2310" s="40">
        <v>8748.75</v>
      </c>
      <c r="F2310" s="36">
        <f t="shared" si="142"/>
        <v>10372.874282838122</v>
      </c>
      <c r="G2310" s="36">
        <f t="shared" si="143"/>
        <v>7215.6857757618782</v>
      </c>
      <c r="I2310" s="40">
        <v>8748.75</v>
      </c>
      <c r="J2310" s="36">
        <v>10372.874282838122</v>
      </c>
      <c r="K2310" s="36">
        <v>7215.6857757618782</v>
      </c>
    </row>
    <row r="2311" spans="1:11" x14ac:dyDescent="0.25">
      <c r="A2311" s="39">
        <v>43930</v>
      </c>
      <c r="B2311" s="36">
        <v>9111.9003909999992</v>
      </c>
      <c r="C2311" s="36">
        <f t="shared" si="140"/>
        <v>8727.3025390999992</v>
      </c>
      <c r="D2311" s="36">
        <f t="shared" si="141"/>
        <v>692.12712493718448</v>
      </c>
      <c r="E2311" s="40">
        <v>9111.9003909999992</v>
      </c>
      <c r="F2311" s="36">
        <f t="shared" si="142"/>
        <v>10111.556788974369</v>
      </c>
      <c r="G2311" s="36">
        <f t="shared" si="143"/>
        <v>7343.0482892256305</v>
      </c>
      <c r="I2311" s="40">
        <v>9111.9003909999992</v>
      </c>
      <c r="J2311" s="36">
        <v>10111.556788974369</v>
      </c>
      <c r="K2311" s="36">
        <v>7343.0482892256305</v>
      </c>
    </row>
    <row r="2312" spans="1:11" x14ac:dyDescent="0.25">
      <c r="A2312" s="39">
        <v>43934</v>
      </c>
      <c r="B2312" s="36">
        <v>8993.8496090000008</v>
      </c>
      <c r="C2312" s="36">
        <f t="shared" si="140"/>
        <v>8654.0750000000007</v>
      </c>
      <c r="D2312" s="36">
        <f t="shared" si="141"/>
        <v>565.16701315298656</v>
      </c>
      <c r="E2312" s="40">
        <v>8993.8496090000008</v>
      </c>
      <c r="F2312" s="36">
        <f t="shared" si="142"/>
        <v>9784.4090263059734</v>
      </c>
      <c r="G2312" s="36">
        <f t="shared" si="143"/>
        <v>7523.7409736940281</v>
      </c>
      <c r="I2312" s="40">
        <v>8993.8496090000008</v>
      </c>
      <c r="J2312" s="36">
        <v>9784.4090263059734</v>
      </c>
      <c r="K2312" s="36">
        <v>7523.7409736940281</v>
      </c>
    </row>
    <row r="2313" spans="1:11" x14ac:dyDescent="0.25">
      <c r="A2313" s="39">
        <v>43936</v>
      </c>
      <c r="B2313" s="36">
        <v>8925.2998050000006</v>
      </c>
      <c r="C2313" s="36">
        <f t="shared" si="140"/>
        <v>8620.8324706999992</v>
      </c>
      <c r="D2313" s="36">
        <f t="shared" si="141"/>
        <v>525.36131649387403</v>
      </c>
      <c r="E2313" s="40">
        <v>8925.2998050000006</v>
      </c>
      <c r="F2313" s="36">
        <f t="shared" si="142"/>
        <v>9671.5551036877478</v>
      </c>
      <c r="G2313" s="36">
        <f t="shared" si="143"/>
        <v>7570.1098377122507</v>
      </c>
      <c r="I2313" s="40">
        <v>8925.2998050000006</v>
      </c>
      <c r="J2313" s="36">
        <v>9671.5551036877478</v>
      </c>
      <c r="K2313" s="36">
        <v>7570.1098377122507</v>
      </c>
    </row>
    <row r="2314" spans="1:11" x14ac:dyDescent="0.25">
      <c r="A2314" s="39">
        <v>43937</v>
      </c>
      <c r="B2314" s="36">
        <v>8992.7998050000006</v>
      </c>
      <c r="C2314" s="36">
        <f t="shared" si="140"/>
        <v>8572.7124511999973</v>
      </c>
      <c r="D2314" s="36">
        <f t="shared" si="141"/>
        <v>432.59300752886077</v>
      </c>
      <c r="E2314" s="40">
        <v>8992.7998050000006</v>
      </c>
      <c r="F2314" s="36">
        <f t="shared" si="142"/>
        <v>9437.8984662577186</v>
      </c>
      <c r="G2314" s="36">
        <f t="shared" si="143"/>
        <v>7707.526436142276</v>
      </c>
      <c r="I2314" s="40">
        <v>8992.7998050000006</v>
      </c>
      <c r="J2314" s="36">
        <v>9437.8984662577186</v>
      </c>
      <c r="K2314" s="36">
        <v>7707.526436142276</v>
      </c>
    </row>
    <row r="2315" spans="1:11" x14ac:dyDescent="0.25">
      <c r="A2315" s="39">
        <v>43938</v>
      </c>
      <c r="B2315" s="36">
        <v>9266.75</v>
      </c>
      <c r="C2315" s="36">
        <f t="shared" si="140"/>
        <v>8576.1799316499983</v>
      </c>
      <c r="D2315" s="36">
        <f t="shared" si="141"/>
        <v>438.10657930004567</v>
      </c>
      <c r="E2315" s="40">
        <v>9266.75</v>
      </c>
      <c r="F2315" s="36">
        <f t="shared" si="142"/>
        <v>9452.3930902500888</v>
      </c>
      <c r="G2315" s="36">
        <f t="shared" si="143"/>
        <v>7699.9667730499068</v>
      </c>
      <c r="I2315" s="40">
        <v>9266.75</v>
      </c>
      <c r="J2315" s="36">
        <v>9452.3930902500888</v>
      </c>
      <c r="K2315" s="36">
        <v>7699.9667730499068</v>
      </c>
    </row>
    <row r="2316" spans="1:11" x14ac:dyDescent="0.25">
      <c r="A2316" s="39">
        <v>43941</v>
      </c>
      <c r="B2316" s="36">
        <v>9261.8496090000008</v>
      </c>
      <c r="C2316" s="36">
        <f t="shared" si="140"/>
        <v>8590.919921849998</v>
      </c>
      <c r="D2316" s="36">
        <f t="shared" si="141"/>
        <v>456.52165591202231</v>
      </c>
      <c r="E2316" s="40">
        <v>9261.8496090000008</v>
      </c>
      <c r="F2316" s="36">
        <f t="shared" si="142"/>
        <v>9503.9632336740433</v>
      </c>
      <c r="G2316" s="36">
        <f t="shared" si="143"/>
        <v>7677.8766100259536</v>
      </c>
      <c r="I2316" s="40">
        <v>9261.8496090000008</v>
      </c>
      <c r="J2316" s="36">
        <v>9503.9632336740433</v>
      </c>
      <c r="K2316" s="36">
        <v>7677.8766100259536</v>
      </c>
    </row>
    <row r="2317" spans="1:11" x14ac:dyDescent="0.25">
      <c r="A2317" s="39">
        <v>43942</v>
      </c>
      <c r="B2317" s="36">
        <v>8981.4501949999994</v>
      </c>
      <c r="C2317" s="36">
        <f t="shared" si="140"/>
        <v>8616.5524413499988</v>
      </c>
      <c r="D2317" s="36">
        <f t="shared" si="141"/>
        <v>463.64054101637845</v>
      </c>
      <c r="E2317" s="40">
        <v>8981.4501949999994</v>
      </c>
      <c r="F2317" s="36">
        <f t="shared" si="142"/>
        <v>9543.8335233827565</v>
      </c>
      <c r="G2317" s="36">
        <f t="shared" si="143"/>
        <v>7689.2713593172421</v>
      </c>
      <c r="I2317" s="40">
        <v>8981.4501949999994</v>
      </c>
      <c r="J2317" s="36">
        <v>9543.8335233827565</v>
      </c>
      <c r="K2317" s="36">
        <v>7689.2713593172421</v>
      </c>
    </row>
    <row r="2318" spans="1:11" x14ac:dyDescent="0.25">
      <c r="A2318" s="39">
        <v>43943</v>
      </c>
      <c r="B2318" s="36">
        <v>9187.2998050000006</v>
      </c>
      <c r="C2318" s="36">
        <f t="shared" si="140"/>
        <v>8662.7449218500005</v>
      </c>
      <c r="D2318" s="36">
        <f t="shared" si="141"/>
        <v>472.54545455807147</v>
      </c>
      <c r="E2318" s="40">
        <v>9187.2998050000006</v>
      </c>
      <c r="F2318" s="36">
        <f t="shared" si="142"/>
        <v>9607.8358309661435</v>
      </c>
      <c r="G2318" s="36">
        <f t="shared" si="143"/>
        <v>7717.6540127338576</v>
      </c>
      <c r="I2318" s="40">
        <v>9187.2998050000006</v>
      </c>
      <c r="J2318" s="36">
        <v>9607.8358309661435</v>
      </c>
      <c r="K2318" s="36">
        <v>7717.6540127338576</v>
      </c>
    </row>
    <row r="2319" spans="1:11" x14ac:dyDescent="0.25">
      <c r="A2319" s="39">
        <v>43944</v>
      </c>
      <c r="B2319" s="36">
        <v>9313.9003909999992</v>
      </c>
      <c r="C2319" s="36">
        <f t="shared" si="140"/>
        <v>8691.1674316499993</v>
      </c>
      <c r="D2319" s="36">
        <f t="shared" si="141"/>
        <v>494.37315053227337</v>
      </c>
      <c r="E2319" s="40">
        <v>9313.9003909999992</v>
      </c>
      <c r="F2319" s="36">
        <f t="shared" si="142"/>
        <v>9679.9137327145454</v>
      </c>
      <c r="G2319" s="36">
        <f t="shared" si="143"/>
        <v>7702.4211305854524</v>
      </c>
      <c r="I2319" s="40">
        <v>9313.9003909999992</v>
      </c>
      <c r="J2319" s="36">
        <v>9679.9137327145454</v>
      </c>
      <c r="K2319" s="36">
        <v>7702.4211305854524</v>
      </c>
    </row>
    <row r="2320" spans="1:11" x14ac:dyDescent="0.25">
      <c r="A2320" s="39">
        <v>43945</v>
      </c>
      <c r="B2320" s="36">
        <v>9154.4003909999992</v>
      </c>
      <c r="C2320" s="36">
        <f t="shared" si="140"/>
        <v>8768.3749512000013</v>
      </c>
      <c r="D2320" s="36">
        <f t="shared" si="141"/>
        <v>433.50916256078835</v>
      </c>
      <c r="E2320" s="40">
        <v>9154.4003909999992</v>
      </c>
      <c r="F2320" s="36">
        <f t="shared" si="142"/>
        <v>9635.393276321578</v>
      </c>
      <c r="G2320" s="36">
        <f t="shared" si="143"/>
        <v>7901.3566260784246</v>
      </c>
      <c r="I2320" s="40">
        <v>9154.4003909999992</v>
      </c>
      <c r="J2320" s="36">
        <v>9635.393276321578</v>
      </c>
      <c r="K2320" s="36">
        <v>7901.3566260784246</v>
      </c>
    </row>
    <row r="2321" spans="1:11" x14ac:dyDescent="0.25">
      <c r="A2321" s="39">
        <v>43948</v>
      </c>
      <c r="B2321" s="36">
        <v>9282.2998050000006</v>
      </c>
      <c r="C2321" s="36">
        <f t="shared" si="140"/>
        <v>8842.4374511999995</v>
      </c>
      <c r="D2321" s="36">
        <f t="shared" si="141"/>
        <v>383.15651777916543</v>
      </c>
      <c r="E2321" s="40">
        <v>9282.2998050000006</v>
      </c>
      <c r="F2321" s="36">
        <f t="shared" si="142"/>
        <v>9608.7504867583302</v>
      </c>
      <c r="G2321" s="36">
        <f t="shared" si="143"/>
        <v>8076.1244156416687</v>
      </c>
      <c r="I2321" s="40">
        <v>9282.2998050000006</v>
      </c>
      <c r="J2321" s="36">
        <v>9608.7504867583302</v>
      </c>
      <c r="K2321" s="36">
        <v>8076.1244156416687</v>
      </c>
    </row>
    <row r="2322" spans="1:11" x14ac:dyDescent="0.25">
      <c r="A2322" s="39">
        <v>43949</v>
      </c>
      <c r="B2322" s="36">
        <v>9380.9003909999992</v>
      </c>
      <c r="C2322" s="36">
        <f t="shared" si="140"/>
        <v>8895.589990299999</v>
      </c>
      <c r="D2322" s="36">
        <f t="shared" si="141"/>
        <v>380.27798075638583</v>
      </c>
      <c r="E2322" s="40">
        <v>9380.9003909999992</v>
      </c>
      <c r="F2322" s="36">
        <f t="shared" si="142"/>
        <v>9656.1459518127704</v>
      </c>
      <c r="G2322" s="36">
        <f t="shared" si="143"/>
        <v>8135.0340287872277</v>
      </c>
      <c r="I2322" s="40">
        <v>9380.9003909999992</v>
      </c>
      <c r="J2322" s="36">
        <v>9656.1459518127704</v>
      </c>
      <c r="K2322" s="36">
        <v>8135.0340287872277</v>
      </c>
    </row>
    <row r="2323" spans="1:11" x14ac:dyDescent="0.25">
      <c r="A2323" s="39">
        <v>43950</v>
      </c>
      <c r="B2323" s="36">
        <v>9553.3496090000008</v>
      </c>
      <c r="C2323" s="36">
        <f t="shared" si="140"/>
        <v>8941.184960999999</v>
      </c>
      <c r="D2323" s="36">
        <f t="shared" si="141"/>
        <v>402.23704478103957</v>
      </c>
      <c r="E2323" s="40">
        <v>9553.3496090000008</v>
      </c>
      <c r="F2323" s="36">
        <f t="shared" si="142"/>
        <v>9745.6590505620788</v>
      </c>
      <c r="G2323" s="36">
        <f t="shared" si="143"/>
        <v>8136.7108714379201</v>
      </c>
      <c r="I2323" s="40">
        <v>9553.3496090000008</v>
      </c>
      <c r="J2323" s="36">
        <v>9745.6590505620788</v>
      </c>
      <c r="K2323" s="36">
        <v>8136.7108714379201</v>
      </c>
    </row>
    <row r="2324" spans="1:11" x14ac:dyDescent="0.25">
      <c r="A2324" s="39">
        <v>43951</v>
      </c>
      <c r="B2324" s="36">
        <v>9859.9003909999992</v>
      </c>
      <c r="C2324" s="36">
        <f t="shared" si="140"/>
        <v>9001.1674805499988</v>
      </c>
      <c r="D2324" s="36">
        <f t="shared" si="141"/>
        <v>445.28250640323455</v>
      </c>
      <c r="E2324" s="40">
        <v>9859.9003909999992</v>
      </c>
      <c r="F2324" s="36">
        <f t="shared" si="142"/>
        <v>9891.7324933564687</v>
      </c>
      <c r="G2324" s="36">
        <f t="shared" si="143"/>
        <v>8110.6024677435298</v>
      </c>
      <c r="I2324" s="40">
        <v>9859.9003909999992</v>
      </c>
      <c r="J2324" s="36">
        <v>9891.7324933564687</v>
      </c>
      <c r="K2324" s="36">
        <v>8110.6024677435298</v>
      </c>
    </row>
    <row r="2325" spans="1:11" x14ac:dyDescent="0.25">
      <c r="A2325" s="39">
        <v>43955</v>
      </c>
      <c r="B2325" s="36">
        <v>9293.5</v>
      </c>
      <c r="C2325" s="36">
        <f t="shared" si="140"/>
        <v>9051.7875000999993</v>
      </c>
      <c r="D2325" s="36">
        <f t="shared" si="141"/>
        <v>415.67741379019378</v>
      </c>
      <c r="E2325" s="40">
        <v>9293.5</v>
      </c>
      <c r="F2325" s="36">
        <f t="shared" si="142"/>
        <v>9883.1423276803871</v>
      </c>
      <c r="G2325" s="36">
        <f t="shared" si="143"/>
        <v>8220.4326725196115</v>
      </c>
      <c r="I2325" s="40">
        <v>9293.5</v>
      </c>
      <c r="J2325" s="36">
        <v>9883.1423276803871</v>
      </c>
      <c r="K2325" s="36">
        <v>8220.4326725196115</v>
      </c>
    </row>
    <row r="2326" spans="1:11" x14ac:dyDescent="0.25">
      <c r="A2326" s="39">
        <v>43956</v>
      </c>
      <c r="B2326" s="36">
        <v>9205.5996090000008</v>
      </c>
      <c r="C2326" s="36">
        <f t="shared" ref="C2326:C2389" si="144">AVERAGE(B2307:B2326)</f>
        <v>9082.1799805500013</v>
      </c>
      <c r="D2326" s="36">
        <f t="shared" ref="D2326:D2389" si="145">_xlfn.STDEV.S(B2307:B2326)</f>
        <v>402.75371803046556</v>
      </c>
      <c r="E2326" s="40">
        <v>9205.5996090000008</v>
      </c>
      <c r="F2326" s="36">
        <f t="shared" ref="F2326:F2389" si="146">C2326+2*D2326</f>
        <v>9887.6874166109319</v>
      </c>
      <c r="G2326" s="36">
        <f t="shared" ref="G2326:G2389" si="147">C2326-2*D2326</f>
        <v>8276.6725444890708</v>
      </c>
      <c r="I2326" s="40">
        <v>9205.5996090000008</v>
      </c>
      <c r="J2326" s="36">
        <v>9887.6874166109319</v>
      </c>
      <c r="K2326" s="36">
        <v>8276.6725444890708</v>
      </c>
    </row>
    <row r="2327" spans="1:11" x14ac:dyDescent="0.25">
      <c r="A2327" s="39">
        <v>43957</v>
      </c>
      <c r="B2327" s="36">
        <v>9270.9003909999992</v>
      </c>
      <c r="C2327" s="36">
        <f t="shared" si="144"/>
        <v>9133.0350098500003</v>
      </c>
      <c r="D2327" s="36">
        <f t="shared" si="145"/>
        <v>353.90138295814046</v>
      </c>
      <c r="E2327" s="40">
        <v>9270.9003909999992</v>
      </c>
      <c r="F2327" s="36">
        <f t="shared" si="146"/>
        <v>9840.837775766282</v>
      </c>
      <c r="G2327" s="36">
        <f t="shared" si="147"/>
        <v>8425.2322439337186</v>
      </c>
      <c r="I2327" s="40">
        <v>9270.9003909999992</v>
      </c>
      <c r="J2327" s="36">
        <v>9840.837775766282</v>
      </c>
      <c r="K2327" s="36">
        <v>8425.2322439337186</v>
      </c>
    </row>
    <row r="2328" spans="1:11" x14ac:dyDescent="0.25">
      <c r="A2328" s="39">
        <v>43958</v>
      </c>
      <c r="B2328" s="36">
        <v>9199.0498050000006</v>
      </c>
      <c r="C2328" s="36">
        <f t="shared" si="144"/>
        <v>9188.7975098499992</v>
      </c>
      <c r="D2328" s="36">
        <f t="shared" si="145"/>
        <v>253.4967972694057</v>
      </c>
      <c r="E2328" s="40">
        <v>9199.0498050000006</v>
      </c>
      <c r="F2328" s="36">
        <f t="shared" si="146"/>
        <v>9695.7911043888107</v>
      </c>
      <c r="G2328" s="36">
        <f t="shared" si="147"/>
        <v>8681.8039153111877</v>
      </c>
      <c r="I2328" s="40">
        <v>9199.0498050000006</v>
      </c>
      <c r="J2328" s="36">
        <v>9695.7911043888107</v>
      </c>
      <c r="K2328" s="36">
        <v>8681.8039153111877</v>
      </c>
    </row>
    <row r="2329" spans="1:11" x14ac:dyDescent="0.25">
      <c r="A2329" s="39">
        <v>43959</v>
      </c>
      <c r="B2329" s="36">
        <v>9251.5</v>
      </c>
      <c r="C2329" s="36">
        <f t="shared" si="144"/>
        <v>9211.7625000999997</v>
      </c>
      <c r="D2329" s="36">
        <f t="shared" si="145"/>
        <v>235.86863592755739</v>
      </c>
      <c r="E2329" s="40">
        <v>9251.5</v>
      </c>
      <c r="F2329" s="36">
        <f t="shared" si="146"/>
        <v>9683.4997719551138</v>
      </c>
      <c r="G2329" s="36">
        <f t="shared" si="147"/>
        <v>8740.0252282448855</v>
      </c>
      <c r="I2329" s="40">
        <v>9251.5</v>
      </c>
      <c r="J2329" s="36">
        <v>9683.4997719551138</v>
      </c>
      <c r="K2329" s="36">
        <v>8740.0252282448855</v>
      </c>
    </row>
    <row r="2330" spans="1:11" x14ac:dyDescent="0.25">
      <c r="A2330" s="39">
        <v>43962</v>
      </c>
      <c r="B2330" s="36">
        <v>9239.2001949999994</v>
      </c>
      <c r="C2330" s="36">
        <f t="shared" si="144"/>
        <v>9236.2850098500003</v>
      </c>
      <c r="D2330" s="36">
        <f t="shared" si="145"/>
        <v>209.1828005705211</v>
      </c>
      <c r="E2330" s="40">
        <v>9239.2001949999994</v>
      </c>
      <c r="F2330" s="36">
        <f t="shared" si="146"/>
        <v>9654.6506109910424</v>
      </c>
      <c r="G2330" s="36">
        <f t="shared" si="147"/>
        <v>8817.9194087089581</v>
      </c>
      <c r="I2330" s="40">
        <v>9239.2001949999994</v>
      </c>
      <c r="J2330" s="36">
        <v>9654.6506109910424</v>
      </c>
      <c r="K2330" s="36">
        <v>8817.9194087089581</v>
      </c>
    </row>
    <row r="2331" spans="1:11" x14ac:dyDescent="0.25">
      <c r="A2331" s="39">
        <v>43963</v>
      </c>
      <c r="B2331" s="36">
        <v>9196.5498050000006</v>
      </c>
      <c r="C2331" s="36">
        <f t="shared" si="144"/>
        <v>9240.517480550001</v>
      </c>
      <c r="D2331" s="36">
        <f t="shared" si="145"/>
        <v>207.38224483325038</v>
      </c>
      <c r="E2331" s="40">
        <v>9196.5498050000006</v>
      </c>
      <c r="F2331" s="36">
        <f t="shared" si="146"/>
        <v>9655.2819702165016</v>
      </c>
      <c r="G2331" s="36">
        <f t="shared" si="147"/>
        <v>8825.7529908835004</v>
      </c>
      <c r="I2331" s="40">
        <v>9196.5498050000006</v>
      </c>
      <c r="J2331" s="36">
        <v>9655.2819702165016</v>
      </c>
      <c r="K2331" s="36">
        <v>8825.7529908835004</v>
      </c>
    </row>
    <row r="2332" spans="1:11" x14ac:dyDescent="0.25">
      <c r="A2332" s="39">
        <v>43964</v>
      </c>
      <c r="B2332" s="36">
        <v>9383.5498050000006</v>
      </c>
      <c r="C2332" s="36">
        <f t="shared" si="144"/>
        <v>9260.002490349998</v>
      </c>
      <c r="D2332" s="36">
        <f t="shared" si="145"/>
        <v>201.20170670170864</v>
      </c>
      <c r="E2332" s="40">
        <v>9383.5498050000006</v>
      </c>
      <c r="F2332" s="36">
        <f t="shared" si="146"/>
        <v>9662.4059037534153</v>
      </c>
      <c r="G2332" s="36">
        <f t="shared" si="147"/>
        <v>8857.5990769465807</v>
      </c>
      <c r="I2332" s="40">
        <v>9383.5498050000006</v>
      </c>
      <c r="J2332" s="36">
        <v>9662.4059037534153</v>
      </c>
      <c r="K2332" s="36">
        <v>8857.5990769465807</v>
      </c>
    </row>
    <row r="2333" spans="1:11" x14ac:dyDescent="0.25">
      <c r="A2333" s="39">
        <v>43965</v>
      </c>
      <c r="B2333" s="36">
        <v>9142.75</v>
      </c>
      <c r="C2333" s="36">
        <f t="shared" si="144"/>
        <v>9270.8750000999989</v>
      </c>
      <c r="D2333" s="36">
        <f t="shared" si="145"/>
        <v>187.57713337822091</v>
      </c>
      <c r="E2333" s="40">
        <v>9142.75</v>
      </c>
      <c r="F2333" s="36">
        <f t="shared" si="146"/>
        <v>9646.0292668564416</v>
      </c>
      <c r="G2333" s="36">
        <f t="shared" si="147"/>
        <v>8895.7207333435563</v>
      </c>
      <c r="I2333" s="40">
        <v>9142.75</v>
      </c>
      <c r="J2333" s="36">
        <v>9646.0292668564416</v>
      </c>
      <c r="K2333" s="36">
        <v>8895.7207333435563</v>
      </c>
    </row>
    <row r="2334" spans="1:11" x14ac:dyDescent="0.25">
      <c r="A2334" s="39">
        <v>43966</v>
      </c>
      <c r="B2334" s="36">
        <v>9136.8496090000008</v>
      </c>
      <c r="C2334" s="36">
        <f t="shared" si="144"/>
        <v>9278.0774903000001</v>
      </c>
      <c r="D2334" s="36">
        <f t="shared" si="145"/>
        <v>178.90278341946524</v>
      </c>
      <c r="E2334" s="40">
        <v>9136.8496090000008</v>
      </c>
      <c r="F2334" s="36">
        <f t="shared" si="146"/>
        <v>9635.8830571389299</v>
      </c>
      <c r="G2334" s="36">
        <f t="shared" si="147"/>
        <v>8920.2719234610704</v>
      </c>
      <c r="I2334" s="40">
        <v>9136.8496090000008</v>
      </c>
      <c r="J2334" s="36">
        <v>9635.8830571389299</v>
      </c>
      <c r="K2334" s="36">
        <v>8920.2719234610704</v>
      </c>
    </row>
    <row r="2335" spans="1:11" x14ac:dyDescent="0.25">
      <c r="A2335" s="39">
        <v>43969</v>
      </c>
      <c r="B2335" s="36">
        <v>8823.25</v>
      </c>
      <c r="C2335" s="36">
        <f t="shared" si="144"/>
        <v>9255.902490299999</v>
      </c>
      <c r="D2335" s="36">
        <f t="shared" si="145"/>
        <v>205.83885288529009</v>
      </c>
      <c r="E2335" s="40">
        <v>8823.25</v>
      </c>
      <c r="F2335" s="36">
        <f t="shared" si="146"/>
        <v>9667.5801960705794</v>
      </c>
      <c r="G2335" s="36">
        <f t="shared" si="147"/>
        <v>8844.2247845294187</v>
      </c>
      <c r="I2335" s="40">
        <v>8823.25</v>
      </c>
      <c r="J2335" s="36">
        <v>9667.5801960705794</v>
      </c>
      <c r="K2335" s="36">
        <v>8844.2247845294187</v>
      </c>
    </row>
    <row r="2336" spans="1:11" x14ac:dyDescent="0.25">
      <c r="A2336" s="39">
        <v>43970</v>
      </c>
      <c r="B2336" s="36">
        <v>8879.0996090000008</v>
      </c>
      <c r="C2336" s="36">
        <f t="shared" si="144"/>
        <v>9236.7649902999983</v>
      </c>
      <c r="D2336" s="36">
        <f t="shared" si="145"/>
        <v>222.38458849428289</v>
      </c>
      <c r="E2336" s="40">
        <v>8879.0996090000008</v>
      </c>
      <c r="F2336" s="36">
        <f t="shared" si="146"/>
        <v>9681.5341672885643</v>
      </c>
      <c r="G2336" s="36">
        <f t="shared" si="147"/>
        <v>8791.9958133114324</v>
      </c>
      <c r="I2336" s="40">
        <v>8879.0996090000008</v>
      </c>
      <c r="J2336" s="36">
        <v>9681.5341672885643</v>
      </c>
      <c r="K2336" s="36">
        <v>8791.9958133114324</v>
      </c>
    </row>
    <row r="2337" spans="1:11" x14ac:dyDescent="0.25">
      <c r="A2337" s="39">
        <v>43971</v>
      </c>
      <c r="B2337" s="36">
        <v>9066.5498050000006</v>
      </c>
      <c r="C2337" s="36">
        <f t="shared" si="144"/>
        <v>9241.0199707999982</v>
      </c>
      <c r="D2337" s="36">
        <f t="shared" si="145"/>
        <v>218.01360003717096</v>
      </c>
      <c r="E2337" s="40">
        <v>9066.5498050000006</v>
      </c>
      <c r="F2337" s="36">
        <f t="shared" si="146"/>
        <v>9677.0471708743407</v>
      </c>
      <c r="G2337" s="36">
        <f t="shared" si="147"/>
        <v>8804.9927707256556</v>
      </c>
      <c r="I2337" s="40">
        <v>9066.5498050000006</v>
      </c>
      <c r="J2337" s="36">
        <v>9677.0471708743407</v>
      </c>
      <c r="K2337" s="36">
        <v>8804.9927707256556</v>
      </c>
    </row>
    <row r="2338" spans="1:11" x14ac:dyDescent="0.25">
      <c r="A2338" s="39">
        <v>43972</v>
      </c>
      <c r="B2338" s="36">
        <v>9106.25</v>
      </c>
      <c r="C2338" s="36">
        <f t="shared" si="144"/>
        <v>9236.9674805499999</v>
      </c>
      <c r="D2338" s="36">
        <f t="shared" si="145"/>
        <v>219.81060046914433</v>
      </c>
      <c r="E2338" s="40">
        <v>9106.25</v>
      </c>
      <c r="F2338" s="36">
        <f t="shared" si="146"/>
        <v>9676.5886814882888</v>
      </c>
      <c r="G2338" s="36">
        <f t="shared" si="147"/>
        <v>8797.346279611711</v>
      </c>
      <c r="I2338" s="40">
        <v>9106.25</v>
      </c>
      <c r="J2338" s="36">
        <v>9676.5886814882888</v>
      </c>
      <c r="K2338" s="36">
        <v>8797.346279611711</v>
      </c>
    </row>
    <row r="2339" spans="1:11" x14ac:dyDescent="0.25">
      <c r="A2339" s="39">
        <v>43973</v>
      </c>
      <c r="B2339" s="36">
        <v>9039.25</v>
      </c>
      <c r="C2339" s="36">
        <f t="shared" si="144"/>
        <v>9223.2349609999983</v>
      </c>
      <c r="D2339" s="36">
        <f t="shared" si="145"/>
        <v>223.30286125331403</v>
      </c>
      <c r="E2339" s="40">
        <v>9039.25</v>
      </c>
      <c r="F2339" s="36">
        <f t="shared" si="146"/>
        <v>9669.8406835066271</v>
      </c>
      <c r="G2339" s="36">
        <f t="shared" si="147"/>
        <v>8776.6292384933695</v>
      </c>
      <c r="I2339" s="40">
        <v>9039.25</v>
      </c>
      <c r="J2339" s="36">
        <v>9669.8406835066271</v>
      </c>
      <c r="K2339" s="36">
        <v>8776.6292384933695</v>
      </c>
    </row>
    <row r="2340" spans="1:11" x14ac:dyDescent="0.25">
      <c r="A2340" s="39">
        <v>43977</v>
      </c>
      <c r="B2340" s="36">
        <v>9029.0498050000006</v>
      </c>
      <c r="C2340" s="36">
        <f t="shared" si="144"/>
        <v>9216.967431699999</v>
      </c>
      <c r="D2340" s="36">
        <f t="shared" si="145"/>
        <v>227.06400991182977</v>
      </c>
      <c r="E2340" s="40">
        <v>9029.0498050000006</v>
      </c>
      <c r="F2340" s="36">
        <f t="shared" si="146"/>
        <v>9671.095451523659</v>
      </c>
      <c r="G2340" s="36">
        <f t="shared" si="147"/>
        <v>8762.839411876339</v>
      </c>
      <c r="I2340" s="40">
        <v>9029.0498050000006</v>
      </c>
      <c r="J2340" s="36">
        <v>9671.095451523659</v>
      </c>
      <c r="K2340" s="36">
        <v>8762.839411876339</v>
      </c>
    </row>
    <row r="2341" spans="1:11" x14ac:dyDescent="0.25">
      <c r="A2341" s="39">
        <v>43978</v>
      </c>
      <c r="B2341" s="36">
        <v>9314.9501949999994</v>
      </c>
      <c r="C2341" s="36">
        <f t="shared" si="144"/>
        <v>9218.5999511999999</v>
      </c>
      <c r="D2341" s="36">
        <f t="shared" si="145"/>
        <v>227.67500242463424</v>
      </c>
      <c r="E2341" s="40">
        <v>9314.9501949999994</v>
      </c>
      <c r="F2341" s="36">
        <f t="shared" si="146"/>
        <v>9673.9499560492677</v>
      </c>
      <c r="G2341" s="36">
        <f t="shared" si="147"/>
        <v>8763.249946350732</v>
      </c>
      <c r="I2341" s="40">
        <v>9314.9501949999994</v>
      </c>
      <c r="J2341" s="36">
        <v>9673.9499560492677</v>
      </c>
      <c r="K2341" s="36">
        <v>8763.249946350732</v>
      </c>
    </row>
    <row r="2342" spans="1:11" x14ac:dyDescent="0.25">
      <c r="A2342" s="39">
        <v>43979</v>
      </c>
      <c r="B2342" s="36">
        <v>9490.0996090000008</v>
      </c>
      <c r="C2342" s="36">
        <f t="shared" si="144"/>
        <v>9224.0599120999996</v>
      </c>
      <c r="D2342" s="36">
        <f t="shared" si="145"/>
        <v>233.01870670531565</v>
      </c>
      <c r="E2342" s="40">
        <v>9490.0996090000008</v>
      </c>
      <c r="F2342" s="36">
        <f t="shared" si="146"/>
        <v>9690.097325510631</v>
      </c>
      <c r="G2342" s="36">
        <f t="shared" si="147"/>
        <v>8758.0224986893681</v>
      </c>
      <c r="I2342" s="40">
        <v>9490.0996090000008</v>
      </c>
      <c r="J2342" s="36">
        <v>9690.097325510631</v>
      </c>
      <c r="K2342" s="36">
        <v>8758.0224986893681</v>
      </c>
    </row>
    <row r="2343" spans="1:11" x14ac:dyDescent="0.25">
      <c r="A2343" s="39">
        <v>43980</v>
      </c>
      <c r="B2343" s="36">
        <v>9580.2998050000006</v>
      </c>
      <c r="C2343" s="36">
        <f t="shared" si="144"/>
        <v>9225.4074218999995</v>
      </c>
      <c r="D2343" s="36">
        <f t="shared" si="145"/>
        <v>235.09186076638528</v>
      </c>
      <c r="E2343" s="40">
        <v>9580.2998050000006</v>
      </c>
      <c r="F2343" s="36">
        <f t="shared" si="146"/>
        <v>9695.59114343277</v>
      </c>
      <c r="G2343" s="36">
        <f t="shared" si="147"/>
        <v>8755.223700367229</v>
      </c>
      <c r="I2343" s="40">
        <v>9580.2998050000006</v>
      </c>
      <c r="J2343" s="36">
        <v>9695.59114343277</v>
      </c>
      <c r="K2343" s="36">
        <v>8755.223700367229</v>
      </c>
    </row>
    <row r="2344" spans="1:11" x14ac:dyDescent="0.25">
      <c r="A2344" s="39">
        <v>43983</v>
      </c>
      <c r="B2344" s="36">
        <v>9826.1503909999992</v>
      </c>
      <c r="C2344" s="36">
        <f t="shared" si="144"/>
        <v>9223.7199218999995</v>
      </c>
      <c r="D2344" s="36">
        <f t="shared" si="145"/>
        <v>230.37147472062756</v>
      </c>
      <c r="E2344" s="40">
        <v>9826.1503909999992</v>
      </c>
      <c r="F2344" s="36">
        <f t="shared" si="146"/>
        <v>9684.4628713412549</v>
      </c>
      <c r="G2344" s="36">
        <f t="shared" si="147"/>
        <v>8762.9769724587441</v>
      </c>
      <c r="I2344" s="40">
        <v>9826.1503909999992</v>
      </c>
      <c r="J2344" s="36">
        <v>9684.4628713412549</v>
      </c>
      <c r="K2344" s="36">
        <v>8762.9769724587441</v>
      </c>
    </row>
    <row r="2345" spans="1:11" x14ac:dyDescent="0.25">
      <c r="A2345" s="39">
        <v>43984</v>
      </c>
      <c r="B2345" s="36">
        <v>9979.0996090000008</v>
      </c>
      <c r="C2345" s="36">
        <f t="shared" si="144"/>
        <v>9257.9999023500004</v>
      </c>
      <c r="D2345" s="36">
        <f t="shared" si="145"/>
        <v>285.67336722804532</v>
      </c>
      <c r="E2345" s="40">
        <v>9979.0996090000008</v>
      </c>
      <c r="F2345" s="36">
        <f t="shared" si="146"/>
        <v>9829.3466368060908</v>
      </c>
      <c r="G2345" s="36">
        <f t="shared" si="147"/>
        <v>8686.65316789391</v>
      </c>
      <c r="I2345" s="40">
        <v>9979.0996090000008</v>
      </c>
      <c r="J2345" s="36">
        <v>9829.3466368060908</v>
      </c>
      <c r="K2345" s="36">
        <v>8686.65316789391</v>
      </c>
    </row>
    <row r="2346" spans="1:11" x14ac:dyDescent="0.25">
      <c r="A2346" s="39">
        <v>43985</v>
      </c>
      <c r="B2346" s="36">
        <v>10061.549805000001</v>
      </c>
      <c r="C2346" s="36">
        <f t="shared" si="144"/>
        <v>9300.7974121499992</v>
      </c>
      <c r="D2346" s="36">
        <f t="shared" si="145"/>
        <v>336.92809638422233</v>
      </c>
      <c r="E2346" s="40">
        <v>10061.549805000001</v>
      </c>
      <c r="F2346" s="36">
        <f t="shared" si="146"/>
        <v>9974.6536049184433</v>
      </c>
      <c r="G2346" s="36">
        <f t="shared" si="147"/>
        <v>8626.9412193815551</v>
      </c>
      <c r="I2346" s="40">
        <v>10061.549805000001</v>
      </c>
      <c r="J2346" s="36">
        <v>9974.6536049184433</v>
      </c>
      <c r="K2346" s="36">
        <v>8626.9412193815551</v>
      </c>
    </row>
    <row r="2347" spans="1:11" x14ac:dyDescent="0.25">
      <c r="A2347" s="39">
        <v>43986</v>
      </c>
      <c r="B2347" s="36">
        <v>10029.099609000001</v>
      </c>
      <c r="C2347" s="36">
        <f t="shared" si="144"/>
        <v>9338.7073730499997</v>
      </c>
      <c r="D2347" s="36">
        <f t="shared" si="145"/>
        <v>374.00233997881281</v>
      </c>
      <c r="E2347" s="40">
        <v>10029.099609000001</v>
      </c>
      <c r="F2347" s="36">
        <f t="shared" si="146"/>
        <v>10086.712053007624</v>
      </c>
      <c r="G2347" s="36">
        <f t="shared" si="147"/>
        <v>8590.7026930923748</v>
      </c>
      <c r="I2347" s="40">
        <v>10029.099609000001</v>
      </c>
      <c r="J2347" s="36">
        <v>10086.712053007624</v>
      </c>
      <c r="K2347" s="36">
        <v>8590.7026930923748</v>
      </c>
    </row>
    <row r="2348" spans="1:11" x14ac:dyDescent="0.25">
      <c r="A2348" s="39">
        <v>43987</v>
      </c>
      <c r="B2348" s="36">
        <v>10142.150390999999</v>
      </c>
      <c r="C2348" s="36">
        <f t="shared" si="144"/>
        <v>9385.8624023499979</v>
      </c>
      <c r="D2348" s="36">
        <f t="shared" si="145"/>
        <v>412.89872384451854</v>
      </c>
      <c r="E2348" s="40">
        <v>10142.150390999999</v>
      </c>
      <c r="F2348" s="36">
        <f t="shared" si="146"/>
        <v>10211.659850039036</v>
      </c>
      <c r="G2348" s="36">
        <f t="shared" si="147"/>
        <v>8560.0649546609602</v>
      </c>
      <c r="I2348" s="40">
        <v>10142.150390999999</v>
      </c>
      <c r="J2348" s="36">
        <v>10211.659850039036</v>
      </c>
      <c r="K2348" s="36">
        <v>8560.0649546609602</v>
      </c>
    </row>
    <row r="2349" spans="1:11" x14ac:dyDescent="0.25">
      <c r="A2349" s="39">
        <v>43990</v>
      </c>
      <c r="B2349" s="36">
        <v>10167.450194999999</v>
      </c>
      <c r="C2349" s="36">
        <f t="shared" si="144"/>
        <v>9431.6599120999999</v>
      </c>
      <c r="D2349" s="36">
        <f t="shared" si="145"/>
        <v>446.63064637610535</v>
      </c>
      <c r="E2349" s="40">
        <v>10167.450194999999</v>
      </c>
      <c r="F2349" s="36">
        <f t="shared" si="146"/>
        <v>10324.921204852211</v>
      </c>
      <c r="G2349" s="36">
        <f t="shared" si="147"/>
        <v>8538.3986193477886</v>
      </c>
      <c r="I2349" s="40">
        <v>10167.450194999999</v>
      </c>
      <c r="J2349" s="36">
        <v>10324.921204852211</v>
      </c>
      <c r="K2349" s="36">
        <v>8538.3986193477886</v>
      </c>
    </row>
    <row r="2350" spans="1:11" x14ac:dyDescent="0.25">
      <c r="A2350" s="39">
        <v>43991</v>
      </c>
      <c r="B2350" s="36">
        <v>10046.650390999999</v>
      </c>
      <c r="C2350" s="36">
        <f t="shared" si="144"/>
        <v>9472.0324218999995</v>
      </c>
      <c r="D2350" s="36">
        <f t="shared" si="145"/>
        <v>464.45630392426705</v>
      </c>
      <c r="E2350" s="40">
        <v>10046.650390999999</v>
      </c>
      <c r="F2350" s="36">
        <f t="shared" si="146"/>
        <v>10400.945029748533</v>
      </c>
      <c r="G2350" s="36">
        <f t="shared" si="147"/>
        <v>8543.1198140514662</v>
      </c>
      <c r="I2350" s="40">
        <v>10046.650390999999</v>
      </c>
      <c r="J2350" s="36">
        <v>10400.945029748533</v>
      </c>
      <c r="K2350" s="36">
        <v>8543.1198140514662</v>
      </c>
    </row>
    <row r="2351" spans="1:11" x14ac:dyDescent="0.25">
      <c r="A2351" s="39">
        <v>43992</v>
      </c>
      <c r="B2351" s="36">
        <v>10116.150390999999</v>
      </c>
      <c r="C2351" s="36">
        <f t="shared" si="144"/>
        <v>9518.0124512000002</v>
      </c>
      <c r="D2351" s="36">
        <f t="shared" si="145"/>
        <v>480.97420495773008</v>
      </c>
      <c r="E2351" s="40">
        <v>10116.150390999999</v>
      </c>
      <c r="F2351" s="36">
        <f t="shared" si="146"/>
        <v>10479.96086111546</v>
      </c>
      <c r="G2351" s="36">
        <f t="shared" si="147"/>
        <v>8556.0640412845405</v>
      </c>
      <c r="I2351" s="40">
        <v>10116.150390999999</v>
      </c>
      <c r="J2351" s="36">
        <v>10479.96086111546</v>
      </c>
      <c r="K2351" s="36">
        <v>8556.0640412845405</v>
      </c>
    </row>
    <row r="2352" spans="1:11" x14ac:dyDescent="0.25">
      <c r="A2352" s="39">
        <v>43993</v>
      </c>
      <c r="B2352" s="36">
        <v>9902</v>
      </c>
      <c r="C2352" s="36">
        <f t="shared" si="144"/>
        <v>9543.9349609500023</v>
      </c>
      <c r="D2352" s="36">
        <f t="shared" si="145"/>
        <v>487.27568307647385</v>
      </c>
      <c r="E2352" s="40">
        <v>9902</v>
      </c>
      <c r="F2352" s="36">
        <f t="shared" si="146"/>
        <v>10518.48632710295</v>
      </c>
      <c r="G2352" s="36">
        <f t="shared" si="147"/>
        <v>8569.3835947970547</v>
      </c>
      <c r="I2352" s="40">
        <v>9902</v>
      </c>
      <c r="J2352" s="36">
        <v>10518.48632710295</v>
      </c>
      <c r="K2352" s="36">
        <v>8569.3835947970547</v>
      </c>
    </row>
    <row r="2353" spans="1:11" x14ac:dyDescent="0.25">
      <c r="A2353" s="39">
        <v>43994</v>
      </c>
      <c r="B2353" s="36">
        <v>9972.9003909999992</v>
      </c>
      <c r="C2353" s="36">
        <f t="shared" si="144"/>
        <v>9585.4424805000017</v>
      </c>
      <c r="D2353" s="36">
        <f t="shared" si="145"/>
        <v>486.65986818510299</v>
      </c>
      <c r="E2353" s="40">
        <v>9972.9003909999992</v>
      </c>
      <c r="F2353" s="36">
        <f t="shared" si="146"/>
        <v>10558.762216870207</v>
      </c>
      <c r="G2353" s="36">
        <f t="shared" si="147"/>
        <v>8612.122744129796</v>
      </c>
      <c r="I2353" s="40">
        <v>9972.9003909999992</v>
      </c>
      <c r="J2353" s="36">
        <v>10558.762216870207</v>
      </c>
      <c r="K2353" s="36">
        <v>8612.122744129796</v>
      </c>
    </row>
    <row r="2354" spans="1:11" x14ac:dyDescent="0.25">
      <c r="A2354" s="39">
        <v>43997</v>
      </c>
      <c r="B2354" s="36">
        <v>9813.7001949999994</v>
      </c>
      <c r="C2354" s="36">
        <f t="shared" si="144"/>
        <v>9619.2850098000017</v>
      </c>
      <c r="D2354" s="36">
        <f t="shared" si="145"/>
        <v>477.26625046451113</v>
      </c>
      <c r="E2354" s="40">
        <v>9813.7001949999994</v>
      </c>
      <c r="F2354" s="36">
        <f t="shared" si="146"/>
        <v>10573.817510729024</v>
      </c>
      <c r="G2354" s="36">
        <f t="shared" si="147"/>
        <v>8664.752508870979</v>
      </c>
      <c r="I2354" s="40">
        <v>9813.7001949999994</v>
      </c>
      <c r="J2354" s="36">
        <v>10573.817510729024</v>
      </c>
      <c r="K2354" s="36">
        <v>8664.752508870979</v>
      </c>
    </row>
    <row r="2355" spans="1:11" x14ac:dyDescent="0.25">
      <c r="A2355" s="39">
        <v>43998</v>
      </c>
      <c r="B2355" s="36">
        <v>9914</v>
      </c>
      <c r="C2355" s="36">
        <f t="shared" si="144"/>
        <v>9673.8225098000003</v>
      </c>
      <c r="D2355" s="36">
        <f t="shared" si="145"/>
        <v>442.57481159525389</v>
      </c>
      <c r="E2355" s="40">
        <v>9914</v>
      </c>
      <c r="F2355" s="36">
        <f t="shared" si="146"/>
        <v>10558.972132990508</v>
      </c>
      <c r="G2355" s="36">
        <f t="shared" si="147"/>
        <v>8788.6728866094927</v>
      </c>
      <c r="I2355" s="40">
        <v>9914</v>
      </c>
      <c r="J2355" s="36">
        <v>10558.972132990508</v>
      </c>
      <c r="K2355" s="36">
        <v>8788.6728866094927</v>
      </c>
    </row>
    <row r="2356" spans="1:11" x14ac:dyDescent="0.25">
      <c r="A2356" s="39">
        <v>43999</v>
      </c>
      <c r="B2356" s="36">
        <v>9881.1503909999992</v>
      </c>
      <c r="C2356" s="36">
        <f t="shared" si="144"/>
        <v>9723.9250489000005</v>
      </c>
      <c r="D2356" s="36">
        <f t="shared" si="145"/>
        <v>402.80411107597956</v>
      </c>
      <c r="E2356" s="40">
        <v>9881.1503909999992</v>
      </c>
      <c r="F2356" s="36">
        <f t="shared" si="146"/>
        <v>10529.53327105196</v>
      </c>
      <c r="G2356" s="36">
        <f t="shared" si="147"/>
        <v>8918.3168267480414</v>
      </c>
      <c r="I2356" s="40">
        <v>9881.1503909999992</v>
      </c>
      <c r="J2356" s="36">
        <v>10529.53327105196</v>
      </c>
      <c r="K2356" s="36">
        <v>8918.3168267480414</v>
      </c>
    </row>
    <row r="2357" spans="1:11" x14ac:dyDescent="0.25">
      <c r="A2357" s="39">
        <v>44000</v>
      </c>
      <c r="B2357" s="36">
        <v>10091.650390999999</v>
      </c>
      <c r="C2357" s="36">
        <f t="shared" si="144"/>
        <v>9775.1800782000009</v>
      </c>
      <c r="D2357" s="36">
        <f t="shared" si="145"/>
        <v>379.28672957855974</v>
      </c>
      <c r="E2357" s="40">
        <v>10091.650390999999</v>
      </c>
      <c r="F2357" s="36">
        <f t="shared" si="146"/>
        <v>10533.753537357121</v>
      </c>
      <c r="G2357" s="36">
        <f t="shared" si="147"/>
        <v>9016.606619042881</v>
      </c>
      <c r="I2357" s="40">
        <v>10091.650390999999</v>
      </c>
      <c r="J2357" s="36">
        <v>10533.753537357121</v>
      </c>
      <c r="K2357" s="36">
        <v>9016.606619042881</v>
      </c>
    </row>
    <row r="2358" spans="1:11" x14ac:dyDescent="0.25">
      <c r="A2358" s="39">
        <v>44001</v>
      </c>
      <c r="B2358" s="36">
        <v>10244.400390999999</v>
      </c>
      <c r="C2358" s="36">
        <f t="shared" si="144"/>
        <v>9832.08759775</v>
      </c>
      <c r="D2358" s="36">
        <f t="shared" si="145"/>
        <v>358.44995086669542</v>
      </c>
      <c r="E2358" s="40">
        <v>10244.400390999999</v>
      </c>
      <c r="F2358" s="36">
        <f t="shared" si="146"/>
        <v>10548.987499483392</v>
      </c>
      <c r="G2358" s="36">
        <f t="shared" si="147"/>
        <v>9115.1876960166082</v>
      </c>
      <c r="I2358" s="40">
        <v>10244.400390999999</v>
      </c>
      <c r="J2358" s="36">
        <v>10548.987499483392</v>
      </c>
      <c r="K2358" s="36">
        <v>9115.1876960166082</v>
      </c>
    </row>
    <row r="2359" spans="1:11" x14ac:dyDescent="0.25">
      <c r="A2359" s="39">
        <v>44004</v>
      </c>
      <c r="B2359" s="36">
        <v>10311.200194999999</v>
      </c>
      <c r="C2359" s="36">
        <f t="shared" si="144"/>
        <v>9895.6851075000013</v>
      </c>
      <c r="D2359" s="36">
        <f t="shared" si="145"/>
        <v>321.2889777918424</v>
      </c>
      <c r="E2359" s="40">
        <v>10311.200194999999</v>
      </c>
      <c r="F2359" s="36">
        <f t="shared" si="146"/>
        <v>10538.263063083687</v>
      </c>
      <c r="G2359" s="36">
        <f t="shared" si="147"/>
        <v>9253.1071519163161</v>
      </c>
      <c r="I2359" s="40">
        <v>10311.200194999999</v>
      </c>
      <c r="J2359" s="36">
        <v>10538.263063083687</v>
      </c>
      <c r="K2359" s="36">
        <v>9253.1071519163161</v>
      </c>
    </row>
    <row r="2360" spans="1:11" x14ac:dyDescent="0.25">
      <c r="A2360" s="39">
        <v>44005</v>
      </c>
      <c r="B2360" s="36">
        <v>10471</v>
      </c>
      <c r="C2360" s="36">
        <f t="shared" si="144"/>
        <v>9967.7826172500027</v>
      </c>
      <c r="D2360" s="36">
        <f t="shared" si="145"/>
        <v>275.0382746101472</v>
      </c>
      <c r="E2360" s="40">
        <v>10471</v>
      </c>
      <c r="F2360" s="36">
        <f t="shared" si="146"/>
        <v>10517.859166470296</v>
      </c>
      <c r="G2360" s="36">
        <f t="shared" si="147"/>
        <v>9417.7060680297091</v>
      </c>
      <c r="I2360" s="40">
        <v>10471</v>
      </c>
      <c r="J2360" s="36">
        <v>10517.859166470296</v>
      </c>
      <c r="K2360" s="36">
        <v>9417.7060680297091</v>
      </c>
    </row>
    <row r="2361" spans="1:11" x14ac:dyDescent="0.25">
      <c r="A2361" s="39">
        <v>44006</v>
      </c>
      <c r="B2361" s="36">
        <v>10305.299805000001</v>
      </c>
      <c r="C2361" s="36">
        <f t="shared" si="144"/>
        <v>10017.300097750001</v>
      </c>
      <c r="D2361" s="36">
        <f t="shared" si="145"/>
        <v>237.96981901675966</v>
      </c>
      <c r="E2361" s="40">
        <v>10305.299805000001</v>
      </c>
      <c r="F2361" s="36">
        <f t="shared" si="146"/>
        <v>10493.239735783522</v>
      </c>
      <c r="G2361" s="36">
        <f t="shared" si="147"/>
        <v>9541.3604597164813</v>
      </c>
      <c r="I2361" s="40">
        <v>10305.299805000001</v>
      </c>
      <c r="J2361" s="36">
        <v>10493.239735783522</v>
      </c>
      <c r="K2361" s="36">
        <v>9541.3604597164813</v>
      </c>
    </row>
    <row r="2362" spans="1:11" x14ac:dyDescent="0.25">
      <c r="A2362" s="39">
        <v>44007</v>
      </c>
      <c r="B2362" s="36">
        <v>10288.900390999999</v>
      </c>
      <c r="C2362" s="36">
        <f t="shared" si="144"/>
        <v>10057.240136850001</v>
      </c>
      <c r="D2362" s="36">
        <f t="shared" si="145"/>
        <v>210.24863601579895</v>
      </c>
      <c r="E2362" s="40">
        <v>10288.900390999999</v>
      </c>
      <c r="F2362" s="36">
        <f t="shared" si="146"/>
        <v>10477.7374088816</v>
      </c>
      <c r="G2362" s="36">
        <f t="shared" si="147"/>
        <v>9636.7428648184032</v>
      </c>
      <c r="I2362" s="40">
        <v>10288.900390999999</v>
      </c>
      <c r="J2362" s="36">
        <v>10477.7374088816</v>
      </c>
      <c r="K2362" s="36">
        <v>9636.7428648184032</v>
      </c>
    </row>
    <row r="2363" spans="1:11" x14ac:dyDescent="0.25">
      <c r="A2363" s="39">
        <v>44008</v>
      </c>
      <c r="B2363" s="36">
        <v>10383</v>
      </c>
      <c r="C2363" s="36">
        <f t="shared" si="144"/>
        <v>10097.375146599999</v>
      </c>
      <c r="D2363" s="36">
        <f t="shared" si="145"/>
        <v>190.05765304316452</v>
      </c>
      <c r="E2363" s="40">
        <v>10383</v>
      </c>
      <c r="F2363" s="36">
        <f t="shared" si="146"/>
        <v>10477.490452686328</v>
      </c>
      <c r="G2363" s="36">
        <f t="shared" si="147"/>
        <v>9717.2598405136705</v>
      </c>
      <c r="I2363" s="40">
        <v>10383</v>
      </c>
      <c r="J2363" s="36">
        <v>10477.490452686328</v>
      </c>
      <c r="K2363" s="36">
        <v>9717.2598405136705</v>
      </c>
    </row>
    <row r="2364" spans="1:11" x14ac:dyDescent="0.25">
      <c r="A2364" s="39">
        <v>44011</v>
      </c>
      <c r="B2364" s="36">
        <v>10312.400390999999</v>
      </c>
      <c r="C2364" s="36">
        <f t="shared" si="144"/>
        <v>10121.687646599999</v>
      </c>
      <c r="D2364" s="36">
        <f t="shared" si="145"/>
        <v>184.55741549636238</v>
      </c>
      <c r="E2364" s="40">
        <v>10312.400390999999</v>
      </c>
      <c r="F2364" s="36">
        <f t="shared" si="146"/>
        <v>10490.802477592724</v>
      </c>
      <c r="G2364" s="36">
        <f t="shared" si="147"/>
        <v>9752.5728156072746</v>
      </c>
      <c r="I2364" s="40">
        <v>10312.400390999999</v>
      </c>
      <c r="J2364" s="36">
        <v>10490.802477592724</v>
      </c>
      <c r="K2364" s="36">
        <v>9752.5728156072746</v>
      </c>
    </row>
    <row r="2365" spans="1:11" x14ac:dyDescent="0.25">
      <c r="A2365" s="39">
        <v>44012</v>
      </c>
      <c r="B2365" s="36">
        <v>10302.099609000001</v>
      </c>
      <c r="C2365" s="36">
        <f t="shared" si="144"/>
        <v>10137.837646600001</v>
      </c>
      <c r="D2365" s="36">
        <f t="shared" si="145"/>
        <v>185.55294752791448</v>
      </c>
      <c r="E2365" s="40">
        <v>10302.099609000001</v>
      </c>
      <c r="F2365" s="36">
        <f t="shared" si="146"/>
        <v>10508.94354165583</v>
      </c>
      <c r="G2365" s="36">
        <f t="shared" si="147"/>
        <v>9766.7317515441719</v>
      </c>
      <c r="I2365" s="40">
        <v>10302.099609000001</v>
      </c>
      <c r="J2365" s="36">
        <v>10508.94354165583</v>
      </c>
      <c r="K2365" s="36">
        <v>9766.7317515441719</v>
      </c>
    </row>
    <row r="2366" spans="1:11" x14ac:dyDescent="0.25">
      <c r="A2366" s="39">
        <v>44013</v>
      </c>
      <c r="B2366" s="36">
        <v>10430.049805000001</v>
      </c>
      <c r="C2366" s="36">
        <f t="shared" si="144"/>
        <v>10156.2626466</v>
      </c>
      <c r="D2366" s="36">
        <f t="shared" si="145"/>
        <v>195.60251432977179</v>
      </c>
      <c r="E2366" s="40">
        <v>10430.049805000001</v>
      </c>
      <c r="F2366" s="36">
        <f t="shared" si="146"/>
        <v>10547.467675259544</v>
      </c>
      <c r="G2366" s="36">
        <f t="shared" si="147"/>
        <v>9765.0576179404561</v>
      </c>
      <c r="I2366" s="40">
        <v>10430.049805000001</v>
      </c>
      <c r="J2366" s="36">
        <v>10547.467675259544</v>
      </c>
      <c r="K2366" s="36">
        <v>9765.0576179404561</v>
      </c>
    </row>
    <row r="2367" spans="1:11" x14ac:dyDescent="0.25">
      <c r="A2367" s="39">
        <v>44014</v>
      </c>
      <c r="B2367" s="36">
        <v>10551.700194999999</v>
      </c>
      <c r="C2367" s="36">
        <f t="shared" si="144"/>
        <v>10182.392675899999</v>
      </c>
      <c r="D2367" s="36">
        <f t="shared" si="145"/>
        <v>211.94480122490305</v>
      </c>
      <c r="E2367" s="40">
        <v>10551.700194999999</v>
      </c>
      <c r="F2367" s="36">
        <f t="shared" si="146"/>
        <v>10606.282278349805</v>
      </c>
      <c r="G2367" s="36">
        <f t="shared" si="147"/>
        <v>9758.5030734501925</v>
      </c>
      <c r="I2367" s="40">
        <v>10551.700194999999</v>
      </c>
      <c r="J2367" s="36">
        <v>10606.282278349805</v>
      </c>
      <c r="K2367" s="36">
        <v>9758.5030734501925</v>
      </c>
    </row>
    <row r="2368" spans="1:11" x14ac:dyDescent="0.25">
      <c r="A2368" s="39">
        <v>44015</v>
      </c>
      <c r="B2368" s="36">
        <v>10607.349609000001</v>
      </c>
      <c r="C2368" s="36">
        <f t="shared" si="144"/>
        <v>10205.652636800001</v>
      </c>
      <c r="D2368" s="36">
        <f t="shared" si="145"/>
        <v>231.8847052936579</v>
      </c>
      <c r="E2368" s="40">
        <v>10607.349609000001</v>
      </c>
      <c r="F2368" s="36">
        <f t="shared" si="146"/>
        <v>10669.422047387317</v>
      </c>
      <c r="G2368" s="36">
        <f t="shared" si="147"/>
        <v>9741.8832262126853</v>
      </c>
      <c r="I2368" s="40">
        <v>10607.349609000001</v>
      </c>
      <c r="J2368" s="36">
        <v>10669.422047387317</v>
      </c>
      <c r="K2368" s="36">
        <v>9741.8832262126853</v>
      </c>
    </row>
    <row r="2369" spans="1:11" x14ac:dyDescent="0.25">
      <c r="A2369" s="39">
        <v>44018</v>
      </c>
      <c r="B2369" s="36">
        <v>10763.650390999999</v>
      </c>
      <c r="C2369" s="36">
        <f t="shared" si="144"/>
        <v>10235.462646600001</v>
      </c>
      <c r="D2369" s="36">
        <f t="shared" si="145"/>
        <v>262.95578454427852</v>
      </c>
      <c r="E2369" s="40">
        <v>10763.650390999999</v>
      </c>
      <c r="F2369" s="36">
        <f t="shared" si="146"/>
        <v>10761.374215688558</v>
      </c>
      <c r="G2369" s="36">
        <f t="shared" si="147"/>
        <v>9709.5510775114435</v>
      </c>
      <c r="I2369" s="40">
        <v>10763.650390999999</v>
      </c>
      <c r="J2369" s="36">
        <v>10761.374215688558</v>
      </c>
      <c r="K2369" s="36">
        <v>9709.5510775114435</v>
      </c>
    </row>
    <row r="2370" spans="1:11" x14ac:dyDescent="0.25">
      <c r="A2370" s="39">
        <v>44019</v>
      </c>
      <c r="B2370" s="36">
        <v>10799.650390999999</v>
      </c>
      <c r="C2370" s="36">
        <f t="shared" si="144"/>
        <v>10273.112646600001</v>
      </c>
      <c r="D2370" s="36">
        <f t="shared" si="145"/>
        <v>287.28094088750959</v>
      </c>
      <c r="E2370" s="40">
        <v>10799.650390999999</v>
      </c>
      <c r="F2370" s="36">
        <f t="shared" si="146"/>
        <v>10847.674528375021</v>
      </c>
      <c r="G2370" s="36">
        <f t="shared" si="147"/>
        <v>9698.5507648249804</v>
      </c>
      <c r="I2370" s="40">
        <v>10799.650390999999</v>
      </c>
      <c r="J2370" s="36">
        <v>10847.674528375021</v>
      </c>
      <c r="K2370" s="36">
        <v>9698.5507648249804</v>
      </c>
    </row>
    <row r="2371" spans="1:11" x14ac:dyDescent="0.25">
      <c r="A2371" s="39">
        <v>44020</v>
      </c>
      <c r="B2371" s="36">
        <v>10705.75</v>
      </c>
      <c r="C2371" s="36">
        <f t="shared" si="144"/>
        <v>10302.59262705</v>
      </c>
      <c r="D2371" s="36">
        <f t="shared" si="145"/>
        <v>300.28346133491863</v>
      </c>
      <c r="E2371" s="40">
        <v>10705.75</v>
      </c>
      <c r="F2371" s="36">
        <f t="shared" si="146"/>
        <v>10903.159549719838</v>
      </c>
      <c r="G2371" s="36">
        <f t="shared" si="147"/>
        <v>9702.025704380163</v>
      </c>
      <c r="I2371" s="40">
        <v>10705.75</v>
      </c>
      <c r="J2371" s="36">
        <v>10903.159549719838</v>
      </c>
      <c r="K2371" s="36">
        <v>9702.025704380163</v>
      </c>
    </row>
    <row r="2372" spans="1:11" x14ac:dyDescent="0.25">
      <c r="A2372" s="39">
        <v>44021</v>
      </c>
      <c r="B2372" s="36">
        <v>10813.450194999999</v>
      </c>
      <c r="C2372" s="36">
        <f t="shared" si="144"/>
        <v>10348.165136800002</v>
      </c>
      <c r="D2372" s="36">
        <f t="shared" si="145"/>
        <v>305.40714109985976</v>
      </c>
      <c r="E2372" s="40">
        <v>10813.450194999999</v>
      </c>
      <c r="F2372" s="36">
        <f t="shared" si="146"/>
        <v>10958.979418999721</v>
      </c>
      <c r="G2372" s="36">
        <f t="shared" si="147"/>
        <v>9737.3508546002831</v>
      </c>
      <c r="I2372" s="40">
        <v>10813.450194999999</v>
      </c>
      <c r="J2372" s="36">
        <v>10958.979418999721</v>
      </c>
      <c r="K2372" s="36">
        <v>9737.3508546002831</v>
      </c>
    </row>
    <row r="2373" spans="1:11" x14ac:dyDescent="0.25">
      <c r="A2373" s="39">
        <v>44022</v>
      </c>
      <c r="B2373" s="36">
        <v>10768.049805000001</v>
      </c>
      <c r="C2373" s="36">
        <f t="shared" si="144"/>
        <v>10387.922607500001</v>
      </c>
      <c r="D2373" s="36">
        <f t="shared" si="145"/>
        <v>305.74011069610481</v>
      </c>
      <c r="E2373" s="40">
        <v>10768.049805000001</v>
      </c>
      <c r="F2373" s="36">
        <f t="shared" si="146"/>
        <v>10999.402828892211</v>
      </c>
      <c r="G2373" s="36">
        <f t="shared" si="147"/>
        <v>9776.4423861077903</v>
      </c>
      <c r="I2373" s="40">
        <v>10768.049805000001</v>
      </c>
      <c r="J2373" s="36">
        <v>10999.402828892211</v>
      </c>
      <c r="K2373" s="36">
        <v>9776.4423861077903</v>
      </c>
    </row>
    <row r="2374" spans="1:11" x14ac:dyDescent="0.25">
      <c r="A2374" s="39">
        <v>44025</v>
      </c>
      <c r="B2374" s="36">
        <v>10802.700194999999</v>
      </c>
      <c r="C2374" s="36">
        <f t="shared" si="144"/>
        <v>10437.372607500001</v>
      </c>
      <c r="D2374" s="36">
        <f t="shared" si="145"/>
        <v>287.40822869916707</v>
      </c>
      <c r="E2374" s="40">
        <v>10802.700194999999</v>
      </c>
      <c r="F2374" s="36">
        <f t="shared" si="146"/>
        <v>11012.189064898335</v>
      </c>
      <c r="G2374" s="36">
        <f t="shared" si="147"/>
        <v>9862.5561501016673</v>
      </c>
      <c r="I2374" s="40">
        <v>10802.700194999999</v>
      </c>
      <c r="J2374" s="36">
        <v>11012.189064898335</v>
      </c>
      <c r="K2374" s="36">
        <v>9862.5561501016673</v>
      </c>
    </row>
    <row r="2375" spans="1:11" x14ac:dyDescent="0.25">
      <c r="A2375" s="39">
        <v>44026</v>
      </c>
      <c r="B2375" s="36">
        <v>10607.349609000001</v>
      </c>
      <c r="C2375" s="36">
        <f t="shared" si="144"/>
        <v>10472.040087950001</v>
      </c>
      <c r="D2375" s="36">
        <f t="shared" si="145"/>
        <v>261.61471462905752</v>
      </c>
      <c r="E2375" s="40">
        <v>10607.349609000001</v>
      </c>
      <c r="F2375" s="36">
        <f t="shared" si="146"/>
        <v>10995.269517208117</v>
      </c>
      <c r="G2375" s="36">
        <f t="shared" si="147"/>
        <v>9948.8106586918857</v>
      </c>
      <c r="I2375" s="40">
        <v>10607.349609000001</v>
      </c>
      <c r="J2375" s="36">
        <v>10995.269517208117</v>
      </c>
      <c r="K2375" s="36">
        <v>9948.8106586918857</v>
      </c>
    </row>
    <row r="2376" spans="1:11" x14ac:dyDescent="0.25">
      <c r="A2376" s="39">
        <v>44027</v>
      </c>
      <c r="B2376" s="36">
        <v>10618.200194999999</v>
      </c>
      <c r="C2376" s="36">
        <f t="shared" si="144"/>
        <v>10508.89257815</v>
      </c>
      <c r="D2376" s="36">
        <f t="shared" si="145"/>
        <v>223.07102262340754</v>
      </c>
      <c r="E2376" s="40">
        <v>10618.200194999999</v>
      </c>
      <c r="F2376" s="36">
        <f t="shared" si="146"/>
        <v>10955.034623396816</v>
      </c>
      <c r="G2376" s="36">
        <f t="shared" si="147"/>
        <v>10062.750532903185</v>
      </c>
      <c r="I2376" s="40">
        <v>10618.200194999999</v>
      </c>
      <c r="J2376" s="36">
        <v>10955.034623396816</v>
      </c>
      <c r="K2376" s="36">
        <v>10062.750532903185</v>
      </c>
    </row>
    <row r="2377" spans="1:11" x14ac:dyDescent="0.25">
      <c r="A2377" s="39">
        <v>44028</v>
      </c>
      <c r="B2377" s="36">
        <v>10739.950194999999</v>
      </c>
      <c r="C2377" s="36">
        <f t="shared" si="144"/>
        <v>10541.307568350003</v>
      </c>
      <c r="D2377" s="36">
        <f t="shared" si="145"/>
        <v>205.67410211356042</v>
      </c>
      <c r="E2377" s="40">
        <v>10739.950194999999</v>
      </c>
      <c r="F2377" s="36">
        <f t="shared" si="146"/>
        <v>10952.655772577124</v>
      </c>
      <c r="G2377" s="36">
        <f t="shared" si="147"/>
        <v>10129.959364122882</v>
      </c>
      <c r="I2377" s="40">
        <v>10739.950194999999</v>
      </c>
      <c r="J2377" s="36">
        <v>10952.655772577124</v>
      </c>
      <c r="K2377" s="36">
        <v>10129.959364122882</v>
      </c>
    </row>
    <row r="2378" spans="1:11" x14ac:dyDescent="0.25">
      <c r="A2378" s="39">
        <v>44029</v>
      </c>
      <c r="B2378" s="36">
        <v>10901.700194999999</v>
      </c>
      <c r="C2378" s="36">
        <f t="shared" si="144"/>
        <v>10574.172558550003</v>
      </c>
      <c r="D2378" s="36">
        <f t="shared" si="145"/>
        <v>208.23338514487534</v>
      </c>
      <c r="E2378" s="40">
        <v>10901.700194999999</v>
      </c>
      <c r="F2378" s="36">
        <f t="shared" si="146"/>
        <v>10990.639328839754</v>
      </c>
      <c r="G2378" s="36">
        <f t="shared" si="147"/>
        <v>10157.705788260251</v>
      </c>
      <c r="I2378" s="40">
        <v>10901.700194999999</v>
      </c>
      <c r="J2378" s="36">
        <v>10990.639328839754</v>
      </c>
      <c r="K2378" s="36">
        <v>10157.705788260251</v>
      </c>
    </row>
    <row r="2379" spans="1:11" x14ac:dyDescent="0.25">
      <c r="A2379" s="39">
        <v>44032</v>
      </c>
      <c r="B2379" s="36">
        <v>11022.200194999999</v>
      </c>
      <c r="C2379" s="36">
        <f t="shared" si="144"/>
        <v>10609.722558550002</v>
      </c>
      <c r="D2379" s="36">
        <f t="shared" si="145"/>
        <v>221.25954753362265</v>
      </c>
      <c r="E2379" s="40">
        <v>11022.200194999999</v>
      </c>
      <c r="F2379" s="36">
        <f t="shared" si="146"/>
        <v>11052.241653617248</v>
      </c>
      <c r="G2379" s="36">
        <f t="shared" si="147"/>
        <v>10167.203463482756</v>
      </c>
      <c r="I2379" s="40">
        <v>11022.200194999999</v>
      </c>
      <c r="J2379" s="36">
        <v>11052.241653617248</v>
      </c>
      <c r="K2379" s="36">
        <v>10167.203463482756</v>
      </c>
    </row>
    <row r="2380" spans="1:11" x14ac:dyDescent="0.25">
      <c r="A2380" s="39">
        <v>44033</v>
      </c>
      <c r="B2380" s="36">
        <v>11162.25</v>
      </c>
      <c r="C2380" s="36">
        <f t="shared" si="144"/>
        <v>10644.285058550002</v>
      </c>
      <c r="D2380" s="36">
        <f t="shared" si="145"/>
        <v>250.50593619403097</v>
      </c>
      <c r="E2380" s="40">
        <v>11162.25</v>
      </c>
      <c r="F2380" s="36">
        <f t="shared" si="146"/>
        <v>11145.296930938064</v>
      </c>
      <c r="G2380" s="36">
        <f t="shared" si="147"/>
        <v>10143.27318616194</v>
      </c>
      <c r="I2380" s="40">
        <v>11162.25</v>
      </c>
      <c r="J2380" s="36">
        <v>11145.296930938064</v>
      </c>
      <c r="K2380" s="36">
        <v>10143.27318616194</v>
      </c>
    </row>
    <row r="2381" spans="1:11" x14ac:dyDescent="0.25">
      <c r="A2381" s="39">
        <v>44034</v>
      </c>
      <c r="B2381" s="36">
        <v>11132.599609000001</v>
      </c>
      <c r="C2381" s="36">
        <f t="shared" si="144"/>
        <v>10685.650048750003</v>
      </c>
      <c r="D2381" s="36">
        <f t="shared" si="145"/>
        <v>259.71949515141563</v>
      </c>
      <c r="E2381" s="40">
        <v>11132.599609000001</v>
      </c>
      <c r="F2381" s="36">
        <f t="shared" si="146"/>
        <v>11205.089039052835</v>
      </c>
      <c r="G2381" s="36">
        <f t="shared" si="147"/>
        <v>10166.211058447172</v>
      </c>
      <c r="I2381" s="40">
        <v>11132.599609000001</v>
      </c>
      <c r="J2381" s="36">
        <v>11205.089039052835</v>
      </c>
      <c r="K2381" s="36">
        <v>10166.211058447172</v>
      </c>
    </row>
    <row r="2382" spans="1:11" x14ac:dyDescent="0.25">
      <c r="A2382" s="39">
        <v>44035</v>
      </c>
      <c r="B2382" s="36">
        <v>11215.450194999999</v>
      </c>
      <c r="C2382" s="36">
        <f t="shared" si="144"/>
        <v>10731.977538950003</v>
      </c>
      <c r="D2382" s="36">
        <f t="shared" si="145"/>
        <v>267.73742873329167</v>
      </c>
      <c r="E2382" s="40">
        <v>11215.450194999999</v>
      </c>
      <c r="F2382" s="36">
        <f t="shared" si="146"/>
        <v>11267.452396416586</v>
      </c>
      <c r="G2382" s="36">
        <f t="shared" si="147"/>
        <v>10196.50268148342</v>
      </c>
      <c r="I2382" s="40">
        <v>11215.450194999999</v>
      </c>
      <c r="J2382" s="36">
        <v>11267.452396416586</v>
      </c>
      <c r="K2382" s="36">
        <v>10196.50268148342</v>
      </c>
    </row>
    <row r="2383" spans="1:11" x14ac:dyDescent="0.25">
      <c r="A2383" s="39">
        <v>44036</v>
      </c>
      <c r="B2383" s="36">
        <v>11194.150390999999</v>
      </c>
      <c r="C2383" s="36">
        <f t="shared" si="144"/>
        <v>10772.535058500001</v>
      </c>
      <c r="D2383" s="36">
        <f t="shared" si="145"/>
        <v>273.46735192312048</v>
      </c>
      <c r="E2383" s="40">
        <v>11194.150390999999</v>
      </c>
      <c r="F2383" s="36">
        <f t="shared" si="146"/>
        <v>11319.469762346242</v>
      </c>
      <c r="G2383" s="36">
        <f t="shared" si="147"/>
        <v>10225.600354653761</v>
      </c>
      <c r="I2383" s="40">
        <v>11194.150390999999</v>
      </c>
      <c r="J2383" s="36">
        <v>11319.469762346242</v>
      </c>
      <c r="K2383" s="36">
        <v>10225.600354653761</v>
      </c>
    </row>
    <row r="2384" spans="1:11" x14ac:dyDescent="0.25">
      <c r="A2384" s="39">
        <v>44039</v>
      </c>
      <c r="B2384" s="36">
        <v>11131.799805000001</v>
      </c>
      <c r="C2384" s="36">
        <f t="shared" si="144"/>
        <v>10813.505029200001</v>
      </c>
      <c r="D2384" s="36">
        <f t="shared" si="145"/>
        <v>262.04458586562282</v>
      </c>
      <c r="E2384" s="40">
        <v>11131.799805000001</v>
      </c>
      <c r="F2384" s="36">
        <f t="shared" si="146"/>
        <v>11337.594200931248</v>
      </c>
      <c r="G2384" s="36">
        <f t="shared" si="147"/>
        <v>10289.415857468755</v>
      </c>
      <c r="I2384" s="40">
        <v>11131.799805000001</v>
      </c>
      <c r="J2384" s="36">
        <v>11337.594200931248</v>
      </c>
      <c r="K2384" s="36">
        <v>10289.415857468755</v>
      </c>
    </row>
    <row r="2385" spans="1:11" x14ac:dyDescent="0.25">
      <c r="A2385" s="39">
        <v>44040</v>
      </c>
      <c r="B2385" s="36">
        <v>11300.549805000001</v>
      </c>
      <c r="C2385" s="36">
        <f t="shared" si="144"/>
        <v>10863.427539</v>
      </c>
      <c r="D2385" s="36">
        <f t="shared" si="145"/>
        <v>254.48729725073997</v>
      </c>
      <c r="E2385" s="40">
        <v>11300.549805000001</v>
      </c>
      <c r="F2385" s="36">
        <f t="shared" si="146"/>
        <v>11372.40213350148</v>
      </c>
      <c r="G2385" s="36">
        <f t="shared" si="147"/>
        <v>10354.45294449852</v>
      </c>
      <c r="I2385" s="40">
        <v>11300.549805000001</v>
      </c>
      <c r="J2385" s="36">
        <v>11372.40213350148</v>
      </c>
      <c r="K2385" s="36">
        <v>10354.45294449852</v>
      </c>
    </row>
    <row r="2386" spans="1:11" x14ac:dyDescent="0.25">
      <c r="A2386" s="39">
        <v>44041</v>
      </c>
      <c r="B2386" s="36">
        <v>11202.849609000001</v>
      </c>
      <c r="C2386" s="36">
        <f t="shared" si="144"/>
        <v>10902.067529199998</v>
      </c>
      <c r="D2386" s="36">
        <f t="shared" si="145"/>
        <v>243.6608956381726</v>
      </c>
      <c r="E2386" s="40">
        <v>11202.849609000001</v>
      </c>
      <c r="F2386" s="36">
        <f t="shared" si="146"/>
        <v>11389.389320476343</v>
      </c>
      <c r="G2386" s="36">
        <f t="shared" si="147"/>
        <v>10414.745737923653</v>
      </c>
      <c r="I2386" s="40">
        <v>11202.849609000001</v>
      </c>
      <c r="J2386" s="36">
        <v>11389.389320476343</v>
      </c>
      <c r="K2386" s="36">
        <v>10414.745737923653</v>
      </c>
    </row>
    <row r="2387" spans="1:11" x14ac:dyDescent="0.25">
      <c r="A2387" s="39">
        <v>44042</v>
      </c>
      <c r="B2387" s="36">
        <v>11102.150390999999</v>
      </c>
      <c r="C2387" s="36">
        <f t="shared" si="144"/>
        <v>10929.590038999999</v>
      </c>
      <c r="D2387" s="36">
        <f t="shared" si="145"/>
        <v>232.85054174169017</v>
      </c>
      <c r="E2387" s="40">
        <v>11102.150390999999</v>
      </c>
      <c r="F2387" s="36">
        <f t="shared" si="146"/>
        <v>11395.291122483379</v>
      </c>
      <c r="G2387" s="36">
        <f t="shared" si="147"/>
        <v>10463.888955516619</v>
      </c>
      <c r="I2387" s="40">
        <v>11102.150390999999</v>
      </c>
      <c r="J2387" s="36">
        <v>11395.291122483379</v>
      </c>
      <c r="K2387" s="36">
        <v>10463.888955516619</v>
      </c>
    </row>
    <row r="2388" spans="1:11" x14ac:dyDescent="0.25">
      <c r="A2388" s="39">
        <v>44043</v>
      </c>
      <c r="B2388" s="36">
        <v>11073.450194999999</v>
      </c>
      <c r="C2388" s="36">
        <f t="shared" si="144"/>
        <v>10952.8950683</v>
      </c>
      <c r="D2388" s="36">
        <f t="shared" si="145"/>
        <v>221.9723172572908</v>
      </c>
      <c r="E2388" s="40">
        <v>11073.450194999999</v>
      </c>
      <c r="F2388" s="36">
        <f t="shared" si="146"/>
        <v>11396.839702814581</v>
      </c>
      <c r="G2388" s="36">
        <f t="shared" si="147"/>
        <v>10508.95043378542</v>
      </c>
      <c r="I2388" s="40">
        <v>11073.450194999999</v>
      </c>
      <c r="J2388" s="36">
        <v>11396.839702814581</v>
      </c>
      <c r="K2388" s="36">
        <v>10508.95043378542</v>
      </c>
    </row>
    <row r="2389" spans="1:11" x14ac:dyDescent="0.25">
      <c r="A2389" s="39">
        <v>44046</v>
      </c>
      <c r="B2389" s="36">
        <v>10891.599609000001</v>
      </c>
      <c r="C2389" s="36">
        <f t="shared" si="144"/>
        <v>10959.292529199998</v>
      </c>
      <c r="D2389" s="36">
        <f t="shared" si="145"/>
        <v>218.04001543269794</v>
      </c>
      <c r="E2389" s="40">
        <v>10891.599609000001</v>
      </c>
      <c r="F2389" s="36">
        <f t="shared" si="146"/>
        <v>11395.372560065394</v>
      </c>
      <c r="G2389" s="36">
        <f t="shared" si="147"/>
        <v>10523.212498334602</v>
      </c>
      <c r="I2389" s="40">
        <v>10891.599609000001</v>
      </c>
      <c r="J2389" s="36">
        <v>11395.372560065394</v>
      </c>
      <c r="K2389" s="36">
        <v>10523.212498334602</v>
      </c>
    </row>
    <row r="2390" spans="1:11" x14ac:dyDescent="0.25">
      <c r="A2390" s="39">
        <v>44047</v>
      </c>
      <c r="B2390" s="36">
        <v>11095.25</v>
      </c>
      <c r="C2390" s="36">
        <f t="shared" ref="C2390:C2453" si="148">AVERAGE(B2371:B2390)</f>
        <v>10974.072509649999</v>
      </c>
      <c r="D2390" s="36">
        <f t="shared" ref="D2390:D2453" si="149">_xlfn.STDEV.S(B2371:B2390)</f>
        <v>216.66337987558742</v>
      </c>
      <c r="E2390" s="40">
        <v>11095.25</v>
      </c>
      <c r="F2390" s="36">
        <f t="shared" ref="F2390:F2453" si="150">C2390+2*D2390</f>
        <v>11407.399269401174</v>
      </c>
      <c r="G2390" s="36">
        <f t="shared" ref="G2390:G2453" si="151">C2390-2*D2390</f>
        <v>10540.745749898824</v>
      </c>
      <c r="I2390" s="40">
        <v>11095.25</v>
      </c>
      <c r="J2390" s="36">
        <v>11407.399269401174</v>
      </c>
      <c r="K2390" s="36">
        <v>10540.745749898824</v>
      </c>
    </row>
    <row r="2391" spans="1:11" x14ac:dyDescent="0.25">
      <c r="A2391" s="39">
        <v>44048</v>
      </c>
      <c r="B2391" s="36">
        <v>11101.650390999999</v>
      </c>
      <c r="C2391" s="36">
        <f t="shared" si="148"/>
        <v>10993.867529199999</v>
      </c>
      <c r="D2391" s="36">
        <f t="shared" si="149"/>
        <v>208.80104784576906</v>
      </c>
      <c r="E2391" s="40">
        <v>11101.650390999999</v>
      </c>
      <c r="F2391" s="36">
        <f t="shared" si="150"/>
        <v>11411.469624891537</v>
      </c>
      <c r="G2391" s="36">
        <f t="shared" si="151"/>
        <v>10576.265433508461</v>
      </c>
      <c r="I2391" s="40">
        <v>11101.650390999999</v>
      </c>
      <c r="J2391" s="36">
        <v>11411.469624891537</v>
      </c>
      <c r="K2391" s="36">
        <v>10576.265433508461</v>
      </c>
    </row>
    <row r="2392" spans="1:11" x14ac:dyDescent="0.25">
      <c r="A2392" s="39">
        <v>44049</v>
      </c>
      <c r="B2392" s="36">
        <v>11200.150390999999</v>
      </c>
      <c r="C2392" s="36">
        <f t="shared" si="148"/>
        <v>11013.202539</v>
      </c>
      <c r="D2392" s="36">
        <f t="shared" si="149"/>
        <v>209.11908299258994</v>
      </c>
      <c r="E2392" s="40">
        <v>11200.150390999999</v>
      </c>
      <c r="F2392" s="36">
        <f t="shared" si="150"/>
        <v>11431.44070498518</v>
      </c>
      <c r="G2392" s="36">
        <f t="shared" si="151"/>
        <v>10594.96437301482</v>
      </c>
      <c r="I2392" s="40">
        <v>11200.150390999999</v>
      </c>
      <c r="J2392" s="36">
        <v>11431.44070498518</v>
      </c>
      <c r="K2392" s="36">
        <v>10594.96437301482</v>
      </c>
    </row>
    <row r="2393" spans="1:11" x14ac:dyDescent="0.25">
      <c r="A2393" s="39">
        <v>44050</v>
      </c>
      <c r="B2393" s="36">
        <v>11214.049805000001</v>
      </c>
      <c r="C2393" s="36">
        <f t="shared" si="148"/>
        <v>11035.502538999999</v>
      </c>
      <c r="D2393" s="36">
        <f t="shared" si="149"/>
        <v>205.34681674945787</v>
      </c>
      <c r="E2393" s="40">
        <v>11214.049805000001</v>
      </c>
      <c r="F2393" s="36">
        <f t="shared" si="150"/>
        <v>11446.196172498914</v>
      </c>
      <c r="G2393" s="36">
        <f t="shared" si="151"/>
        <v>10624.808905501084</v>
      </c>
      <c r="I2393" s="40">
        <v>11214.049805000001</v>
      </c>
      <c r="J2393" s="36">
        <v>11446.196172498914</v>
      </c>
      <c r="K2393" s="36">
        <v>10624.808905501084</v>
      </c>
    </row>
    <row r="2394" spans="1:11" x14ac:dyDescent="0.25">
      <c r="A2394" s="39">
        <v>44053</v>
      </c>
      <c r="B2394" s="36">
        <v>11270.150390999999</v>
      </c>
      <c r="C2394" s="36">
        <f t="shared" si="148"/>
        <v>11058.875048800001</v>
      </c>
      <c r="D2394" s="36">
        <f t="shared" si="149"/>
        <v>204.05316472131142</v>
      </c>
      <c r="E2394" s="40">
        <v>11270.150390999999</v>
      </c>
      <c r="F2394" s="36">
        <f t="shared" si="150"/>
        <v>11466.981378242623</v>
      </c>
      <c r="G2394" s="36">
        <f t="shared" si="151"/>
        <v>10650.768719357378</v>
      </c>
      <c r="I2394" s="40">
        <v>11270.150390999999</v>
      </c>
      <c r="J2394" s="36">
        <v>11466.981378242623</v>
      </c>
      <c r="K2394" s="36">
        <v>10650.768719357378</v>
      </c>
    </row>
    <row r="2395" spans="1:11" x14ac:dyDescent="0.25">
      <c r="A2395" s="39">
        <v>44054</v>
      </c>
      <c r="B2395" s="36">
        <v>11322.5</v>
      </c>
      <c r="C2395" s="36">
        <f t="shared" si="148"/>
        <v>11094.63256835</v>
      </c>
      <c r="D2395" s="36">
        <f t="shared" si="149"/>
        <v>182.26167923650723</v>
      </c>
      <c r="E2395" s="40">
        <v>11322.5</v>
      </c>
      <c r="F2395" s="36">
        <f t="shared" si="150"/>
        <v>11459.155926823014</v>
      </c>
      <c r="G2395" s="36">
        <f t="shared" si="151"/>
        <v>10730.109209876986</v>
      </c>
      <c r="I2395" s="40">
        <v>11322.5</v>
      </c>
      <c r="J2395" s="36">
        <v>11459.155926823014</v>
      </c>
      <c r="K2395" s="36">
        <v>10730.109209876986</v>
      </c>
    </row>
    <row r="2396" spans="1:11" x14ac:dyDescent="0.25">
      <c r="A2396" s="39">
        <v>44055</v>
      </c>
      <c r="B2396" s="36">
        <v>11308.400390999999</v>
      </c>
      <c r="C2396" s="36">
        <f t="shared" si="148"/>
        <v>11129.14257815</v>
      </c>
      <c r="D2396" s="36">
        <f t="shared" si="149"/>
        <v>149.74665179295383</v>
      </c>
      <c r="E2396" s="40">
        <v>11308.400390999999</v>
      </c>
      <c r="F2396" s="36">
        <f t="shared" si="150"/>
        <v>11428.635881735909</v>
      </c>
      <c r="G2396" s="36">
        <f t="shared" si="151"/>
        <v>10829.649274564092</v>
      </c>
      <c r="I2396" s="40">
        <v>11308.400390999999</v>
      </c>
      <c r="J2396" s="36">
        <v>11428.635881735909</v>
      </c>
      <c r="K2396" s="36">
        <v>10829.649274564092</v>
      </c>
    </row>
    <row r="2397" spans="1:11" x14ac:dyDescent="0.25">
      <c r="A2397" s="39">
        <v>44056</v>
      </c>
      <c r="B2397" s="36">
        <v>11300.450194999999</v>
      </c>
      <c r="C2397" s="36">
        <f t="shared" si="148"/>
        <v>11157.16757815</v>
      </c>
      <c r="D2397" s="36">
        <f t="shared" si="149"/>
        <v>123.16542378991819</v>
      </c>
      <c r="E2397" s="40">
        <v>11300.450194999999</v>
      </c>
      <c r="F2397" s="36">
        <f t="shared" si="150"/>
        <v>11403.498425729837</v>
      </c>
      <c r="G2397" s="36">
        <f t="shared" si="151"/>
        <v>10910.836730570163</v>
      </c>
      <c r="I2397" s="40">
        <v>11300.450194999999</v>
      </c>
      <c r="J2397" s="36">
        <v>11403.498425729837</v>
      </c>
      <c r="K2397" s="36">
        <v>10910.836730570163</v>
      </c>
    </row>
    <row r="2398" spans="1:11" x14ac:dyDescent="0.25">
      <c r="A2398" s="39">
        <v>44057</v>
      </c>
      <c r="B2398" s="36">
        <v>11178.400390999999</v>
      </c>
      <c r="C2398" s="36">
        <f t="shared" si="148"/>
        <v>11171.002587950001</v>
      </c>
      <c r="D2398" s="36">
        <f t="shared" si="149"/>
        <v>107.50368642255576</v>
      </c>
      <c r="E2398" s="40">
        <v>11178.400390999999</v>
      </c>
      <c r="F2398" s="36">
        <f t="shared" si="150"/>
        <v>11386.009960795112</v>
      </c>
      <c r="G2398" s="36">
        <f t="shared" si="151"/>
        <v>10955.995215104889</v>
      </c>
      <c r="I2398" s="40">
        <v>11178.400390999999</v>
      </c>
      <c r="J2398" s="36">
        <v>11386.009960795112</v>
      </c>
      <c r="K2398" s="36">
        <v>10955.995215104889</v>
      </c>
    </row>
    <row r="2399" spans="1:11" x14ac:dyDescent="0.25">
      <c r="A2399" s="39">
        <v>44060</v>
      </c>
      <c r="B2399" s="36">
        <v>11247.099609000001</v>
      </c>
      <c r="C2399" s="36">
        <f t="shared" si="148"/>
        <v>11182.24755865</v>
      </c>
      <c r="D2399" s="36">
        <f t="shared" si="149"/>
        <v>102.77810191672911</v>
      </c>
      <c r="E2399" s="40">
        <v>11247.099609000001</v>
      </c>
      <c r="F2399" s="36">
        <f t="shared" si="150"/>
        <v>11387.803762483458</v>
      </c>
      <c r="G2399" s="36">
        <f t="shared" si="151"/>
        <v>10976.691354816543</v>
      </c>
      <c r="I2399" s="40">
        <v>11247.099609000001</v>
      </c>
      <c r="J2399" s="36">
        <v>11387.803762483458</v>
      </c>
      <c r="K2399" s="36">
        <v>10976.691354816543</v>
      </c>
    </row>
    <row r="2400" spans="1:11" x14ac:dyDescent="0.25">
      <c r="A2400" s="39">
        <v>44061</v>
      </c>
      <c r="B2400" s="36">
        <v>11385.349609000001</v>
      </c>
      <c r="C2400" s="36">
        <f t="shared" si="148"/>
        <v>11193.4025391</v>
      </c>
      <c r="D2400" s="36">
        <f t="shared" si="149"/>
        <v>112.17122606137318</v>
      </c>
      <c r="E2400" s="40">
        <v>11385.349609000001</v>
      </c>
      <c r="F2400" s="36">
        <f t="shared" si="150"/>
        <v>11417.744991222746</v>
      </c>
      <c r="G2400" s="36">
        <f t="shared" si="151"/>
        <v>10969.060086977253</v>
      </c>
      <c r="I2400" s="40">
        <v>11385.349609000001</v>
      </c>
      <c r="J2400" s="36">
        <v>11417.744991222746</v>
      </c>
      <c r="K2400" s="36">
        <v>10969.060086977253</v>
      </c>
    </row>
    <row r="2401" spans="1:11" x14ac:dyDescent="0.25">
      <c r="A2401" s="39">
        <v>44062</v>
      </c>
      <c r="B2401" s="36">
        <v>11408.400390999999</v>
      </c>
      <c r="C2401" s="36">
        <f t="shared" si="148"/>
        <v>11207.1925782</v>
      </c>
      <c r="D2401" s="36">
        <f t="shared" si="149"/>
        <v>120.9151663491044</v>
      </c>
      <c r="E2401" s="40">
        <v>11408.400390999999</v>
      </c>
      <c r="F2401" s="36">
        <f t="shared" si="150"/>
        <v>11449.022910898209</v>
      </c>
      <c r="G2401" s="36">
        <f t="shared" si="151"/>
        <v>10965.36224550179</v>
      </c>
      <c r="I2401" s="40">
        <v>11408.400390999999</v>
      </c>
      <c r="J2401" s="36">
        <v>11449.022910898209</v>
      </c>
      <c r="K2401" s="36">
        <v>10965.36224550179</v>
      </c>
    </row>
    <row r="2402" spans="1:11" x14ac:dyDescent="0.25">
      <c r="A2402" s="39">
        <v>44063</v>
      </c>
      <c r="B2402" s="36">
        <v>11312.200194999999</v>
      </c>
      <c r="C2402" s="36">
        <f t="shared" si="148"/>
        <v>11212.030078200001</v>
      </c>
      <c r="D2402" s="36">
        <f t="shared" si="149"/>
        <v>123.17711997838083</v>
      </c>
      <c r="E2402" s="40">
        <v>11312.200194999999</v>
      </c>
      <c r="F2402" s="36">
        <f t="shared" si="150"/>
        <v>11458.384318156763</v>
      </c>
      <c r="G2402" s="36">
        <f t="shared" si="151"/>
        <v>10965.67583824324</v>
      </c>
      <c r="I2402" s="40">
        <v>11312.200194999999</v>
      </c>
      <c r="J2402" s="36">
        <v>11458.384318156763</v>
      </c>
      <c r="K2402" s="36">
        <v>10965.67583824324</v>
      </c>
    </row>
    <row r="2403" spans="1:11" x14ac:dyDescent="0.25">
      <c r="A2403" s="39">
        <v>44064</v>
      </c>
      <c r="B2403" s="36">
        <v>11371.599609000001</v>
      </c>
      <c r="C2403" s="36">
        <f t="shared" si="148"/>
        <v>11220.902539100001</v>
      </c>
      <c r="D2403" s="36">
        <f t="shared" si="149"/>
        <v>128.11339457768244</v>
      </c>
      <c r="E2403" s="40">
        <v>11371.599609000001</v>
      </c>
      <c r="F2403" s="36">
        <f t="shared" si="150"/>
        <v>11477.129328255367</v>
      </c>
      <c r="G2403" s="36">
        <f t="shared" si="151"/>
        <v>10964.675749944636</v>
      </c>
      <c r="I2403" s="40">
        <v>11371.599609000001</v>
      </c>
      <c r="J2403" s="36">
        <v>11477.129328255367</v>
      </c>
      <c r="K2403" s="36">
        <v>10964.675749944636</v>
      </c>
    </row>
    <row r="2404" spans="1:11" x14ac:dyDescent="0.25">
      <c r="A2404" s="39">
        <v>44067</v>
      </c>
      <c r="B2404" s="36">
        <v>11466.450194999999</v>
      </c>
      <c r="C2404" s="36">
        <f t="shared" si="148"/>
        <v>11237.635058600001</v>
      </c>
      <c r="D2404" s="36">
        <f t="shared" si="149"/>
        <v>137.38202698883407</v>
      </c>
      <c r="E2404" s="40">
        <v>11466.450194999999</v>
      </c>
      <c r="F2404" s="36">
        <f t="shared" si="150"/>
        <v>11512.399112577668</v>
      </c>
      <c r="G2404" s="36">
        <f t="shared" si="151"/>
        <v>10962.871004622333</v>
      </c>
      <c r="I2404" s="40">
        <v>11466.450194999999</v>
      </c>
      <c r="J2404" s="36">
        <v>11512.399112577668</v>
      </c>
      <c r="K2404" s="36">
        <v>10962.871004622333</v>
      </c>
    </row>
    <row r="2405" spans="1:11" x14ac:dyDescent="0.25">
      <c r="A2405" s="39">
        <v>44068</v>
      </c>
      <c r="B2405" s="36">
        <v>11472.25</v>
      </c>
      <c r="C2405" s="36">
        <f t="shared" si="148"/>
        <v>11246.220068350001</v>
      </c>
      <c r="D2405" s="36">
        <f t="shared" si="149"/>
        <v>146.57752807896418</v>
      </c>
      <c r="E2405" s="40">
        <v>11472.25</v>
      </c>
      <c r="F2405" s="36">
        <f t="shared" si="150"/>
        <v>11539.375124507929</v>
      </c>
      <c r="G2405" s="36">
        <f t="shared" si="151"/>
        <v>10953.065012192073</v>
      </c>
      <c r="I2405" s="40">
        <v>11472.25</v>
      </c>
      <c r="J2405" s="36">
        <v>11539.375124507929</v>
      </c>
      <c r="K2405" s="36">
        <v>10953.065012192073</v>
      </c>
    </row>
    <row r="2406" spans="1:11" x14ac:dyDescent="0.25">
      <c r="A2406" s="39">
        <v>44069</v>
      </c>
      <c r="B2406" s="36">
        <v>11549.599609000001</v>
      </c>
      <c r="C2406" s="36">
        <f t="shared" si="148"/>
        <v>11263.557568350001</v>
      </c>
      <c r="D2406" s="36">
        <f t="shared" si="149"/>
        <v>160.97741486452244</v>
      </c>
      <c r="E2406" s="40">
        <v>11549.599609000001</v>
      </c>
      <c r="F2406" s="36">
        <f t="shared" si="150"/>
        <v>11585.512398079047</v>
      </c>
      <c r="G2406" s="36">
        <f t="shared" si="151"/>
        <v>10941.602738620955</v>
      </c>
      <c r="I2406" s="40">
        <v>11549.599609000001</v>
      </c>
      <c r="J2406" s="36">
        <v>11585.512398079047</v>
      </c>
      <c r="K2406" s="36">
        <v>10941.602738620955</v>
      </c>
    </row>
    <row r="2407" spans="1:11" x14ac:dyDescent="0.25">
      <c r="A2407" s="39">
        <v>44070</v>
      </c>
      <c r="B2407" s="36">
        <v>11559.25</v>
      </c>
      <c r="C2407" s="36">
        <f t="shared" si="148"/>
        <v>11286.412548800003</v>
      </c>
      <c r="D2407" s="36">
        <f t="shared" si="149"/>
        <v>169.0990940310669</v>
      </c>
      <c r="E2407" s="40">
        <v>11559.25</v>
      </c>
      <c r="F2407" s="36">
        <f t="shared" si="150"/>
        <v>11624.610736862136</v>
      </c>
      <c r="G2407" s="36">
        <f t="shared" si="151"/>
        <v>10948.214360737869</v>
      </c>
      <c r="I2407" s="40">
        <v>11559.25</v>
      </c>
      <c r="J2407" s="36">
        <v>11624.610736862136</v>
      </c>
      <c r="K2407" s="36">
        <v>10948.214360737869</v>
      </c>
    </row>
    <row r="2408" spans="1:11" x14ac:dyDescent="0.25">
      <c r="A2408" s="39">
        <v>44071</v>
      </c>
      <c r="B2408" s="36">
        <v>11647.599609000001</v>
      </c>
      <c r="C2408" s="36">
        <f t="shared" si="148"/>
        <v>11315.120019500002</v>
      </c>
      <c r="D2408" s="36">
        <f t="shared" si="149"/>
        <v>179.46064211239653</v>
      </c>
      <c r="E2408" s="40">
        <v>11647.599609000001</v>
      </c>
      <c r="F2408" s="36">
        <f t="shared" si="150"/>
        <v>11674.041303724794</v>
      </c>
      <c r="G2408" s="36">
        <f t="shared" si="151"/>
        <v>10956.198735275209</v>
      </c>
      <c r="I2408" s="40">
        <v>11647.599609000001</v>
      </c>
      <c r="J2408" s="36">
        <v>11674.041303724794</v>
      </c>
      <c r="K2408" s="36">
        <v>10956.198735275209</v>
      </c>
    </row>
    <row r="2409" spans="1:11" x14ac:dyDescent="0.25">
      <c r="A2409" s="39">
        <v>44074</v>
      </c>
      <c r="B2409" s="36">
        <v>11387.5</v>
      </c>
      <c r="C2409" s="36">
        <f t="shared" si="148"/>
        <v>11339.91503905</v>
      </c>
      <c r="D2409" s="36">
        <f t="shared" si="149"/>
        <v>149.64691476199195</v>
      </c>
      <c r="E2409" s="40">
        <v>11387.5</v>
      </c>
      <c r="F2409" s="36">
        <f t="shared" si="150"/>
        <v>11639.208868573984</v>
      </c>
      <c r="G2409" s="36">
        <f t="shared" si="151"/>
        <v>11040.621209526016</v>
      </c>
      <c r="I2409" s="40">
        <v>11387.5</v>
      </c>
      <c r="J2409" s="36">
        <v>11639.208868573984</v>
      </c>
      <c r="K2409" s="36">
        <v>11040.621209526016</v>
      </c>
    </row>
    <row r="2410" spans="1:11" x14ac:dyDescent="0.25">
      <c r="A2410" s="39">
        <v>44075</v>
      </c>
      <c r="B2410" s="36">
        <v>11470.25</v>
      </c>
      <c r="C2410" s="36">
        <f t="shared" si="148"/>
        <v>11358.66503905</v>
      </c>
      <c r="D2410" s="36">
        <f t="shared" si="149"/>
        <v>140.59736344955797</v>
      </c>
      <c r="E2410" s="40">
        <v>11470.25</v>
      </c>
      <c r="F2410" s="36">
        <f t="shared" si="150"/>
        <v>11639.859765949115</v>
      </c>
      <c r="G2410" s="36">
        <f t="shared" si="151"/>
        <v>11077.470312150885</v>
      </c>
      <c r="I2410" s="40">
        <v>11470.25</v>
      </c>
      <c r="J2410" s="36">
        <v>11639.859765949115</v>
      </c>
      <c r="K2410" s="36">
        <v>11077.470312150885</v>
      </c>
    </row>
    <row r="2411" spans="1:11" x14ac:dyDescent="0.25">
      <c r="A2411" s="39">
        <v>44076</v>
      </c>
      <c r="B2411" s="36">
        <v>11535</v>
      </c>
      <c r="C2411" s="36">
        <f t="shared" si="148"/>
        <v>11380.3325195</v>
      </c>
      <c r="D2411" s="36">
        <f t="shared" si="149"/>
        <v>132.03521231500977</v>
      </c>
      <c r="E2411" s="40">
        <v>11535</v>
      </c>
      <c r="F2411" s="36">
        <f t="shared" si="150"/>
        <v>11644.402944130019</v>
      </c>
      <c r="G2411" s="36">
        <f t="shared" si="151"/>
        <v>11116.262094869981</v>
      </c>
      <c r="I2411" s="40">
        <v>11535</v>
      </c>
      <c r="J2411" s="36">
        <v>11644.402944130019</v>
      </c>
      <c r="K2411" s="36">
        <v>11116.262094869981</v>
      </c>
    </row>
    <row r="2412" spans="1:11" x14ac:dyDescent="0.25">
      <c r="A2412" s="39">
        <v>44077</v>
      </c>
      <c r="B2412" s="36">
        <v>11527.450194999999</v>
      </c>
      <c r="C2412" s="36">
        <f t="shared" si="148"/>
        <v>11396.6975097</v>
      </c>
      <c r="D2412" s="36">
        <f t="shared" si="149"/>
        <v>128.77037937007239</v>
      </c>
      <c r="E2412" s="40">
        <v>11527.450194999999</v>
      </c>
      <c r="F2412" s="36">
        <f t="shared" si="150"/>
        <v>11654.238268440144</v>
      </c>
      <c r="G2412" s="36">
        <f t="shared" si="151"/>
        <v>11139.156750959855</v>
      </c>
      <c r="I2412" s="40">
        <v>11527.450194999999</v>
      </c>
      <c r="J2412" s="36">
        <v>11654.238268440144</v>
      </c>
      <c r="K2412" s="36">
        <v>11139.156750959855</v>
      </c>
    </row>
    <row r="2413" spans="1:11" x14ac:dyDescent="0.25">
      <c r="A2413" s="39">
        <v>44078</v>
      </c>
      <c r="B2413" s="36">
        <v>11333.849609000001</v>
      </c>
      <c r="C2413" s="36">
        <f t="shared" si="148"/>
        <v>11402.687499899999</v>
      </c>
      <c r="D2413" s="36">
        <f t="shared" si="149"/>
        <v>122.45868828591517</v>
      </c>
      <c r="E2413" s="40">
        <v>11333.849609000001</v>
      </c>
      <c r="F2413" s="36">
        <f t="shared" si="150"/>
        <v>11647.604876471829</v>
      </c>
      <c r="G2413" s="36">
        <f t="shared" si="151"/>
        <v>11157.77012332817</v>
      </c>
      <c r="I2413" s="40">
        <v>11333.849609000001</v>
      </c>
      <c r="J2413" s="36">
        <v>11647.604876471829</v>
      </c>
      <c r="K2413" s="36">
        <v>11157.77012332817</v>
      </c>
    </row>
    <row r="2414" spans="1:11" x14ac:dyDescent="0.25">
      <c r="A2414" s="39">
        <v>44081</v>
      </c>
      <c r="B2414" s="36">
        <v>11355.049805000001</v>
      </c>
      <c r="C2414" s="36">
        <f t="shared" si="148"/>
        <v>11406.932470600001</v>
      </c>
      <c r="D2414" s="36">
        <f t="shared" si="149"/>
        <v>119.04650696977065</v>
      </c>
      <c r="E2414" s="40">
        <v>11355.049805000001</v>
      </c>
      <c r="F2414" s="36">
        <f t="shared" si="150"/>
        <v>11645.025484539541</v>
      </c>
      <c r="G2414" s="36">
        <f t="shared" si="151"/>
        <v>11168.83945666046</v>
      </c>
      <c r="I2414" s="40">
        <v>11355.049805000001</v>
      </c>
      <c r="J2414" s="36">
        <v>11645.025484539541</v>
      </c>
      <c r="K2414" s="36">
        <v>11168.83945666046</v>
      </c>
    </row>
    <row r="2415" spans="1:11" x14ac:dyDescent="0.25">
      <c r="A2415" s="39">
        <v>44082</v>
      </c>
      <c r="B2415" s="36">
        <v>11317.349609000001</v>
      </c>
      <c r="C2415" s="36">
        <f t="shared" si="148"/>
        <v>11406.674951049998</v>
      </c>
      <c r="D2415" s="36">
        <f t="shared" si="149"/>
        <v>119.24416929071505</v>
      </c>
      <c r="E2415" s="40">
        <v>11317.349609000001</v>
      </c>
      <c r="F2415" s="36">
        <f t="shared" si="150"/>
        <v>11645.163289631428</v>
      </c>
      <c r="G2415" s="36">
        <f t="shared" si="151"/>
        <v>11168.186612468568</v>
      </c>
      <c r="I2415" s="40">
        <v>11317.349609000001</v>
      </c>
      <c r="J2415" s="36">
        <v>11645.163289631428</v>
      </c>
      <c r="K2415" s="36">
        <v>11168.186612468568</v>
      </c>
    </row>
    <row r="2416" spans="1:11" x14ac:dyDescent="0.25">
      <c r="A2416" s="39">
        <v>44083</v>
      </c>
      <c r="B2416" s="36">
        <v>11278</v>
      </c>
      <c r="C2416" s="36">
        <f t="shared" si="148"/>
        <v>11405.154931499999</v>
      </c>
      <c r="D2416" s="36">
        <f t="shared" si="149"/>
        <v>120.74710653019534</v>
      </c>
      <c r="E2416" s="40">
        <v>11278</v>
      </c>
      <c r="F2416" s="36">
        <f t="shared" si="150"/>
        <v>11646.64914456039</v>
      </c>
      <c r="G2416" s="36">
        <f t="shared" si="151"/>
        <v>11163.660718439609</v>
      </c>
      <c r="I2416" s="40">
        <v>11278</v>
      </c>
      <c r="J2416" s="36">
        <v>11646.64914456039</v>
      </c>
      <c r="K2416" s="36">
        <v>11163.660718439609</v>
      </c>
    </row>
    <row r="2417" spans="1:11" x14ac:dyDescent="0.25">
      <c r="A2417" s="39">
        <v>44084</v>
      </c>
      <c r="B2417" s="36">
        <v>11449.25</v>
      </c>
      <c r="C2417" s="36">
        <f t="shared" si="148"/>
        <v>11412.594921749998</v>
      </c>
      <c r="D2417" s="36">
        <f t="shared" si="149"/>
        <v>118.51973744019351</v>
      </c>
      <c r="E2417" s="40">
        <v>11449.25</v>
      </c>
      <c r="F2417" s="36">
        <f t="shared" si="150"/>
        <v>11649.634396630385</v>
      </c>
      <c r="G2417" s="36">
        <f t="shared" si="151"/>
        <v>11175.555446869612</v>
      </c>
      <c r="I2417" s="40">
        <v>11449.25</v>
      </c>
      <c r="J2417" s="36">
        <v>11649.634396630385</v>
      </c>
      <c r="K2417" s="36">
        <v>11175.555446869612</v>
      </c>
    </row>
    <row r="2418" spans="1:11" x14ac:dyDescent="0.25">
      <c r="A2418" s="39">
        <v>44085</v>
      </c>
      <c r="B2418" s="36">
        <v>11464.450194999999</v>
      </c>
      <c r="C2418" s="36">
        <f t="shared" si="148"/>
        <v>11426.89741195</v>
      </c>
      <c r="D2418" s="36">
        <f t="shared" si="149"/>
        <v>105.29215038147625</v>
      </c>
      <c r="E2418" s="40">
        <v>11464.450194999999</v>
      </c>
      <c r="F2418" s="36">
        <f t="shared" si="150"/>
        <v>11637.481712712952</v>
      </c>
      <c r="G2418" s="36">
        <f t="shared" si="151"/>
        <v>11216.313111187048</v>
      </c>
      <c r="I2418" s="40">
        <v>11464.450194999999</v>
      </c>
      <c r="J2418" s="36">
        <v>11637.481712712952</v>
      </c>
      <c r="K2418" s="36">
        <v>11216.313111187048</v>
      </c>
    </row>
    <row r="2419" spans="1:11" x14ac:dyDescent="0.25">
      <c r="A2419" s="39">
        <v>44088</v>
      </c>
      <c r="B2419" s="36">
        <v>11440.049805000001</v>
      </c>
      <c r="C2419" s="36">
        <f t="shared" si="148"/>
        <v>11436.544921749999</v>
      </c>
      <c r="D2419" s="36">
        <f t="shared" si="149"/>
        <v>96.416461877252431</v>
      </c>
      <c r="E2419" s="40">
        <v>11440.049805000001</v>
      </c>
      <c r="F2419" s="36">
        <f t="shared" si="150"/>
        <v>11629.377845504503</v>
      </c>
      <c r="G2419" s="36">
        <f t="shared" si="151"/>
        <v>11243.711997995495</v>
      </c>
      <c r="I2419" s="40">
        <v>11440.049805000001</v>
      </c>
      <c r="J2419" s="36">
        <v>11629.377845504503</v>
      </c>
      <c r="K2419" s="36">
        <v>11243.711997995495</v>
      </c>
    </row>
    <row r="2420" spans="1:11" x14ac:dyDescent="0.25">
      <c r="A2420" s="39">
        <v>44089</v>
      </c>
      <c r="B2420" s="36">
        <v>11521.799805000001</v>
      </c>
      <c r="C2420" s="36">
        <f t="shared" si="148"/>
        <v>11443.367431549999</v>
      </c>
      <c r="D2420" s="36">
        <f t="shared" si="149"/>
        <v>97.425558780079768</v>
      </c>
      <c r="E2420" s="40">
        <v>11521.799805000001</v>
      </c>
      <c r="F2420" s="36">
        <f t="shared" si="150"/>
        <v>11638.218549110159</v>
      </c>
      <c r="G2420" s="36">
        <f t="shared" si="151"/>
        <v>11248.51631398984</v>
      </c>
      <c r="I2420" s="40">
        <v>11521.799805000001</v>
      </c>
      <c r="J2420" s="36">
        <v>11638.218549110159</v>
      </c>
      <c r="K2420" s="36">
        <v>11248.51631398984</v>
      </c>
    </row>
    <row r="2421" spans="1:11" x14ac:dyDescent="0.25">
      <c r="A2421" s="39">
        <v>44090</v>
      </c>
      <c r="B2421" s="36">
        <v>11604.549805000001</v>
      </c>
      <c r="C2421" s="36">
        <f t="shared" si="148"/>
        <v>11453.174902249997</v>
      </c>
      <c r="D2421" s="36">
        <f t="shared" si="149"/>
        <v>103.40935123248045</v>
      </c>
      <c r="E2421" s="40">
        <v>11604.549805000001</v>
      </c>
      <c r="F2421" s="36">
        <f t="shared" si="150"/>
        <v>11659.993604714959</v>
      </c>
      <c r="G2421" s="36">
        <f t="shared" si="151"/>
        <v>11246.356199785036</v>
      </c>
      <c r="I2421" s="40">
        <v>11604.549805000001</v>
      </c>
      <c r="J2421" s="36">
        <v>11659.993604714959</v>
      </c>
      <c r="K2421" s="36">
        <v>11246.356199785036</v>
      </c>
    </row>
    <row r="2422" spans="1:11" x14ac:dyDescent="0.25">
      <c r="A2422" s="39">
        <v>44091</v>
      </c>
      <c r="B2422" s="36">
        <v>11516.099609000001</v>
      </c>
      <c r="C2422" s="36">
        <f t="shared" si="148"/>
        <v>11463.369872949999</v>
      </c>
      <c r="D2422" s="36">
        <f t="shared" si="149"/>
        <v>98.724306879522501</v>
      </c>
      <c r="E2422" s="40">
        <v>11516.099609000001</v>
      </c>
      <c r="F2422" s="36">
        <f t="shared" si="150"/>
        <v>11660.818486709044</v>
      </c>
      <c r="G2422" s="36">
        <f t="shared" si="151"/>
        <v>11265.921259190955</v>
      </c>
      <c r="I2422" s="40">
        <v>11516.099609000001</v>
      </c>
      <c r="J2422" s="36">
        <v>11660.818486709044</v>
      </c>
      <c r="K2422" s="36">
        <v>11265.921259190955</v>
      </c>
    </row>
    <row r="2423" spans="1:11" x14ac:dyDescent="0.25">
      <c r="A2423" s="39">
        <v>44092</v>
      </c>
      <c r="B2423" s="36">
        <v>11504.950194999999</v>
      </c>
      <c r="C2423" s="36">
        <f t="shared" si="148"/>
        <v>11470.03740225</v>
      </c>
      <c r="D2423" s="36">
        <f t="shared" si="149"/>
        <v>96.682145933820436</v>
      </c>
      <c r="E2423" s="40">
        <v>11504.950194999999</v>
      </c>
      <c r="F2423" s="36">
        <f t="shared" si="150"/>
        <v>11663.401694117641</v>
      </c>
      <c r="G2423" s="36">
        <f t="shared" si="151"/>
        <v>11276.673110382359</v>
      </c>
      <c r="I2423" s="40">
        <v>11504.950194999999</v>
      </c>
      <c r="J2423" s="36">
        <v>11663.401694117641</v>
      </c>
      <c r="K2423" s="36">
        <v>11276.673110382359</v>
      </c>
    </row>
    <row r="2424" spans="1:11" x14ac:dyDescent="0.25">
      <c r="A2424" s="39">
        <v>44095</v>
      </c>
      <c r="B2424" s="36">
        <v>11250.549805000001</v>
      </c>
      <c r="C2424" s="36">
        <f t="shared" si="148"/>
        <v>11459.242382749999</v>
      </c>
      <c r="D2424" s="36">
        <f t="shared" si="149"/>
        <v>108.44173741925309</v>
      </c>
      <c r="E2424" s="40">
        <v>11250.549805000001</v>
      </c>
      <c r="F2424" s="36">
        <f t="shared" si="150"/>
        <v>11676.125857588506</v>
      </c>
      <c r="G2424" s="36">
        <f t="shared" si="151"/>
        <v>11242.358907911492</v>
      </c>
      <c r="I2424" s="40">
        <v>11250.549805000001</v>
      </c>
      <c r="J2424" s="36">
        <v>11676.125857588506</v>
      </c>
      <c r="K2424" s="36">
        <v>11242.358907911492</v>
      </c>
    </row>
    <row r="2425" spans="1:11" x14ac:dyDescent="0.25">
      <c r="A2425" s="39">
        <v>44096</v>
      </c>
      <c r="B2425" s="36">
        <v>11153.650390999999</v>
      </c>
      <c r="C2425" s="36">
        <f t="shared" si="148"/>
        <v>11443.312402299998</v>
      </c>
      <c r="D2425" s="36">
        <f t="shared" si="149"/>
        <v>128.05726096844765</v>
      </c>
      <c r="E2425" s="40">
        <v>11153.650390999999</v>
      </c>
      <c r="F2425" s="36">
        <f t="shared" si="150"/>
        <v>11699.426924236894</v>
      </c>
      <c r="G2425" s="36">
        <f t="shared" si="151"/>
        <v>11187.197880363103</v>
      </c>
      <c r="I2425" s="40">
        <v>11153.650390999999</v>
      </c>
      <c r="J2425" s="36">
        <v>11699.426924236894</v>
      </c>
      <c r="K2425" s="36">
        <v>11187.197880363103</v>
      </c>
    </row>
    <row r="2426" spans="1:11" x14ac:dyDescent="0.25">
      <c r="A2426" s="39">
        <v>44097</v>
      </c>
      <c r="B2426" s="36">
        <v>11131.849609000001</v>
      </c>
      <c r="C2426" s="36">
        <f t="shared" si="148"/>
        <v>11422.424902299997</v>
      </c>
      <c r="D2426" s="36">
        <f t="shared" si="149"/>
        <v>143.00550740686998</v>
      </c>
      <c r="E2426" s="40">
        <v>11131.849609000001</v>
      </c>
      <c r="F2426" s="36">
        <f t="shared" si="150"/>
        <v>11708.435917113737</v>
      </c>
      <c r="G2426" s="36">
        <f t="shared" si="151"/>
        <v>11136.413887486258</v>
      </c>
      <c r="I2426" s="40">
        <v>11131.849609000001</v>
      </c>
      <c r="J2426" s="36">
        <v>11708.435917113737</v>
      </c>
      <c r="K2426" s="36">
        <v>11136.413887486258</v>
      </c>
    </row>
    <row r="2427" spans="1:11" x14ac:dyDescent="0.25">
      <c r="A2427" s="39">
        <v>44098</v>
      </c>
      <c r="B2427" s="36">
        <v>10805.549805000001</v>
      </c>
      <c r="C2427" s="36">
        <f t="shared" si="148"/>
        <v>11384.739892549998</v>
      </c>
      <c r="D2427" s="36">
        <f t="shared" si="149"/>
        <v>194.93204037579599</v>
      </c>
      <c r="E2427" s="40">
        <v>10805.549805000001</v>
      </c>
      <c r="F2427" s="36">
        <f t="shared" si="150"/>
        <v>11774.60397330159</v>
      </c>
      <c r="G2427" s="36">
        <f t="shared" si="151"/>
        <v>10994.875811798407</v>
      </c>
      <c r="I2427" s="40">
        <v>10805.549805000001</v>
      </c>
      <c r="J2427" s="36">
        <v>11774.60397330159</v>
      </c>
      <c r="K2427" s="36">
        <v>10994.875811798407</v>
      </c>
    </row>
    <row r="2428" spans="1:11" x14ac:dyDescent="0.25">
      <c r="A2428" s="39">
        <v>44099</v>
      </c>
      <c r="B2428" s="36">
        <v>11050.25</v>
      </c>
      <c r="C2428" s="36">
        <f t="shared" si="148"/>
        <v>11354.872412099998</v>
      </c>
      <c r="D2428" s="36">
        <f t="shared" si="149"/>
        <v>198.27127042642488</v>
      </c>
      <c r="E2428" s="40">
        <v>11050.25</v>
      </c>
      <c r="F2428" s="36">
        <f t="shared" si="150"/>
        <v>11751.414952952848</v>
      </c>
      <c r="G2428" s="36">
        <f t="shared" si="151"/>
        <v>10958.329871247148</v>
      </c>
      <c r="I2428" s="40">
        <v>11050.25</v>
      </c>
      <c r="J2428" s="36">
        <v>11751.414952952848</v>
      </c>
      <c r="K2428" s="36">
        <v>10958.329871247148</v>
      </c>
    </row>
    <row r="2429" spans="1:11" x14ac:dyDescent="0.25">
      <c r="A2429" s="39">
        <v>44102</v>
      </c>
      <c r="B2429" s="36">
        <v>11227.549805000001</v>
      </c>
      <c r="C2429" s="36">
        <f t="shared" si="148"/>
        <v>11346.874902349999</v>
      </c>
      <c r="D2429" s="36">
        <f t="shared" si="149"/>
        <v>200.10335755569756</v>
      </c>
      <c r="E2429" s="40">
        <v>11227.549805000001</v>
      </c>
      <c r="F2429" s="36">
        <f t="shared" si="150"/>
        <v>11747.081617461394</v>
      </c>
      <c r="G2429" s="36">
        <f t="shared" si="151"/>
        <v>10946.668187238603</v>
      </c>
      <c r="I2429" s="40">
        <v>11227.549805000001</v>
      </c>
      <c r="J2429" s="36">
        <v>11747.081617461394</v>
      </c>
      <c r="K2429" s="36">
        <v>10946.668187238603</v>
      </c>
    </row>
    <row r="2430" spans="1:11" x14ac:dyDescent="0.25">
      <c r="A2430" s="39">
        <v>44103</v>
      </c>
      <c r="B2430" s="36">
        <v>11222.400390999999</v>
      </c>
      <c r="C2430" s="36">
        <f t="shared" si="148"/>
        <v>11334.482421899998</v>
      </c>
      <c r="D2430" s="36">
        <f t="shared" si="149"/>
        <v>199.73492146735055</v>
      </c>
      <c r="E2430" s="40">
        <v>11222.400390999999</v>
      </c>
      <c r="F2430" s="36">
        <f t="shared" si="150"/>
        <v>11733.952264834699</v>
      </c>
      <c r="G2430" s="36">
        <f t="shared" si="151"/>
        <v>10935.012578965298</v>
      </c>
      <c r="I2430" s="40">
        <v>11222.400390999999</v>
      </c>
      <c r="J2430" s="36">
        <v>11733.952264834699</v>
      </c>
      <c r="K2430" s="36">
        <v>10935.012578965298</v>
      </c>
    </row>
    <row r="2431" spans="1:11" x14ac:dyDescent="0.25">
      <c r="A2431" s="39">
        <v>44104</v>
      </c>
      <c r="B2431" s="36">
        <v>11247.549805000001</v>
      </c>
      <c r="C2431" s="36">
        <f t="shared" si="148"/>
        <v>11320.109912149997</v>
      </c>
      <c r="D2431" s="36">
        <f t="shared" si="149"/>
        <v>194.82858028770357</v>
      </c>
      <c r="E2431" s="40">
        <v>11247.549805000001</v>
      </c>
      <c r="F2431" s="36">
        <f t="shared" si="150"/>
        <v>11709.767072725404</v>
      </c>
      <c r="G2431" s="36">
        <f t="shared" si="151"/>
        <v>10930.45275157459</v>
      </c>
      <c r="I2431" s="40">
        <v>11247.549805000001</v>
      </c>
      <c r="J2431" s="36">
        <v>11709.767072725404</v>
      </c>
      <c r="K2431" s="36">
        <v>10930.45275157459</v>
      </c>
    </row>
    <row r="2432" spans="1:11" x14ac:dyDescent="0.25">
      <c r="A2432" s="39">
        <v>44105</v>
      </c>
      <c r="B2432" s="36">
        <v>11416.950194999999</v>
      </c>
      <c r="C2432" s="36">
        <f t="shared" si="148"/>
        <v>11314.584912149998</v>
      </c>
      <c r="D2432" s="36">
        <f t="shared" si="149"/>
        <v>190.14992329207678</v>
      </c>
      <c r="E2432" s="40">
        <v>11416.950194999999</v>
      </c>
      <c r="F2432" s="36">
        <f t="shared" si="150"/>
        <v>11694.884758734152</v>
      </c>
      <c r="G2432" s="36">
        <f t="shared" si="151"/>
        <v>10934.285065565844</v>
      </c>
      <c r="I2432" s="40">
        <v>11416.950194999999</v>
      </c>
      <c r="J2432" s="36">
        <v>11694.884758734152</v>
      </c>
      <c r="K2432" s="36">
        <v>10934.285065565844</v>
      </c>
    </row>
    <row r="2433" spans="1:11" x14ac:dyDescent="0.25">
      <c r="A2433" s="39">
        <v>44109</v>
      </c>
      <c r="B2433" s="36">
        <v>11503.349609000001</v>
      </c>
      <c r="C2433" s="36">
        <f t="shared" si="148"/>
        <v>11323.059912149998</v>
      </c>
      <c r="D2433" s="36">
        <f t="shared" si="149"/>
        <v>194.7748150481556</v>
      </c>
      <c r="E2433" s="40">
        <v>11503.349609000001</v>
      </c>
      <c r="F2433" s="36">
        <f t="shared" si="150"/>
        <v>11712.60954224631</v>
      </c>
      <c r="G2433" s="36">
        <f t="shared" si="151"/>
        <v>10933.510282053687</v>
      </c>
      <c r="I2433" s="40">
        <v>11503.349609000001</v>
      </c>
      <c r="J2433" s="36">
        <v>11712.60954224631</v>
      </c>
      <c r="K2433" s="36">
        <v>10933.510282053687</v>
      </c>
    </row>
    <row r="2434" spans="1:11" x14ac:dyDescent="0.25">
      <c r="A2434" s="39">
        <v>44110</v>
      </c>
      <c r="B2434" s="36">
        <v>11662.400390999999</v>
      </c>
      <c r="C2434" s="36">
        <f t="shared" si="148"/>
        <v>11338.42744145</v>
      </c>
      <c r="D2434" s="36">
        <f t="shared" si="149"/>
        <v>209.03446343526156</v>
      </c>
      <c r="E2434" s="40">
        <v>11662.400390999999</v>
      </c>
      <c r="F2434" s="36">
        <f t="shared" si="150"/>
        <v>11756.496368320522</v>
      </c>
      <c r="G2434" s="36">
        <f t="shared" si="151"/>
        <v>10920.358514579477</v>
      </c>
      <c r="I2434" s="40">
        <v>11662.400390999999</v>
      </c>
      <c r="J2434" s="36">
        <v>11756.496368320522</v>
      </c>
      <c r="K2434" s="36">
        <v>10920.358514579477</v>
      </c>
    </row>
    <row r="2435" spans="1:11" x14ac:dyDescent="0.25">
      <c r="A2435" s="39">
        <v>44111</v>
      </c>
      <c r="B2435" s="36">
        <v>11738.849609000001</v>
      </c>
      <c r="C2435" s="36">
        <f t="shared" si="148"/>
        <v>11359.502441449999</v>
      </c>
      <c r="D2435" s="36">
        <f t="shared" si="149"/>
        <v>227.25168703147025</v>
      </c>
      <c r="E2435" s="40">
        <v>11738.849609000001</v>
      </c>
      <c r="F2435" s="36">
        <f t="shared" si="150"/>
        <v>11814.005815512939</v>
      </c>
      <c r="G2435" s="36">
        <f t="shared" si="151"/>
        <v>10904.999067387058</v>
      </c>
      <c r="I2435" s="40">
        <v>11738.849609000001</v>
      </c>
      <c r="J2435" s="36">
        <v>11814.005815512939</v>
      </c>
      <c r="K2435" s="36">
        <v>10904.999067387058</v>
      </c>
    </row>
    <row r="2436" spans="1:11" x14ac:dyDescent="0.25">
      <c r="A2436" s="39">
        <v>44112</v>
      </c>
      <c r="B2436" s="36">
        <v>11834.599609000001</v>
      </c>
      <c r="C2436" s="36">
        <f t="shared" si="148"/>
        <v>11387.332421900001</v>
      </c>
      <c r="D2436" s="36">
        <f t="shared" si="149"/>
        <v>249.71644659800083</v>
      </c>
      <c r="E2436" s="40">
        <v>11834.599609000001</v>
      </c>
      <c r="F2436" s="36">
        <f t="shared" si="150"/>
        <v>11886.765315096001</v>
      </c>
      <c r="G2436" s="36">
        <f t="shared" si="151"/>
        <v>10887.899528704</v>
      </c>
      <c r="I2436" s="40">
        <v>11834.599609000001</v>
      </c>
      <c r="J2436" s="36">
        <v>11886.765315096001</v>
      </c>
      <c r="K2436" s="36">
        <v>10887.899528704</v>
      </c>
    </row>
    <row r="2437" spans="1:11" x14ac:dyDescent="0.25">
      <c r="A2437" s="39">
        <v>44113</v>
      </c>
      <c r="B2437" s="36">
        <v>11914.200194999999</v>
      </c>
      <c r="C2437" s="36">
        <f t="shared" si="148"/>
        <v>11410.579931650002</v>
      </c>
      <c r="D2437" s="36">
        <f t="shared" si="149"/>
        <v>276.03915626050014</v>
      </c>
      <c r="E2437" s="40">
        <v>11914.200194999999</v>
      </c>
      <c r="F2437" s="36">
        <f t="shared" si="150"/>
        <v>11962.658244171002</v>
      </c>
      <c r="G2437" s="36">
        <f t="shared" si="151"/>
        <v>10858.501619129001</v>
      </c>
      <c r="I2437" s="40">
        <v>11914.200194999999</v>
      </c>
      <c r="J2437" s="36">
        <v>11962.658244171002</v>
      </c>
      <c r="K2437" s="36">
        <v>10858.501619129001</v>
      </c>
    </row>
    <row r="2438" spans="1:11" x14ac:dyDescent="0.25">
      <c r="A2438" s="39">
        <v>44116</v>
      </c>
      <c r="B2438" s="36">
        <v>11930.950194999999</v>
      </c>
      <c r="C2438" s="36">
        <f t="shared" si="148"/>
        <v>11433.90493165</v>
      </c>
      <c r="D2438" s="36">
        <f t="shared" si="149"/>
        <v>299.53971647712365</v>
      </c>
      <c r="E2438" s="40">
        <v>11930.950194999999</v>
      </c>
      <c r="F2438" s="36">
        <f t="shared" si="150"/>
        <v>12032.984364604248</v>
      </c>
      <c r="G2438" s="36">
        <f t="shared" si="151"/>
        <v>10834.825498695753</v>
      </c>
      <c r="I2438" s="40">
        <v>11930.950194999999</v>
      </c>
      <c r="J2438" s="36">
        <v>12032.984364604248</v>
      </c>
      <c r="K2438" s="36">
        <v>10834.825498695753</v>
      </c>
    </row>
    <row r="2439" spans="1:11" x14ac:dyDescent="0.25">
      <c r="A2439" s="39">
        <v>44117</v>
      </c>
      <c r="B2439" s="36">
        <v>11934.5</v>
      </c>
      <c r="C2439" s="36">
        <f t="shared" si="148"/>
        <v>11458.627441400002</v>
      </c>
      <c r="D2439" s="36">
        <f t="shared" si="149"/>
        <v>319.79355235409651</v>
      </c>
      <c r="E2439" s="40">
        <v>11934.5</v>
      </c>
      <c r="F2439" s="36">
        <f t="shared" si="150"/>
        <v>12098.214546108195</v>
      </c>
      <c r="G2439" s="36">
        <f t="shared" si="151"/>
        <v>10819.040336691809</v>
      </c>
      <c r="I2439" s="40">
        <v>11934.5</v>
      </c>
      <c r="J2439" s="36">
        <v>12098.214546108195</v>
      </c>
      <c r="K2439" s="36">
        <v>10819.040336691809</v>
      </c>
    </row>
    <row r="2440" spans="1:11" x14ac:dyDescent="0.25">
      <c r="A2440" s="39">
        <v>44118</v>
      </c>
      <c r="B2440" s="36">
        <v>11971.049805000001</v>
      </c>
      <c r="C2440" s="36">
        <f t="shared" si="148"/>
        <v>11481.089941400001</v>
      </c>
      <c r="D2440" s="36">
        <f t="shared" si="149"/>
        <v>339.62712211818996</v>
      </c>
      <c r="E2440" s="40">
        <v>11971.049805000001</v>
      </c>
      <c r="F2440" s="36">
        <f t="shared" si="150"/>
        <v>12160.344185636381</v>
      </c>
      <c r="G2440" s="36">
        <f t="shared" si="151"/>
        <v>10801.835697163622</v>
      </c>
      <c r="I2440" s="40">
        <v>11971.049805000001</v>
      </c>
      <c r="J2440" s="36">
        <v>12160.344185636381</v>
      </c>
      <c r="K2440" s="36">
        <v>10801.835697163622</v>
      </c>
    </row>
    <row r="2441" spans="1:11" x14ac:dyDescent="0.25">
      <c r="A2441" s="39">
        <v>44119</v>
      </c>
      <c r="B2441" s="36">
        <v>11680.349609000001</v>
      </c>
      <c r="C2441" s="36">
        <f t="shared" si="148"/>
        <v>11484.8799316</v>
      </c>
      <c r="D2441" s="36">
        <f t="shared" si="149"/>
        <v>341.49515340515558</v>
      </c>
      <c r="E2441" s="40">
        <v>11680.349609000001</v>
      </c>
      <c r="F2441" s="36">
        <f t="shared" si="150"/>
        <v>12167.870238410311</v>
      </c>
      <c r="G2441" s="36">
        <f t="shared" si="151"/>
        <v>10801.88962478969</v>
      </c>
      <c r="I2441" s="40">
        <v>11680.349609000001</v>
      </c>
      <c r="J2441" s="36">
        <v>12167.870238410311</v>
      </c>
      <c r="K2441" s="36">
        <v>10801.88962478969</v>
      </c>
    </row>
    <row r="2442" spans="1:11" x14ac:dyDescent="0.25">
      <c r="A2442" s="39">
        <v>44120</v>
      </c>
      <c r="B2442" s="36">
        <v>11762.450194999999</v>
      </c>
      <c r="C2442" s="36">
        <f t="shared" si="148"/>
        <v>11497.197460900001</v>
      </c>
      <c r="D2442" s="36">
        <f t="shared" si="149"/>
        <v>347.07772589912554</v>
      </c>
      <c r="E2442" s="40">
        <v>11762.450194999999</v>
      </c>
      <c r="F2442" s="36">
        <f t="shared" si="150"/>
        <v>12191.352912698252</v>
      </c>
      <c r="G2442" s="36">
        <f t="shared" si="151"/>
        <v>10803.042009101749</v>
      </c>
      <c r="I2442" s="40">
        <v>11762.450194999999</v>
      </c>
      <c r="J2442" s="36">
        <v>12191.352912698252</v>
      </c>
      <c r="K2442" s="36">
        <v>10803.042009101749</v>
      </c>
    </row>
    <row r="2443" spans="1:11" x14ac:dyDescent="0.25">
      <c r="A2443" s="39">
        <v>44123</v>
      </c>
      <c r="B2443" s="36">
        <v>11873.049805000001</v>
      </c>
      <c r="C2443" s="36">
        <f t="shared" si="148"/>
        <v>11515.602441400002</v>
      </c>
      <c r="D2443" s="36">
        <f t="shared" si="149"/>
        <v>357.12492448104092</v>
      </c>
      <c r="E2443" s="40">
        <v>11873.049805000001</v>
      </c>
      <c r="F2443" s="36">
        <f t="shared" si="150"/>
        <v>12229.852290362083</v>
      </c>
      <c r="G2443" s="36">
        <f t="shared" si="151"/>
        <v>10801.352592437921</v>
      </c>
      <c r="I2443" s="40">
        <v>11873.049805000001</v>
      </c>
      <c r="J2443" s="36">
        <v>12229.852290362083</v>
      </c>
      <c r="K2443" s="36">
        <v>10801.352592437921</v>
      </c>
    </row>
    <row r="2444" spans="1:11" x14ac:dyDescent="0.25">
      <c r="A2444" s="39">
        <v>44124</v>
      </c>
      <c r="B2444" s="36">
        <v>11896.799805000001</v>
      </c>
      <c r="C2444" s="36">
        <f t="shared" si="148"/>
        <v>11547.9149414</v>
      </c>
      <c r="D2444" s="36">
        <f t="shared" si="149"/>
        <v>361.09501584210523</v>
      </c>
      <c r="E2444" s="40">
        <v>11896.799805000001</v>
      </c>
      <c r="F2444" s="36">
        <f t="shared" si="150"/>
        <v>12270.104973084211</v>
      </c>
      <c r="G2444" s="36">
        <f t="shared" si="151"/>
        <v>10825.724909715789</v>
      </c>
      <c r="I2444" s="40">
        <v>11896.799805000001</v>
      </c>
      <c r="J2444" s="36">
        <v>12270.104973084211</v>
      </c>
      <c r="K2444" s="36">
        <v>10825.724909715789</v>
      </c>
    </row>
    <row r="2445" spans="1:11" x14ac:dyDescent="0.25">
      <c r="A2445" s="39">
        <v>44125</v>
      </c>
      <c r="B2445" s="36">
        <v>11937.650390999999</v>
      </c>
      <c r="C2445" s="36">
        <f t="shared" si="148"/>
        <v>11587.114941399999</v>
      </c>
      <c r="D2445" s="36">
        <f t="shared" si="149"/>
        <v>358.58779911634599</v>
      </c>
      <c r="E2445" s="40">
        <v>11937.650390999999</v>
      </c>
      <c r="F2445" s="36">
        <f t="shared" si="150"/>
        <v>12304.290539632691</v>
      </c>
      <c r="G2445" s="36">
        <f t="shared" si="151"/>
        <v>10869.939343167307</v>
      </c>
      <c r="I2445" s="40">
        <v>11937.650390999999</v>
      </c>
      <c r="J2445" s="36">
        <v>12304.290539632691</v>
      </c>
      <c r="K2445" s="36">
        <v>10869.939343167307</v>
      </c>
    </row>
    <row r="2446" spans="1:11" x14ac:dyDescent="0.25">
      <c r="A2446" s="39">
        <v>44126</v>
      </c>
      <c r="B2446" s="36">
        <v>11896.450194999999</v>
      </c>
      <c r="C2446" s="36">
        <f t="shared" si="148"/>
        <v>11625.3449707</v>
      </c>
      <c r="D2446" s="36">
        <f t="shared" si="149"/>
        <v>348.10086690467284</v>
      </c>
      <c r="E2446" s="40">
        <v>11896.450194999999</v>
      </c>
      <c r="F2446" s="36">
        <f t="shared" si="150"/>
        <v>12321.546704509346</v>
      </c>
      <c r="G2446" s="36">
        <f t="shared" si="151"/>
        <v>10929.143236890653</v>
      </c>
      <c r="I2446" s="40">
        <v>11896.450194999999</v>
      </c>
      <c r="J2446" s="36">
        <v>12321.546704509346</v>
      </c>
      <c r="K2446" s="36">
        <v>10929.143236890653</v>
      </c>
    </row>
    <row r="2447" spans="1:11" x14ac:dyDescent="0.25">
      <c r="A2447" s="39">
        <v>44127</v>
      </c>
      <c r="B2447" s="36">
        <v>11930.349609000001</v>
      </c>
      <c r="C2447" s="36">
        <f t="shared" si="148"/>
        <v>11681.5849609</v>
      </c>
      <c r="D2447" s="36">
        <f t="shared" si="149"/>
        <v>295.58283574743541</v>
      </c>
      <c r="E2447" s="40">
        <v>11930.349609000001</v>
      </c>
      <c r="F2447" s="36">
        <f t="shared" si="150"/>
        <v>12272.750632394871</v>
      </c>
      <c r="G2447" s="36">
        <f t="shared" si="151"/>
        <v>11090.419289405128</v>
      </c>
      <c r="I2447" s="40">
        <v>11930.349609000001</v>
      </c>
      <c r="J2447" s="36">
        <v>12272.750632394871</v>
      </c>
      <c r="K2447" s="36">
        <v>11090.419289405128</v>
      </c>
    </row>
    <row r="2448" spans="1:11" x14ac:dyDescent="0.25">
      <c r="A2448" s="39">
        <v>44130</v>
      </c>
      <c r="B2448" s="36">
        <v>11767.75</v>
      </c>
      <c r="C2448" s="36">
        <f t="shared" si="148"/>
        <v>11717.4599609</v>
      </c>
      <c r="D2448" s="36">
        <f t="shared" si="149"/>
        <v>255.78725860102367</v>
      </c>
      <c r="E2448" s="40">
        <v>11767.75</v>
      </c>
      <c r="F2448" s="36">
        <f t="shared" si="150"/>
        <v>12229.034478102047</v>
      </c>
      <c r="G2448" s="36">
        <f t="shared" si="151"/>
        <v>11205.885443697953</v>
      </c>
      <c r="I2448" s="40">
        <v>11767.75</v>
      </c>
      <c r="J2448" s="36">
        <v>12229.034478102047</v>
      </c>
      <c r="K2448" s="36">
        <v>11205.885443697953</v>
      </c>
    </row>
    <row r="2449" spans="1:11" x14ac:dyDescent="0.25">
      <c r="A2449" s="39">
        <v>44131</v>
      </c>
      <c r="B2449" s="36">
        <v>11889.400390999999</v>
      </c>
      <c r="C2449" s="36">
        <f t="shared" si="148"/>
        <v>11750.5524902</v>
      </c>
      <c r="D2449" s="36">
        <f t="shared" si="149"/>
        <v>230.64720751210365</v>
      </c>
      <c r="E2449" s="40">
        <v>11889.400390999999</v>
      </c>
      <c r="F2449" s="36">
        <f t="shared" si="150"/>
        <v>12211.846905224207</v>
      </c>
      <c r="G2449" s="36">
        <f t="shared" si="151"/>
        <v>11289.258075175792</v>
      </c>
      <c r="I2449" s="40">
        <v>11889.400390999999</v>
      </c>
      <c r="J2449" s="36">
        <v>12211.846905224207</v>
      </c>
      <c r="K2449" s="36">
        <v>11289.258075175792</v>
      </c>
    </row>
    <row r="2450" spans="1:11" x14ac:dyDescent="0.25">
      <c r="A2450" s="39">
        <v>44132</v>
      </c>
      <c r="B2450" s="36">
        <v>11729.599609000001</v>
      </c>
      <c r="C2450" s="36">
        <f t="shared" si="148"/>
        <v>11775.912451099999</v>
      </c>
      <c r="D2450" s="36">
        <f t="shared" si="149"/>
        <v>194.58408861949627</v>
      </c>
      <c r="E2450" s="40">
        <v>11729.599609000001</v>
      </c>
      <c r="F2450" s="36">
        <f t="shared" si="150"/>
        <v>12165.080628338992</v>
      </c>
      <c r="G2450" s="36">
        <f t="shared" si="151"/>
        <v>11386.744273861006</v>
      </c>
      <c r="I2450" s="40">
        <v>11729.599609000001</v>
      </c>
      <c r="J2450" s="36">
        <v>12165.080628338992</v>
      </c>
      <c r="K2450" s="36">
        <v>11386.744273861006</v>
      </c>
    </row>
    <row r="2451" spans="1:11" x14ac:dyDescent="0.25">
      <c r="A2451" s="39">
        <v>44133</v>
      </c>
      <c r="B2451" s="36">
        <v>11670.799805000001</v>
      </c>
      <c r="C2451" s="36">
        <f t="shared" si="148"/>
        <v>11797.074951099999</v>
      </c>
      <c r="D2451" s="36">
        <f t="shared" si="149"/>
        <v>152.57801072601828</v>
      </c>
      <c r="E2451" s="40">
        <v>11670.799805000001</v>
      </c>
      <c r="F2451" s="36">
        <f t="shared" si="150"/>
        <v>12102.230972552035</v>
      </c>
      <c r="G2451" s="36">
        <f t="shared" si="151"/>
        <v>11491.918929647964</v>
      </c>
      <c r="I2451" s="40">
        <v>11670.799805000001</v>
      </c>
      <c r="J2451" s="36">
        <v>12102.230972552035</v>
      </c>
      <c r="K2451" s="36">
        <v>11491.918929647964</v>
      </c>
    </row>
    <row r="2452" spans="1:11" x14ac:dyDescent="0.25">
      <c r="A2452" s="39">
        <v>44134</v>
      </c>
      <c r="B2452" s="36">
        <v>11642.400390999999</v>
      </c>
      <c r="C2452" s="36">
        <f t="shared" si="148"/>
        <v>11808.3474609</v>
      </c>
      <c r="D2452" s="36">
        <f t="shared" si="149"/>
        <v>129.61662855945843</v>
      </c>
      <c r="E2452" s="40">
        <v>11642.400390999999</v>
      </c>
      <c r="F2452" s="36">
        <f t="shared" si="150"/>
        <v>12067.580718018917</v>
      </c>
      <c r="G2452" s="36">
        <f t="shared" si="151"/>
        <v>11549.114203781084</v>
      </c>
      <c r="I2452" s="40">
        <v>11642.400390999999</v>
      </c>
      <c r="J2452" s="36">
        <v>12067.580718018917</v>
      </c>
      <c r="K2452" s="36">
        <v>11549.114203781084</v>
      </c>
    </row>
    <row r="2453" spans="1:11" x14ac:dyDescent="0.25">
      <c r="A2453" s="39">
        <v>44137</v>
      </c>
      <c r="B2453" s="36">
        <v>11669.150390999999</v>
      </c>
      <c r="C2453" s="36">
        <f t="shared" si="148"/>
        <v>11816.637500000001</v>
      </c>
      <c r="D2453" s="36">
        <f t="shared" si="149"/>
        <v>113.36633149657447</v>
      </c>
      <c r="E2453" s="40">
        <v>11669.150390999999</v>
      </c>
      <c r="F2453" s="36">
        <f t="shared" si="150"/>
        <v>12043.370162993149</v>
      </c>
      <c r="G2453" s="36">
        <f t="shared" si="151"/>
        <v>11589.904837006852</v>
      </c>
      <c r="I2453" s="40">
        <v>11669.150390999999</v>
      </c>
      <c r="J2453" s="36">
        <v>12043.370162993149</v>
      </c>
      <c r="K2453" s="36">
        <v>11589.904837006852</v>
      </c>
    </row>
    <row r="2454" spans="1:11" x14ac:dyDescent="0.25">
      <c r="A2454" s="39">
        <v>44138</v>
      </c>
      <c r="B2454" s="36">
        <v>11813.5</v>
      </c>
      <c r="C2454" s="36">
        <f t="shared" ref="C2454:C2508" si="152">AVERAGE(B2435:B2454)</f>
        <v>11824.192480449999</v>
      </c>
      <c r="D2454" s="36">
        <f t="shared" ref="D2454:D2508" si="153">_xlfn.STDEV.S(B2435:B2454)</f>
        <v>107.42580811753592</v>
      </c>
      <c r="E2454" s="40">
        <v>11813.5</v>
      </c>
      <c r="F2454" s="36">
        <f t="shared" ref="F2454:F2508" si="154">C2454+2*D2454</f>
        <v>12039.044096685071</v>
      </c>
      <c r="G2454" s="36">
        <f t="shared" ref="G2454:G2508" si="155">C2454-2*D2454</f>
        <v>11609.340864214928</v>
      </c>
      <c r="I2454" s="40">
        <v>11813.5</v>
      </c>
      <c r="J2454" s="36">
        <v>12039.044096685071</v>
      </c>
      <c r="K2454" s="36">
        <v>11609.340864214928</v>
      </c>
    </row>
    <row r="2455" spans="1:11" x14ac:dyDescent="0.25">
      <c r="A2455" s="39">
        <v>44139</v>
      </c>
      <c r="B2455" s="36">
        <v>11908.5</v>
      </c>
      <c r="C2455" s="36">
        <f t="shared" si="152"/>
        <v>11832.674999999999</v>
      </c>
      <c r="D2455" s="36">
        <f t="shared" si="153"/>
        <v>107.02952620936631</v>
      </c>
      <c r="E2455" s="40">
        <v>11908.5</v>
      </c>
      <c r="F2455" s="36">
        <f t="shared" si="154"/>
        <v>12046.734052418731</v>
      </c>
      <c r="G2455" s="36">
        <f t="shared" si="155"/>
        <v>11618.615947581267</v>
      </c>
      <c r="I2455" s="40">
        <v>11908.5</v>
      </c>
      <c r="J2455" s="36">
        <v>12046.734052418731</v>
      </c>
      <c r="K2455" s="36">
        <v>11618.615947581267</v>
      </c>
    </row>
    <row r="2456" spans="1:11" x14ac:dyDescent="0.25">
      <c r="A2456" s="39">
        <v>44140</v>
      </c>
      <c r="B2456" s="36">
        <v>12120.299805000001</v>
      </c>
      <c r="C2456" s="36">
        <f t="shared" si="152"/>
        <v>11846.960009799999</v>
      </c>
      <c r="D2456" s="36">
        <f t="shared" si="153"/>
        <v>124.87765894396735</v>
      </c>
      <c r="E2456" s="40">
        <v>12120.299805000001</v>
      </c>
      <c r="F2456" s="36">
        <f t="shared" si="154"/>
        <v>12096.715327687934</v>
      </c>
      <c r="G2456" s="36">
        <f t="shared" si="155"/>
        <v>11597.204691912064</v>
      </c>
      <c r="I2456" s="40">
        <v>12120.299805000001</v>
      </c>
      <c r="J2456" s="36">
        <v>12096.715327687934</v>
      </c>
      <c r="K2456" s="36">
        <v>11597.204691912064</v>
      </c>
    </row>
    <row r="2457" spans="1:11" x14ac:dyDescent="0.25">
      <c r="A2457" s="39">
        <v>44141</v>
      </c>
      <c r="B2457" s="36">
        <v>12263.549805000001</v>
      </c>
      <c r="C2457" s="36">
        <f t="shared" si="152"/>
        <v>11864.427490299999</v>
      </c>
      <c r="D2457" s="36">
        <f t="shared" si="153"/>
        <v>155.46495997522726</v>
      </c>
      <c r="E2457" s="40">
        <v>12263.549805000001</v>
      </c>
      <c r="F2457" s="36">
        <f t="shared" si="154"/>
        <v>12175.357410250454</v>
      </c>
      <c r="G2457" s="36">
        <f t="shared" si="155"/>
        <v>11553.497570349544</v>
      </c>
      <c r="I2457" s="40">
        <v>12263.549805000001</v>
      </c>
      <c r="J2457" s="36">
        <v>12175.357410250454</v>
      </c>
      <c r="K2457" s="36">
        <v>11553.497570349544</v>
      </c>
    </row>
    <row r="2458" spans="1:11" x14ac:dyDescent="0.25">
      <c r="A2458" s="39">
        <v>44144</v>
      </c>
      <c r="B2458" s="36">
        <v>12461.049805000001</v>
      </c>
      <c r="C2458" s="36">
        <f t="shared" si="152"/>
        <v>11890.932470799999</v>
      </c>
      <c r="D2458" s="36">
        <f t="shared" si="153"/>
        <v>204.7720630299323</v>
      </c>
      <c r="E2458" s="40">
        <v>12461.049805000001</v>
      </c>
      <c r="F2458" s="36">
        <f t="shared" si="154"/>
        <v>12300.476596859864</v>
      </c>
      <c r="G2458" s="36">
        <f t="shared" si="155"/>
        <v>11481.388344740133</v>
      </c>
      <c r="I2458" s="40">
        <v>12461.049805000001</v>
      </c>
      <c r="J2458" s="36">
        <v>12300.476596859864</v>
      </c>
      <c r="K2458" s="36">
        <v>11481.388344740133</v>
      </c>
    </row>
    <row r="2459" spans="1:11" x14ac:dyDescent="0.25">
      <c r="A2459" s="39">
        <v>44145</v>
      </c>
      <c r="B2459" s="36">
        <v>12631.099609000001</v>
      </c>
      <c r="C2459" s="36">
        <f t="shared" si="152"/>
        <v>11925.762451249999</v>
      </c>
      <c r="D2459" s="36">
        <f t="shared" si="153"/>
        <v>263.41752631824028</v>
      </c>
      <c r="E2459" s="40">
        <v>12631.099609000001</v>
      </c>
      <c r="F2459" s="36">
        <f t="shared" si="154"/>
        <v>12452.59750388648</v>
      </c>
      <c r="G2459" s="36">
        <f t="shared" si="155"/>
        <v>11398.927398613518</v>
      </c>
      <c r="I2459" s="40">
        <v>12631.099609000001</v>
      </c>
      <c r="J2459" s="36">
        <v>12452.59750388648</v>
      </c>
      <c r="K2459" s="36">
        <v>11398.927398613518</v>
      </c>
    </row>
    <row r="2460" spans="1:11" x14ac:dyDescent="0.25">
      <c r="A2460" s="39">
        <v>44146</v>
      </c>
      <c r="B2460" s="36">
        <v>12749.150390999999</v>
      </c>
      <c r="C2460" s="36">
        <f t="shared" si="152"/>
        <v>11964.667480549997</v>
      </c>
      <c r="D2460" s="36">
        <f t="shared" si="153"/>
        <v>321.51219990605483</v>
      </c>
      <c r="E2460" s="40">
        <v>12749.150390999999</v>
      </c>
      <c r="F2460" s="36">
        <f t="shared" si="154"/>
        <v>12607.691880362107</v>
      </c>
      <c r="G2460" s="36">
        <f t="shared" si="155"/>
        <v>11321.643080737887</v>
      </c>
      <c r="I2460" s="40">
        <v>12749.150390999999</v>
      </c>
      <c r="J2460" s="36">
        <v>12607.691880362107</v>
      </c>
      <c r="K2460" s="36">
        <v>11321.643080737887</v>
      </c>
    </row>
    <row r="2461" spans="1:11" x14ac:dyDescent="0.25">
      <c r="A2461" s="39">
        <v>44147</v>
      </c>
      <c r="B2461" s="36">
        <v>12690.799805000001</v>
      </c>
      <c r="C2461" s="36">
        <f t="shared" si="152"/>
        <v>12015.189990349998</v>
      </c>
      <c r="D2461" s="36">
        <f t="shared" si="153"/>
        <v>352.39129116418047</v>
      </c>
      <c r="E2461" s="40">
        <v>12690.799805000001</v>
      </c>
      <c r="F2461" s="36">
        <f t="shared" si="154"/>
        <v>12719.972572678358</v>
      </c>
      <c r="G2461" s="36">
        <f t="shared" si="155"/>
        <v>11310.407408021638</v>
      </c>
      <c r="I2461" s="40">
        <v>12690.799805000001</v>
      </c>
      <c r="J2461" s="36">
        <v>12719.972572678358</v>
      </c>
      <c r="K2461" s="36">
        <v>11310.407408021638</v>
      </c>
    </row>
    <row r="2462" spans="1:11" x14ac:dyDescent="0.25">
      <c r="A2462" s="39">
        <v>44148</v>
      </c>
      <c r="B2462" s="36">
        <v>12719.950194999999</v>
      </c>
      <c r="C2462" s="36">
        <f t="shared" si="152"/>
        <v>12063.064990349998</v>
      </c>
      <c r="D2462" s="36">
        <f t="shared" si="153"/>
        <v>380.19261386299513</v>
      </c>
      <c r="E2462" s="40">
        <v>12719.950194999999</v>
      </c>
      <c r="F2462" s="36">
        <f t="shared" si="154"/>
        <v>12823.450218075988</v>
      </c>
      <c r="G2462" s="36">
        <f t="shared" si="155"/>
        <v>11302.679762624008</v>
      </c>
      <c r="I2462" s="40">
        <v>12719.950194999999</v>
      </c>
      <c r="J2462" s="36">
        <v>12823.450218075988</v>
      </c>
      <c r="K2462" s="36">
        <v>11302.679762624008</v>
      </c>
    </row>
    <row r="2463" spans="1:11" x14ac:dyDescent="0.25">
      <c r="A2463" s="39">
        <v>44152</v>
      </c>
      <c r="B2463" s="36">
        <v>12874.200194999999</v>
      </c>
      <c r="C2463" s="36">
        <f t="shared" si="152"/>
        <v>12113.12250985</v>
      </c>
      <c r="D2463" s="36">
        <f t="shared" si="153"/>
        <v>417.89582518743759</v>
      </c>
      <c r="E2463" s="40">
        <v>12874.200194999999</v>
      </c>
      <c r="F2463" s="36">
        <f t="shared" si="154"/>
        <v>12948.914160224875</v>
      </c>
      <c r="G2463" s="36">
        <f t="shared" si="155"/>
        <v>11277.330859475125</v>
      </c>
      <c r="I2463" s="40">
        <v>12874.200194999999</v>
      </c>
      <c r="J2463" s="36">
        <v>12948.914160224875</v>
      </c>
      <c r="K2463" s="36">
        <v>11277.330859475125</v>
      </c>
    </row>
    <row r="2464" spans="1:11" x14ac:dyDescent="0.25">
      <c r="A2464" s="39">
        <v>44153</v>
      </c>
      <c r="B2464" s="36">
        <v>12938.25</v>
      </c>
      <c r="C2464" s="36">
        <f t="shared" si="152"/>
        <v>12165.1950196</v>
      </c>
      <c r="D2464" s="36">
        <f t="shared" si="153"/>
        <v>452.93838493523481</v>
      </c>
      <c r="E2464" s="40">
        <v>12938.25</v>
      </c>
      <c r="F2464" s="36">
        <f t="shared" si="154"/>
        <v>13071.071789470469</v>
      </c>
      <c r="G2464" s="36">
        <f t="shared" si="155"/>
        <v>11259.318249729531</v>
      </c>
      <c r="I2464" s="40">
        <v>12938.25</v>
      </c>
      <c r="J2464" s="36">
        <v>13071.071789470469</v>
      </c>
      <c r="K2464" s="36">
        <v>11259.318249729531</v>
      </c>
    </row>
    <row r="2465" spans="1:11" x14ac:dyDescent="0.25">
      <c r="A2465" s="39">
        <v>44154</v>
      </c>
      <c r="B2465" s="36">
        <v>12771.700194999999</v>
      </c>
      <c r="C2465" s="36">
        <f t="shared" si="152"/>
        <v>12206.897509800001</v>
      </c>
      <c r="D2465" s="36">
        <f t="shared" si="153"/>
        <v>468.99671452174823</v>
      </c>
      <c r="E2465" s="40">
        <v>12771.700194999999</v>
      </c>
      <c r="F2465" s="36">
        <f t="shared" si="154"/>
        <v>13144.890938843497</v>
      </c>
      <c r="G2465" s="36">
        <f t="shared" si="155"/>
        <v>11268.904080756505</v>
      </c>
      <c r="I2465" s="40">
        <v>12771.700194999999</v>
      </c>
      <c r="J2465" s="36">
        <v>13144.890938843497</v>
      </c>
      <c r="K2465" s="36">
        <v>11268.904080756505</v>
      </c>
    </row>
    <row r="2466" spans="1:11" x14ac:dyDescent="0.25">
      <c r="A2466" s="39">
        <v>44155</v>
      </c>
      <c r="B2466" s="36">
        <v>12859.049805000001</v>
      </c>
      <c r="C2466" s="36">
        <f t="shared" si="152"/>
        <v>12255.027490300001</v>
      </c>
      <c r="D2466" s="36">
        <f t="shared" si="153"/>
        <v>484.59400406944997</v>
      </c>
      <c r="E2466" s="40">
        <v>12859.049805000001</v>
      </c>
      <c r="F2466" s="36">
        <f t="shared" si="154"/>
        <v>13224.215498438902</v>
      </c>
      <c r="G2466" s="36">
        <f t="shared" si="155"/>
        <v>11285.8394821611</v>
      </c>
      <c r="I2466" s="40">
        <v>12859.049805000001</v>
      </c>
      <c r="J2466" s="36">
        <v>13224.215498438902</v>
      </c>
      <c r="K2466" s="36">
        <v>11285.8394821611</v>
      </c>
    </row>
    <row r="2467" spans="1:11" x14ac:dyDescent="0.25">
      <c r="A2467" s="39">
        <v>44158</v>
      </c>
      <c r="B2467" s="36">
        <v>12926.450194999999</v>
      </c>
      <c r="C2467" s="36">
        <f t="shared" si="152"/>
        <v>12304.832519600002</v>
      </c>
      <c r="D2467" s="36">
        <f t="shared" si="153"/>
        <v>500.398658425718</v>
      </c>
      <c r="E2467" s="40">
        <v>12926.450194999999</v>
      </c>
      <c r="F2467" s="36">
        <f t="shared" si="154"/>
        <v>13305.629836451439</v>
      </c>
      <c r="G2467" s="36">
        <f t="shared" si="155"/>
        <v>11304.035202748566</v>
      </c>
      <c r="I2467" s="40">
        <v>12926.450194999999</v>
      </c>
      <c r="J2467" s="36">
        <v>13305.629836451439</v>
      </c>
      <c r="K2467" s="36">
        <v>11304.035202748566</v>
      </c>
    </row>
    <row r="2468" spans="1:11" x14ac:dyDescent="0.25">
      <c r="A2468" s="39">
        <v>44159</v>
      </c>
      <c r="B2468" s="36">
        <v>13055.150390999999</v>
      </c>
      <c r="C2468" s="36">
        <f t="shared" si="152"/>
        <v>12369.202539150003</v>
      </c>
      <c r="D2468" s="36">
        <f t="shared" si="153"/>
        <v>510.37792069241272</v>
      </c>
      <c r="E2468" s="40">
        <v>13055.150390999999</v>
      </c>
      <c r="F2468" s="36">
        <f t="shared" si="154"/>
        <v>13389.958380534828</v>
      </c>
      <c r="G2468" s="36">
        <f t="shared" si="155"/>
        <v>11348.446697765177</v>
      </c>
      <c r="I2468" s="40">
        <v>13055.150390999999</v>
      </c>
      <c r="J2468" s="36">
        <v>13389.958380534828</v>
      </c>
      <c r="K2468" s="36">
        <v>11348.446697765177</v>
      </c>
    </row>
    <row r="2469" spans="1:11" x14ac:dyDescent="0.25">
      <c r="A2469" s="39">
        <v>44160</v>
      </c>
      <c r="B2469" s="36">
        <v>12858.400390999999</v>
      </c>
      <c r="C2469" s="36">
        <f t="shared" si="152"/>
        <v>12417.652539150002</v>
      </c>
      <c r="D2469" s="36">
        <f t="shared" si="153"/>
        <v>508.42290744911429</v>
      </c>
      <c r="E2469" s="40">
        <v>12858.400390999999</v>
      </c>
      <c r="F2469" s="36">
        <f t="shared" si="154"/>
        <v>13434.49835404823</v>
      </c>
      <c r="G2469" s="36">
        <f t="shared" si="155"/>
        <v>11400.806724251774</v>
      </c>
      <c r="I2469" s="40">
        <v>12858.400390999999</v>
      </c>
      <c r="J2469" s="36">
        <v>13434.49835404823</v>
      </c>
      <c r="K2469" s="36">
        <v>11400.806724251774</v>
      </c>
    </row>
    <row r="2470" spans="1:11" x14ac:dyDescent="0.25">
      <c r="A2470" s="39">
        <v>44161</v>
      </c>
      <c r="B2470" s="36">
        <v>12987</v>
      </c>
      <c r="C2470" s="36">
        <f t="shared" si="152"/>
        <v>12480.522558700002</v>
      </c>
      <c r="D2470" s="36">
        <f t="shared" si="153"/>
        <v>496.46487726966018</v>
      </c>
      <c r="E2470" s="40">
        <v>12987</v>
      </c>
      <c r="F2470" s="36">
        <f t="shared" si="154"/>
        <v>13473.452313239322</v>
      </c>
      <c r="G2470" s="36">
        <f t="shared" si="155"/>
        <v>11487.592804160682</v>
      </c>
      <c r="I2470" s="40">
        <v>12987</v>
      </c>
      <c r="J2470" s="36">
        <v>13473.452313239322</v>
      </c>
      <c r="K2470" s="36">
        <v>11487.592804160682</v>
      </c>
    </row>
    <row r="2471" spans="1:11" x14ac:dyDescent="0.25">
      <c r="A2471" s="39">
        <v>44162</v>
      </c>
      <c r="B2471" s="36">
        <v>12968.950194999999</v>
      </c>
      <c r="C2471" s="36">
        <f t="shared" si="152"/>
        <v>12545.430078200003</v>
      </c>
      <c r="D2471" s="36">
        <f t="shared" si="153"/>
        <v>469.13812404262501</v>
      </c>
      <c r="E2471" s="40">
        <v>12968.950194999999</v>
      </c>
      <c r="F2471" s="36">
        <f t="shared" si="154"/>
        <v>13483.706326285253</v>
      </c>
      <c r="G2471" s="36">
        <f t="shared" si="155"/>
        <v>11607.153830114752</v>
      </c>
      <c r="I2471" s="40">
        <v>12968.950194999999</v>
      </c>
      <c r="J2471" s="36">
        <v>13483.706326285253</v>
      </c>
      <c r="K2471" s="36">
        <v>11607.153830114752</v>
      </c>
    </row>
    <row r="2472" spans="1:11" x14ac:dyDescent="0.25">
      <c r="A2472" s="39">
        <v>44166</v>
      </c>
      <c r="B2472" s="36">
        <v>13109.049805000001</v>
      </c>
      <c r="C2472" s="36">
        <f t="shared" si="152"/>
        <v>12618.762548900002</v>
      </c>
      <c r="D2472" s="36">
        <f t="shared" si="153"/>
        <v>433.85496997503208</v>
      </c>
      <c r="E2472" s="40">
        <v>13109.049805000001</v>
      </c>
      <c r="F2472" s="36">
        <f t="shared" si="154"/>
        <v>13486.472488850066</v>
      </c>
      <c r="G2472" s="36">
        <f t="shared" si="155"/>
        <v>11751.052608949938</v>
      </c>
      <c r="I2472" s="40">
        <v>13109.049805000001</v>
      </c>
      <c r="J2472" s="36">
        <v>13486.472488850066</v>
      </c>
      <c r="K2472" s="36">
        <v>11751.052608949938</v>
      </c>
    </row>
    <row r="2473" spans="1:11" x14ac:dyDescent="0.25">
      <c r="A2473" s="39">
        <v>44167</v>
      </c>
      <c r="B2473" s="36">
        <v>13113.75</v>
      </c>
      <c r="C2473" s="36">
        <f t="shared" si="152"/>
        <v>12690.992529350002</v>
      </c>
      <c r="D2473" s="36">
        <f t="shared" si="153"/>
        <v>384.93187977447553</v>
      </c>
      <c r="E2473" s="40">
        <v>13113.75</v>
      </c>
      <c r="F2473" s="36">
        <f t="shared" si="154"/>
        <v>13460.856288898953</v>
      </c>
      <c r="G2473" s="36">
        <f t="shared" si="155"/>
        <v>11921.128769801051</v>
      </c>
      <c r="I2473" s="40">
        <v>13113.75</v>
      </c>
      <c r="J2473" s="36">
        <v>13460.856288898953</v>
      </c>
      <c r="K2473" s="36">
        <v>11921.128769801051</v>
      </c>
    </row>
    <row r="2474" spans="1:11" x14ac:dyDescent="0.25">
      <c r="A2474" s="39">
        <v>44168</v>
      </c>
      <c r="B2474" s="36">
        <v>13133.900390999999</v>
      </c>
      <c r="C2474" s="36">
        <f t="shared" si="152"/>
        <v>12757.012548900002</v>
      </c>
      <c r="D2474" s="36">
        <f t="shared" si="153"/>
        <v>336.72414639052937</v>
      </c>
      <c r="E2474" s="40">
        <v>13133.900390999999</v>
      </c>
      <c r="F2474" s="36">
        <f t="shared" si="154"/>
        <v>13430.460841681061</v>
      </c>
      <c r="G2474" s="36">
        <f t="shared" si="155"/>
        <v>12083.564256118943</v>
      </c>
      <c r="I2474" s="40">
        <v>13133.900390999999</v>
      </c>
      <c r="J2474" s="36">
        <v>13430.460841681061</v>
      </c>
      <c r="K2474" s="36">
        <v>12083.564256118943</v>
      </c>
    </row>
    <row r="2475" spans="1:11" x14ac:dyDescent="0.25">
      <c r="A2475" s="39">
        <v>44169</v>
      </c>
      <c r="B2475" s="36">
        <v>13258.549805000001</v>
      </c>
      <c r="C2475" s="36">
        <f t="shared" si="152"/>
        <v>12824.515039150001</v>
      </c>
      <c r="D2475" s="36">
        <f t="shared" si="153"/>
        <v>289.71076450239644</v>
      </c>
      <c r="E2475" s="40">
        <v>13258.549805000001</v>
      </c>
      <c r="F2475" s="36">
        <f t="shared" si="154"/>
        <v>13403.936568154793</v>
      </c>
      <c r="G2475" s="36">
        <f t="shared" si="155"/>
        <v>12245.093510145209</v>
      </c>
      <c r="I2475" s="40">
        <v>13258.549805000001</v>
      </c>
      <c r="J2475" s="36">
        <v>13403.936568154793</v>
      </c>
      <c r="K2475" s="36">
        <v>12245.093510145209</v>
      </c>
    </row>
    <row r="2476" spans="1:11" x14ac:dyDescent="0.25">
      <c r="A2476" s="39">
        <v>44172</v>
      </c>
      <c r="B2476" s="36">
        <v>13355.75</v>
      </c>
      <c r="C2476" s="36">
        <f t="shared" si="152"/>
        <v>12886.2875489</v>
      </c>
      <c r="D2476" s="36">
        <f t="shared" si="153"/>
        <v>262.04548045458222</v>
      </c>
      <c r="E2476" s="40">
        <v>13355.75</v>
      </c>
      <c r="F2476" s="36">
        <f t="shared" si="154"/>
        <v>13410.378509809165</v>
      </c>
      <c r="G2476" s="36">
        <f t="shared" si="155"/>
        <v>12362.196587990835</v>
      </c>
      <c r="I2476" s="40">
        <v>13355.75</v>
      </c>
      <c r="J2476" s="36">
        <v>13410.378509809165</v>
      </c>
      <c r="K2476" s="36">
        <v>12362.196587990835</v>
      </c>
    </row>
    <row r="2477" spans="1:11" x14ac:dyDescent="0.25">
      <c r="A2477" s="39">
        <v>44173</v>
      </c>
      <c r="B2477" s="36">
        <v>13392.950194999999</v>
      </c>
      <c r="C2477" s="36">
        <f t="shared" si="152"/>
        <v>12942.7575684</v>
      </c>
      <c r="D2477" s="36">
        <f t="shared" si="153"/>
        <v>241.68447459397706</v>
      </c>
      <c r="E2477" s="40">
        <v>13392.950194999999</v>
      </c>
      <c r="F2477" s="36">
        <f t="shared" si="154"/>
        <v>13426.126517587954</v>
      </c>
      <c r="G2477" s="36">
        <f t="shared" si="155"/>
        <v>12459.388619212046</v>
      </c>
      <c r="I2477" s="40">
        <v>13392.950194999999</v>
      </c>
      <c r="J2477" s="36">
        <v>13426.126517587954</v>
      </c>
      <c r="K2477" s="36">
        <v>12459.388619212046</v>
      </c>
    </row>
    <row r="2478" spans="1:11" x14ac:dyDescent="0.25">
      <c r="A2478" s="39">
        <v>44174</v>
      </c>
      <c r="B2478" s="36">
        <v>13529.099609000001</v>
      </c>
      <c r="C2478" s="36">
        <f t="shared" si="152"/>
        <v>12996.1600586</v>
      </c>
      <c r="D2478" s="36">
        <f t="shared" si="153"/>
        <v>247.57076819190718</v>
      </c>
      <c r="E2478" s="40">
        <v>13529.099609000001</v>
      </c>
      <c r="F2478" s="36">
        <f t="shared" si="154"/>
        <v>13491.301594983815</v>
      </c>
      <c r="G2478" s="36">
        <f t="shared" si="155"/>
        <v>12501.018522216185</v>
      </c>
      <c r="I2478" s="40">
        <v>13529.099609000001</v>
      </c>
      <c r="J2478" s="36">
        <v>13491.301594983815</v>
      </c>
      <c r="K2478" s="36">
        <v>12501.018522216185</v>
      </c>
    </row>
    <row r="2479" spans="1:11" x14ac:dyDescent="0.25">
      <c r="A2479" s="39">
        <v>44175</v>
      </c>
      <c r="B2479" s="36">
        <v>13478.299805000001</v>
      </c>
      <c r="C2479" s="36">
        <f t="shared" si="152"/>
        <v>13038.520068399999</v>
      </c>
      <c r="D2479" s="36">
        <f t="shared" si="153"/>
        <v>254.21050276357391</v>
      </c>
      <c r="E2479" s="40">
        <v>13478.299805000001</v>
      </c>
      <c r="F2479" s="36">
        <f t="shared" si="154"/>
        <v>13546.941073927148</v>
      </c>
      <c r="G2479" s="36">
        <f t="shared" si="155"/>
        <v>12530.09906287285</v>
      </c>
      <c r="I2479" s="40">
        <v>13478.299805000001</v>
      </c>
      <c r="J2479" s="36">
        <v>13546.941073927148</v>
      </c>
      <c r="K2479" s="36">
        <v>12530.09906287285</v>
      </c>
    </row>
    <row r="2480" spans="1:11" x14ac:dyDescent="0.25">
      <c r="A2480" s="39">
        <v>44176</v>
      </c>
      <c r="B2480" s="36">
        <v>13513.849609000001</v>
      </c>
      <c r="C2480" s="36">
        <f t="shared" si="152"/>
        <v>13076.755029299999</v>
      </c>
      <c r="D2480" s="36">
        <f t="shared" si="153"/>
        <v>265.64734556003975</v>
      </c>
      <c r="E2480" s="40">
        <v>13513.849609000001</v>
      </c>
      <c r="F2480" s="36">
        <f t="shared" si="154"/>
        <v>13608.049720420078</v>
      </c>
      <c r="G2480" s="36">
        <f t="shared" si="155"/>
        <v>12545.460338179919</v>
      </c>
      <c r="I2480" s="40">
        <v>13513.849609000001</v>
      </c>
      <c r="J2480" s="36">
        <v>13608.049720420078</v>
      </c>
      <c r="K2480" s="36">
        <v>12545.460338179919</v>
      </c>
    </row>
    <row r="2481" spans="1:11" x14ac:dyDescent="0.25">
      <c r="A2481" s="39">
        <v>44179</v>
      </c>
      <c r="B2481" s="36">
        <v>13558.150390999999</v>
      </c>
      <c r="C2481" s="36">
        <f t="shared" si="152"/>
        <v>13120.122558599998</v>
      </c>
      <c r="D2481" s="36">
        <f t="shared" si="153"/>
        <v>270.08448376182042</v>
      </c>
      <c r="E2481" s="40">
        <v>13558.150390999999</v>
      </c>
      <c r="F2481" s="36">
        <f t="shared" si="154"/>
        <v>13660.291526123639</v>
      </c>
      <c r="G2481" s="36">
        <f t="shared" si="155"/>
        <v>12579.953591076357</v>
      </c>
      <c r="I2481" s="40">
        <v>13558.150390999999</v>
      </c>
      <c r="J2481" s="36">
        <v>13660.291526123639</v>
      </c>
      <c r="K2481" s="36">
        <v>12579.953591076357</v>
      </c>
    </row>
    <row r="2482" spans="1:11" x14ac:dyDescent="0.25">
      <c r="A2482" s="39">
        <v>44180</v>
      </c>
      <c r="B2482" s="36">
        <v>13567.849609000001</v>
      </c>
      <c r="C2482" s="36">
        <f t="shared" si="152"/>
        <v>13162.517529300001</v>
      </c>
      <c r="D2482" s="36">
        <f t="shared" si="153"/>
        <v>270.51042000228972</v>
      </c>
      <c r="E2482" s="40">
        <v>13567.849609000001</v>
      </c>
      <c r="F2482" s="36">
        <f t="shared" si="154"/>
        <v>13703.538369304581</v>
      </c>
      <c r="G2482" s="36">
        <f t="shared" si="155"/>
        <v>12621.496689295422</v>
      </c>
      <c r="I2482" s="40">
        <v>13567.849609000001</v>
      </c>
      <c r="J2482" s="36">
        <v>13703.538369304581</v>
      </c>
      <c r="K2482" s="36">
        <v>12621.496689295422</v>
      </c>
    </row>
    <row r="2483" spans="1:11" x14ac:dyDescent="0.25">
      <c r="A2483" s="39">
        <v>44181</v>
      </c>
      <c r="B2483" s="36">
        <v>13682.700194999999</v>
      </c>
      <c r="C2483" s="36">
        <f t="shared" si="152"/>
        <v>13202.942529299999</v>
      </c>
      <c r="D2483" s="36">
        <f t="shared" si="153"/>
        <v>285.17043539124268</v>
      </c>
      <c r="E2483" s="40">
        <v>13682.700194999999</v>
      </c>
      <c r="F2483" s="36">
        <f t="shared" si="154"/>
        <v>13773.283400082484</v>
      </c>
      <c r="G2483" s="36">
        <f t="shared" si="155"/>
        <v>12632.601658517513</v>
      </c>
      <c r="I2483" s="40">
        <v>13682.700194999999</v>
      </c>
      <c r="J2483" s="36">
        <v>13773.283400082484</v>
      </c>
      <c r="K2483" s="36">
        <v>12632.601658517513</v>
      </c>
    </row>
    <row r="2484" spans="1:11" x14ac:dyDescent="0.25">
      <c r="A2484" s="39">
        <v>44182</v>
      </c>
      <c r="B2484" s="36">
        <v>13740.700194999999</v>
      </c>
      <c r="C2484" s="36">
        <f t="shared" si="152"/>
        <v>13243.06503905</v>
      </c>
      <c r="D2484" s="36">
        <f t="shared" si="153"/>
        <v>301.92768595550643</v>
      </c>
      <c r="E2484" s="40">
        <v>13740.700194999999</v>
      </c>
      <c r="F2484" s="36">
        <f t="shared" si="154"/>
        <v>13846.920410961013</v>
      </c>
      <c r="G2484" s="36">
        <f t="shared" si="155"/>
        <v>12639.209667138986</v>
      </c>
      <c r="I2484" s="40">
        <v>13740.700194999999</v>
      </c>
      <c r="J2484" s="36">
        <v>13846.920410961013</v>
      </c>
      <c r="K2484" s="36">
        <v>12639.209667138986</v>
      </c>
    </row>
    <row r="2485" spans="1:11" x14ac:dyDescent="0.25">
      <c r="A2485" s="39">
        <v>44183</v>
      </c>
      <c r="B2485" s="36">
        <v>13760.549805000001</v>
      </c>
      <c r="C2485" s="36">
        <f t="shared" si="152"/>
        <v>13292.507519550001</v>
      </c>
      <c r="D2485" s="36">
        <f t="shared" si="153"/>
        <v>301.64118738439441</v>
      </c>
      <c r="E2485" s="40">
        <v>13760.549805000001</v>
      </c>
      <c r="F2485" s="36">
        <f t="shared" si="154"/>
        <v>13895.78989431879</v>
      </c>
      <c r="G2485" s="36">
        <f t="shared" si="155"/>
        <v>12689.225144781212</v>
      </c>
      <c r="I2485" s="40">
        <v>13760.549805000001</v>
      </c>
      <c r="J2485" s="36">
        <v>13895.78989431879</v>
      </c>
      <c r="K2485" s="36">
        <v>12689.225144781212</v>
      </c>
    </row>
    <row r="2486" spans="1:11" x14ac:dyDescent="0.25">
      <c r="A2486" s="39">
        <v>44186</v>
      </c>
      <c r="B2486" s="36">
        <v>13328.400390999999</v>
      </c>
      <c r="C2486" s="36">
        <f t="shared" si="152"/>
        <v>13315.975048849999</v>
      </c>
      <c r="D2486" s="36">
        <f t="shared" si="153"/>
        <v>283.87811709065431</v>
      </c>
      <c r="E2486" s="40">
        <v>13328.400390999999</v>
      </c>
      <c r="F2486" s="36">
        <f t="shared" si="154"/>
        <v>13883.731283031308</v>
      </c>
      <c r="G2486" s="36">
        <f t="shared" si="155"/>
        <v>12748.218814668691</v>
      </c>
      <c r="I2486" s="40">
        <v>13328.400390999999</v>
      </c>
      <c r="J2486" s="36">
        <v>13883.731283031308</v>
      </c>
      <c r="K2486" s="36">
        <v>12748.218814668691</v>
      </c>
    </row>
    <row r="2487" spans="1:11" x14ac:dyDescent="0.25">
      <c r="A2487" s="39">
        <v>44187</v>
      </c>
      <c r="B2487" s="36">
        <v>13466.299805000001</v>
      </c>
      <c r="C2487" s="36">
        <f t="shared" si="152"/>
        <v>13342.96752935</v>
      </c>
      <c r="D2487" s="36">
        <f t="shared" si="153"/>
        <v>270.22845718407319</v>
      </c>
      <c r="E2487" s="40">
        <v>13466.299805000001</v>
      </c>
      <c r="F2487" s="36">
        <f t="shared" si="154"/>
        <v>13883.424443718146</v>
      </c>
      <c r="G2487" s="36">
        <f t="shared" si="155"/>
        <v>12802.510614981855</v>
      </c>
      <c r="I2487" s="40">
        <v>13466.299805000001</v>
      </c>
      <c r="J2487" s="36">
        <v>13883.424443718146</v>
      </c>
      <c r="K2487" s="36">
        <v>12802.510614981855</v>
      </c>
    </row>
    <row r="2488" spans="1:11" x14ac:dyDescent="0.25">
      <c r="A2488" s="39">
        <v>44188</v>
      </c>
      <c r="B2488" s="36">
        <v>13601.099609000001</v>
      </c>
      <c r="C2488" s="36">
        <f t="shared" si="152"/>
        <v>13370.264990250002</v>
      </c>
      <c r="D2488" s="36">
        <f t="shared" si="153"/>
        <v>267.18172411835866</v>
      </c>
      <c r="E2488" s="40">
        <v>13601.099609000001</v>
      </c>
      <c r="F2488" s="36">
        <f t="shared" si="154"/>
        <v>13904.628438486719</v>
      </c>
      <c r="G2488" s="36">
        <f t="shared" si="155"/>
        <v>12835.901542013284</v>
      </c>
      <c r="I2488" s="40">
        <v>13601.099609000001</v>
      </c>
      <c r="J2488" s="36">
        <v>13904.628438486719</v>
      </c>
      <c r="K2488" s="36">
        <v>12835.901542013284</v>
      </c>
    </row>
    <row r="2489" spans="1:11" x14ac:dyDescent="0.25">
      <c r="A2489" s="39">
        <v>44189</v>
      </c>
      <c r="B2489" s="36">
        <v>13749.25</v>
      </c>
      <c r="C2489" s="36">
        <f t="shared" si="152"/>
        <v>13414.8074707</v>
      </c>
      <c r="D2489" s="36">
        <f t="shared" si="153"/>
        <v>251.13207038186798</v>
      </c>
      <c r="E2489" s="40">
        <v>13749.25</v>
      </c>
      <c r="F2489" s="36">
        <f t="shared" si="154"/>
        <v>13917.071611463736</v>
      </c>
      <c r="G2489" s="36">
        <f t="shared" si="155"/>
        <v>12912.543329936263</v>
      </c>
      <c r="I2489" s="40">
        <v>13749.25</v>
      </c>
      <c r="J2489" s="36">
        <v>13917.071611463736</v>
      </c>
      <c r="K2489" s="36">
        <v>12912.543329936263</v>
      </c>
    </row>
    <row r="2490" spans="1:11" x14ac:dyDescent="0.25">
      <c r="A2490" s="39">
        <v>44193</v>
      </c>
      <c r="B2490" s="36">
        <v>13873.200194999999</v>
      </c>
      <c r="C2490" s="36">
        <f t="shared" si="152"/>
        <v>13459.117480450001</v>
      </c>
      <c r="D2490" s="36">
        <f t="shared" si="153"/>
        <v>249.85428776061588</v>
      </c>
      <c r="E2490" s="40">
        <v>13873.200194999999</v>
      </c>
      <c r="F2490" s="36">
        <f t="shared" si="154"/>
        <v>13958.826055971233</v>
      </c>
      <c r="G2490" s="36">
        <f t="shared" si="155"/>
        <v>12959.408904928769</v>
      </c>
      <c r="I2490" s="40">
        <v>13873.200194999999</v>
      </c>
      <c r="J2490" s="36">
        <v>13958.826055971233</v>
      </c>
      <c r="K2490" s="36">
        <v>12959.408904928769</v>
      </c>
    </row>
    <row r="2491" spans="1:11" x14ac:dyDescent="0.25">
      <c r="A2491" s="39">
        <v>44194</v>
      </c>
      <c r="B2491" s="36">
        <v>13932.599609000001</v>
      </c>
      <c r="C2491" s="36">
        <f t="shared" si="152"/>
        <v>13507.29995115</v>
      </c>
      <c r="D2491" s="36">
        <f t="shared" si="153"/>
        <v>243.18137976357633</v>
      </c>
      <c r="E2491" s="40">
        <v>13932.599609000001</v>
      </c>
      <c r="F2491" s="36">
        <f t="shared" si="154"/>
        <v>13993.662710677152</v>
      </c>
      <c r="G2491" s="36">
        <f t="shared" si="155"/>
        <v>13020.937191622848</v>
      </c>
      <c r="I2491" s="40">
        <v>13932.599609000001</v>
      </c>
      <c r="J2491" s="36">
        <v>13993.662710677152</v>
      </c>
      <c r="K2491" s="36">
        <v>13020.937191622848</v>
      </c>
    </row>
    <row r="2492" spans="1:11" x14ac:dyDescent="0.25">
      <c r="A2492" s="39">
        <v>44195</v>
      </c>
      <c r="B2492" s="36">
        <v>13981.950194999999</v>
      </c>
      <c r="C2492" s="36">
        <f t="shared" si="152"/>
        <v>13550.944970650002</v>
      </c>
      <c r="D2492" s="36">
        <f t="shared" si="153"/>
        <v>246.25600781833765</v>
      </c>
      <c r="E2492" s="40">
        <v>13981.950194999999</v>
      </c>
      <c r="F2492" s="36">
        <f t="shared" si="154"/>
        <v>14043.456986286677</v>
      </c>
      <c r="G2492" s="36">
        <f t="shared" si="155"/>
        <v>13058.432955013326</v>
      </c>
      <c r="I2492" s="40">
        <v>13981.950194999999</v>
      </c>
      <c r="J2492" s="36">
        <v>14043.456986286677</v>
      </c>
      <c r="K2492" s="36">
        <v>13058.432955013326</v>
      </c>
    </row>
    <row r="2493" spans="1:11" x14ac:dyDescent="0.25">
      <c r="A2493" s="39">
        <v>44196</v>
      </c>
      <c r="B2493" s="36">
        <v>13981.75</v>
      </c>
      <c r="C2493" s="36">
        <f t="shared" si="152"/>
        <v>13594.34497065</v>
      </c>
      <c r="D2493" s="36">
        <f t="shared" si="153"/>
        <v>241.59347513164147</v>
      </c>
      <c r="E2493" s="40">
        <v>13981.75</v>
      </c>
      <c r="F2493" s="36">
        <f t="shared" si="154"/>
        <v>14077.531920913283</v>
      </c>
      <c r="G2493" s="36">
        <f t="shared" si="155"/>
        <v>13111.158020386716</v>
      </c>
      <c r="I2493" s="40">
        <v>13981.75</v>
      </c>
      <c r="J2493" s="36">
        <v>14077.531920913283</v>
      </c>
      <c r="K2493" s="36">
        <v>13111.158020386716</v>
      </c>
    </row>
    <row r="2494" spans="1:11" x14ac:dyDescent="0.25">
      <c r="A2494" s="39">
        <v>44200</v>
      </c>
      <c r="B2494" s="36">
        <v>14132.900390999999</v>
      </c>
      <c r="C2494" s="36">
        <f t="shared" si="152"/>
        <v>13644.294970649999</v>
      </c>
      <c r="D2494" s="36">
        <f t="shared" si="153"/>
        <v>244.63866126840779</v>
      </c>
      <c r="E2494" s="40">
        <v>14132.900390999999</v>
      </c>
      <c r="F2494" s="36">
        <f t="shared" si="154"/>
        <v>14133.572293186815</v>
      </c>
      <c r="G2494" s="36">
        <f t="shared" si="155"/>
        <v>13155.017648113182</v>
      </c>
      <c r="I2494" s="40">
        <v>14132.900390999999</v>
      </c>
      <c r="J2494" s="36">
        <v>14133.572293186815</v>
      </c>
      <c r="K2494" s="36">
        <v>13155.017648113182</v>
      </c>
    </row>
    <row r="2495" spans="1:11" x14ac:dyDescent="0.25">
      <c r="A2495" s="39">
        <v>44201</v>
      </c>
      <c r="B2495" s="36">
        <v>14199.5</v>
      </c>
      <c r="C2495" s="36">
        <f t="shared" si="152"/>
        <v>13691.342480400001</v>
      </c>
      <c r="D2495" s="36">
        <f t="shared" si="153"/>
        <v>256.73018249520851</v>
      </c>
      <c r="E2495" s="40">
        <v>14199.5</v>
      </c>
      <c r="F2495" s="36">
        <f t="shared" si="154"/>
        <v>14204.802845390417</v>
      </c>
      <c r="G2495" s="36">
        <f t="shared" si="155"/>
        <v>13177.882115409584</v>
      </c>
      <c r="I2495" s="40">
        <v>14199.5</v>
      </c>
      <c r="J2495" s="36">
        <v>14204.802845390417</v>
      </c>
      <c r="K2495" s="36">
        <v>13177.882115409584</v>
      </c>
    </row>
    <row r="2496" spans="1:11" x14ac:dyDescent="0.25">
      <c r="A2496" s="39">
        <v>44202</v>
      </c>
      <c r="B2496" s="36">
        <v>14146.25</v>
      </c>
      <c r="C2496" s="36">
        <f t="shared" si="152"/>
        <v>13730.8674804</v>
      </c>
      <c r="D2496" s="36">
        <f t="shared" si="153"/>
        <v>263.11608119291725</v>
      </c>
      <c r="E2496" s="40">
        <v>14146.25</v>
      </c>
      <c r="F2496" s="36">
        <f t="shared" si="154"/>
        <v>14257.099642785835</v>
      </c>
      <c r="G2496" s="36">
        <f t="shared" si="155"/>
        <v>13204.635318014165</v>
      </c>
      <c r="I2496" s="40">
        <v>14146.25</v>
      </c>
      <c r="J2496" s="36">
        <v>14257.099642785835</v>
      </c>
      <c r="K2496" s="36">
        <v>13204.635318014165</v>
      </c>
    </row>
    <row r="2497" spans="1:11" x14ac:dyDescent="0.25">
      <c r="A2497" s="39">
        <v>44203</v>
      </c>
      <c r="B2497" s="36">
        <v>14137.349609000001</v>
      </c>
      <c r="C2497" s="36">
        <f t="shared" si="152"/>
        <v>13768.0874511</v>
      </c>
      <c r="D2497" s="36">
        <f t="shared" si="153"/>
        <v>265.43950407865691</v>
      </c>
      <c r="E2497" s="40">
        <v>14137.349609000001</v>
      </c>
      <c r="F2497" s="36">
        <f t="shared" si="154"/>
        <v>14298.966459257314</v>
      </c>
      <c r="G2497" s="36">
        <f t="shared" si="155"/>
        <v>13237.208442942687</v>
      </c>
      <c r="I2497" s="40">
        <v>14137.349609000001</v>
      </c>
      <c r="J2497" s="36">
        <v>14298.966459257314</v>
      </c>
      <c r="K2497" s="36">
        <v>13237.208442942687</v>
      </c>
    </row>
    <row r="2498" spans="1:11" x14ac:dyDescent="0.25">
      <c r="A2498" s="39">
        <v>44204</v>
      </c>
      <c r="B2498" s="36">
        <v>14347.25</v>
      </c>
      <c r="C2498" s="36">
        <f t="shared" si="152"/>
        <v>13808.994970650001</v>
      </c>
      <c r="D2498" s="36">
        <f t="shared" si="153"/>
        <v>288.69488924495693</v>
      </c>
      <c r="E2498" s="40">
        <v>14347.25</v>
      </c>
      <c r="F2498" s="36">
        <f t="shared" si="154"/>
        <v>14386.384749139916</v>
      </c>
      <c r="G2498" s="36">
        <f t="shared" si="155"/>
        <v>13231.605192160087</v>
      </c>
      <c r="I2498" s="40">
        <v>14347.25</v>
      </c>
      <c r="J2498" s="36">
        <v>14386.384749139916</v>
      </c>
      <c r="K2498" s="36">
        <v>13231.605192160087</v>
      </c>
    </row>
    <row r="2499" spans="1:11" x14ac:dyDescent="0.25">
      <c r="A2499" s="39">
        <v>44207</v>
      </c>
      <c r="B2499" s="36">
        <v>14484.75</v>
      </c>
      <c r="C2499" s="36">
        <f t="shared" si="152"/>
        <v>13859.317480400001</v>
      </c>
      <c r="D2499" s="36">
        <f t="shared" si="153"/>
        <v>314.57477646764966</v>
      </c>
      <c r="E2499" s="40">
        <v>14484.75</v>
      </c>
      <c r="F2499" s="36">
        <f t="shared" si="154"/>
        <v>14488.467033335301</v>
      </c>
      <c r="G2499" s="36">
        <f t="shared" si="155"/>
        <v>13230.167927464701</v>
      </c>
      <c r="I2499" s="40">
        <v>14484.75</v>
      </c>
      <c r="J2499" s="36">
        <v>14488.467033335301</v>
      </c>
      <c r="K2499" s="36">
        <v>13230.167927464701</v>
      </c>
    </row>
    <row r="2500" spans="1:11" x14ac:dyDescent="0.25">
      <c r="A2500" s="39">
        <v>44208</v>
      </c>
      <c r="B2500" s="36">
        <v>14563.450194999999</v>
      </c>
      <c r="C2500" s="36">
        <f t="shared" si="152"/>
        <v>13911.797509699998</v>
      </c>
      <c r="D2500" s="36">
        <f t="shared" si="153"/>
        <v>340.39916737926995</v>
      </c>
      <c r="E2500" s="40">
        <v>14563.450194999999</v>
      </c>
      <c r="F2500" s="36">
        <f t="shared" si="154"/>
        <v>14592.595844458538</v>
      </c>
      <c r="G2500" s="36">
        <f t="shared" si="155"/>
        <v>13230.999174941458</v>
      </c>
      <c r="I2500" s="40">
        <v>14563.450194999999</v>
      </c>
      <c r="J2500" s="36">
        <v>14592.595844458538</v>
      </c>
      <c r="K2500" s="36">
        <v>13230.999174941458</v>
      </c>
    </row>
    <row r="2501" spans="1:11" x14ac:dyDescent="0.25">
      <c r="A2501" s="39">
        <v>44209</v>
      </c>
      <c r="B2501" s="36">
        <v>14564.849609000001</v>
      </c>
      <c r="C2501" s="36">
        <f t="shared" si="152"/>
        <v>13962.132470600001</v>
      </c>
      <c r="D2501" s="36">
        <f t="shared" si="153"/>
        <v>359.2608540613366</v>
      </c>
      <c r="E2501" s="40">
        <v>14564.849609000001</v>
      </c>
      <c r="F2501" s="36">
        <f t="shared" si="154"/>
        <v>14680.654178722674</v>
      </c>
      <c r="G2501" s="36">
        <f t="shared" si="155"/>
        <v>13243.610762477329</v>
      </c>
      <c r="I2501" s="40">
        <v>14564.849609000001</v>
      </c>
      <c r="J2501" s="36">
        <v>14680.654178722674</v>
      </c>
      <c r="K2501" s="36">
        <v>13243.610762477329</v>
      </c>
    </row>
    <row r="2502" spans="1:11" x14ac:dyDescent="0.25">
      <c r="A2502" s="39">
        <v>44210</v>
      </c>
      <c r="B2502" s="36">
        <v>14595.599609000001</v>
      </c>
      <c r="C2502" s="36">
        <f t="shared" si="152"/>
        <v>14013.519970600002</v>
      </c>
      <c r="D2502" s="36">
        <f t="shared" si="153"/>
        <v>373.13092109824998</v>
      </c>
      <c r="E2502" s="40">
        <v>14595.599609000001</v>
      </c>
      <c r="F2502" s="36">
        <f t="shared" si="154"/>
        <v>14759.781812796502</v>
      </c>
      <c r="G2502" s="36">
        <f t="shared" si="155"/>
        <v>13267.258128403502</v>
      </c>
      <c r="I2502" s="40">
        <v>14595.599609000001</v>
      </c>
      <c r="J2502" s="36">
        <v>14759.781812796502</v>
      </c>
      <c r="K2502" s="36">
        <v>13267.258128403502</v>
      </c>
    </row>
    <row r="2503" spans="1:11" x14ac:dyDescent="0.25">
      <c r="A2503" s="39">
        <v>44211</v>
      </c>
      <c r="B2503" s="36">
        <v>14433.700194999999</v>
      </c>
      <c r="C2503" s="36">
        <f t="shared" si="152"/>
        <v>14051.069970600001</v>
      </c>
      <c r="D2503" s="36">
        <f t="shared" si="153"/>
        <v>375.86508276254068</v>
      </c>
      <c r="E2503" s="40">
        <v>14433.700194999999</v>
      </c>
      <c r="F2503" s="36">
        <f t="shared" si="154"/>
        <v>14802.800136125083</v>
      </c>
      <c r="G2503" s="36">
        <f t="shared" si="155"/>
        <v>13299.33980507492</v>
      </c>
      <c r="I2503" s="40">
        <v>14433.700194999999</v>
      </c>
      <c r="J2503" s="36">
        <v>14802.800136125083</v>
      </c>
      <c r="K2503" s="36">
        <v>13299.33980507492</v>
      </c>
    </row>
    <row r="2504" spans="1:11" x14ac:dyDescent="0.25">
      <c r="A2504" s="39">
        <v>44214</v>
      </c>
      <c r="B2504" s="36">
        <v>14281.299805000001</v>
      </c>
      <c r="C2504" s="36">
        <f t="shared" si="152"/>
        <v>14078.099951100001</v>
      </c>
      <c r="D2504" s="36">
        <f t="shared" si="153"/>
        <v>371.78662743759423</v>
      </c>
      <c r="E2504" s="40">
        <v>14281.299805000001</v>
      </c>
      <c r="F2504" s="36">
        <f t="shared" si="154"/>
        <v>14821.673205975188</v>
      </c>
      <c r="G2504" s="36">
        <f t="shared" si="155"/>
        <v>13334.526696224813</v>
      </c>
      <c r="I2504" s="40">
        <v>14281.299805000001</v>
      </c>
      <c r="J2504" s="36">
        <v>14821.673205975188</v>
      </c>
      <c r="K2504" s="36">
        <v>13334.526696224813</v>
      </c>
    </row>
    <row r="2505" spans="1:11" x14ac:dyDescent="0.25">
      <c r="A2505" s="39">
        <v>44215</v>
      </c>
      <c r="B2505" s="36">
        <v>14521.150390999999</v>
      </c>
      <c r="C2505" s="36">
        <f t="shared" si="152"/>
        <v>14116.129980399997</v>
      </c>
      <c r="D2505" s="36">
        <f t="shared" si="153"/>
        <v>376.46629575310794</v>
      </c>
      <c r="E2505" s="40">
        <v>14521.150390999999</v>
      </c>
      <c r="F2505" s="36">
        <f t="shared" si="154"/>
        <v>14869.062571906214</v>
      </c>
      <c r="G2505" s="36">
        <f t="shared" si="155"/>
        <v>13363.197388893781</v>
      </c>
      <c r="I2505" s="40">
        <v>14521.150390999999</v>
      </c>
      <c r="J2505" s="36">
        <v>14869.062571906214</v>
      </c>
      <c r="K2505" s="36">
        <v>13363.197388893781</v>
      </c>
    </row>
    <row r="2506" spans="1:11" x14ac:dyDescent="0.25">
      <c r="A2506" s="39">
        <v>44216</v>
      </c>
      <c r="B2506" s="36">
        <v>14644.700194999999</v>
      </c>
      <c r="C2506" s="36">
        <f t="shared" si="152"/>
        <v>14181.944970599998</v>
      </c>
      <c r="D2506" s="36">
        <f t="shared" si="153"/>
        <v>345.27234650564259</v>
      </c>
      <c r="E2506" s="40">
        <v>14644.700194999999</v>
      </c>
      <c r="F2506" s="36">
        <f t="shared" si="154"/>
        <v>14872.489663611283</v>
      </c>
      <c r="G2506" s="36">
        <f t="shared" si="155"/>
        <v>13491.400277588713</v>
      </c>
      <c r="I2506" s="40">
        <v>14644.700194999999</v>
      </c>
      <c r="J2506" s="36">
        <v>14872.489663611283</v>
      </c>
      <c r="K2506" s="36">
        <v>13491.400277588713</v>
      </c>
    </row>
    <row r="2507" spans="1:11" x14ac:dyDescent="0.25">
      <c r="A2507" s="39">
        <v>44217</v>
      </c>
      <c r="B2507" s="36">
        <v>14590.349609000001</v>
      </c>
      <c r="C2507" s="36">
        <f t="shared" si="152"/>
        <v>14238.147460800003</v>
      </c>
      <c r="D2507" s="36">
        <f t="shared" si="153"/>
        <v>312.58841439748142</v>
      </c>
      <c r="E2507" s="40">
        <v>14590.349609000001</v>
      </c>
      <c r="F2507" s="36">
        <f t="shared" si="154"/>
        <v>14863.324289594966</v>
      </c>
      <c r="G2507" s="36">
        <f t="shared" si="155"/>
        <v>13612.970632005039</v>
      </c>
      <c r="I2507" s="40">
        <v>14590.349609000001</v>
      </c>
      <c r="J2507" s="36">
        <v>14863.324289594966</v>
      </c>
      <c r="K2507" s="36">
        <v>13612.970632005039</v>
      </c>
    </row>
    <row r="2508" spans="1:11" x14ac:dyDescent="0.25">
      <c r="A2508" s="11">
        <v>44218</v>
      </c>
      <c r="B2508" s="37">
        <v>14371.900390999999</v>
      </c>
      <c r="C2508" s="36">
        <f t="shared" si="152"/>
        <v>14276.687499899999</v>
      </c>
      <c r="D2508" s="36">
        <f t="shared" si="153"/>
        <v>275.19103489763546</v>
      </c>
      <c r="E2508" s="32">
        <v>14371.900390999999</v>
      </c>
      <c r="F2508" s="36">
        <f t="shared" si="154"/>
        <v>14827.06956969527</v>
      </c>
      <c r="G2508" s="36">
        <f t="shared" si="155"/>
        <v>13726.305430104729</v>
      </c>
      <c r="I2508" s="32">
        <v>14371.900390999999</v>
      </c>
      <c r="J2508" s="36">
        <v>14827.06956969527</v>
      </c>
      <c r="K2508" s="36">
        <v>13726.305430104729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2</vt:i4>
      </vt:variant>
    </vt:vector>
  </HeadingPairs>
  <TitlesOfParts>
    <vt:vector size="6" baseType="lpstr">
      <vt:lpstr>Data_SBIN_ICICI</vt:lpstr>
      <vt:lpstr>Nifty</vt:lpstr>
      <vt:lpstr>Sheet1</vt:lpstr>
      <vt:lpstr>Bollinger Bands</vt:lpstr>
      <vt:lpstr>Chart1</vt:lpstr>
      <vt:lpstr>Chart2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Nitin Aggarwal</dc:creator>
  <cp:lastModifiedBy>Nitin Aggarwal</cp:lastModifiedBy>
  <dcterms:created xsi:type="dcterms:W3CDTF">2021-01-24T02:24:36Z</dcterms:created>
  <dcterms:modified xsi:type="dcterms:W3CDTF">2021-01-24T07:42:33Z</dcterms:modified>
</cp:coreProperties>
</file>