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dies\EPAT\EPAT-02-Statistics for Financial Markets (SFM)\"/>
    </mc:Choice>
  </mc:AlternateContent>
  <bookViews>
    <workbookView xWindow="0" yWindow="0" windowWidth="23040" windowHeight="9372"/>
  </bookViews>
  <sheets>
    <sheet name="Data_SBIN_ICICI" sheetId="1" r:id="rId1"/>
    <sheet name="Nifty" sheetId="2" r:id="rId2"/>
  </sheets>
  <definedNames>
    <definedName name="_xlnm._FilterDatabase" localSheetId="1" hidden="1">Nifty!$A$1:$B$2508</definedName>
  </definedNames>
  <calcPr calcId="152511"/>
</workbook>
</file>

<file path=xl/calcChain.xml><?xml version="1.0" encoding="utf-8"?>
<calcChain xmlns="http://schemas.openxmlformats.org/spreadsheetml/2006/main">
  <c r="T4" i="1" l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3" i="1"/>
  <c r="D4" i="1" l="1"/>
  <c r="E4" i="1"/>
  <c r="D5" i="1"/>
  <c r="E5" i="1"/>
  <c r="D6" i="1"/>
  <c r="E6" i="1"/>
  <c r="G21" i="1" s="1"/>
  <c r="D7" i="1"/>
  <c r="E7" i="1"/>
  <c r="G33" i="1" s="1"/>
  <c r="D8" i="1"/>
  <c r="E8" i="1"/>
  <c r="G39" i="1" s="1"/>
  <c r="D9" i="1"/>
  <c r="E9" i="1"/>
  <c r="G57" i="1" s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I57" i="1" s="1"/>
  <c r="K57" i="1" s="1"/>
  <c r="D58" i="1"/>
  <c r="E58" i="1"/>
  <c r="D59" i="1"/>
  <c r="E59" i="1"/>
  <c r="D60" i="1"/>
  <c r="E60" i="1"/>
  <c r="D61" i="1"/>
  <c r="E61" i="1"/>
  <c r="D62" i="1"/>
  <c r="E62" i="1"/>
  <c r="D63" i="1"/>
  <c r="E63" i="1"/>
  <c r="E3" i="1"/>
  <c r="G9" i="1" s="1"/>
  <c r="I9" i="1" s="1"/>
  <c r="K9" i="1" s="1"/>
  <c r="D3" i="1"/>
  <c r="I39" i="1" l="1"/>
  <c r="K39" i="1" s="1"/>
  <c r="I33" i="1"/>
  <c r="K33" i="1" s="1"/>
  <c r="I21" i="1"/>
  <c r="K21" i="1" s="1"/>
  <c r="G45" i="1"/>
  <c r="I45" i="1" s="1"/>
  <c r="K45" i="1" s="1"/>
  <c r="F20" i="1"/>
  <c r="G27" i="1"/>
  <c r="I27" i="1" s="1"/>
  <c r="K27" i="1" s="1"/>
  <c r="F21" i="1"/>
  <c r="H21" i="1" s="1"/>
  <c r="F51" i="1"/>
  <c r="H51" i="1" s="1"/>
  <c r="J51" i="1" s="1"/>
  <c r="G15" i="1"/>
  <c r="I15" i="1" s="1"/>
  <c r="K15" i="1" s="1"/>
  <c r="G63" i="1"/>
  <c r="I63" i="1" s="1"/>
  <c r="K63" i="1" s="1"/>
  <c r="F4" i="1"/>
  <c r="H4" i="1" s="1"/>
  <c r="H38" i="1"/>
  <c r="H43" i="1"/>
  <c r="I54" i="1"/>
  <c r="K54" i="1" s="1"/>
  <c r="J21" i="1"/>
  <c r="N21" i="1"/>
  <c r="H49" i="1"/>
  <c r="H37" i="1"/>
  <c r="H19" i="1"/>
  <c r="I37" i="1"/>
  <c r="K37" i="1" s="1"/>
  <c r="I3" i="1"/>
  <c r="K3" i="1" s="1"/>
  <c r="H46" i="1"/>
  <c r="G51" i="1"/>
  <c r="I51" i="1" s="1"/>
  <c r="K51" i="1" s="1"/>
  <c r="F39" i="1"/>
  <c r="H39" i="1" s="1"/>
  <c r="G62" i="1"/>
  <c r="I62" i="1" s="1"/>
  <c r="K62" i="1" s="1"/>
  <c r="G56" i="1"/>
  <c r="I56" i="1" s="1"/>
  <c r="K56" i="1" s="1"/>
  <c r="G50" i="1"/>
  <c r="I50" i="1" s="1"/>
  <c r="K50" i="1" s="1"/>
  <c r="G44" i="1"/>
  <c r="I44" i="1" s="1"/>
  <c r="K44" i="1" s="1"/>
  <c r="G38" i="1"/>
  <c r="I38" i="1" s="1"/>
  <c r="K38" i="1" s="1"/>
  <c r="G32" i="1"/>
  <c r="I32" i="1" s="1"/>
  <c r="K32" i="1" s="1"/>
  <c r="G26" i="1"/>
  <c r="I26" i="1" s="1"/>
  <c r="K26" i="1" s="1"/>
  <c r="G20" i="1"/>
  <c r="I20" i="1" s="1"/>
  <c r="K20" i="1" s="1"/>
  <c r="G14" i="1"/>
  <c r="I14" i="1" s="1"/>
  <c r="K14" i="1" s="1"/>
  <c r="G8" i="1"/>
  <c r="I8" i="1" s="1"/>
  <c r="K8" i="1" s="1"/>
  <c r="F33" i="1"/>
  <c r="H33" i="1" s="1"/>
  <c r="F56" i="1"/>
  <c r="H56" i="1" s="1"/>
  <c r="F8" i="1"/>
  <c r="H8" i="1" s="1"/>
  <c r="H20" i="1"/>
  <c r="G61" i="1"/>
  <c r="I61" i="1" s="1"/>
  <c r="K61" i="1" s="1"/>
  <c r="G55" i="1"/>
  <c r="I55" i="1" s="1"/>
  <c r="K55" i="1" s="1"/>
  <c r="G49" i="1"/>
  <c r="I49" i="1" s="1"/>
  <c r="K49" i="1" s="1"/>
  <c r="G43" i="1"/>
  <c r="I43" i="1" s="1"/>
  <c r="K43" i="1" s="1"/>
  <c r="G37" i="1"/>
  <c r="G31" i="1"/>
  <c r="I31" i="1" s="1"/>
  <c r="K31" i="1" s="1"/>
  <c r="G25" i="1"/>
  <c r="I25" i="1" s="1"/>
  <c r="K25" i="1" s="1"/>
  <c r="G19" i="1"/>
  <c r="I19" i="1" s="1"/>
  <c r="K19" i="1" s="1"/>
  <c r="G13" i="1"/>
  <c r="I13" i="1" s="1"/>
  <c r="K13" i="1" s="1"/>
  <c r="G7" i="1"/>
  <c r="I7" i="1" s="1"/>
  <c r="K7" i="1" s="1"/>
  <c r="L64" i="1"/>
  <c r="F15" i="1"/>
  <c r="H15" i="1" s="1"/>
  <c r="F26" i="1"/>
  <c r="H26" i="1" s="1"/>
  <c r="F61" i="1"/>
  <c r="H61" i="1" s="1"/>
  <c r="F55" i="1"/>
  <c r="H55" i="1" s="1"/>
  <c r="F49" i="1"/>
  <c r="F43" i="1"/>
  <c r="F37" i="1"/>
  <c r="F31" i="1"/>
  <c r="H31" i="1" s="1"/>
  <c r="F25" i="1"/>
  <c r="H25" i="1" s="1"/>
  <c r="F19" i="1"/>
  <c r="F13" i="1"/>
  <c r="H13" i="1" s="1"/>
  <c r="F7" i="1"/>
  <c r="H7" i="1" s="1"/>
  <c r="M64" i="1"/>
  <c r="F27" i="1"/>
  <c r="H27" i="1" s="1"/>
  <c r="F50" i="1"/>
  <c r="H50" i="1" s="1"/>
  <c r="G60" i="1"/>
  <c r="I60" i="1" s="1"/>
  <c r="K60" i="1" s="1"/>
  <c r="G54" i="1"/>
  <c r="G48" i="1"/>
  <c r="I48" i="1" s="1"/>
  <c r="K48" i="1" s="1"/>
  <c r="G42" i="1"/>
  <c r="I42" i="1" s="1"/>
  <c r="K42" i="1" s="1"/>
  <c r="G36" i="1"/>
  <c r="I36" i="1" s="1"/>
  <c r="K36" i="1" s="1"/>
  <c r="G30" i="1"/>
  <c r="I30" i="1" s="1"/>
  <c r="K30" i="1" s="1"/>
  <c r="G24" i="1"/>
  <c r="I24" i="1" s="1"/>
  <c r="K24" i="1" s="1"/>
  <c r="G18" i="1"/>
  <c r="I18" i="1" s="1"/>
  <c r="K18" i="1" s="1"/>
  <c r="G12" i="1"/>
  <c r="I12" i="1" s="1"/>
  <c r="K12" i="1" s="1"/>
  <c r="G6" i="1"/>
  <c r="I6" i="1" s="1"/>
  <c r="K6" i="1" s="1"/>
  <c r="O64" i="1"/>
  <c r="F38" i="1"/>
  <c r="F60" i="1"/>
  <c r="H60" i="1" s="1"/>
  <c r="F54" i="1"/>
  <c r="H54" i="1" s="1"/>
  <c r="F48" i="1"/>
  <c r="H48" i="1" s="1"/>
  <c r="F42" i="1"/>
  <c r="H42" i="1" s="1"/>
  <c r="F36" i="1"/>
  <c r="H36" i="1" s="1"/>
  <c r="F30" i="1"/>
  <c r="H30" i="1" s="1"/>
  <c r="F24" i="1"/>
  <c r="H24" i="1" s="1"/>
  <c r="F18" i="1"/>
  <c r="H18" i="1" s="1"/>
  <c r="F12" i="1"/>
  <c r="H12" i="1" s="1"/>
  <c r="F6" i="1"/>
  <c r="H6" i="1" s="1"/>
  <c r="F32" i="1"/>
  <c r="H32" i="1" s="1"/>
  <c r="G59" i="1"/>
  <c r="I59" i="1" s="1"/>
  <c r="K59" i="1" s="1"/>
  <c r="G53" i="1"/>
  <c r="I53" i="1" s="1"/>
  <c r="K53" i="1" s="1"/>
  <c r="G47" i="1"/>
  <c r="I47" i="1" s="1"/>
  <c r="K47" i="1" s="1"/>
  <c r="G41" i="1"/>
  <c r="I41" i="1" s="1"/>
  <c r="K41" i="1" s="1"/>
  <c r="G35" i="1"/>
  <c r="I35" i="1" s="1"/>
  <c r="K35" i="1" s="1"/>
  <c r="G29" i="1"/>
  <c r="I29" i="1" s="1"/>
  <c r="K29" i="1" s="1"/>
  <c r="G23" i="1"/>
  <c r="I23" i="1" s="1"/>
  <c r="K23" i="1" s="1"/>
  <c r="G17" i="1"/>
  <c r="I17" i="1" s="1"/>
  <c r="K17" i="1" s="1"/>
  <c r="G11" i="1"/>
  <c r="I11" i="1" s="1"/>
  <c r="K11" i="1" s="1"/>
  <c r="G5" i="1"/>
  <c r="I5" i="1" s="1"/>
  <c r="K5" i="1" s="1"/>
  <c r="F57" i="1"/>
  <c r="H57" i="1" s="1"/>
  <c r="F9" i="1"/>
  <c r="H9" i="1" s="1"/>
  <c r="F14" i="1"/>
  <c r="H14" i="1" s="1"/>
  <c r="F59" i="1"/>
  <c r="H59" i="1" s="1"/>
  <c r="F53" i="1"/>
  <c r="H53" i="1" s="1"/>
  <c r="F47" i="1"/>
  <c r="H47" i="1" s="1"/>
  <c r="F41" i="1"/>
  <c r="H41" i="1" s="1"/>
  <c r="F35" i="1"/>
  <c r="H35" i="1" s="1"/>
  <c r="F29" i="1"/>
  <c r="H29" i="1" s="1"/>
  <c r="F23" i="1"/>
  <c r="H23" i="1" s="1"/>
  <c r="F17" i="1"/>
  <c r="H17" i="1" s="1"/>
  <c r="F11" i="1"/>
  <c r="H11" i="1" s="1"/>
  <c r="F5" i="1"/>
  <c r="H5" i="1" s="1"/>
  <c r="F45" i="1"/>
  <c r="H45" i="1" s="1"/>
  <c r="F44" i="1"/>
  <c r="H44" i="1" s="1"/>
  <c r="F3" i="1"/>
  <c r="G58" i="1"/>
  <c r="I58" i="1" s="1"/>
  <c r="K58" i="1" s="1"/>
  <c r="G52" i="1"/>
  <c r="I52" i="1" s="1"/>
  <c r="K52" i="1" s="1"/>
  <c r="G46" i="1"/>
  <c r="I46" i="1" s="1"/>
  <c r="K46" i="1" s="1"/>
  <c r="G40" i="1"/>
  <c r="I40" i="1" s="1"/>
  <c r="K40" i="1" s="1"/>
  <c r="G34" i="1"/>
  <c r="I34" i="1" s="1"/>
  <c r="K34" i="1" s="1"/>
  <c r="G28" i="1"/>
  <c r="I28" i="1" s="1"/>
  <c r="K28" i="1" s="1"/>
  <c r="G22" i="1"/>
  <c r="I22" i="1" s="1"/>
  <c r="K22" i="1" s="1"/>
  <c r="G16" i="1"/>
  <c r="I16" i="1" s="1"/>
  <c r="K16" i="1" s="1"/>
  <c r="G10" i="1"/>
  <c r="I10" i="1" s="1"/>
  <c r="K10" i="1" s="1"/>
  <c r="G4" i="1"/>
  <c r="I4" i="1" s="1"/>
  <c r="K4" i="1" s="1"/>
  <c r="H3" i="1"/>
  <c r="F63" i="1"/>
  <c r="H63" i="1" s="1"/>
  <c r="F62" i="1"/>
  <c r="H62" i="1" s="1"/>
  <c r="G3" i="1"/>
  <c r="F58" i="1"/>
  <c r="H58" i="1" s="1"/>
  <c r="F52" i="1"/>
  <c r="H52" i="1" s="1"/>
  <c r="F46" i="1"/>
  <c r="F40" i="1"/>
  <c r="H40" i="1" s="1"/>
  <c r="F34" i="1"/>
  <c r="H34" i="1" s="1"/>
  <c r="F28" i="1"/>
  <c r="H28" i="1" s="1"/>
  <c r="F22" i="1"/>
  <c r="H22" i="1" s="1"/>
  <c r="F16" i="1"/>
  <c r="H16" i="1" s="1"/>
  <c r="F10" i="1"/>
  <c r="H10" i="1" s="1"/>
  <c r="J5" i="1" l="1"/>
  <c r="N5" i="1"/>
  <c r="N7" i="1"/>
  <c r="J7" i="1"/>
  <c r="M24" i="1"/>
  <c r="N34" i="1"/>
  <c r="J34" i="1"/>
  <c r="J40" i="1"/>
  <c r="N40" i="1"/>
  <c r="N22" i="1"/>
  <c r="J22" i="1"/>
  <c r="J6" i="1"/>
  <c r="N6" i="1"/>
  <c r="N8" i="1"/>
  <c r="J8" i="1"/>
  <c r="J17" i="1"/>
  <c r="N17" i="1"/>
  <c r="J23" i="1"/>
  <c r="N23" i="1"/>
  <c r="N28" i="1"/>
  <c r="J28" i="1"/>
  <c r="J24" i="1"/>
  <c r="N24" i="1"/>
  <c r="J30" i="1"/>
  <c r="N30" i="1"/>
  <c r="N52" i="1"/>
  <c r="J52" i="1"/>
  <c r="J35" i="1"/>
  <c r="N35" i="1"/>
  <c r="J36" i="1"/>
  <c r="N36" i="1"/>
  <c r="N31" i="1"/>
  <c r="J31" i="1"/>
  <c r="N58" i="1"/>
  <c r="J58" i="1"/>
  <c r="J41" i="1"/>
  <c r="N41" i="1"/>
  <c r="J12" i="1"/>
  <c r="N12" i="1"/>
  <c r="N18" i="1"/>
  <c r="J18" i="1"/>
  <c r="N56" i="1"/>
  <c r="J56" i="1"/>
  <c r="J25" i="1"/>
  <c r="N25" i="1"/>
  <c r="J42" i="1"/>
  <c r="N42" i="1"/>
  <c r="J47" i="1"/>
  <c r="N47" i="1"/>
  <c r="J48" i="1"/>
  <c r="N48" i="1"/>
  <c r="J54" i="1"/>
  <c r="N54" i="1"/>
  <c r="J60" i="1"/>
  <c r="N60" i="1"/>
  <c r="N55" i="1"/>
  <c r="J55" i="1"/>
  <c r="N44" i="1"/>
  <c r="J44" i="1"/>
  <c r="J14" i="1"/>
  <c r="N14" i="1"/>
  <c r="J61" i="1"/>
  <c r="N61" i="1"/>
  <c r="J16" i="1"/>
  <c r="N16" i="1"/>
  <c r="M4" i="1"/>
  <c r="M31" i="1"/>
  <c r="M20" i="1"/>
  <c r="M28" i="1"/>
  <c r="M8" i="1"/>
  <c r="M36" i="1"/>
  <c r="M57" i="1"/>
  <c r="M12" i="1"/>
  <c r="M43" i="1"/>
  <c r="M50" i="1"/>
  <c r="M59" i="1"/>
  <c r="M44" i="1"/>
  <c r="M14" i="1"/>
  <c r="M13" i="1"/>
  <c r="M33" i="1"/>
  <c r="M18" i="1"/>
  <c r="M3" i="1"/>
  <c r="M30" i="1"/>
  <c r="M32" i="1"/>
  <c r="M5" i="1"/>
  <c r="N32" i="1"/>
  <c r="J32" i="1"/>
  <c r="J62" i="1"/>
  <c r="N62" i="1"/>
  <c r="M11" i="1"/>
  <c r="N33" i="1"/>
  <c r="J33" i="1"/>
  <c r="N10" i="1"/>
  <c r="J10" i="1"/>
  <c r="J50" i="1"/>
  <c r="N50" i="1"/>
  <c r="M17" i="1"/>
  <c r="M54" i="1"/>
  <c r="J29" i="1"/>
  <c r="N29" i="1"/>
  <c r="M29" i="1"/>
  <c r="M61" i="1"/>
  <c r="M25" i="1"/>
  <c r="M41" i="1"/>
  <c r="M7" i="1"/>
  <c r="M35" i="1"/>
  <c r="M26" i="1"/>
  <c r="N63" i="1"/>
  <c r="J63" i="1"/>
  <c r="S4" i="1"/>
  <c r="S16" i="1"/>
  <c r="S28" i="1"/>
  <c r="S40" i="1"/>
  <c r="S52" i="1"/>
  <c r="S64" i="1"/>
  <c r="S76" i="1"/>
  <c r="S88" i="1"/>
  <c r="S100" i="1"/>
  <c r="S51" i="1"/>
  <c r="S5" i="1"/>
  <c r="S17" i="1"/>
  <c r="S29" i="1"/>
  <c r="S41" i="1"/>
  <c r="S53" i="1"/>
  <c r="S65" i="1"/>
  <c r="S77" i="1"/>
  <c r="S89" i="1"/>
  <c r="S101" i="1"/>
  <c r="S15" i="1"/>
  <c r="S6" i="1"/>
  <c r="S18" i="1"/>
  <c r="S30" i="1"/>
  <c r="S42" i="1"/>
  <c r="S54" i="1"/>
  <c r="S66" i="1"/>
  <c r="S78" i="1"/>
  <c r="S90" i="1"/>
  <c r="S102" i="1"/>
  <c r="S75" i="1"/>
  <c r="S7" i="1"/>
  <c r="S19" i="1"/>
  <c r="S31" i="1"/>
  <c r="S43" i="1"/>
  <c r="S55" i="1"/>
  <c r="S67" i="1"/>
  <c r="S79" i="1"/>
  <c r="S91" i="1"/>
  <c r="S103" i="1"/>
  <c r="S8" i="1"/>
  <c r="S20" i="1"/>
  <c r="S32" i="1"/>
  <c r="S44" i="1"/>
  <c r="S56" i="1"/>
  <c r="S68" i="1"/>
  <c r="S80" i="1"/>
  <c r="S92" i="1"/>
  <c r="S3" i="1"/>
  <c r="S87" i="1"/>
  <c r="S9" i="1"/>
  <c r="S21" i="1"/>
  <c r="S33" i="1"/>
  <c r="S45" i="1"/>
  <c r="S57" i="1"/>
  <c r="S69" i="1"/>
  <c r="S81" i="1"/>
  <c r="S93" i="1"/>
  <c r="S10" i="1"/>
  <c r="S22" i="1"/>
  <c r="S34" i="1"/>
  <c r="S46" i="1"/>
  <c r="S58" i="1"/>
  <c r="S70" i="1"/>
  <c r="S82" i="1"/>
  <c r="S94" i="1"/>
  <c r="S11" i="1"/>
  <c r="S23" i="1"/>
  <c r="S35" i="1"/>
  <c r="S47" i="1"/>
  <c r="S59" i="1"/>
  <c r="S71" i="1"/>
  <c r="S83" i="1"/>
  <c r="S95" i="1"/>
  <c r="S12" i="1"/>
  <c r="S24" i="1"/>
  <c r="S36" i="1"/>
  <c r="S48" i="1"/>
  <c r="S60" i="1"/>
  <c r="S72" i="1"/>
  <c r="S84" i="1"/>
  <c r="S96" i="1"/>
  <c r="S27" i="1"/>
  <c r="S13" i="1"/>
  <c r="S25" i="1"/>
  <c r="S37" i="1"/>
  <c r="S49" i="1"/>
  <c r="S61" i="1"/>
  <c r="S73" i="1"/>
  <c r="S85" i="1"/>
  <c r="S97" i="1"/>
  <c r="S14" i="1"/>
  <c r="S26" i="1"/>
  <c r="S38" i="1"/>
  <c r="S50" i="1"/>
  <c r="S62" i="1"/>
  <c r="S74" i="1"/>
  <c r="S86" i="1"/>
  <c r="S98" i="1"/>
  <c r="S39" i="1"/>
  <c r="S63" i="1"/>
  <c r="S99" i="1"/>
  <c r="J11" i="1"/>
  <c r="N11" i="1"/>
  <c r="J37" i="1"/>
  <c r="N37" i="1"/>
  <c r="J49" i="1"/>
  <c r="N49" i="1"/>
  <c r="M42" i="1"/>
  <c r="M37" i="1"/>
  <c r="M38" i="1"/>
  <c r="M23" i="1"/>
  <c r="M62" i="1"/>
  <c r="M53" i="1"/>
  <c r="M19" i="1"/>
  <c r="M47" i="1"/>
  <c r="N3" i="1"/>
  <c r="J3" i="1"/>
  <c r="N51" i="1"/>
  <c r="J27" i="1"/>
  <c r="N27" i="1"/>
  <c r="N46" i="1"/>
  <c r="J46" i="1"/>
  <c r="N57" i="1"/>
  <c r="J57" i="1"/>
  <c r="N43" i="1"/>
  <c r="J43" i="1"/>
  <c r="J53" i="1"/>
  <c r="N53" i="1"/>
  <c r="J59" i="1"/>
  <c r="N59" i="1"/>
  <c r="M16" i="1"/>
  <c r="M21" i="1"/>
  <c r="M55" i="1"/>
  <c r="N15" i="1"/>
  <c r="J15" i="1"/>
  <c r="N45" i="1"/>
  <c r="J45" i="1"/>
  <c r="N9" i="1"/>
  <c r="J9" i="1"/>
  <c r="N20" i="1"/>
  <c r="J20" i="1"/>
  <c r="M10" i="1"/>
  <c r="M15" i="1"/>
  <c r="M22" i="1"/>
  <c r="M58" i="1"/>
  <c r="M27" i="1"/>
  <c r="M46" i="1"/>
  <c r="M34" i="1"/>
  <c r="M39" i="1"/>
  <c r="M51" i="1"/>
  <c r="M63" i="1"/>
  <c r="J13" i="1"/>
  <c r="N13" i="1"/>
  <c r="J26" i="1"/>
  <c r="N26" i="1"/>
  <c r="M40" i="1"/>
  <c r="M45" i="1"/>
  <c r="M56" i="1"/>
  <c r="M48" i="1"/>
  <c r="M49" i="1"/>
  <c r="N19" i="1"/>
  <c r="J19" i="1"/>
  <c r="J38" i="1"/>
  <c r="N38" i="1"/>
  <c r="M52" i="1"/>
  <c r="M6" i="1"/>
  <c r="M9" i="1"/>
  <c r="M60" i="1"/>
  <c r="N39" i="1"/>
  <c r="J39" i="1"/>
  <c r="N4" i="1"/>
  <c r="J4" i="1"/>
  <c r="L50" i="1" l="1"/>
  <c r="L17" i="1"/>
  <c r="L12" i="1"/>
  <c r="L37" i="1"/>
  <c r="L63" i="1"/>
  <c r="L7" i="1"/>
  <c r="L11" i="1"/>
  <c r="L53" i="1"/>
  <c r="L57" i="1"/>
  <c r="L5" i="1"/>
  <c r="L28" i="1"/>
  <c r="L48" i="1"/>
  <c r="L58" i="1"/>
  <c r="L51" i="1"/>
  <c r="L14" i="1"/>
  <c r="L40" i="1"/>
  <c r="L49" i="1"/>
  <c r="L20" i="1"/>
  <c r="L36" i="1"/>
  <c r="L3" i="1"/>
  <c r="L61" i="1"/>
  <c r="L19" i="1"/>
  <c r="L46" i="1"/>
  <c r="L6" i="1"/>
  <c r="L45" i="1"/>
  <c r="L13" i="1"/>
  <c r="L34" i="1"/>
  <c r="L39" i="1"/>
  <c r="L30" i="1"/>
  <c r="L59" i="1"/>
  <c r="L33" i="1"/>
  <c r="L25" i="1"/>
  <c r="L44" i="1"/>
  <c r="L22" i="1"/>
  <c r="L26" i="1"/>
  <c r="L27" i="1"/>
  <c r="L31" i="1"/>
  <c r="L54" i="1"/>
  <c r="L35" i="1"/>
  <c r="L18" i="1"/>
  <c r="L29" i="1"/>
  <c r="L8" i="1"/>
  <c r="L38" i="1"/>
  <c r="L43" i="1"/>
  <c r="L16" i="1"/>
  <c r="L55" i="1"/>
  <c r="L21" i="1"/>
  <c r="L41" i="1"/>
  <c r="L10" i="1"/>
  <c r="L9" i="1"/>
  <c r="L52" i="1"/>
  <c r="L15" i="1"/>
  <c r="L60" i="1"/>
  <c r="L56" i="1"/>
  <c r="L32" i="1"/>
  <c r="L24" i="1"/>
  <c r="L62" i="1"/>
  <c r="L4" i="1"/>
  <c r="L42" i="1"/>
  <c r="L47" i="1"/>
  <c r="L23" i="1"/>
  <c r="O8" i="1"/>
  <c r="O20" i="1"/>
  <c r="O32" i="1"/>
  <c r="O44" i="1"/>
  <c r="O56" i="1"/>
  <c r="O55" i="1"/>
  <c r="O9" i="1"/>
  <c r="O21" i="1"/>
  <c r="O33" i="1"/>
  <c r="O45" i="1"/>
  <c r="O57" i="1"/>
  <c r="O31" i="1"/>
  <c r="O10" i="1"/>
  <c r="O22" i="1"/>
  <c r="O34" i="1"/>
  <c r="O46" i="1"/>
  <c r="O58" i="1"/>
  <c r="O54" i="1"/>
  <c r="O43" i="1"/>
  <c r="O11" i="1"/>
  <c r="O23" i="1"/>
  <c r="O35" i="1"/>
  <c r="O47" i="1"/>
  <c r="O59" i="1"/>
  <c r="O12" i="1"/>
  <c r="O24" i="1"/>
  <c r="O36" i="1"/>
  <c r="O48" i="1"/>
  <c r="O60" i="1"/>
  <c r="O13" i="1"/>
  <c r="O25" i="1"/>
  <c r="O37" i="1"/>
  <c r="O49" i="1"/>
  <c r="O61" i="1"/>
  <c r="O14" i="1"/>
  <c r="O26" i="1"/>
  <c r="O38" i="1"/>
  <c r="O50" i="1"/>
  <c r="O62" i="1"/>
  <c r="O15" i="1"/>
  <c r="O27" i="1"/>
  <c r="O39" i="1"/>
  <c r="O51" i="1"/>
  <c r="O63" i="1"/>
  <c r="O4" i="1"/>
  <c r="O16" i="1"/>
  <c r="O28" i="1"/>
  <c r="O40" i="1"/>
  <c r="O52" i="1"/>
  <c r="O3" i="1"/>
  <c r="O19" i="1"/>
  <c r="O5" i="1"/>
  <c r="O17" i="1"/>
  <c r="O29" i="1"/>
  <c r="O41" i="1"/>
  <c r="O53" i="1"/>
  <c r="O6" i="1"/>
  <c r="O18" i="1"/>
  <c r="O30" i="1"/>
  <c r="O42" i="1"/>
  <c r="O7" i="1"/>
</calcChain>
</file>

<file path=xl/sharedStrings.xml><?xml version="1.0" encoding="utf-8"?>
<sst xmlns="http://schemas.openxmlformats.org/spreadsheetml/2006/main" count="22" uniqueCount="16">
  <si>
    <t>Date</t>
  </si>
  <si>
    <t>SBIN</t>
  </si>
  <si>
    <t>Nifty</t>
  </si>
  <si>
    <t>ICICI</t>
  </si>
  <si>
    <t>Log Returns</t>
  </si>
  <si>
    <t>Mean Return</t>
  </si>
  <si>
    <t>xi-xbar</t>
  </si>
  <si>
    <t>sq. of xi-xbar</t>
  </si>
  <si>
    <t>stdev</t>
  </si>
  <si>
    <t>(xi-xbar)(yi-ybar)</t>
  </si>
  <si>
    <t>covariance</t>
  </si>
  <si>
    <t>SBIN wt</t>
  </si>
  <si>
    <t>ICICI wt</t>
  </si>
  <si>
    <t>Portfolio Return</t>
  </si>
  <si>
    <t>Porfolios</t>
  </si>
  <si>
    <t>Portfolio 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</si>
</sst>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/>
    <xf numFmtId="0" fontId="16" fillId="0" borderId="0" xfId="0" applyFont="1"/>
    <xf numFmtId="0" fontId="16" fillId="33" borderId="0" xfId="0" applyFont="1" applyFill="1"/>
    <xf numFmtId="0" fontId="16" fillId="34" borderId="0" xfId="0" applyFont="1" applyFill="1"/>
    <xf numFmtId="0" fontId="16" fillId="35" borderId="0" xfId="0" applyFont="1" applyFill="1" applyAlignment="1">
      <alignment horizontal="center"/>
    </xf>
    <xf numFmtId="0" fontId="16" fillId="35" borderId="0" xfId="0" applyFont="1" applyFill="1"/>
    <xf numFmtId="10" fontId="0" fillId="0" borderId="0" xfId="42" applyNumberFormat="1" applyFont="1"/>
    <xf numFmtId="10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47"/>
  <sheetViews>
    <sheetView tabSelected="1" topLeftCell="E1" workbookViewId="0">
      <pane ySplit="2" topLeftCell="A3" activePane="bottomLeft" state="frozen"/>
      <selection activeCell="O1" sqref="O1"/>
      <selection pane="bottomLeft" activeCell="V12" sqref="V12"/>
    </sheetView>
  </sheetViews>
  <sheetFormatPr defaultRowHeight="14.4" x14ac:dyDescent="0.3"/>
  <cols>
    <col min="1" max="1" width="14.5546875" customWidth="1"/>
    <col min="2" max="2" width="9.5546875" customWidth="1"/>
    <col min="4" max="4" width="12.6640625" bestFit="1" customWidth="1"/>
    <col min="5" max="5" width="14.44140625" customWidth="1"/>
    <col min="8" max="9" width="8.88671875" style="2"/>
    <col min="11" max="11" width="11" bestFit="1" customWidth="1"/>
    <col min="12" max="13" width="12" bestFit="1" customWidth="1"/>
    <col min="14" max="14" width="15.33203125" bestFit="1" customWidth="1"/>
    <col min="15" max="15" width="12" bestFit="1" customWidth="1"/>
    <col min="19" max="19" width="14.21875" bestFit="1" customWidth="1"/>
    <col min="20" max="20" width="12.21875" style="2" bestFit="1" customWidth="1"/>
  </cols>
  <sheetData>
    <row r="1" spans="1:23" x14ac:dyDescent="0.3">
      <c r="A1" s="3" t="s">
        <v>0</v>
      </c>
      <c r="B1" s="4" t="s">
        <v>1</v>
      </c>
      <c r="C1" s="5" t="s">
        <v>3</v>
      </c>
      <c r="D1" s="4" t="s">
        <v>4</v>
      </c>
      <c r="E1" s="5" t="s">
        <v>4</v>
      </c>
      <c r="F1" s="4" t="s">
        <v>5</v>
      </c>
      <c r="G1" s="5" t="s">
        <v>5</v>
      </c>
      <c r="H1" s="4" t="s">
        <v>6</v>
      </c>
      <c r="I1" s="5" t="s">
        <v>6</v>
      </c>
      <c r="J1" s="4" t="s">
        <v>7</v>
      </c>
      <c r="K1" s="5" t="s">
        <v>7</v>
      </c>
      <c r="L1" s="4" t="s">
        <v>8</v>
      </c>
      <c r="M1" s="5" t="s">
        <v>8</v>
      </c>
      <c r="N1" s="4" t="s">
        <v>9</v>
      </c>
      <c r="O1" s="5" t="s">
        <v>10</v>
      </c>
      <c r="Q1" s="4" t="s">
        <v>11</v>
      </c>
      <c r="R1" s="5" t="s">
        <v>12</v>
      </c>
    </row>
    <row r="2" spans="1:23" x14ac:dyDescent="0.3">
      <c r="A2" s="1">
        <v>44130</v>
      </c>
      <c r="B2">
        <v>196.699997</v>
      </c>
      <c r="C2" s="2">
        <v>404.45001200000002</v>
      </c>
      <c r="E2" s="2"/>
      <c r="Q2" s="6" t="s">
        <v>14</v>
      </c>
      <c r="R2" s="6"/>
      <c r="S2" s="7" t="s">
        <v>13</v>
      </c>
      <c r="T2" s="7" t="s">
        <v>15</v>
      </c>
    </row>
    <row r="3" spans="1:23" x14ac:dyDescent="0.3">
      <c r="A3" s="1">
        <v>44131</v>
      </c>
      <c r="B3">
        <v>194.64999399999999</v>
      </c>
      <c r="C3" s="2">
        <v>409.95001200000002</v>
      </c>
      <c r="D3" s="2">
        <f>LN((B3/B2))</f>
        <v>-1.0476666911453672E-2</v>
      </c>
      <c r="E3" s="2">
        <f>LN((C3/C2))</f>
        <v>1.3507081180165321E-2</v>
      </c>
      <c r="F3">
        <f>AVERAGE(D$3:D$63)</f>
        <v>6.0038962945843516E-3</v>
      </c>
      <c r="G3" s="2">
        <f>AVERAGE(E$3:E$63)</f>
        <v>4.5490666451837797E-3</v>
      </c>
      <c r="H3" s="2">
        <f>D3-F3</f>
        <v>-1.6480563206038024E-2</v>
      </c>
      <c r="I3" s="2">
        <f>E3-G3</f>
        <v>8.958014534981542E-3</v>
      </c>
      <c r="J3">
        <f>POWER(H3,2)</f>
        <v>2.7160896358821433E-4</v>
      </c>
      <c r="K3" s="2">
        <f>POWER(I3,2)</f>
        <v>8.0246024408940571E-5</v>
      </c>
      <c r="L3">
        <f>SQRT(SUM($J$3:$J$63)/(COUNT($J$3:$J$63)-1))</f>
        <v>2.3892756381468316E-2</v>
      </c>
      <c r="M3" s="2">
        <f>SQRT(SUM($K$3:$K$63)/(COUNT($K$3:$K$63)-1))</f>
        <v>2.1317198767456684E-2</v>
      </c>
      <c r="N3">
        <f>H3*I3</f>
        <v>-1.4763312474437061E-4</v>
      </c>
      <c r="O3">
        <f>SUM(N$3:N$63)/(COUNT($N$3:$N$63)-1)</f>
        <v>3.5265555214074985E-4</v>
      </c>
      <c r="Q3">
        <v>0</v>
      </c>
      <c r="R3">
        <v>1</v>
      </c>
      <c r="S3" s="8">
        <f>Q3*$F$3+R3*$G$3</f>
        <v>4.5490666451837797E-3</v>
      </c>
      <c r="T3" s="8">
        <f>SQRT((Q3*$L$3)^2+(R3*$M$3)^2+2*Q3*R3*$O$3)</f>
        <v>2.1317198767456684E-2</v>
      </c>
      <c r="U3" s="8"/>
      <c r="V3" s="9"/>
      <c r="W3" s="9"/>
    </row>
    <row r="4" spans="1:23" x14ac:dyDescent="0.3">
      <c r="A4" s="1">
        <v>44132</v>
      </c>
      <c r="B4">
        <v>190.449997</v>
      </c>
      <c r="C4" s="2">
        <v>396.04998799999998</v>
      </c>
      <c r="D4" s="2">
        <f t="shared" ref="D4:D63" si="0">LN((B4/B3))</f>
        <v>-2.1813366059460378E-2</v>
      </c>
      <c r="E4" s="2">
        <f t="shared" ref="E4:E63" si="1">LN((C4/C3))</f>
        <v>-3.4494794702965244E-2</v>
      </c>
      <c r="F4" s="2">
        <f t="shared" ref="F4:F63" si="2">AVERAGE(D$3:D$63)</f>
        <v>6.0038962945843516E-3</v>
      </c>
      <c r="G4" s="2">
        <f t="shared" ref="G4:G63" si="3">AVERAGE(E$3:E$63)</f>
        <v>4.5490666451837797E-3</v>
      </c>
      <c r="H4" s="2">
        <f t="shared" ref="H4:H63" si="4">D4-F4</f>
        <v>-2.781726235404473E-2</v>
      </c>
      <c r="I4" s="2">
        <f t="shared" ref="I4:I63" si="5">E4-G4</f>
        <v>-3.9043861348149023E-2</v>
      </c>
      <c r="J4" s="2">
        <f t="shared" ref="J4:J63" si="6">POWER(H4,2)</f>
        <v>7.7380008487375413E-4</v>
      </c>
      <c r="K4" s="2">
        <f t="shared" ref="K4:K63" si="7">POWER(I4,2)</f>
        <v>1.5244231089734852E-3</v>
      </c>
      <c r="L4" s="2">
        <f t="shared" ref="L4:L63" si="8">SQRT(SUM($J$3:$J$63)/(COUNT($J$3:$J$63)-1))</f>
        <v>2.3892756381468316E-2</v>
      </c>
      <c r="M4" s="2">
        <f t="shared" ref="M4:M63" si="9">SQRT(SUM($K$3:$K$63)/(COUNT($K$3:$K$63)-1))</f>
        <v>2.1317198767456684E-2</v>
      </c>
      <c r="N4" s="2">
        <f t="shared" ref="N4:N63" si="10">H4*I4</f>
        <v>1.0860933344364078E-3</v>
      </c>
      <c r="O4" s="2">
        <f t="shared" ref="O4:O63" si="11">SUM(N$3:N$63)/(COUNT($N$3:$N$63)-1)</f>
        <v>3.5265555214074985E-4</v>
      </c>
      <c r="Q4">
        <v>0.01</v>
      </c>
      <c r="R4">
        <v>0.99</v>
      </c>
      <c r="S4" s="8">
        <f t="shared" ref="S4:S67" si="12">Q4*$F$3+R4*$G$3</f>
        <v>4.5636149416777858E-3</v>
      </c>
      <c r="T4" s="8">
        <f t="shared" ref="T4:T67" si="13">SQRT((Q4*$L$3)^2+(R4*$M$3)^2+2*Q4*R4*$O$3)</f>
        <v>2.1270157795251494E-2</v>
      </c>
      <c r="U4" s="8"/>
      <c r="V4" s="9"/>
      <c r="W4" s="9"/>
    </row>
    <row r="5" spans="1:23" x14ac:dyDescent="0.3">
      <c r="A5" s="1">
        <v>44133</v>
      </c>
      <c r="B5">
        <v>188.699997</v>
      </c>
      <c r="C5" s="2">
        <v>399.89999399999999</v>
      </c>
      <c r="D5" s="2">
        <f t="shared" si="0"/>
        <v>-9.2312406961937866E-3</v>
      </c>
      <c r="E5" s="2">
        <f t="shared" si="1"/>
        <v>9.6740652379381578E-3</v>
      </c>
      <c r="F5" s="2">
        <f t="shared" si="2"/>
        <v>6.0038962945843516E-3</v>
      </c>
      <c r="G5" s="2">
        <f t="shared" si="3"/>
        <v>4.5490666451837797E-3</v>
      </c>
      <c r="H5" s="2">
        <f t="shared" si="4"/>
        <v>-1.5235136990778138E-2</v>
      </c>
      <c r="I5" s="2">
        <f t="shared" si="5"/>
        <v>5.1249985927543781E-3</v>
      </c>
      <c r="J5" s="2">
        <f t="shared" si="6"/>
        <v>2.3210939912777633E-4</v>
      </c>
      <c r="K5" s="2">
        <f t="shared" si="7"/>
        <v>2.6265610575734354E-5</v>
      </c>
      <c r="L5" s="2">
        <f t="shared" si="8"/>
        <v>2.3892756381468316E-2</v>
      </c>
      <c r="M5" s="2">
        <f t="shared" si="9"/>
        <v>2.1317198767456684E-2</v>
      </c>
      <c r="N5" s="2">
        <f t="shared" si="10"/>
        <v>-7.8080055638158127E-5</v>
      </c>
      <c r="O5" s="2">
        <f t="shared" si="11"/>
        <v>3.5265555214074985E-4</v>
      </c>
      <c r="Q5" s="2">
        <v>0.02</v>
      </c>
      <c r="R5" s="2">
        <v>0.98</v>
      </c>
      <c r="S5" s="8">
        <f t="shared" si="12"/>
        <v>4.578163238171791E-3</v>
      </c>
      <c r="T5" s="8">
        <f t="shared" si="13"/>
        <v>2.1224520185668321E-2</v>
      </c>
      <c r="U5" s="8"/>
      <c r="V5" s="9"/>
      <c r="W5" s="9"/>
    </row>
    <row r="6" spans="1:23" x14ac:dyDescent="0.3">
      <c r="A6" s="1">
        <v>44134</v>
      </c>
      <c r="B6">
        <v>189.25</v>
      </c>
      <c r="C6" s="2">
        <v>392.60000600000001</v>
      </c>
      <c r="D6" s="2">
        <f t="shared" si="0"/>
        <v>2.9104558413049035E-3</v>
      </c>
      <c r="E6" s="2">
        <f t="shared" si="1"/>
        <v>-1.8423203723930519E-2</v>
      </c>
      <c r="F6" s="2">
        <f t="shared" si="2"/>
        <v>6.0038962945843516E-3</v>
      </c>
      <c r="G6" s="2">
        <f t="shared" si="3"/>
        <v>4.5490666451837797E-3</v>
      </c>
      <c r="H6" s="2">
        <f t="shared" si="4"/>
        <v>-3.0934404532794481E-3</v>
      </c>
      <c r="I6" s="2">
        <f t="shared" si="5"/>
        <v>-2.2972270369114298E-2</v>
      </c>
      <c r="J6" s="2">
        <f t="shared" si="6"/>
        <v>9.5693738379857575E-6</v>
      </c>
      <c r="K6" s="2">
        <f t="shared" si="7"/>
        <v>5.2772520591168673E-4</v>
      </c>
      <c r="L6" s="2">
        <f t="shared" si="8"/>
        <v>2.3892756381468316E-2</v>
      </c>
      <c r="M6" s="2">
        <f t="shared" si="9"/>
        <v>2.1317198767456684E-2</v>
      </c>
      <c r="N6" s="2">
        <f t="shared" si="10"/>
        <v>7.1063350463490972E-5</v>
      </c>
      <c r="O6" s="2">
        <f t="shared" si="11"/>
        <v>3.5265555214074985E-4</v>
      </c>
      <c r="Q6" s="2">
        <v>0.03</v>
      </c>
      <c r="R6" s="2">
        <v>0.97</v>
      </c>
      <c r="S6" s="8">
        <f t="shared" si="12"/>
        <v>4.5927115346657971E-3</v>
      </c>
      <c r="T6" s="8">
        <f t="shared" si="13"/>
        <v>2.1180295010270484E-2</v>
      </c>
      <c r="U6" s="8"/>
      <c r="V6" s="9"/>
      <c r="W6" s="9"/>
    </row>
    <row r="7" spans="1:23" x14ac:dyDescent="0.3">
      <c r="A7" s="1">
        <v>44137</v>
      </c>
      <c r="B7">
        <v>196.050003</v>
      </c>
      <c r="C7" s="2">
        <v>417.45001200000002</v>
      </c>
      <c r="D7" s="2">
        <f t="shared" si="0"/>
        <v>3.5300851723001105E-2</v>
      </c>
      <c r="E7" s="2">
        <f t="shared" si="1"/>
        <v>6.1373508260875537E-2</v>
      </c>
      <c r="F7" s="2">
        <f t="shared" si="2"/>
        <v>6.0038962945843516E-3</v>
      </c>
      <c r="G7" s="2">
        <f t="shared" si="3"/>
        <v>4.5490666451837797E-3</v>
      </c>
      <c r="H7" s="2">
        <f t="shared" si="4"/>
        <v>2.9296955428416753E-2</v>
      </c>
      <c r="I7" s="2">
        <f t="shared" si="5"/>
        <v>5.6824441615691758E-2</v>
      </c>
      <c r="J7" s="2">
        <f t="shared" si="6"/>
        <v>8.5831159737463788E-4</v>
      </c>
      <c r="K7" s="2">
        <f t="shared" si="7"/>
        <v>3.2290171649351613E-3</v>
      </c>
      <c r="L7" s="2">
        <f t="shared" si="8"/>
        <v>2.3892756381468316E-2</v>
      </c>
      <c r="M7" s="2">
        <f t="shared" si="9"/>
        <v>2.1317198767456684E-2</v>
      </c>
      <c r="N7" s="2">
        <f t="shared" si="10"/>
        <v>1.6647831332595915E-3</v>
      </c>
      <c r="O7" s="2">
        <f t="shared" si="11"/>
        <v>3.5265555214074985E-4</v>
      </c>
      <c r="Q7" s="2">
        <v>0.04</v>
      </c>
      <c r="R7" s="2">
        <v>0.96</v>
      </c>
      <c r="S7" s="8">
        <f t="shared" si="12"/>
        <v>4.6072598311598031E-3</v>
      </c>
      <c r="T7" s="8">
        <f t="shared" si="13"/>
        <v>2.1137491134608159E-2</v>
      </c>
      <c r="U7" s="8"/>
      <c r="V7" s="9"/>
      <c r="W7" s="9"/>
    </row>
    <row r="8" spans="1:23" x14ac:dyDescent="0.3">
      <c r="A8" s="1">
        <v>44138</v>
      </c>
      <c r="B8">
        <v>204.75</v>
      </c>
      <c r="C8" s="2">
        <v>443.85000600000001</v>
      </c>
      <c r="D8" s="2">
        <f t="shared" si="0"/>
        <v>4.3419978692619536E-2</v>
      </c>
      <c r="E8" s="2">
        <f t="shared" si="1"/>
        <v>6.1321875646441995E-2</v>
      </c>
      <c r="F8" s="2">
        <f t="shared" si="2"/>
        <v>6.0038962945843516E-3</v>
      </c>
      <c r="G8" s="2">
        <f t="shared" si="3"/>
        <v>4.5490666451837797E-3</v>
      </c>
      <c r="H8" s="2">
        <f t="shared" si="4"/>
        <v>3.7416082398035184E-2</v>
      </c>
      <c r="I8" s="2">
        <f t="shared" si="5"/>
        <v>5.6772809001258216E-2</v>
      </c>
      <c r="J8" s="2">
        <f t="shared" si="6"/>
        <v>1.3999632220165583E-3</v>
      </c>
      <c r="K8" s="2">
        <f t="shared" si="7"/>
        <v>3.2231518418933459E-3</v>
      </c>
      <c r="L8" s="2">
        <f t="shared" si="8"/>
        <v>2.3892756381468316E-2</v>
      </c>
      <c r="M8" s="2">
        <f t="shared" si="9"/>
        <v>2.1317198767456684E-2</v>
      </c>
      <c r="N8" s="2">
        <f t="shared" si="10"/>
        <v>2.1242160995589912E-3</v>
      </c>
      <c r="O8" s="2">
        <f t="shared" si="11"/>
        <v>3.5265555214074985E-4</v>
      </c>
      <c r="Q8" s="2">
        <v>0.05</v>
      </c>
      <c r="R8" s="2">
        <v>0.95</v>
      </c>
      <c r="S8" s="8">
        <f t="shared" si="12"/>
        <v>4.6218081276538083E-3</v>
      </c>
      <c r="T8" s="8">
        <f t="shared" si="13"/>
        <v>2.1096117210105059E-2</v>
      </c>
      <c r="U8" s="8"/>
      <c r="V8" s="9"/>
      <c r="W8" s="9"/>
    </row>
    <row r="9" spans="1:23" x14ac:dyDescent="0.3">
      <c r="A9" s="1">
        <v>44139</v>
      </c>
      <c r="B9">
        <v>207</v>
      </c>
      <c r="C9" s="2">
        <v>437.04998799999998</v>
      </c>
      <c r="D9" s="2">
        <f t="shared" si="0"/>
        <v>1.092907053219023E-2</v>
      </c>
      <c r="E9" s="2">
        <f t="shared" si="1"/>
        <v>-1.5439103462724885E-2</v>
      </c>
      <c r="F9" s="2">
        <f t="shared" si="2"/>
        <v>6.0038962945843516E-3</v>
      </c>
      <c r="G9" s="2">
        <f t="shared" si="3"/>
        <v>4.5490666451837797E-3</v>
      </c>
      <c r="H9" s="2">
        <f t="shared" si="4"/>
        <v>4.9251742376058786E-3</v>
      </c>
      <c r="I9" s="2">
        <f t="shared" si="5"/>
        <v>-1.9988170107908664E-2</v>
      </c>
      <c r="J9" s="2">
        <f t="shared" si="6"/>
        <v>2.4257341270776648E-5</v>
      </c>
      <c r="K9" s="2">
        <f t="shared" si="7"/>
        <v>3.9952694426269346E-4</v>
      </c>
      <c r="L9" s="2">
        <f t="shared" si="8"/>
        <v>2.3892756381468316E-2</v>
      </c>
      <c r="M9" s="2">
        <f t="shared" si="9"/>
        <v>2.1317198767456684E-2</v>
      </c>
      <c r="N9" s="2">
        <f t="shared" si="10"/>
        <v>-9.8445220472355674E-5</v>
      </c>
      <c r="O9" s="2">
        <f t="shared" si="11"/>
        <v>3.5265555214074985E-4</v>
      </c>
      <c r="Q9" s="2">
        <v>0.06</v>
      </c>
      <c r="R9" s="2">
        <v>0.94</v>
      </c>
      <c r="S9" s="8">
        <f t="shared" si="12"/>
        <v>4.6363564241478136E-3</v>
      </c>
      <c r="T9" s="8">
        <f t="shared" si="13"/>
        <v>2.1056181666024971E-2</v>
      </c>
      <c r="U9" s="8"/>
      <c r="V9" s="9"/>
      <c r="W9" s="9"/>
    </row>
    <row r="10" spans="1:23" x14ac:dyDescent="0.3">
      <c r="A10" s="1">
        <v>44140</v>
      </c>
      <c r="B10">
        <v>218.64999399999999</v>
      </c>
      <c r="C10" s="2">
        <v>438.5</v>
      </c>
      <c r="D10" s="2">
        <f t="shared" si="0"/>
        <v>5.4753457152444125E-2</v>
      </c>
      <c r="E10" s="2">
        <f t="shared" si="1"/>
        <v>3.3122342425539607E-3</v>
      </c>
      <c r="F10" s="2">
        <f t="shared" si="2"/>
        <v>6.0038962945843516E-3</v>
      </c>
      <c r="G10" s="2">
        <f t="shared" si="3"/>
        <v>4.5490666451837797E-3</v>
      </c>
      <c r="H10" s="2">
        <f t="shared" si="4"/>
        <v>4.8749560857859774E-2</v>
      </c>
      <c r="I10" s="2">
        <f t="shared" si="5"/>
        <v>-1.236832402629819E-3</v>
      </c>
      <c r="J10" s="2">
        <f t="shared" si="6"/>
        <v>2.3765196838341739E-3</v>
      </c>
      <c r="K10" s="2">
        <f t="shared" si="7"/>
        <v>1.5297543921950508E-6</v>
      </c>
      <c r="L10" s="2">
        <f t="shared" si="8"/>
        <v>2.3892756381468316E-2</v>
      </c>
      <c r="M10" s="2">
        <f t="shared" si="9"/>
        <v>2.1317198767456684E-2</v>
      </c>
      <c r="N10" s="2">
        <f t="shared" si="10"/>
        <v>-6.0295036482975283E-5</v>
      </c>
      <c r="O10" s="2">
        <f t="shared" si="11"/>
        <v>3.5265555214074985E-4</v>
      </c>
      <c r="Q10" s="2">
        <v>7.0000000000000007E-2</v>
      </c>
      <c r="R10" s="2">
        <v>0.93</v>
      </c>
      <c r="S10" s="8">
        <f t="shared" si="12"/>
        <v>4.6509047206418196E-3</v>
      </c>
      <c r="T10" s="8">
        <f t="shared" si="13"/>
        <v>2.1017692701533731E-2</v>
      </c>
      <c r="U10" s="8"/>
      <c r="V10" s="9"/>
      <c r="W10" s="9"/>
    </row>
    <row r="11" spans="1:23" x14ac:dyDescent="0.3">
      <c r="A11" s="1">
        <v>44141</v>
      </c>
      <c r="B11">
        <v>219.199997</v>
      </c>
      <c r="C11" s="2">
        <v>442.79998799999998</v>
      </c>
      <c r="D11" s="2">
        <f t="shared" si="0"/>
        <v>2.5122909699157731E-3</v>
      </c>
      <c r="E11" s="2">
        <f t="shared" si="1"/>
        <v>9.7583619219726442E-3</v>
      </c>
      <c r="F11" s="2">
        <f t="shared" si="2"/>
        <v>6.0038962945843516E-3</v>
      </c>
      <c r="G11" s="2">
        <f t="shared" si="3"/>
        <v>4.5490666451837797E-3</v>
      </c>
      <c r="H11" s="2">
        <f t="shared" si="4"/>
        <v>-3.4916053246685785E-3</v>
      </c>
      <c r="I11" s="2">
        <f t="shared" si="5"/>
        <v>5.2092952767888645E-3</v>
      </c>
      <c r="J11" s="2">
        <f t="shared" si="6"/>
        <v>1.219130774325397E-5</v>
      </c>
      <c r="K11" s="2">
        <f t="shared" si="7"/>
        <v>2.7136757280774773E-5</v>
      </c>
      <c r="L11" s="2">
        <f t="shared" si="8"/>
        <v>2.3892756381468316E-2</v>
      </c>
      <c r="M11" s="2">
        <f t="shared" si="9"/>
        <v>2.1317198767456684E-2</v>
      </c>
      <c r="N11" s="2">
        <f t="shared" si="10"/>
        <v>-1.8188803126206875E-5</v>
      </c>
      <c r="O11" s="2">
        <f t="shared" si="11"/>
        <v>3.5265555214074985E-4</v>
      </c>
      <c r="Q11" s="2">
        <v>0.08</v>
      </c>
      <c r="R11" s="2">
        <v>0.92</v>
      </c>
      <c r="S11" s="8">
        <f t="shared" si="12"/>
        <v>4.6654530171358257E-3</v>
      </c>
      <c r="T11" s="8">
        <f t="shared" si="13"/>
        <v>2.0980658277872623E-2</v>
      </c>
      <c r="U11" s="8"/>
      <c r="V11" s="9"/>
      <c r="W11" s="9"/>
    </row>
    <row r="12" spans="1:23" x14ac:dyDescent="0.3">
      <c r="A12" s="1">
        <v>44144</v>
      </c>
      <c r="B12">
        <v>219.5</v>
      </c>
      <c r="C12" s="2">
        <v>462.70001200000002</v>
      </c>
      <c r="D12" s="2">
        <f t="shared" si="0"/>
        <v>1.3676911274969864E-3</v>
      </c>
      <c r="E12" s="2">
        <f t="shared" si="1"/>
        <v>4.396074811347412E-2</v>
      </c>
      <c r="F12" s="2">
        <f t="shared" si="2"/>
        <v>6.0038962945843516E-3</v>
      </c>
      <c r="G12" s="2">
        <f t="shared" si="3"/>
        <v>4.5490666451837797E-3</v>
      </c>
      <c r="H12" s="2">
        <f t="shared" si="4"/>
        <v>-4.6362051670873657E-3</v>
      </c>
      <c r="I12" s="2">
        <f t="shared" si="5"/>
        <v>3.9411681468290341E-2</v>
      </c>
      <c r="J12" s="2">
        <f t="shared" si="6"/>
        <v>2.1494398351327589E-5</v>
      </c>
      <c r="K12" s="2">
        <f t="shared" si="7"/>
        <v>1.5532806361579802E-3</v>
      </c>
      <c r="L12" s="2">
        <f t="shared" si="8"/>
        <v>2.3892756381468316E-2</v>
      </c>
      <c r="M12" s="2">
        <f t="shared" si="9"/>
        <v>2.1317198767456684E-2</v>
      </c>
      <c r="N12" s="2">
        <f t="shared" si="10"/>
        <v>-1.8272064126688905E-4</v>
      </c>
      <c r="O12" s="2">
        <f t="shared" si="11"/>
        <v>3.5265555214074985E-4</v>
      </c>
      <c r="Q12" s="2">
        <v>0.09</v>
      </c>
      <c r="R12" s="2">
        <v>0.91</v>
      </c>
      <c r="S12" s="8">
        <f t="shared" si="12"/>
        <v>4.6800013136298318E-3</v>
      </c>
      <c r="T12" s="8">
        <f t="shared" si="13"/>
        <v>2.0945086110659192E-2</v>
      </c>
      <c r="U12" s="8"/>
      <c r="V12" s="9"/>
      <c r="W12" s="9"/>
    </row>
    <row r="13" spans="1:23" x14ac:dyDescent="0.3">
      <c r="A13" s="1">
        <v>44145</v>
      </c>
      <c r="B13">
        <v>231.699997</v>
      </c>
      <c r="C13" s="2">
        <v>483.85000600000001</v>
      </c>
      <c r="D13" s="2">
        <f t="shared" si="0"/>
        <v>5.4091185975327069E-2</v>
      </c>
      <c r="E13" s="2">
        <f t="shared" si="1"/>
        <v>4.4696031879804268E-2</v>
      </c>
      <c r="F13" s="2">
        <f t="shared" si="2"/>
        <v>6.0038962945843516E-3</v>
      </c>
      <c r="G13" s="2">
        <f t="shared" si="3"/>
        <v>4.5490666451837797E-3</v>
      </c>
      <c r="H13" s="2">
        <f t="shared" si="4"/>
        <v>4.8087289680742717E-2</v>
      </c>
      <c r="I13" s="2">
        <f t="shared" si="5"/>
        <v>4.0146965234620489E-2</v>
      </c>
      <c r="J13" s="2">
        <f t="shared" si="6"/>
        <v>2.3123874288396651E-3</v>
      </c>
      <c r="K13" s="2">
        <f t="shared" si="7"/>
        <v>1.6117788175498261E-3</v>
      </c>
      <c r="L13" s="2">
        <f t="shared" si="8"/>
        <v>2.3892756381468316E-2</v>
      </c>
      <c r="M13" s="2">
        <f t="shared" si="9"/>
        <v>2.1317198767456684E-2</v>
      </c>
      <c r="N13" s="2">
        <f t="shared" si="10"/>
        <v>1.9305587470399026E-3</v>
      </c>
      <c r="O13" s="2">
        <f t="shared" si="11"/>
        <v>3.5265555214074985E-4</v>
      </c>
      <c r="Q13" s="2">
        <v>0.1</v>
      </c>
      <c r="R13" s="2">
        <v>0.9</v>
      </c>
      <c r="S13" s="8">
        <f t="shared" si="12"/>
        <v>4.6945496101238379E-3</v>
      </c>
      <c r="T13" s="8">
        <f t="shared" si="13"/>
        <v>2.0910983662331503E-2</v>
      </c>
      <c r="U13" s="8"/>
      <c r="V13" s="9"/>
      <c r="W13" s="9"/>
    </row>
    <row r="14" spans="1:23" x14ac:dyDescent="0.3">
      <c r="A14" s="1">
        <v>44146</v>
      </c>
      <c r="B14">
        <v>234.199997</v>
      </c>
      <c r="C14" s="2">
        <v>486.54998799999998</v>
      </c>
      <c r="D14" s="2">
        <f t="shared" si="0"/>
        <v>1.0732019863499235E-2</v>
      </c>
      <c r="E14" s="2">
        <f t="shared" si="1"/>
        <v>5.5646928770622245E-3</v>
      </c>
      <c r="F14" s="2">
        <f t="shared" si="2"/>
        <v>6.0038962945843516E-3</v>
      </c>
      <c r="G14" s="2">
        <f t="shared" si="3"/>
        <v>4.5490666451837797E-3</v>
      </c>
      <c r="H14" s="2">
        <f t="shared" si="4"/>
        <v>4.728123568914883E-3</v>
      </c>
      <c r="I14" s="2">
        <f t="shared" si="5"/>
        <v>1.0156262318784448E-3</v>
      </c>
      <c r="J14" s="2">
        <f t="shared" si="6"/>
        <v>2.2355152482928409E-5</v>
      </c>
      <c r="K14" s="2">
        <f t="shared" si="7"/>
        <v>1.0314966428796084E-6</v>
      </c>
      <c r="L14" s="2">
        <f t="shared" si="8"/>
        <v>2.3892756381468316E-2</v>
      </c>
      <c r="M14" s="2">
        <f t="shared" si="9"/>
        <v>2.1317198767456684E-2</v>
      </c>
      <c r="N14" s="2">
        <f t="shared" si="10"/>
        <v>4.8020063241526866E-6</v>
      </c>
      <c r="O14" s="2">
        <f t="shared" si="11"/>
        <v>3.5265555214074985E-4</v>
      </c>
      <c r="Q14" s="2">
        <v>0.11</v>
      </c>
      <c r="R14" s="2">
        <v>0.89</v>
      </c>
      <c r="S14" s="8">
        <f t="shared" si="12"/>
        <v>4.7090979066178431E-3</v>
      </c>
      <c r="T14" s="8">
        <f t="shared" si="13"/>
        <v>2.0878358134751977E-2</v>
      </c>
      <c r="U14" s="8"/>
      <c r="V14" s="9"/>
      <c r="W14" s="9"/>
    </row>
    <row r="15" spans="1:23" x14ac:dyDescent="0.3">
      <c r="A15" s="1">
        <v>44147</v>
      </c>
      <c r="B15">
        <v>226.800003</v>
      </c>
      <c r="C15" s="2">
        <v>476.70001200000002</v>
      </c>
      <c r="D15" s="2">
        <f t="shared" si="0"/>
        <v>-3.2106853272942271E-2</v>
      </c>
      <c r="E15" s="2">
        <f t="shared" si="1"/>
        <v>-2.0452259220706374E-2</v>
      </c>
      <c r="F15" s="2">
        <f t="shared" si="2"/>
        <v>6.0038962945843516E-3</v>
      </c>
      <c r="G15" s="2">
        <f t="shared" si="3"/>
        <v>4.5490666451837797E-3</v>
      </c>
      <c r="H15" s="2">
        <f t="shared" si="4"/>
        <v>-3.8110749567526622E-2</v>
      </c>
      <c r="I15" s="2">
        <f t="shared" si="5"/>
        <v>-2.5001325865890153E-2</v>
      </c>
      <c r="J15" s="2">
        <f t="shared" si="6"/>
        <v>1.4524292325987307E-3</v>
      </c>
      <c r="K15" s="2">
        <f t="shared" si="7"/>
        <v>6.2506629505242799E-4</v>
      </c>
      <c r="L15" s="2">
        <f t="shared" si="8"/>
        <v>2.3892756381468316E-2</v>
      </c>
      <c r="M15" s="2">
        <f t="shared" si="9"/>
        <v>2.1317198767456684E-2</v>
      </c>
      <c r="N15" s="2">
        <f t="shared" si="10"/>
        <v>9.5281926893106528E-4</v>
      </c>
      <c r="O15" s="2">
        <f t="shared" si="11"/>
        <v>3.5265555214074985E-4</v>
      </c>
      <c r="Q15" s="2">
        <v>0.12</v>
      </c>
      <c r="R15" s="2">
        <v>0.88</v>
      </c>
      <c r="S15" s="8">
        <f t="shared" si="12"/>
        <v>4.7236462031118483E-3</v>
      </c>
      <c r="T15" s="8">
        <f t="shared" si="13"/>
        <v>2.0847216461986864E-2</v>
      </c>
      <c r="U15" s="8"/>
      <c r="V15" s="9"/>
      <c r="W15" s="9"/>
    </row>
    <row r="16" spans="1:23" x14ac:dyDescent="0.3">
      <c r="A16" s="1">
        <v>44148</v>
      </c>
      <c r="B16">
        <v>229.449997</v>
      </c>
      <c r="C16" s="2">
        <v>485.54998799999998</v>
      </c>
      <c r="D16" s="2">
        <f t="shared" si="0"/>
        <v>1.1616542684988299E-2</v>
      </c>
      <c r="E16" s="2">
        <f t="shared" si="1"/>
        <v>1.8394856942276515E-2</v>
      </c>
      <c r="F16" s="2">
        <f t="shared" si="2"/>
        <v>6.0038962945843516E-3</v>
      </c>
      <c r="G16" s="2">
        <f t="shared" si="3"/>
        <v>4.5490666451837797E-3</v>
      </c>
      <c r="H16" s="2">
        <f t="shared" si="4"/>
        <v>5.6126463904039477E-3</v>
      </c>
      <c r="I16" s="2">
        <f t="shared" si="5"/>
        <v>1.3845790297092736E-2</v>
      </c>
      <c r="J16" s="2">
        <f t="shared" si="6"/>
        <v>3.1501799503714462E-5</v>
      </c>
      <c r="K16" s="2">
        <f t="shared" si="7"/>
        <v>1.9170590895106735E-4</v>
      </c>
      <c r="L16" s="2">
        <f t="shared" si="8"/>
        <v>2.3892756381468316E-2</v>
      </c>
      <c r="M16" s="2">
        <f t="shared" si="9"/>
        <v>2.1317198767456684E-2</v>
      </c>
      <c r="N16" s="2">
        <f t="shared" si="10"/>
        <v>7.7711524933267551E-5</v>
      </c>
      <c r="O16" s="2">
        <f t="shared" si="11"/>
        <v>3.5265555214074985E-4</v>
      </c>
      <c r="Q16" s="2">
        <v>0.13</v>
      </c>
      <c r="R16" s="2">
        <v>0.87</v>
      </c>
      <c r="S16" s="8">
        <f t="shared" si="12"/>
        <v>4.7381944996058535E-3</v>
      </c>
      <c r="T16" s="8">
        <f t="shared" si="13"/>
        <v>2.0817565303277198E-2</v>
      </c>
      <c r="U16" s="8"/>
      <c r="V16" s="9"/>
      <c r="W16" s="9"/>
    </row>
    <row r="17" spans="1:23" x14ac:dyDescent="0.3">
      <c r="A17" s="1">
        <v>44152</v>
      </c>
      <c r="B17">
        <v>240.199997</v>
      </c>
      <c r="C17" s="2">
        <v>486.39999399999999</v>
      </c>
      <c r="D17" s="2">
        <f t="shared" si="0"/>
        <v>4.5786769390192661E-2</v>
      </c>
      <c r="E17" s="2">
        <f t="shared" si="1"/>
        <v>1.7490739903097412E-3</v>
      </c>
      <c r="F17" s="2">
        <f t="shared" si="2"/>
        <v>6.0038962945843516E-3</v>
      </c>
      <c r="G17" s="2">
        <f t="shared" si="3"/>
        <v>4.5490666451837797E-3</v>
      </c>
      <c r="H17" s="2">
        <f t="shared" si="4"/>
        <v>3.9782873095608309E-2</v>
      </c>
      <c r="I17" s="2">
        <f t="shared" si="5"/>
        <v>-2.7999926548740385E-3</v>
      </c>
      <c r="J17" s="2">
        <f t="shared" si="6"/>
        <v>1.5826769917412756E-3</v>
      </c>
      <c r="K17" s="2">
        <f t="shared" si="7"/>
        <v>7.8399588673485662E-6</v>
      </c>
      <c r="L17" s="2">
        <f t="shared" si="8"/>
        <v>2.3892756381468316E-2</v>
      </c>
      <c r="M17" s="2">
        <f t="shared" si="9"/>
        <v>2.1317198767456684E-2</v>
      </c>
      <c r="N17" s="2">
        <f t="shared" si="10"/>
        <v>-1.1139175245748927E-4</v>
      </c>
      <c r="O17" s="2">
        <f t="shared" si="11"/>
        <v>3.5265555214074985E-4</v>
      </c>
      <c r="Q17" s="2">
        <v>0.14000000000000001</v>
      </c>
      <c r="R17" s="2">
        <v>0.86</v>
      </c>
      <c r="S17" s="8">
        <f t="shared" si="12"/>
        <v>4.7527427960998595E-3</v>
      </c>
      <c r="T17" s="8">
        <f t="shared" si="13"/>
        <v>2.0789411036217169E-2</v>
      </c>
      <c r="U17" s="8"/>
      <c r="V17" s="9"/>
      <c r="W17" s="9"/>
    </row>
    <row r="18" spans="1:23" x14ac:dyDescent="0.3">
      <c r="A18" s="1">
        <v>44153</v>
      </c>
      <c r="B18">
        <v>252</v>
      </c>
      <c r="C18" s="2">
        <v>497.64999399999999</v>
      </c>
      <c r="D18" s="2">
        <f t="shared" si="0"/>
        <v>4.7957190355132261E-2</v>
      </c>
      <c r="E18" s="2">
        <f t="shared" si="1"/>
        <v>2.2865688318975345E-2</v>
      </c>
      <c r="F18" s="2">
        <f t="shared" si="2"/>
        <v>6.0038962945843516E-3</v>
      </c>
      <c r="G18" s="2">
        <f t="shared" si="3"/>
        <v>4.5490666451837797E-3</v>
      </c>
      <c r="H18" s="2">
        <f t="shared" si="4"/>
        <v>4.1953294060547909E-2</v>
      </c>
      <c r="I18" s="2">
        <f t="shared" si="5"/>
        <v>1.8316621673791566E-2</v>
      </c>
      <c r="J18" s="2">
        <f t="shared" si="6"/>
        <v>1.7600788825308045E-3</v>
      </c>
      <c r="K18" s="2">
        <f t="shared" si="7"/>
        <v>3.3549862954081097E-4</v>
      </c>
      <c r="L18" s="2">
        <f t="shared" si="8"/>
        <v>2.3892756381468316E-2</v>
      </c>
      <c r="M18" s="2">
        <f t="shared" si="9"/>
        <v>2.1317198767456684E-2</v>
      </c>
      <c r="N18" s="2">
        <f t="shared" si="10"/>
        <v>7.6844261527638283E-4</v>
      </c>
      <c r="O18" s="2">
        <f t="shared" si="11"/>
        <v>3.5265555214074985E-4</v>
      </c>
      <c r="Q18" s="2">
        <v>0.15</v>
      </c>
      <c r="R18" s="2">
        <v>0.85</v>
      </c>
      <c r="S18" s="8">
        <f t="shared" si="12"/>
        <v>4.7672910925938648E-3</v>
      </c>
      <c r="T18" s="8">
        <f t="shared" si="13"/>
        <v>2.0762759750155291E-2</v>
      </c>
      <c r="U18" s="8"/>
      <c r="V18" s="9"/>
      <c r="W18" s="9"/>
    </row>
    <row r="19" spans="1:23" x14ac:dyDescent="0.3">
      <c r="A19" s="1">
        <v>44154</v>
      </c>
      <c r="B19">
        <v>239.75</v>
      </c>
      <c r="C19" s="2">
        <v>478.75</v>
      </c>
      <c r="D19" s="2">
        <f t="shared" si="0"/>
        <v>-4.9832373747875754E-2</v>
      </c>
      <c r="E19" s="2">
        <f t="shared" si="1"/>
        <v>-3.8718466140550391E-2</v>
      </c>
      <c r="F19" s="2">
        <f t="shared" si="2"/>
        <v>6.0038962945843516E-3</v>
      </c>
      <c r="G19" s="2">
        <f t="shared" si="3"/>
        <v>4.5490666451837797E-3</v>
      </c>
      <c r="H19" s="2">
        <f t="shared" si="4"/>
        <v>-5.5836270042460105E-2</v>
      </c>
      <c r="I19" s="2">
        <f t="shared" si="5"/>
        <v>-4.326753278573417E-2</v>
      </c>
      <c r="J19" s="2">
        <f t="shared" si="6"/>
        <v>3.1176890522545278E-3</v>
      </c>
      <c r="K19" s="2">
        <f t="shared" si="7"/>
        <v>1.8720793933645814E-3</v>
      </c>
      <c r="L19" s="2">
        <f t="shared" si="8"/>
        <v>2.3892756381468316E-2</v>
      </c>
      <c r="M19" s="2">
        <f t="shared" si="9"/>
        <v>2.1317198767456684E-2</v>
      </c>
      <c r="N19" s="2">
        <f t="shared" si="10"/>
        <v>2.4158976446952492E-3</v>
      </c>
      <c r="O19" s="2">
        <f t="shared" si="11"/>
        <v>3.5265555214074985E-4</v>
      </c>
      <c r="Q19" s="2">
        <v>0.16</v>
      </c>
      <c r="R19" s="2">
        <v>0.84</v>
      </c>
      <c r="S19" s="8">
        <f t="shared" si="12"/>
        <v>4.7818393890878708E-3</v>
      </c>
      <c r="T19" s="8">
        <f t="shared" si="13"/>
        <v>2.0737617239833792E-2</v>
      </c>
      <c r="U19" s="8"/>
      <c r="V19" s="9"/>
      <c r="W19" s="9"/>
    </row>
    <row r="20" spans="1:23" x14ac:dyDescent="0.3">
      <c r="A20" s="1">
        <v>44155</v>
      </c>
      <c r="B20">
        <v>242.75</v>
      </c>
      <c r="C20" s="2">
        <v>480.20001200000002</v>
      </c>
      <c r="D20" s="2">
        <f t="shared" si="0"/>
        <v>1.2435393407886675E-2</v>
      </c>
      <c r="E20" s="2">
        <f t="shared" si="1"/>
        <v>3.0241682818844861E-3</v>
      </c>
      <c r="F20" s="2">
        <f t="shared" si="2"/>
        <v>6.0038962945843516E-3</v>
      </c>
      <c r="G20" s="2">
        <f t="shared" si="3"/>
        <v>4.5490666451837797E-3</v>
      </c>
      <c r="H20" s="2">
        <f t="shared" si="4"/>
        <v>6.4314971133023237E-3</v>
      </c>
      <c r="I20" s="2">
        <f t="shared" si="5"/>
        <v>-1.5248983632992937E-3</v>
      </c>
      <c r="J20" s="2">
        <f t="shared" si="6"/>
        <v>4.1364155118416124E-5</v>
      </c>
      <c r="K20" s="2">
        <f t="shared" si="7"/>
        <v>2.3253150183928645E-6</v>
      </c>
      <c r="L20" s="2">
        <f t="shared" si="8"/>
        <v>2.3892756381468316E-2</v>
      </c>
      <c r="M20" s="2">
        <f t="shared" si="9"/>
        <v>2.1317198767456684E-2</v>
      </c>
      <c r="N20" s="2">
        <f t="shared" si="10"/>
        <v>-9.8073794216388451E-6</v>
      </c>
      <c r="O20" s="2">
        <f t="shared" si="11"/>
        <v>3.5265555214074985E-4</v>
      </c>
      <c r="Q20" s="2">
        <v>0.17</v>
      </c>
      <c r="R20" s="2">
        <v>0.83</v>
      </c>
      <c r="S20" s="8">
        <f t="shared" si="12"/>
        <v>4.7963876855818769E-3</v>
      </c>
      <c r="T20" s="8">
        <f t="shared" si="13"/>
        <v>2.0713988999281081E-2</v>
      </c>
      <c r="U20" s="8"/>
      <c r="V20" s="9"/>
      <c r="W20" s="9"/>
    </row>
    <row r="21" spans="1:23" x14ac:dyDescent="0.3">
      <c r="A21" s="1">
        <v>44158</v>
      </c>
      <c r="B21">
        <v>238.699997</v>
      </c>
      <c r="C21" s="2">
        <v>468.25</v>
      </c>
      <c r="D21" s="2">
        <f t="shared" si="0"/>
        <v>-1.6824586394727014E-2</v>
      </c>
      <c r="E21" s="2">
        <f t="shared" si="1"/>
        <v>-2.5200367452542321E-2</v>
      </c>
      <c r="F21" s="2">
        <f t="shared" si="2"/>
        <v>6.0038962945843516E-3</v>
      </c>
      <c r="G21" s="2">
        <f t="shared" si="3"/>
        <v>4.5490666451837797E-3</v>
      </c>
      <c r="H21" s="2">
        <f t="shared" si="4"/>
        <v>-2.2828482689311366E-2</v>
      </c>
      <c r="I21" s="2">
        <f t="shared" si="5"/>
        <v>-2.97494340977261E-2</v>
      </c>
      <c r="J21" s="2">
        <f t="shared" si="6"/>
        <v>5.2113962189618862E-4</v>
      </c>
      <c r="K21" s="2">
        <f t="shared" si="7"/>
        <v>8.8502882913494836E-4</v>
      </c>
      <c r="L21" s="2">
        <f t="shared" si="8"/>
        <v>2.3892756381468316E-2</v>
      </c>
      <c r="M21" s="2">
        <f t="shared" si="9"/>
        <v>2.1317198767456684E-2</v>
      </c>
      <c r="N21" s="2">
        <f t="shared" si="10"/>
        <v>6.791344413167496E-4</v>
      </c>
      <c r="O21" s="2">
        <f t="shared" si="11"/>
        <v>3.5265555214074985E-4</v>
      </c>
      <c r="Q21" s="2">
        <v>0.18</v>
      </c>
      <c r="R21" s="2">
        <v>0.82</v>
      </c>
      <c r="S21" s="8">
        <f t="shared" si="12"/>
        <v>4.810935982075883E-3</v>
      </c>
      <c r="T21" s="8">
        <f t="shared" si="13"/>
        <v>2.0691880215971827E-2</v>
      </c>
      <c r="U21" s="8"/>
      <c r="V21" s="9"/>
      <c r="W21" s="9"/>
    </row>
    <row r="22" spans="1:23" x14ac:dyDescent="0.3">
      <c r="A22" s="1">
        <v>44159</v>
      </c>
      <c r="B22">
        <v>243.85000600000001</v>
      </c>
      <c r="C22" s="2">
        <v>478.20001200000002</v>
      </c>
      <c r="D22" s="2">
        <f t="shared" si="0"/>
        <v>2.134578598464432E-2</v>
      </c>
      <c r="E22" s="2">
        <f t="shared" si="1"/>
        <v>2.1026738794129016E-2</v>
      </c>
      <c r="F22" s="2">
        <f t="shared" si="2"/>
        <v>6.0038962945843516E-3</v>
      </c>
      <c r="G22" s="2">
        <f t="shared" si="3"/>
        <v>4.5490666451837797E-3</v>
      </c>
      <c r="H22" s="2">
        <f t="shared" si="4"/>
        <v>1.5341889690059968E-2</v>
      </c>
      <c r="I22" s="2">
        <f t="shared" si="5"/>
        <v>1.6477672148945237E-2</v>
      </c>
      <c r="J22" s="2">
        <f t="shared" si="6"/>
        <v>2.3537357926196835E-4</v>
      </c>
      <c r="K22" s="2">
        <f t="shared" si="7"/>
        <v>2.7151367944812556E-4</v>
      </c>
      <c r="L22" s="2">
        <f t="shared" si="8"/>
        <v>2.3892756381468316E-2</v>
      </c>
      <c r="M22" s="2">
        <f t="shared" si="9"/>
        <v>2.1317198767456684E-2</v>
      </c>
      <c r="N22" s="2">
        <f t="shared" si="10"/>
        <v>2.5279862845809122E-4</v>
      </c>
      <c r="O22" s="2">
        <f t="shared" si="11"/>
        <v>3.5265555214074985E-4</v>
      </c>
      <c r="Q22" s="2">
        <v>0.19</v>
      </c>
      <c r="R22" s="2">
        <v>0.81</v>
      </c>
      <c r="S22" s="8">
        <f t="shared" si="12"/>
        <v>4.8254842785698891E-3</v>
      </c>
      <c r="T22" s="8">
        <f t="shared" si="13"/>
        <v>2.0671295765268754E-2</v>
      </c>
      <c r="U22" s="8"/>
      <c r="V22" s="9"/>
      <c r="W22" s="9"/>
    </row>
    <row r="23" spans="1:23" x14ac:dyDescent="0.3">
      <c r="A23" s="1">
        <v>44160</v>
      </c>
      <c r="B23">
        <v>243</v>
      </c>
      <c r="C23" s="2">
        <v>472.70001200000002</v>
      </c>
      <c r="D23" s="2">
        <f t="shared" si="0"/>
        <v>-3.4918634208029758E-3</v>
      </c>
      <c r="E23" s="2">
        <f t="shared" si="1"/>
        <v>-1.1568116933056637E-2</v>
      </c>
      <c r="F23" s="2">
        <f t="shared" si="2"/>
        <v>6.0038962945843516E-3</v>
      </c>
      <c r="G23" s="2">
        <f t="shared" si="3"/>
        <v>4.5490666451837797E-3</v>
      </c>
      <c r="H23" s="2">
        <f t="shared" si="4"/>
        <v>-9.495759715387327E-3</v>
      </c>
      <c r="I23" s="2">
        <f t="shared" si="5"/>
        <v>-1.6117183578240418E-2</v>
      </c>
      <c r="J23" s="2">
        <f t="shared" si="6"/>
        <v>9.0169452572372804E-5</v>
      </c>
      <c r="K23" s="2">
        <f t="shared" si="7"/>
        <v>2.5976360649470259E-4</v>
      </c>
      <c r="L23" s="2">
        <f t="shared" si="8"/>
        <v>2.3892756381468316E-2</v>
      </c>
      <c r="M23" s="2">
        <f t="shared" si="9"/>
        <v>2.1317198767456684E-2</v>
      </c>
      <c r="N23" s="2">
        <f t="shared" si="10"/>
        <v>1.5304490254775753E-4</v>
      </c>
      <c r="O23" s="2">
        <f t="shared" si="11"/>
        <v>3.5265555214074985E-4</v>
      </c>
      <c r="Q23" s="2">
        <v>0.2</v>
      </c>
      <c r="R23" s="2">
        <v>0.8</v>
      </c>
      <c r="S23" s="8">
        <f t="shared" si="12"/>
        <v>4.8400325750638943E-3</v>
      </c>
      <c r="T23" s="8">
        <f t="shared" si="13"/>
        <v>2.0652240205159635E-2</v>
      </c>
      <c r="U23" s="8"/>
      <c r="V23" s="9"/>
      <c r="W23" s="9"/>
    </row>
    <row r="24" spans="1:23" x14ac:dyDescent="0.3">
      <c r="A24" s="1">
        <v>44161</v>
      </c>
      <c r="B24">
        <v>245.449997</v>
      </c>
      <c r="C24" s="2">
        <v>475.29998799999998</v>
      </c>
      <c r="D24" s="2">
        <f t="shared" si="0"/>
        <v>1.0031804941064374E-2</v>
      </c>
      <c r="E24" s="2">
        <f t="shared" si="1"/>
        <v>5.4851951874808009E-3</v>
      </c>
      <c r="F24" s="2">
        <f t="shared" si="2"/>
        <v>6.0038962945843516E-3</v>
      </c>
      <c r="G24" s="2">
        <f t="shared" si="3"/>
        <v>4.5490666451837797E-3</v>
      </c>
      <c r="H24" s="2">
        <f t="shared" si="4"/>
        <v>4.0279086464800225E-3</v>
      </c>
      <c r="I24" s="2">
        <f t="shared" si="5"/>
        <v>9.3612854229702114E-4</v>
      </c>
      <c r="J24" s="2">
        <f t="shared" si="6"/>
        <v>1.6224048064388528E-5</v>
      </c>
      <c r="K24" s="2">
        <f t="shared" si="7"/>
        <v>8.763366477031457E-7</v>
      </c>
      <c r="L24" s="2">
        <f t="shared" si="8"/>
        <v>2.3892756381468316E-2</v>
      </c>
      <c r="M24" s="2">
        <f t="shared" si="9"/>
        <v>2.1317198767456684E-2</v>
      </c>
      <c r="N24" s="2">
        <f t="shared" si="10"/>
        <v>3.7706402497349109E-6</v>
      </c>
      <c r="O24" s="2">
        <f t="shared" si="11"/>
        <v>3.5265555214074985E-4</v>
      </c>
      <c r="Q24" s="2">
        <v>0.21</v>
      </c>
      <c r="R24" s="2">
        <v>0.79</v>
      </c>
      <c r="S24" s="8">
        <f t="shared" si="12"/>
        <v>4.8545808715578995E-3</v>
      </c>
      <c r="T24" s="8">
        <f t="shared" si="13"/>
        <v>2.063471777130255E-2</v>
      </c>
      <c r="U24" s="8"/>
      <c r="V24" s="9"/>
      <c r="W24" s="9"/>
    </row>
    <row r="25" spans="1:23" x14ac:dyDescent="0.3">
      <c r="A25" s="1">
        <v>44162</v>
      </c>
      <c r="B25">
        <v>244.25</v>
      </c>
      <c r="C25" s="2">
        <v>473.35000600000001</v>
      </c>
      <c r="D25" s="2">
        <f t="shared" si="0"/>
        <v>-4.900957358720719E-3</v>
      </c>
      <c r="E25" s="2">
        <f t="shared" si="1"/>
        <v>-4.1110731222409056E-3</v>
      </c>
      <c r="F25" s="2">
        <f t="shared" si="2"/>
        <v>6.0038962945843516E-3</v>
      </c>
      <c r="G25" s="2">
        <f t="shared" si="3"/>
        <v>4.5490666451837797E-3</v>
      </c>
      <c r="H25" s="2">
        <f t="shared" si="4"/>
        <v>-1.0904853653305071E-2</v>
      </c>
      <c r="I25" s="2">
        <f t="shared" si="5"/>
        <v>-8.6601397674246853E-3</v>
      </c>
      <c r="J25" s="2">
        <f t="shared" si="6"/>
        <v>1.1891583320000095E-4</v>
      </c>
      <c r="K25" s="2">
        <f t="shared" si="7"/>
        <v>7.4998020791330479E-5</v>
      </c>
      <c r="L25" s="2">
        <f t="shared" si="8"/>
        <v>2.3892756381468316E-2</v>
      </c>
      <c r="M25" s="2">
        <f t="shared" si="9"/>
        <v>2.1317198767456684E-2</v>
      </c>
      <c r="N25" s="2">
        <f t="shared" si="10"/>
        <v>9.4437556780933605E-5</v>
      </c>
      <c r="O25" s="2">
        <f t="shared" si="11"/>
        <v>3.5265555214074985E-4</v>
      </c>
      <c r="Q25" s="2">
        <v>0.22</v>
      </c>
      <c r="R25" s="2">
        <v>0.78</v>
      </c>
      <c r="S25" s="8">
        <f t="shared" si="12"/>
        <v>4.8691291680519055E-3</v>
      </c>
      <c r="T25" s="8">
        <f t="shared" si="13"/>
        <v>2.0618732372391594E-2</v>
      </c>
      <c r="U25" s="8"/>
      <c r="V25" s="9"/>
      <c r="W25" s="9"/>
    </row>
    <row r="26" spans="1:23" x14ac:dyDescent="0.3">
      <c r="A26" s="1">
        <v>44166</v>
      </c>
      <c r="B26">
        <v>248.050003</v>
      </c>
      <c r="C26" s="2">
        <v>485.10000600000001</v>
      </c>
      <c r="D26" s="2">
        <f t="shared" si="0"/>
        <v>1.5438059918501456E-2</v>
      </c>
      <c r="E26" s="2">
        <f t="shared" si="1"/>
        <v>2.4519982369244506E-2</v>
      </c>
      <c r="F26" s="2">
        <f t="shared" si="2"/>
        <v>6.0038962945843516E-3</v>
      </c>
      <c r="G26" s="2">
        <f t="shared" si="3"/>
        <v>4.5490666451837797E-3</v>
      </c>
      <c r="H26" s="2">
        <f t="shared" si="4"/>
        <v>9.4341636239171044E-3</v>
      </c>
      <c r="I26" s="2">
        <f t="shared" si="5"/>
        <v>1.9970915724060727E-2</v>
      </c>
      <c r="J26" s="2">
        <f t="shared" si="6"/>
        <v>8.9003443282840706E-5</v>
      </c>
      <c r="K26" s="2">
        <f t="shared" si="7"/>
        <v>3.9883747485753597E-4</v>
      </c>
      <c r="L26" s="2">
        <f t="shared" si="8"/>
        <v>2.3892756381468316E-2</v>
      </c>
      <c r="M26" s="2">
        <f t="shared" si="9"/>
        <v>2.1317198767456684E-2</v>
      </c>
      <c r="N26" s="2">
        <f t="shared" si="10"/>
        <v>1.8840888666024782E-4</v>
      </c>
      <c r="O26" s="2">
        <f t="shared" si="11"/>
        <v>3.5265555214074985E-4</v>
      </c>
      <c r="Q26" s="2">
        <v>0.23</v>
      </c>
      <c r="R26" s="2">
        <v>0.77</v>
      </c>
      <c r="S26" s="8">
        <f t="shared" si="12"/>
        <v>4.8836774645459116E-3</v>
      </c>
      <c r="T26" s="8">
        <f t="shared" si="13"/>
        <v>2.0604287585854836E-2</v>
      </c>
      <c r="U26" s="8"/>
      <c r="V26" s="9"/>
      <c r="W26" s="9"/>
    </row>
    <row r="27" spans="1:23" x14ac:dyDescent="0.3">
      <c r="A27" s="1">
        <v>44167</v>
      </c>
      <c r="B27">
        <v>246.949997</v>
      </c>
      <c r="C27" s="2">
        <v>480.45001200000002</v>
      </c>
      <c r="D27" s="2">
        <f t="shared" si="0"/>
        <v>-4.4444760029680175E-3</v>
      </c>
      <c r="E27" s="2">
        <f t="shared" si="1"/>
        <v>-9.6318779198935282E-3</v>
      </c>
      <c r="F27" s="2">
        <f t="shared" si="2"/>
        <v>6.0038962945843516E-3</v>
      </c>
      <c r="G27" s="2">
        <f t="shared" si="3"/>
        <v>4.5490666451837797E-3</v>
      </c>
      <c r="H27" s="2">
        <f t="shared" si="4"/>
        <v>-1.0448372297552369E-2</v>
      </c>
      <c r="I27" s="2">
        <f t="shared" si="5"/>
        <v>-1.4180944565077309E-2</v>
      </c>
      <c r="J27" s="2">
        <f t="shared" si="6"/>
        <v>1.0916848366825978E-4</v>
      </c>
      <c r="K27" s="2">
        <f t="shared" si="7"/>
        <v>2.0109918875779566E-4</v>
      </c>
      <c r="L27" s="2">
        <f t="shared" si="8"/>
        <v>2.3892756381468316E-2</v>
      </c>
      <c r="M27" s="2">
        <f t="shared" si="9"/>
        <v>2.1317198767456684E-2</v>
      </c>
      <c r="N27" s="2">
        <f t="shared" si="10"/>
        <v>1.4816778834687958E-4</v>
      </c>
      <c r="O27" s="2">
        <f t="shared" si="11"/>
        <v>3.5265555214074985E-4</v>
      </c>
      <c r="Q27" s="2">
        <v>0.24</v>
      </c>
      <c r="R27" s="2">
        <v>0.76</v>
      </c>
      <c r="S27" s="8">
        <f t="shared" si="12"/>
        <v>4.8982257610399168E-3</v>
      </c>
      <c r="T27" s="8">
        <f t="shared" si="13"/>
        <v>2.0591386653895292E-2</v>
      </c>
      <c r="U27" s="8"/>
      <c r="V27" s="9"/>
      <c r="W27" s="9"/>
    </row>
    <row r="28" spans="1:23" x14ac:dyDescent="0.3">
      <c r="A28" s="1">
        <v>44168</v>
      </c>
      <c r="B28">
        <v>256.29998799999998</v>
      </c>
      <c r="C28" s="2">
        <v>481.85000600000001</v>
      </c>
      <c r="D28" s="2">
        <f t="shared" si="0"/>
        <v>3.7162711711465887E-2</v>
      </c>
      <c r="E28" s="2">
        <f t="shared" si="1"/>
        <v>2.9096850494431769E-3</v>
      </c>
      <c r="F28" s="2">
        <f t="shared" si="2"/>
        <v>6.0038962945843516E-3</v>
      </c>
      <c r="G28" s="2">
        <f t="shared" si="3"/>
        <v>4.5490666451837797E-3</v>
      </c>
      <c r="H28" s="2">
        <f t="shared" si="4"/>
        <v>3.1158815416881536E-2</v>
      </c>
      <c r="I28" s="2">
        <f t="shared" si="5"/>
        <v>-1.6393815957406028E-3</v>
      </c>
      <c r="J28" s="2">
        <f t="shared" si="6"/>
        <v>9.7087177818329449E-4</v>
      </c>
      <c r="K28" s="2">
        <f t="shared" si="7"/>
        <v>2.6875720164530051E-6</v>
      </c>
      <c r="L28" s="2">
        <f t="shared" si="8"/>
        <v>2.3892756381468316E-2</v>
      </c>
      <c r="M28" s="2">
        <f t="shared" si="9"/>
        <v>2.1317198767456684E-2</v>
      </c>
      <c r="N28" s="2">
        <f t="shared" si="10"/>
        <v>-5.1081188539514148E-5</v>
      </c>
      <c r="O28" s="2">
        <f t="shared" si="11"/>
        <v>3.5265555214074985E-4</v>
      </c>
      <c r="Q28" s="2">
        <v>0.25</v>
      </c>
      <c r="R28" s="2">
        <v>0.75</v>
      </c>
      <c r="S28" s="8">
        <f t="shared" si="12"/>
        <v>4.9127740575339229E-3</v>
      </c>
      <c r="T28" s="8">
        <f t="shared" si="13"/>
        <v>2.0580032479885092E-2</v>
      </c>
      <c r="U28" s="8"/>
      <c r="V28" s="9"/>
      <c r="W28" s="9"/>
    </row>
    <row r="29" spans="1:23" x14ac:dyDescent="0.3">
      <c r="A29" s="1">
        <v>44169</v>
      </c>
      <c r="B29">
        <v>263.5</v>
      </c>
      <c r="C29" s="2">
        <v>502.04998799999998</v>
      </c>
      <c r="D29" s="2">
        <f t="shared" si="0"/>
        <v>2.7704781431525341E-2</v>
      </c>
      <c r="E29" s="2">
        <f t="shared" si="1"/>
        <v>4.1066817674138958E-2</v>
      </c>
      <c r="F29" s="2">
        <f t="shared" si="2"/>
        <v>6.0038962945843516E-3</v>
      </c>
      <c r="G29" s="2">
        <f t="shared" si="3"/>
        <v>4.5490666451837797E-3</v>
      </c>
      <c r="H29" s="2">
        <f t="shared" si="4"/>
        <v>2.1700885136940989E-2</v>
      </c>
      <c r="I29" s="2">
        <f t="shared" si="5"/>
        <v>3.651775102895518E-2</v>
      </c>
      <c r="J29" s="2">
        <f t="shared" si="6"/>
        <v>4.7092841572670633E-4</v>
      </c>
      <c r="K29" s="2">
        <f t="shared" si="7"/>
        <v>1.3335461402127571E-3</v>
      </c>
      <c r="L29" s="2">
        <f t="shared" si="8"/>
        <v>2.3892756381468316E-2</v>
      </c>
      <c r="M29" s="2">
        <f t="shared" si="9"/>
        <v>2.1317198767456684E-2</v>
      </c>
      <c r="N29" s="2">
        <f t="shared" si="10"/>
        <v>7.9246752053876502E-4</v>
      </c>
      <c r="O29" s="2">
        <f t="shared" si="11"/>
        <v>3.5265555214074985E-4</v>
      </c>
      <c r="Q29" s="2">
        <v>0.26</v>
      </c>
      <c r="R29" s="2">
        <v>0.74</v>
      </c>
      <c r="S29" s="8">
        <f t="shared" si="12"/>
        <v>4.9273223540279281E-3</v>
      </c>
      <c r="T29" s="8">
        <f t="shared" si="13"/>
        <v>2.05702276251221E-2</v>
      </c>
      <c r="U29" s="8"/>
      <c r="V29" s="9"/>
      <c r="W29" s="9"/>
    </row>
    <row r="30" spans="1:23" x14ac:dyDescent="0.3">
      <c r="A30" s="1">
        <v>44172</v>
      </c>
      <c r="B30">
        <v>269.60000600000001</v>
      </c>
      <c r="C30" s="2">
        <v>510.45001200000002</v>
      </c>
      <c r="D30" s="2">
        <f t="shared" si="0"/>
        <v>2.2886033311927595E-2</v>
      </c>
      <c r="E30" s="2">
        <f t="shared" si="1"/>
        <v>1.6593020700249733E-2</v>
      </c>
      <c r="F30" s="2">
        <f t="shared" si="2"/>
        <v>6.0038962945843516E-3</v>
      </c>
      <c r="G30" s="2">
        <f t="shared" si="3"/>
        <v>4.5490666451837797E-3</v>
      </c>
      <c r="H30" s="2">
        <f t="shared" si="4"/>
        <v>1.6882137017343243E-2</v>
      </c>
      <c r="I30" s="2">
        <f t="shared" si="5"/>
        <v>1.2043954055065954E-2</v>
      </c>
      <c r="J30" s="2">
        <f t="shared" si="6"/>
        <v>2.8500655027235104E-4</v>
      </c>
      <c r="K30" s="2">
        <f t="shared" si="7"/>
        <v>1.4505682928053965E-4</v>
      </c>
      <c r="L30" s="2">
        <f t="shared" si="8"/>
        <v>2.3892756381468316E-2</v>
      </c>
      <c r="M30" s="2">
        <f t="shared" si="9"/>
        <v>2.1317198767456684E-2</v>
      </c>
      <c r="N30" s="2">
        <f t="shared" si="10"/>
        <v>2.0332768258821021E-4</v>
      </c>
      <c r="O30" s="2">
        <f t="shared" si="11"/>
        <v>3.5265555214074985E-4</v>
      </c>
      <c r="Q30" s="2">
        <v>0.27</v>
      </c>
      <c r="R30" s="2">
        <v>0.73</v>
      </c>
      <c r="S30" s="8">
        <f t="shared" si="12"/>
        <v>4.9418706505219342E-3</v>
      </c>
      <c r="T30" s="8">
        <f t="shared" si="13"/>
        <v>2.0561974305957346E-2</v>
      </c>
      <c r="U30" s="8"/>
      <c r="V30" s="9"/>
      <c r="W30" s="9"/>
    </row>
    <row r="31" spans="1:23" x14ac:dyDescent="0.3">
      <c r="A31" s="1">
        <v>44173</v>
      </c>
      <c r="B31">
        <v>271.89999399999999</v>
      </c>
      <c r="C31" s="2">
        <v>508.39999399999999</v>
      </c>
      <c r="D31" s="2">
        <f t="shared" si="0"/>
        <v>8.4949282781436805E-3</v>
      </c>
      <c r="E31" s="2">
        <f t="shared" si="1"/>
        <v>-4.0241856101249848E-3</v>
      </c>
      <c r="F31" s="2">
        <f t="shared" si="2"/>
        <v>6.0038962945843516E-3</v>
      </c>
      <c r="G31" s="2">
        <f t="shared" si="3"/>
        <v>4.5490666451837797E-3</v>
      </c>
      <c r="H31" s="2">
        <f t="shared" si="4"/>
        <v>2.4910319835593289E-3</v>
      </c>
      <c r="I31" s="2">
        <f t="shared" si="5"/>
        <v>-8.5732522553087637E-3</v>
      </c>
      <c r="J31" s="2">
        <f t="shared" si="6"/>
        <v>6.2052403431155249E-6</v>
      </c>
      <c r="K31" s="2">
        <f t="shared" si="7"/>
        <v>7.3500654233156796E-5</v>
      </c>
      <c r="L31" s="2">
        <f t="shared" si="8"/>
        <v>2.3892756381468316E-2</v>
      </c>
      <c r="M31" s="2">
        <f t="shared" si="9"/>
        <v>2.1317198767456684E-2</v>
      </c>
      <c r="N31" s="2">
        <f t="shared" si="10"/>
        <v>-2.1356245571096281E-5</v>
      </c>
      <c r="O31" s="2">
        <f t="shared" si="11"/>
        <v>3.5265555214074985E-4</v>
      </c>
      <c r="Q31" s="2">
        <v>0.28000000000000003</v>
      </c>
      <c r="R31" s="2">
        <v>0.72</v>
      </c>
      <c r="S31" s="8">
        <f t="shared" si="12"/>
        <v>4.9564189470159403E-3</v>
      </c>
      <c r="T31" s="8">
        <f t="shared" si="13"/>
        <v>2.0555274391300806E-2</v>
      </c>
      <c r="U31" s="8"/>
      <c r="V31" s="9"/>
      <c r="W31" s="9"/>
    </row>
    <row r="32" spans="1:23" x14ac:dyDescent="0.3">
      <c r="A32" s="1">
        <v>44174</v>
      </c>
      <c r="B32">
        <v>270.35000600000001</v>
      </c>
      <c r="C32" s="2">
        <v>511.5</v>
      </c>
      <c r="D32" s="2">
        <f t="shared" si="0"/>
        <v>-5.7168915500218501E-3</v>
      </c>
      <c r="E32" s="2">
        <f t="shared" si="1"/>
        <v>6.0790578781132658E-3</v>
      </c>
      <c r="F32" s="2">
        <f t="shared" si="2"/>
        <v>6.0038962945843516E-3</v>
      </c>
      <c r="G32" s="2">
        <f t="shared" si="3"/>
        <v>4.5490666451837797E-3</v>
      </c>
      <c r="H32" s="2">
        <f t="shared" si="4"/>
        <v>-1.1720787844606201E-2</v>
      </c>
      <c r="I32" s="2">
        <f t="shared" si="5"/>
        <v>1.5299912329294861E-3</v>
      </c>
      <c r="J32" s="2">
        <f t="shared" si="6"/>
        <v>1.3737686769826847E-4</v>
      </c>
      <c r="K32" s="2">
        <f t="shared" si="7"/>
        <v>2.3408731728410889E-6</v>
      </c>
      <c r="L32" s="2">
        <f t="shared" si="8"/>
        <v>2.3892756381468316E-2</v>
      </c>
      <c r="M32" s="2">
        <f t="shared" si="9"/>
        <v>2.1317198767456684E-2</v>
      </c>
      <c r="N32" s="2">
        <f t="shared" si="10"/>
        <v>-1.7932702645273976E-5</v>
      </c>
      <c r="O32" s="2">
        <f t="shared" si="11"/>
        <v>3.5265555214074985E-4</v>
      </c>
      <c r="Q32" s="2">
        <v>0.28999999999999998</v>
      </c>
      <c r="R32" s="2">
        <v>0.71</v>
      </c>
      <c r="S32" s="8">
        <f t="shared" si="12"/>
        <v>4.9709672435099455E-3</v>
      </c>
      <c r="T32" s="8">
        <f t="shared" si="13"/>
        <v>2.0550129400511961E-2</v>
      </c>
      <c r="U32" s="8"/>
      <c r="V32" s="9"/>
      <c r="W32" s="9"/>
    </row>
    <row r="33" spans="1:23" x14ac:dyDescent="0.3">
      <c r="A33" s="1">
        <v>44175</v>
      </c>
      <c r="B33">
        <v>269.54998799999998</v>
      </c>
      <c r="C33" s="2">
        <v>506.95001200000002</v>
      </c>
      <c r="D33" s="2">
        <f t="shared" si="0"/>
        <v>-2.9635806424320749E-3</v>
      </c>
      <c r="E33" s="2">
        <f t="shared" si="1"/>
        <v>-8.935182322119142E-3</v>
      </c>
      <c r="F33" s="2">
        <f t="shared" si="2"/>
        <v>6.0038962945843516E-3</v>
      </c>
      <c r="G33" s="2">
        <f t="shared" si="3"/>
        <v>4.5490666451837797E-3</v>
      </c>
      <c r="H33" s="2">
        <f t="shared" si="4"/>
        <v>-8.9674769370164265E-3</v>
      </c>
      <c r="I33" s="2">
        <f t="shared" si="5"/>
        <v>-1.3484248967302923E-2</v>
      </c>
      <c r="J33" s="2">
        <f t="shared" si="6"/>
        <v>8.0415642615921517E-5</v>
      </c>
      <c r="K33" s="2">
        <f t="shared" si="7"/>
        <v>1.8182497021220994E-4</v>
      </c>
      <c r="L33" s="2">
        <f t="shared" si="8"/>
        <v>2.3892756381468316E-2</v>
      </c>
      <c r="M33" s="2">
        <f t="shared" si="9"/>
        <v>2.1317198767456684E-2</v>
      </c>
      <c r="N33" s="2">
        <f t="shared" si="10"/>
        <v>1.2091969162727653E-4</v>
      </c>
      <c r="O33" s="2">
        <f t="shared" si="11"/>
        <v>3.5265555214074985E-4</v>
      </c>
      <c r="Q33" s="2">
        <v>0.3</v>
      </c>
      <c r="R33" s="2">
        <v>0.7</v>
      </c>
      <c r="S33" s="8">
        <f t="shared" si="12"/>
        <v>4.9855155400039507E-3</v>
      </c>
      <c r="T33" s="8">
        <f t="shared" si="13"/>
        <v>2.0546540501680768E-2</v>
      </c>
      <c r="U33" s="8"/>
      <c r="V33" s="9"/>
      <c r="W33" s="9"/>
    </row>
    <row r="34" spans="1:23" x14ac:dyDescent="0.3">
      <c r="A34" s="1">
        <v>44176</v>
      </c>
      <c r="B34">
        <v>272.45001200000002</v>
      </c>
      <c r="C34" s="2">
        <v>515.45001200000002</v>
      </c>
      <c r="D34" s="2">
        <f t="shared" si="0"/>
        <v>1.0701297694850738E-2</v>
      </c>
      <c r="E34" s="2">
        <f t="shared" si="1"/>
        <v>1.6627925753460025E-2</v>
      </c>
      <c r="F34" s="2">
        <f t="shared" si="2"/>
        <v>6.0038962945843516E-3</v>
      </c>
      <c r="G34" s="2">
        <f t="shared" si="3"/>
        <v>4.5490666451837797E-3</v>
      </c>
      <c r="H34" s="2">
        <f t="shared" si="4"/>
        <v>4.6974014002663864E-3</v>
      </c>
      <c r="I34" s="2">
        <f t="shared" si="5"/>
        <v>1.2078859108276246E-2</v>
      </c>
      <c r="J34" s="2">
        <f t="shared" si="6"/>
        <v>2.2065579915224609E-5</v>
      </c>
      <c r="K34" s="2">
        <f t="shared" si="7"/>
        <v>1.4589883735758804E-4</v>
      </c>
      <c r="L34" s="2">
        <f t="shared" si="8"/>
        <v>2.3892756381468316E-2</v>
      </c>
      <c r="M34" s="2">
        <f t="shared" si="9"/>
        <v>2.1317198767456684E-2</v>
      </c>
      <c r="N34" s="2">
        <f t="shared" si="10"/>
        <v>5.6739249688837233E-5</v>
      </c>
      <c r="O34" s="2">
        <f t="shared" si="11"/>
        <v>3.5265555214074985E-4</v>
      </c>
      <c r="Q34" s="2">
        <v>0.31</v>
      </c>
      <c r="R34" s="2">
        <v>0.69</v>
      </c>
      <c r="S34" s="8">
        <f t="shared" si="12"/>
        <v>5.0000638364979567E-3</v>
      </c>
      <c r="T34" s="8">
        <f t="shared" si="13"/>
        <v>2.0544508510303507E-2</v>
      </c>
      <c r="U34" s="8"/>
      <c r="V34" s="9"/>
      <c r="W34" s="9"/>
    </row>
    <row r="35" spans="1:23" x14ac:dyDescent="0.3">
      <c r="A35" s="1">
        <v>44179</v>
      </c>
      <c r="B35">
        <v>274.20001200000002</v>
      </c>
      <c r="C35" s="2">
        <v>525.79998799999998</v>
      </c>
      <c r="D35" s="2">
        <f t="shared" si="0"/>
        <v>6.4026558180039477E-3</v>
      </c>
      <c r="E35" s="2">
        <f t="shared" si="1"/>
        <v>1.9880560650392658E-2</v>
      </c>
      <c r="F35" s="2">
        <f t="shared" si="2"/>
        <v>6.0038962945843516E-3</v>
      </c>
      <c r="G35" s="2">
        <f t="shared" si="3"/>
        <v>4.5490666451837797E-3</v>
      </c>
      <c r="H35" s="2">
        <f t="shared" si="4"/>
        <v>3.9875952341959613E-4</v>
      </c>
      <c r="I35" s="2">
        <f t="shared" si="5"/>
        <v>1.533149400520888E-2</v>
      </c>
      <c r="J35" s="2">
        <f t="shared" si="6"/>
        <v>1.5900915751782343E-7</v>
      </c>
      <c r="K35" s="2">
        <f t="shared" si="7"/>
        <v>2.3505470843175581E-4</v>
      </c>
      <c r="L35" s="2">
        <f t="shared" si="8"/>
        <v>2.3892756381468316E-2</v>
      </c>
      <c r="M35" s="2">
        <f t="shared" si="9"/>
        <v>2.1317198767456684E-2</v>
      </c>
      <c r="N35" s="2">
        <f t="shared" si="10"/>
        <v>6.1135792428274878E-6</v>
      </c>
      <c r="O35" s="2">
        <f t="shared" si="11"/>
        <v>3.5265555214074985E-4</v>
      </c>
      <c r="Q35" s="2">
        <v>0.32</v>
      </c>
      <c r="R35" s="2">
        <v>0.68</v>
      </c>
      <c r="S35" s="8">
        <f t="shared" si="12"/>
        <v>5.0146121329919628E-3</v>
      </c>
      <c r="T35" s="8">
        <f t="shared" si="13"/>
        <v>2.0544033888357006E-2</v>
      </c>
      <c r="U35" s="8"/>
      <c r="V35" s="9"/>
      <c r="W35" s="9"/>
    </row>
    <row r="36" spans="1:23" x14ac:dyDescent="0.3">
      <c r="A36" s="1">
        <v>44180</v>
      </c>
      <c r="B36">
        <v>270.64999399999999</v>
      </c>
      <c r="C36" s="2">
        <v>518.04998799999998</v>
      </c>
      <c r="D36" s="2">
        <f t="shared" si="0"/>
        <v>-1.3031359817755375E-2</v>
      </c>
      <c r="E36" s="2">
        <f t="shared" si="1"/>
        <v>-1.4849149939441397E-2</v>
      </c>
      <c r="F36" s="2">
        <f t="shared" si="2"/>
        <v>6.0038962945843516E-3</v>
      </c>
      <c r="G36" s="2">
        <f t="shared" si="3"/>
        <v>4.5490666451837797E-3</v>
      </c>
      <c r="H36" s="2">
        <f t="shared" si="4"/>
        <v>-1.9035256112339728E-2</v>
      </c>
      <c r="I36" s="2">
        <f t="shared" si="5"/>
        <v>-1.9398216584625178E-2</v>
      </c>
      <c r="J36" s="2">
        <f t="shared" si="6"/>
        <v>3.6234097526236696E-4</v>
      </c>
      <c r="K36" s="2">
        <f t="shared" si="7"/>
        <v>3.7629080666402729E-4</v>
      </c>
      <c r="L36" s="2">
        <f t="shared" si="8"/>
        <v>2.3892756381468316E-2</v>
      </c>
      <c r="M36" s="2">
        <f t="shared" si="9"/>
        <v>2.1317198767456684E-2</v>
      </c>
      <c r="N36" s="2">
        <f t="shared" si="10"/>
        <v>3.6925002081097632E-4</v>
      </c>
      <c r="O36" s="2">
        <f t="shared" si="11"/>
        <v>3.5265555214074985E-4</v>
      </c>
      <c r="Q36" s="2">
        <v>0.33</v>
      </c>
      <c r="R36" s="2">
        <v>0.67</v>
      </c>
      <c r="S36" s="8">
        <f t="shared" si="12"/>
        <v>5.0291604294859689E-3</v>
      </c>
      <c r="T36" s="8">
        <f t="shared" si="13"/>
        <v>2.0545116743773729E-2</v>
      </c>
      <c r="U36" s="8"/>
      <c r="V36" s="9"/>
      <c r="W36" s="9"/>
    </row>
    <row r="37" spans="1:23" x14ac:dyDescent="0.3">
      <c r="A37" s="1">
        <v>44181</v>
      </c>
      <c r="B37">
        <v>269.39999399999999</v>
      </c>
      <c r="C37" s="2">
        <v>512.45001200000002</v>
      </c>
      <c r="D37" s="2">
        <f t="shared" si="0"/>
        <v>-4.6292093695854217E-3</v>
      </c>
      <c r="E37" s="2">
        <f t="shared" si="1"/>
        <v>-1.0868570839482759E-2</v>
      </c>
      <c r="F37" s="2">
        <f t="shared" si="2"/>
        <v>6.0038962945843516E-3</v>
      </c>
      <c r="G37" s="2">
        <f t="shared" si="3"/>
        <v>4.5490666451837797E-3</v>
      </c>
      <c r="H37" s="2">
        <f t="shared" si="4"/>
        <v>-1.0633105664169773E-2</v>
      </c>
      <c r="I37" s="2">
        <f t="shared" si="5"/>
        <v>-1.5417637484666537E-2</v>
      </c>
      <c r="J37" s="2">
        <f t="shared" si="6"/>
        <v>1.1306293606539932E-4</v>
      </c>
      <c r="K37" s="2">
        <f t="shared" si="7"/>
        <v>2.3770354560859471E-4</v>
      </c>
      <c r="L37" s="2">
        <f t="shared" si="8"/>
        <v>2.3892756381468316E-2</v>
      </c>
      <c r="M37" s="2">
        <f t="shared" si="9"/>
        <v>2.1317198767456684E-2</v>
      </c>
      <c r="N37" s="2">
        <f t="shared" si="10"/>
        <v>1.6393736846632398E-4</v>
      </c>
      <c r="O37" s="2">
        <f t="shared" si="11"/>
        <v>3.5265555214074985E-4</v>
      </c>
      <c r="Q37" s="2">
        <v>0.34</v>
      </c>
      <c r="R37" s="2">
        <v>0.66</v>
      </c>
      <c r="S37" s="8">
        <f t="shared" si="12"/>
        <v>5.043708725979975E-3</v>
      </c>
      <c r="T37" s="8">
        <f t="shared" si="13"/>
        <v>2.0547756830319092E-2</v>
      </c>
      <c r="U37" s="8"/>
      <c r="V37" s="9"/>
      <c r="W37" s="9"/>
    </row>
    <row r="38" spans="1:23" x14ac:dyDescent="0.3">
      <c r="A38" s="1">
        <v>44182</v>
      </c>
      <c r="B38">
        <v>267.70001200000002</v>
      </c>
      <c r="C38" s="2">
        <v>510.39999399999999</v>
      </c>
      <c r="D38" s="2">
        <f t="shared" si="0"/>
        <v>-6.3302463519444548E-3</v>
      </c>
      <c r="E38" s="2">
        <f t="shared" si="1"/>
        <v>-4.0084484193963366E-3</v>
      </c>
      <c r="F38" s="2">
        <f t="shared" si="2"/>
        <v>6.0038962945843516E-3</v>
      </c>
      <c r="G38" s="2">
        <f t="shared" si="3"/>
        <v>4.5490666451837797E-3</v>
      </c>
      <c r="H38" s="2">
        <f t="shared" si="4"/>
        <v>-1.2334142646528806E-2</v>
      </c>
      <c r="I38" s="2">
        <f t="shared" si="5"/>
        <v>-8.5575150645801172E-3</v>
      </c>
      <c r="J38" s="2">
        <f t="shared" si="6"/>
        <v>1.521310748249206E-4</v>
      </c>
      <c r="K38" s="2">
        <f t="shared" si="7"/>
        <v>7.3231064080515651E-5</v>
      </c>
      <c r="L38" s="2">
        <f t="shared" si="8"/>
        <v>2.3892756381468316E-2</v>
      </c>
      <c r="M38" s="2">
        <f t="shared" si="9"/>
        <v>2.1317198767456684E-2</v>
      </c>
      <c r="N38" s="2">
        <f t="shared" si="10"/>
        <v>1.0554961150635033E-4</v>
      </c>
      <c r="O38" s="2">
        <f t="shared" si="11"/>
        <v>3.5265555214074985E-4</v>
      </c>
      <c r="Q38" s="2">
        <v>0.35</v>
      </c>
      <c r="R38" s="2">
        <v>0.65</v>
      </c>
      <c r="S38" s="8">
        <f t="shared" si="12"/>
        <v>5.0582570224739793E-3</v>
      </c>
      <c r="T38" s="8">
        <f t="shared" si="13"/>
        <v>2.0551953547871333E-2</v>
      </c>
      <c r="U38" s="8"/>
      <c r="V38" s="9"/>
      <c r="W38" s="9"/>
    </row>
    <row r="39" spans="1:23" x14ac:dyDescent="0.3">
      <c r="A39" s="1">
        <v>44183</v>
      </c>
      <c r="B39">
        <v>271.45001200000002</v>
      </c>
      <c r="C39" s="2">
        <v>517.15002400000003</v>
      </c>
      <c r="D39" s="2">
        <f t="shared" si="0"/>
        <v>1.3911009205891512E-2</v>
      </c>
      <c r="E39" s="2">
        <f t="shared" si="1"/>
        <v>1.3138293956916193E-2</v>
      </c>
      <c r="F39" s="2">
        <f t="shared" si="2"/>
        <v>6.0038962945843516E-3</v>
      </c>
      <c r="G39" s="2">
        <f t="shared" si="3"/>
        <v>4.5490666451837797E-3</v>
      </c>
      <c r="H39" s="2">
        <f t="shared" si="4"/>
        <v>7.9071129113071608E-3</v>
      </c>
      <c r="I39" s="2">
        <f t="shared" si="5"/>
        <v>8.5892273117324121E-3</v>
      </c>
      <c r="J39" s="2">
        <f t="shared" si="6"/>
        <v>6.2522434592160404E-5</v>
      </c>
      <c r="K39" s="2">
        <f t="shared" si="7"/>
        <v>7.3774825812610001E-5</v>
      </c>
      <c r="L39" s="2">
        <f t="shared" si="8"/>
        <v>2.3892756381468316E-2</v>
      </c>
      <c r="M39" s="2">
        <f t="shared" si="9"/>
        <v>2.1317198767456684E-2</v>
      </c>
      <c r="N39" s="2">
        <f t="shared" si="10"/>
        <v>6.7915990174751453E-5</v>
      </c>
      <c r="O39" s="2">
        <f t="shared" si="11"/>
        <v>3.5265555214074985E-4</v>
      </c>
      <c r="Q39" s="2">
        <v>0.36</v>
      </c>
      <c r="R39" s="2">
        <v>0.64</v>
      </c>
      <c r="S39" s="8">
        <f t="shared" si="12"/>
        <v>5.0728053189679854E-3</v>
      </c>
      <c r="T39" s="8">
        <f t="shared" si="13"/>
        <v>2.0557705943103181E-2</v>
      </c>
      <c r="U39" s="8"/>
      <c r="V39" s="9"/>
      <c r="W39" s="9"/>
    </row>
    <row r="40" spans="1:23" x14ac:dyDescent="0.3">
      <c r="A40" s="1">
        <v>44186</v>
      </c>
      <c r="B40">
        <v>254.699997</v>
      </c>
      <c r="C40" s="2">
        <v>494.5</v>
      </c>
      <c r="D40" s="2">
        <f t="shared" si="0"/>
        <v>-6.3691634351647236E-2</v>
      </c>
      <c r="E40" s="2">
        <f t="shared" si="1"/>
        <v>-4.4785863169243635E-2</v>
      </c>
      <c r="F40" s="2">
        <f t="shared" si="2"/>
        <v>6.0038962945843516E-3</v>
      </c>
      <c r="G40" s="2">
        <f t="shared" si="3"/>
        <v>4.5490666451837797E-3</v>
      </c>
      <c r="H40" s="2">
        <f t="shared" si="4"/>
        <v>-6.9695530646231588E-2</v>
      </c>
      <c r="I40" s="2">
        <f t="shared" si="5"/>
        <v>-4.9334929814427414E-2</v>
      </c>
      <c r="J40" s="2">
        <f t="shared" si="6"/>
        <v>4.8574669920598062E-3</v>
      </c>
      <c r="K40" s="2">
        <f t="shared" si="7"/>
        <v>2.4339352997944791E-3</v>
      </c>
      <c r="L40" s="2">
        <f t="shared" si="8"/>
        <v>2.3892756381468316E-2</v>
      </c>
      <c r="M40" s="2">
        <f t="shared" si="9"/>
        <v>2.1317198767456684E-2</v>
      </c>
      <c r="N40" s="2">
        <f t="shared" si="10"/>
        <v>3.4384241128111101E-3</v>
      </c>
      <c r="O40" s="2">
        <f t="shared" si="11"/>
        <v>3.5265555214074985E-4</v>
      </c>
      <c r="Q40" s="2">
        <v>0.37</v>
      </c>
      <c r="R40" s="2">
        <v>0.63</v>
      </c>
      <c r="S40" s="8">
        <f t="shared" si="12"/>
        <v>5.0873536154619915E-3</v>
      </c>
      <c r="T40" s="8">
        <f t="shared" si="13"/>
        <v>2.0565012710563581E-2</v>
      </c>
      <c r="U40" s="8"/>
      <c r="V40" s="9"/>
      <c r="W40" s="9"/>
    </row>
    <row r="41" spans="1:23" x14ac:dyDescent="0.3">
      <c r="A41" s="1">
        <v>44187</v>
      </c>
      <c r="B41">
        <v>257.45001200000002</v>
      </c>
      <c r="C41" s="2">
        <v>500.29998799999998</v>
      </c>
      <c r="D41" s="2">
        <f t="shared" si="0"/>
        <v>1.0739202896293628E-2</v>
      </c>
      <c r="E41" s="2">
        <f t="shared" si="1"/>
        <v>1.1660743445783533E-2</v>
      </c>
      <c r="F41" s="2">
        <f t="shared" si="2"/>
        <v>6.0038962945843516E-3</v>
      </c>
      <c r="G41" s="2">
        <f t="shared" si="3"/>
        <v>4.5490666451837797E-3</v>
      </c>
      <c r="H41" s="2">
        <f t="shared" si="4"/>
        <v>4.735306601709276E-3</v>
      </c>
      <c r="I41" s="2">
        <f t="shared" si="5"/>
        <v>7.1116768005997531E-3</v>
      </c>
      <c r="J41" s="2">
        <f t="shared" si="6"/>
        <v>2.2423128612191452E-5</v>
      </c>
      <c r="K41" s="2">
        <f t="shared" si="7"/>
        <v>5.0575946916188739E-5</v>
      </c>
      <c r="L41" s="2">
        <f t="shared" si="8"/>
        <v>2.3892756381468316E-2</v>
      </c>
      <c r="M41" s="2">
        <f t="shared" si="9"/>
        <v>2.1317198767456684E-2</v>
      </c>
      <c r="N41" s="2">
        <f t="shared" si="10"/>
        <v>3.3675970103102713E-5</v>
      </c>
      <c r="O41" s="2">
        <f t="shared" si="11"/>
        <v>3.5265555214074985E-4</v>
      </c>
      <c r="Q41" s="2">
        <v>0.38</v>
      </c>
      <c r="R41" s="2">
        <v>0.62</v>
      </c>
      <c r="S41" s="8">
        <f t="shared" si="12"/>
        <v>5.1019019119559975E-3</v>
      </c>
      <c r="T41" s="8">
        <f t="shared" si="13"/>
        <v>2.0573872194156503E-2</v>
      </c>
      <c r="U41" s="8"/>
      <c r="V41" s="9"/>
      <c r="W41" s="9"/>
    </row>
    <row r="42" spans="1:23" x14ac:dyDescent="0.3">
      <c r="A42" s="1">
        <v>44188</v>
      </c>
      <c r="B42">
        <v>263</v>
      </c>
      <c r="C42" s="2">
        <v>503.60000600000001</v>
      </c>
      <c r="D42" s="2">
        <f t="shared" si="0"/>
        <v>2.1328459074622878E-2</v>
      </c>
      <c r="E42" s="2">
        <f t="shared" si="1"/>
        <v>6.5744195758592064E-3</v>
      </c>
      <c r="F42" s="2">
        <f t="shared" si="2"/>
        <v>6.0038962945843516E-3</v>
      </c>
      <c r="G42" s="2">
        <f t="shared" si="3"/>
        <v>4.5490666451837797E-3</v>
      </c>
      <c r="H42" s="2">
        <f t="shared" si="4"/>
        <v>1.5324562780038527E-2</v>
      </c>
      <c r="I42" s="2">
        <f t="shared" si="5"/>
        <v>2.0253529306754267E-3</v>
      </c>
      <c r="J42" s="2">
        <f t="shared" si="6"/>
        <v>2.3484222439934215E-4</v>
      </c>
      <c r="K42" s="2">
        <f t="shared" si="7"/>
        <v>4.1020544937955402E-6</v>
      </c>
      <c r="L42" s="2">
        <f t="shared" si="8"/>
        <v>2.3892756381468316E-2</v>
      </c>
      <c r="M42" s="2">
        <f t="shared" si="9"/>
        <v>2.1317198767456684E-2</v>
      </c>
      <c r="N42" s="2">
        <f t="shared" si="10"/>
        <v>3.1037648137870598E-5</v>
      </c>
      <c r="O42" s="2">
        <f t="shared" si="11"/>
        <v>3.5265555214074985E-4</v>
      </c>
      <c r="Q42" s="2">
        <v>0.39</v>
      </c>
      <c r="R42" s="2">
        <v>0.61</v>
      </c>
      <c r="S42" s="8">
        <f t="shared" si="12"/>
        <v>5.1164502084500027E-3</v>
      </c>
      <c r="T42" s="8">
        <f t="shared" si="13"/>
        <v>2.0584282389013067E-2</v>
      </c>
      <c r="U42" s="8"/>
      <c r="V42" s="9"/>
      <c r="W42" s="9"/>
    </row>
    <row r="43" spans="1:23" x14ac:dyDescent="0.3">
      <c r="A43" s="1">
        <v>44189</v>
      </c>
      <c r="B43">
        <v>266.85000600000001</v>
      </c>
      <c r="C43" s="2">
        <v>513.54998799999998</v>
      </c>
      <c r="D43" s="2">
        <f t="shared" si="0"/>
        <v>1.4532693086730927E-2</v>
      </c>
      <c r="E43" s="2">
        <f t="shared" si="1"/>
        <v>1.9565058160642527E-2</v>
      </c>
      <c r="F43" s="2">
        <f t="shared" si="2"/>
        <v>6.0038962945843516E-3</v>
      </c>
      <c r="G43" s="2">
        <f t="shared" si="3"/>
        <v>4.5490666451837797E-3</v>
      </c>
      <c r="H43" s="2">
        <f t="shared" si="4"/>
        <v>8.5287967921465757E-3</v>
      </c>
      <c r="I43" s="2">
        <f t="shared" si="5"/>
        <v>1.5015991515458748E-2</v>
      </c>
      <c r="J43" s="2">
        <f t="shared" si="6"/>
        <v>7.2740374721729718E-5</v>
      </c>
      <c r="K43" s="2">
        <f t="shared" si="7"/>
        <v>2.254800011923291E-4</v>
      </c>
      <c r="L43" s="2">
        <f t="shared" si="8"/>
        <v>2.3892756381468316E-2</v>
      </c>
      <c r="M43" s="2">
        <f t="shared" si="9"/>
        <v>2.1317198767456684E-2</v>
      </c>
      <c r="N43" s="2">
        <f t="shared" si="10"/>
        <v>1.2806834026794477E-4</v>
      </c>
      <c r="O43" s="2">
        <f t="shared" si="11"/>
        <v>3.5265555214074985E-4</v>
      </c>
      <c r="Q43" s="2">
        <v>0.4</v>
      </c>
      <c r="R43" s="2">
        <v>0.6</v>
      </c>
      <c r="S43" s="8">
        <f t="shared" si="12"/>
        <v>5.1309985049440088E-3</v>
      </c>
      <c r="T43" s="8">
        <f t="shared" si="13"/>
        <v>2.0596240943751936E-2</v>
      </c>
      <c r="U43" s="8"/>
      <c r="V43" s="9"/>
      <c r="W43" s="9"/>
    </row>
    <row r="44" spans="1:23" x14ac:dyDescent="0.3">
      <c r="A44" s="1">
        <v>44193</v>
      </c>
      <c r="B44">
        <v>275.20001200000002</v>
      </c>
      <c r="C44" s="2">
        <v>520.09997599999997</v>
      </c>
      <c r="D44" s="2">
        <f t="shared" si="0"/>
        <v>3.0811424399343278E-2</v>
      </c>
      <c r="E44" s="2">
        <f t="shared" si="1"/>
        <v>1.26736823890013E-2</v>
      </c>
      <c r="F44" s="2">
        <f t="shared" si="2"/>
        <v>6.0038962945843516E-3</v>
      </c>
      <c r="G44" s="2">
        <f t="shared" si="3"/>
        <v>4.5490666451837797E-3</v>
      </c>
      <c r="H44" s="2">
        <f t="shared" si="4"/>
        <v>2.4807528104758926E-2</v>
      </c>
      <c r="I44" s="2">
        <f t="shared" si="5"/>
        <v>8.1246157438175197E-3</v>
      </c>
      <c r="J44" s="2">
        <f t="shared" si="6"/>
        <v>6.1541345066840395E-4</v>
      </c>
      <c r="K44" s="2">
        <f t="shared" si="7"/>
        <v>6.6009380984687508E-5</v>
      </c>
      <c r="L44" s="2">
        <f t="shared" si="8"/>
        <v>2.3892756381468316E-2</v>
      </c>
      <c r="M44" s="2">
        <f t="shared" si="9"/>
        <v>2.1317198767456684E-2</v>
      </c>
      <c r="N44" s="2">
        <f t="shared" si="10"/>
        <v>2.0155163340511998E-4</v>
      </c>
      <c r="O44" s="2">
        <f t="shared" si="11"/>
        <v>3.5265555214074985E-4</v>
      </c>
      <c r="Q44" s="2">
        <v>0.41</v>
      </c>
      <c r="R44" s="2">
        <v>0.59</v>
      </c>
      <c r="S44" s="8">
        <f t="shared" si="12"/>
        <v>5.145546801438014E-3</v>
      </c>
      <c r="T44" s="8">
        <f t="shared" si="13"/>
        <v>2.060974516312214E-2</v>
      </c>
      <c r="U44" s="8"/>
      <c r="V44" s="9"/>
      <c r="W44" s="9"/>
    </row>
    <row r="45" spans="1:23" x14ac:dyDescent="0.3">
      <c r="A45" s="1">
        <v>44194</v>
      </c>
      <c r="B45">
        <v>277.89999399999999</v>
      </c>
      <c r="C45" s="2">
        <v>528.79998799999998</v>
      </c>
      <c r="D45" s="2">
        <f t="shared" si="0"/>
        <v>9.7631654941187553E-3</v>
      </c>
      <c r="E45" s="2">
        <f t="shared" si="1"/>
        <v>1.6589211210533104E-2</v>
      </c>
      <c r="F45" s="2">
        <f t="shared" si="2"/>
        <v>6.0038962945843516E-3</v>
      </c>
      <c r="G45" s="2">
        <f t="shared" si="3"/>
        <v>4.5490666451837797E-3</v>
      </c>
      <c r="H45" s="2">
        <f t="shared" si="4"/>
        <v>3.7592691995344037E-3</v>
      </c>
      <c r="I45" s="2">
        <f t="shared" si="5"/>
        <v>1.2040144565349326E-2</v>
      </c>
      <c r="J45" s="2">
        <f t="shared" si="6"/>
        <v>1.4132104914568037E-5</v>
      </c>
      <c r="K45" s="2">
        <f t="shared" si="7"/>
        <v>1.4496508115451089E-4</v>
      </c>
      <c r="L45" s="2">
        <f t="shared" si="8"/>
        <v>2.3892756381468316E-2</v>
      </c>
      <c r="M45" s="2">
        <f t="shared" si="9"/>
        <v>2.1317198767456684E-2</v>
      </c>
      <c r="N45" s="2">
        <f t="shared" si="10"/>
        <v>4.526214462245926E-5</v>
      </c>
      <c r="O45" s="2">
        <f t="shared" si="11"/>
        <v>3.5265555214074985E-4</v>
      </c>
      <c r="Q45" s="2">
        <v>0.42</v>
      </c>
      <c r="R45" s="2">
        <v>0.57999999999999996</v>
      </c>
      <c r="S45" s="8">
        <f t="shared" si="12"/>
        <v>5.1600950979320201E-3</v>
      </c>
      <c r="T45" s="8">
        <f t="shared" si="13"/>
        <v>2.0624792011021399E-2</v>
      </c>
      <c r="U45" s="8"/>
      <c r="V45" s="9"/>
      <c r="W45" s="9"/>
    </row>
    <row r="46" spans="1:23" x14ac:dyDescent="0.3">
      <c r="A46" s="1">
        <v>44195</v>
      </c>
      <c r="B46">
        <v>276.89999399999999</v>
      </c>
      <c r="C46" s="2">
        <v>528.75</v>
      </c>
      <c r="D46" s="2">
        <f t="shared" si="0"/>
        <v>-3.6049066495141102E-3</v>
      </c>
      <c r="E46" s="2">
        <f t="shared" si="1"/>
        <v>-9.4535484098916175E-5</v>
      </c>
      <c r="F46" s="2">
        <f t="shared" si="2"/>
        <v>6.0038962945843516E-3</v>
      </c>
      <c r="G46" s="2">
        <f t="shared" si="3"/>
        <v>4.5490666451837797E-3</v>
      </c>
      <c r="H46" s="2">
        <f t="shared" si="4"/>
        <v>-9.6088029440984622E-3</v>
      </c>
      <c r="I46" s="2">
        <f t="shared" si="5"/>
        <v>-4.6436021292826958E-3</v>
      </c>
      <c r="J46" s="2">
        <f t="shared" si="6"/>
        <v>9.232909401851528E-5</v>
      </c>
      <c r="K46" s="2">
        <f t="shared" si="7"/>
        <v>2.1563040735078786E-5</v>
      </c>
      <c r="L46" s="2">
        <f t="shared" si="8"/>
        <v>2.3892756381468316E-2</v>
      </c>
      <c r="M46" s="2">
        <f t="shared" si="9"/>
        <v>2.1317198767456684E-2</v>
      </c>
      <c r="N46" s="2">
        <f t="shared" si="10"/>
        <v>4.4619457811073455E-5</v>
      </c>
      <c r="O46" s="2">
        <f t="shared" si="11"/>
        <v>3.5265555214074985E-4</v>
      </c>
      <c r="Q46" s="2">
        <v>0.43</v>
      </c>
      <c r="R46" s="2">
        <v>0.56999999999999995</v>
      </c>
      <c r="S46" s="8">
        <f t="shared" si="12"/>
        <v>5.1746433944260253E-3</v>
      </c>
      <c r="T46" s="8">
        <f t="shared" si="13"/>
        <v>2.064137811388209E-2</v>
      </c>
      <c r="U46" s="8"/>
      <c r="V46" s="9"/>
      <c r="W46" s="9"/>
    </row>
    <row r="47" spans="1:23" x14ac:dyDescent="0.3">
      <c r="A47" s="1">
        <v>44196</v>
      </c>
      <c r="B47">
        <v>274.95001200000002</v>
      </c>
      <c r="C47" s="2">
        <v>535.04998799999998</v>
      </c>
      <c r="D47" s="2">
        <f t="shared" si="0"/>
        <v>-7.067101910321805E-3</v>
      </c>
      <c r="E47" s="2">
        <f t="shared" si="1"/>
        <v>1.1844447684711785E-2</v>
      </c>
      <c r="F47" s="2">
        <f t="shared" si="2"/>
        <v>6.0038962945843516E-3</v>
      </c>
      <c r="G47" s="2">
        <f t="shared" si="3"/>
        <v>4.5490666451837797E-3</v>
      </c>
      <c r="H47" s="2">
        <f t="shared" si="4"/>
        <v>-1.3070998204906157E-2</v>
      </c>
      <c r="I47" s="2">
        <f t="shared" si="5"/>
        <v>7.2953810395280051E-3</v>
      </c>
      <c r="J47" s="2">
        <f t="shared" si="6"/>
        <v>1.7085099407265997E-4</v>
      </c>
      <c r="K47" s="2">
        <f t="shared" si="7"/>
        <v>5.3222584511904718E-5</v>
      </c>
      <c r="L47" s="2">
        <f t="shared" si="8"/>
        <v>2.3892756381468316E-2</v>
      </c>
      <c r="M47" s="2">
        <f t="shared" si="9"/>
        <v>2.1317198767456684E-2</v>
      </c>
      <c r="N47" s="2">
        <f t="shared" si="10"/>
        <v>-9.5357912471776972E-5</v>
      </c>
      <c r="O47" s="2">
        <f t="shared" si="11"/>
        <v>3.5265555214074985E-4</v>
      </c>
      <c r="Q47" s="2">
        <v>0.44</v>
      </c>
      <c r="R47" s="2">
        <v>0.56000000000000005</v>
      </c>
      <c r="S47" s="8">
        <f t="shared" si="12"/>
        <v>5.1891916909200314E-3</v>
      </c>
      <c r="T47" s="8">
        <f t="shared" si="13"/>
        <v>2.0659499764416171E-2</v>
      </c>
      <c r="U47" s="8"/>
      <c r="V47" s="9"/>
      <c r="W47" s="9"/>
    </row>
    <row r="48" spans="1:23" x14ac:dyDescent="0.3">
      <c r="A48" s="1">
        <v>44197</v>
      </c>
      <c r="B48">
        <v>279.39999399999999</v>
      </c>
      <c r="C48" s="2">
        <v>527.5</v>
      </c>
      <c r="D48" s="2">
        <f t="shared" si="0"/>
        <v>1.6055118750150966E-2</v>
      </c>
      <c r="E48" s="2">
        <f t="shared" si="1"/>
        <v>-1.4211312694977909E-2</v>
      </c>
      <c r="F48" s="2">
        <f t="shared" si="2"/>
        <v>6.0038962945843516E-3</v>
      </c>
      <c r="G48" s="2">
        <f t="shared" si="3"/>
        <v>4.5490666451837797E-3</v>
      </c>
      <c r="H48" s="2">
        <f t="shared" si="4"/>
        <v>1.0051222455566614E-2</v>
      </c>
      <c r="I48" s="2">
        <f t="shared" si="5"/>
        <v>-1.8760379340161688E-2</v>
      </c>
      <c r="J48" s="2">
        <f t="shared" si="6"/>
        <v>1.0102707285128656E-4</v>
      </c>
      <c r="K48" s="2">
        <f t="shared" si="7"/>
        <v>3.5195183298676548E-4</v>
      </c>
      <c r="L48" s="2">
        <f t="shared" si="8"/>
        <v>2.3892756381468316E-2</v>
      </c>
      <c r="M48" s="2">
        <f t="shared" si="9"/>
        <v>2.1317198767456684E-2</v>
      </c>
      <c r="N48" s="2">
        <f t="shared" si="10"/>
        <v>-1.8856474609878112E-4</v>
      </c>
      <c r="O48" s="2">
        <f t="shared" si="11"/>
        <v>3.5265555214074985E-4</v>
      </c>
      <c r="Q48" s="2">
        <v>0.45</v>
      </c>
      <c r="R48" s="2">
        <v>0.55000000000000004</v>
      </c>
      <c r="S48" s="8">
        <f t="shared" si="12"/>
        <v>5.2037399874140374E-3</v>
      </c>
      <c r="T48" s="8">
        <f t="shared" si="13"/>
        <v>2.0679152925709404E-2</v>
      </c>
      <c r="U48" s="8"/>
      <c r="V48" s="9"/>
      <c r="W48" s="9"/>
    </row>
    <row r="49" spans="1:23" x14ac:dyDescent="0.3">
      <c r="A49" s="1">
        <v>44200</v>
      </c>
      <c r="B49">
        <v>281.04998799999998</v>
      </c>
      <c r="C49" s="2">
        <v>531.70001200000002</v>
      </c>
      <c r="D49" s="2">
        <f t="shared" si="0"/>
        <v>5.8881214027812429E-3</v>
      </c>
      <c r="E49" s="2">
        <f t="shared" si="1"/>
        <v>7.9305777291890089E-3</v>
      </c>
      <c r="F49" s="2">
        <f t="shared" si="2"/>
        <v>6.0038962945843516E-3</v>
      </c>
      <c r="G49" s="2">
        <f t="shared" si="3"/>
        <v>4.5490666451837797E-3</v>
      </c>
      <c r="H49" s="2">
        <f t="shared" si="4"/>
        <v>-1.157748918031087E-4</v>
      </c>
      <c r="I49" s="2">
        <f t="shared" si="5"/>
        <v>3.3815110840052292E-3</v>
      </c>
      <c r="J49" s="2">
        <f t="shared" si="6"/>
        <v>1.3403825572021527E-8</v>
      </c>
      <c r="K49" s="2">
        <f t="shared" si="7"/>
        <v>1.1434617211250221E-5</v>
      </c>
      <c r="L49" s="2">
        <f t="shared" si="8"/>
        <v>2.3892756381468316E-2</v>
      </c>
      <c r="M49" s="2">
        <f t="shared" si="9"/>
        <v>2.1317198767456684E-2</v>
      </c>
      <c r="N49" s="2">
        <f t="shared" si="10"/>
        <v>-3.9149407988171825E-7</v>
      </c>
      <c r="O49" s="2">
        <f t="shared" si="11"/>
        <v>3.5265555214074985E-4</v>
      </c>
      <c r="Q49" s="2">
        <v>0.46</v>
      </c>
      <c r="R49" s="2">
        <v>0.54</v>
      </c>
      <c r="S49" s="8">
        <f t="shared" si="12"/>
        <v>5.2182882839080427E-3</v>
      </c>
      <c r="T49" s="8">
        <f t="shared" si="13"/>
        <v>2.0700333235654511E-2</v>
      </c>
      <c r="U49" s="8"/>
      <c r="V49" s="9"/>
      <c r="W49" s="9"/>
    </row>
    <row r="50" spans="1:23" x14ac:dyDescent="0.3">
      <c r="A50" s="1">
        <v>44201</v>
      </c>
      <c r="B50">
        <v>281.75</v>
      </c>
      <c r="C50" s="2">
        <v>537.25</v>
      </c>
      <c r="D50" s="2">
        <f t="shared" si="0"/>
        <v>2.4876061688316304E-3</v>
      </c>
      <c r="E50" s="2">
        <f t="shared" si="1"/>
        <v>1.0384092443209257E-2</v>
      </c>
      <c r="F50" s="2">
        <f t="shared" si="2"/>
        <v>6.0038962945843516E-3</v>
      </c>
      <c r="G50" s="2">
        <f t="shared" si="3"/>
        <v>4.5490666451837797E-3</v>
      </c>
      <c r="H50" s="2">
        <f t="shared" si="4"/>
        <v>-3.5162901257527212E-3</v>
      </c>
      <c r="I50" s="2">
        <f t="shared" si="5"/>
        <v>5.8350257980254771E-3</v>
      </c>
      <c r="J50" s="2">
        <f t="shared" si="6"/>
        <v>1.2364296248466089E-5</v>
      </c>
      <c r="K50" s="2">
        <f t="shared" si="7"/>
        <v>3.4047526063622854E-5</v>
      </c>
      <c r="L50" s="2">
        <f t="shared" si="8"/>
        <v>2.3892756381468316E-2</v>
      </c>
      <c r="M50" s="2">
        <f t="shared" si="9"/>
        <v>2.1317198767456684E-2</v>
      </c>
      <c r="N50" s="2">
        <f t="shared" si="10"/>
        <v>-2.0517643597109377E-5</v>
      </c>
      <c r="O50" s="2">
        <f t="shared" si="11"/>
        <v>3.5265555214074985E-4</v>
      </c>
      <c r="Q50" s="2">
        <v>0.47</v>
      </c>
      <c r="R50" s="2">
        <v>0.53</v>
      </c>
      <c r="S50" s="8">
        <f t="shared" si="12"/>
        <v>5.2328365804020487E-3</v>
      </c>
      <c r="T50" s="8">
        <f t="shared" si="13"/>
        <v>2.0723036011711996E-2</v>
      </c>
      <c r="U50" s="8"/>
      <c r="V50" s="9"/>
      <c r="W50" s="9"/>
    </row>
    <row r="51" spans="1:23" x14ac:dyDescent="0.3">
      <c r="A51" s="1">
        <v>44202</v>
      </c>
      <c r="B51">
        <v>285.04998799999998</v>
      </c>
      <c r="C51" s="2">
        <v>546.70001200000002</v>
      </c>
      <c r="D51" s="2">
        <f t="shared" si="0"/>
        <v>1.164440845982658E-2</v>
      </c>
      <c r="E51" s="2">
        <f t="shared" si="1"/>
        <v>1.7436692328214671E-2</v>
      </c>
      <c r="F51" s="2">
        <f t="shared" si="2"/>
        <v>6.0038962945843516E-3</v>
      </c>
      <c r="G51" s="2">
        <f t="shared" si="3"/>
        <v>4.5490666451837797E-3</v>
      </c>
      <c r="H51" s="2">
        <f t="shared" si="4"/>
        <v>5.6405121652422282E-3</v>
      </c>
      <c r="I51" s="2">
        <f t="shared" si="5"/>
        <v>1.2887625683030892E-2</v>
      </c>
      <c r="J51" s="2">
        <f t="shared" si="6"/>
        <v>3.1815377486245569E-5</v>
      </c>
      <c r="K51" s="2">
        <f t="shared" si="7"/>
        <v>1.6609089574591747E-4</v>
      </c>
      <c r="L51" s="2">
        <f t="shared" si="8"/>
        <v>2.3892756381468316E-2</v>
      </c>
      <c r="M51" s="2">
        <f t="shared" si="9"/>
        <v>2.1317198767456684E-2</v>
      </c>
      <c r="N51" s="2">
        <f t="shared" si="10"/>
        <v>7.269280944622393E-5</v>
      </c>
      <c r="O51" s="2">
        <f t="shared" si="11"/>
        <v>3.5265555214074985E-4</v>
      </c>
      <c r="Q51" s="2">
        <v>0.48</v>
      </c>
      <c r="R51" s="2">
        <v>0.52</v>
      </c>
      <c r="S51" s="8">
        <f t="shared" si="12"/>
        <v>5.2473848768960539E-3</v>
      </c>
      <c r="T51" s="8">
        <f t="shared" si="13"/>
        <v>2.0747256255986831E-2</v>
      </c>
      <c r="U51" s="8"/>
      <c r="V51" s="9"/>
      <c r="W51" s="9"/>
    </row>
    <row r="52" spans="1:23" x14ac:dyDescent="0.3">
      <c r="A52" s="1">
        <v>44203</v>
      </c>
      <c r="B52">
        <v>287.70001200000002</v>
      </c>
      <c r="C52" s="2">
        <v>541.09997599999997</v>
      </c>
      <c r="D52" s="2">
        <f t="shared" si="0"/>
        <v>9.2537508879037087E-3</v>
      </c>
      <c r="E52" s="2">
        <f t="shared" si="1"/>
        <v>-1.0296167556239487E-2</v>
      </c>
      <c r="F52" s="2">
        <f t="shared" si="2"/>
        <v>6.0038962945843516E-3</v>
      </c>
      <c r="G52" s="2">
        <f t="shared" si="3"/>
        <v>4.5490666451837797E-3</v>
      </c>
      <c r="H52" s="2">
        <f t="shared" si="4"/>
        <v>3.2498545933193571E-3</v>
      </c>
      <c r="I52" s="2">
        <f t="shared" si="5"/>
        <v>-1.4845234201423266E-2</v>
      </c>
      <c r="J52" s="2">
        <f t="shared" si="6"/>
        <v>1.0561554877718925E-5</v>
      </c>
      <c r="K52" s="2">
        <f t="shared" si="7"/>
        <v>2.2038097849510707E-4</v>
      </c>
      <c r="L52" s="2">
        <f t="shared" si="8"/>
        <v>2.3892756381468316E-2</v>
      </c>
      <c r="M52" s="2">
        <f t="shared" si="9"/>
        <v>2.1317198767456684E-2</v>
      </c>
      <c r="N52" s="2">
        <f t="shared" si="10"/>
        <v>-4.8244852558397016E-5</v>
      </c>
      <c r="O52" s="2">
        <f t="shared" si="11"/>
        <v>3.5265555214074985E-4</v>
      </c>
      <c r="Q52" s="2">
        <v>0.49</v>
      </c>
      <c r="R52" s="2">
        <v>0.51</v>
      </c>
      <c r="S52" s="8">
        <f t="shared" si="12"/>
        <v>5.26193317339006E-3</v>
      </c>
      <c r="T52" s="8">
        <f t="shared" si="13"/>
        <v>2.0772988660608272E-2</v>
      </c>
      <c r="U52" s="8"/>
      <c r="V52" s="9"/>
      <c r="W52" s="9"/>
    </row>
    <row r="53" spans="1:23" x14ac:dyDescent="0.3">
      <c r="A53" s="1">
        <v>44204</v>
      </c>
      <c r="B53">
        <v>286</v>
      </c>
      <c r="C53" s="2">
        <v>542.04998799999998</v>
      </c>
      <c r="D53" s="2">
        <f t="shared" si="0"/>
        <v>-5.9265014477634954E-3</v>
      </c>
      <c r="E53" s="2">
        <f t="shared" si="1"/>
        <v>1.7541656745263749E-3</v>
      </c>
      <c r="F53" s="2">
        <f t="shared" si="2"/>
        <v>6.0038962945843516E-3</v>
      </c>
      <c r="G53" s="2">
        <f t="shared" si="3"/>
        <v>4.5490666451837797E-3</v>
      </c>
      <c r="H53" s="2">
        <f t="shared" si="4"/>
        <v>-1.1930397742347847E-2</v>
      </c>
      <c r="I53" s="2">
        <f t="shared" si="5"/>
        <v>-2.7949009706574046E-3</v>
      </c>
      <c r="J53" s="2">
        <f t="shared" si="6"/>
        <v>1.423343902906186E-4</v>
      </c>
      <c r="K53" s="2">
        <f t="shared" si="7"/>
        <v>7.8114714357817025E-6</v>
      </c>
      <c r="L53" s="2">
        <f t="shared" si="8"/>
        <v>2.3892756381468316E-2</v>
      </c>
      <c r="M53" s="2">
        <f t="shared" si="9"/>
        <v>2.1317198767456684E-2</v>
      </c>
      <c r="N53" s="2">
        <f t="shared" si="10"/>
        <v>3.3344280230416906E-5</v>
      </c>
      <c r="O53" s="2">
        <f t="shared" si="11"/>
        <v>3.5265555214074985E-4</v>
      </c>
      <c r="Q53" s="2">
        <v>0.5</v>
      </c>
      <c r="R53" s="2">
        <v>0.5</v>
      </c>
      <c r="S53" s="8">
        <f t="shared" si="12"/>
        <v>5.2764814698840652E-3</v>
      </c>
      <c r="T53" s="8">
        <f t="shared" si="13"/>
        <v>2.0800227613399759E-2</v>
      </c>
      <c r="U53" s="8"/>
      <c r="V53" s="9"/>
      <c r="W53" s="9"/>
    </row>
    <row r="54" spans="1:23" x14ac:dyDescent="0.3">
      <c r="A54" s="1">
        <v>44207</v>
      </c>
      <c r="B54">
        <v>282.5</v>
      </c>
      <c r="C54" s="2">
        <v>544.70001200000002</v>
      </c>
      <c r="D54" s="2">
        <f t="shared" si="0"/>
        <v>-1.2313260233356901E-2</v>
      </c>
      <c r="E54" s="2">
        <f t="shared" si="1"/>
        <v>4.8769804509827593E-3</v>
      </c>
      <c r="F54" s="2">
        <f t="shared" si="2"/>
        <v>6.0038962945843516E-3</v>
      </c>
      <c r="G54" s="2">
        <f t="shared" si="3"/>
        <v>4.5490666451837797E-3</v>
      </c>
      <c r="H54" s="2">
        <f t="shared" si="4"/>
        <v>-1.8317156527941254E-2</v>
      </c>
      <c r="I54" s="2">
        <f t="shared" si="5"/>
        <v>3.2791380579897961E-4</v>
      </c>
      <c r="J54" s="2">
        <f t="shared" si="6"/>
        <v>3.3551822326910089E-4</v>
      </c>
      <c r="K54" s="2">
        <f t="shared" si="7"/>
        <v>1.0752746403357092E-7</v>
      </c>
      <c r="L54" s="2">
        <f t="shared" si="8"/>
        <v>2.3892756381468316E-2</v>
      </c>
      <c r="M54" s="2">
        <f t="shared" si="9"/>
        <v>2.1317198767456684E-2</v>
      </c>
      <c r="N54" s="2">
        <f t="shared" si="10"/>
        <v>-6.0064485084928402E-6</v>
      </c>
      <c r="O54" s="2">
        <f t="shared" si="11"/>
        <v>3.5265555214074985E-4</v>
      </c>
      <c r="Q54" s="2">
        <v>0.51</v>
      </c>
      <c r="R54" s="2">
        <v>0.49</v>
      </c>
      <c r="S54" s="8">
        <f t="shared" si="12"/>
        <v>5.2910297663780713E-3</v>
      </c>
      <c r="T54" s="8">
        <f t="shared" si="13"/>
        <v>2.082896720382503E-2</v>
      </c>
      <c r="U54" s="8"/>
      <c r="V54" s="9"/>
      <c r="W54" s="9"/>
    </row>
    <row r="55" spans="1:23" x14ac:dyDescent="0.3">
      <c r="A55" s="1">
        <v>44208</v>
      </c>
      <c r="B55">
        <v>292.5</v>
      </c>
      <c r="C55" s="2">
        <v>548</v>
      </c>
      <c r="D55" s="2">
        <f t="shared" si="0"/>
        <v>3.4786116085415604E-2</v>
      </c>
      <c r="E55" s="2">
        <f t="shared" si="1"/>
        <v>6.0400805279114816E-3</v>
      </c>
      <c r="F55" s="2">
        <f t="shared" si="2"/>
        <v>6.0038962945843516E-3</v>
      </c>
      <c r="G55" s="2">
        <f t="shared" si="3"/>
        <v>4.5490666451837797E-3</v>
      </c>
      <c r="H55" s="2">
        <f t="shared" si="4"/>
        <v>2.8782219790831252E-2</v>
      </c>
      <c r="I55" s="2">
        <f t="shared" si="5"/>
        <v>1.4910138827277019E-3</v>
      </c>
      <c r="J55" s="2">
        <f t="shared" si="6"/>
        <v>8.284161760877182E-4</v>
      </c>
      <c r="K55" s="2">
        <f t="shared" si="7"/>
        <v>2.2231223984867374E-6</v>
      </c>
      <c r="L55" s="2">
        <f t="shared" si="8"/>
        <v>2.3892756381468316E-2</v>
      </c>
      <c r="M55" s="2">
        <f t="shared" si="9"/>
        <v>2.1317198767456684E-2</v>
      </c>
      <c r="N55" s="2">
        <f t="shared" si="10"/>
        <v>4.2914689283849408E-5</v>
      </c>
      <c r="O55" s="2">
        <f t="shared" si="11"/>
        <v>3.5265555214074985E-4</v>
      </c>
      <c r="Q55" s="2">
        <v>0.52</v>
      </c>
      <c r="R55" s="2">
        <v>0.48</v>
      </c>
      <c r="S55" s="8">
        <f t="shared" si="12"/>
        <v>5.3055780628720774E-3</v>
      </c>
      <c r="T55" s="8">
        <f t="shared" si="13"/>
        <v>2.0859201229196246E-2</v>
      </c>
      <c r="U55" s="8"/>
      <c r="V55" s="9"/>
      <c r="W55" s="9"/>
    </row>
    <row r="56" spans="1:23" x14ac:dyDescent="0.3">
      <c r="A56" s="1">
        <v>44209</v>
      </c>
      <c r="B56">
        <v>306.79998799999998</v>
      </c>
      <c r="C56" s="2">
        <v>556.5</v>
      </c>
      <c r="D56" s="2">
        <f t="shared" si="0"/>
        <v>4.7731363707760238E-2</v>
      </c>
      <c r="E56" s="2">
        <f t="shared" si="1"/>
        <v>1.5391883767584009E-2</v>
      </c>
      <c r="F56" s="2">
        <f t="shared" si="2"/>
        <v>6.0038962945843516E-3</v>
      </c>
      <c r="G56" s="2">
        <f t="shared" si="3"/>
        <v>4.5490666451837797E-3</v>
      </c>
      <c r="H56" s="2">
        <f t="shared" si="4"/>
        <v>4.1727467413175887E-2</v>
      </c>
      <c r="I56" s="2">
        <f t="shared" si="5"/>
        <v>1.084281712240023E-2</v>
      </c>
      <c r="J56" s="2">
        <f t="shared" si="6"/>
        <v>1.7411815367176554E-3</v>
      </c>
      <c r="K56" s="2">
        <f t="shared" si="7"/>
        <v>1.175666831498156E-4</v>
      </c>
      <c r="L56" s="2">
        <f t="shared" si="8"/>
        <v>2.3892756381468316E-2</v>
      </c>
      <c r="M56" s="2">
        <f t="shared" si="9"/>
        <v>2.1317198767456684E-2</v>
      </c>
      <c r="N56" s="2">
        <f t="shared" si="10"/>
        <v>4.5244329814198112E-4</v>
      </c>
      <c r="O56" s="2">
        <f t="shared" si="11"/>
        <v>3.5265555214074985E-4</v>
      </c>
      <c r="Q56" s="2">
        <v>0.53</v>
      </c>
      <c r="R56" s="2">
        <v>0.47</v>
      </c>
      <c r="S56" s="8">
        <f t="shared" si="12"/>
        <v>5.3201263593660826E-3</v>
      </c>
      <c r="T56" s="8">
        <f t="shared" si="13"/>
        <v>2.0890923201129445E-2</v>
      </c>
      <c r="U56" s="8"/>
      <c r="V56" s="9"/>
      <c r="W56" s="9"/>
    </row>
    <row r="57" spans="1:23" x14ac:dyDescent="0.3">
      <c r="A57" s="1">
        <v>44210</v>
      </c>
      <c r="B57">
        <v>307.25</v>
      </c>
      <c r="C57" s="2">
        <v>553.29998799999998</v>
      </c>
      <c r="D57" s="2">
        <f t="shared" si="0"/>
        <v>1.4657180664728858E-3</v>
      </c>
      <c r="E57" s="2">
        <f t="shared" si="1"/>
        <v>-5.7668424995891698E-3</v>
      </c>
      <c r="F57" s="2">
        <f t="shared" si="2"/>
        <v>6.0038962945843516E-3</v>
      </c>
      <c r="G57" s="2">
        <f t="shared" si="3"/>
        <v>4.5490666451837797E-3</v>
      </c>
      <c r="H57" s="2">
        <f t="shared" si="4"/>
        <v>-4.5381782281114658E-3</v>
      </c>
      <c r="I57" s="2">
        <f t="shared" si="5"/>
        <v>-1.0315909144772949E-2</v>
      </c>
      <c r="J57" s="2">
        <f t="shared" si="6"/>
        <v>2.0595061630104925E-5</v>
      </c>
      <c r="K57" s="2">
        <f t="shared" si="7"/>
        <v>1.0641798148321014E-4</v>
      </c>
      <c r="L57" s="2">
        <f t="shared" si="8"/>
        <v>2.3892756381468316E-2</v>
      </c>
      <c r="M57" s="2">
        <f t="shared" si="9"/>
        <v>2.1317198767456684E-2</v>
      </c>
      <c r="N57" s="2">
        <f t="shared" si="10"/>
        <v>4.6815434283984566E-5</v>
      </c>
      <c r="O57" s="2">
        <f t="shared" si="11"/>
        <v>3.5265555214074985E-4</v>
      </c>
      <c r="Q57" s="2">
        <v>0.54</v>
      </c>
      <c r="R57" s="2">
        <v>0.46</v>
      </c>
      <c r="S57" s="8">
        <f t="shared" si="12"/>
        <v>5.3346746558600895E-3</v>
      </c>
      <c r="T57" s="8">
        <f t="shared" si="13"/>
        <v>2.0924126352232193E-2</v>
      </c>
      <c r="U57" s="8"/>
      <c r="V57" s="9"/>
      <c r="W57" s="9"/>
    </row>
    <row r="58" spans="1:23" x14ac:dyDescent="0.3">
      <c r="A58" s="1">
        <v>44211</v>
      </c>
      <c r="B58">
        <v>303.85000600000001</v>
      </c>
      <c r="C58" s="2">
        <v>543</v>
      </c>
      <c r="D58" s="2">
        <f t="shared" si="0"/>
        <v>-1.1127570118194695E-2</v>
      </c>
      <c r="E58" s="2">
        <f t="shared" si="1"/>
        <v>-1.8791008282074872E-2</v>
      </c>
      <c r="F58" s="2">
        <f t="shared" si="2"/>
        <v>6.0038962945843516E-3</v>
      </c>
      <c r="G58" s="2">
        <f t="shared" si="3"/>
        <v>4.5490666451837797E-3</v>
      </c>
      <c r="H58" s="2">
        <f t="shared" si="4"/>
        <v>-1.7131466412779045E-2</v>
      </c>
      <c r="I58" s="2">
        <f t="shared" si="5"/>
        <v>-2.3340074927258651E-2</v>
      </c>
      <c r="J58" s="2">
        <f t="shared" si="6"/>
        <v>2.9348714145217651E-4</v>
      </c>
      <c r="K58" s="2">
        <f t="shared" si="7"/>
        <v>5.4475909761004789E-4</v>
      </c>
      <c r="L58" s="2">
        <f t="shared" si="8"/>
        <v>2.3892756381468316E-2</v>
      </c>
      <c r="M58" s="2">
        <f t="shared" si="9"/>
        <v>2.1317198767456684E-2</v>
      </c>
      <c r="N58" s="2">
        <f t="shared" si="10"/>
        <v>3.9984970968807786E-4</v>
      </c>
      <c r="O58" s="2">
        <f t="shared" si="11"/>
        <v>3.5265555214074985E-4</v>
      </c>
      <c r="Q58" s="2">
        <v>0.55000000000000004</v>
      </c>
      <c r="R58" s="2">
        <v>0.45</v>
      </c>
      <c r="S58" s="8">
        <f t="shared" si="12"/>
        <v>5.3492229523540947E-3</v>
      </c>
      <c r="T58" s="8">
        <f t="shared" si="13"/>
        <v>2.0958803643008103E-2</v>
      </c>
      <c r="U58" s="8"/>
      <c r="V58" s="9"/>
      <c r="W58" s="9"/>
    </row>
    <row r="59" spans="1:23" x14ac:dyDescent="0.3">
      <c r="A59" s="1">
        <v>44214</v>
      </c>
      <c r="B59">
        <v>294.45001200000002</v>
      </c>
      <c r="C59" s="2">
        <v>533.15002400000003</v>
      </c>
      <c r="D59" s="2">
        <f t="shared" si="0"/>
        <v>-3.1424928183422532E-2</v>
      </c>
      <c r="E59" s="2">
        <f t="shared" si="1"/>
        <v>-1.8306464454273773E-2</v>
      </c>
      <c r="F59" s="2">
        <f t="shared" si="2"/>
        <v>6.0038962945843516E-3</v>
      </c>
      <c r="G59" s="2">
        <f t="shared" si="3"/>
        <v>4.5490666451837797E-3</v>
      </c>
      <c r="H59" s="2">
        <f t="shared" si="4"/>
        <v>-3.7428824478006884E-2</v>
      </c>
      <c r="I59" s="2">
        <f t="shared" si="5"/>
        <v>-2.2855531099457552E-2</v>
      </c>
      <c r="J59" s="2">
        <f t="shared" si="6"/>
        <v>1.4009169018054473E-3</v>
      </c>
      <c r="K59" s="2">
        <f t="shared" si="7"/>
        <v>5.2237530183827134E-4</v>
      </c>
      <c r="L59" s="2">
        <f t="shared" si="8"/>
        <v>2.3892756381468316E-2</v>
      </c>
      <c r="M59" s="2">
        <f t="shared" si="9"/>
        <v>2.1317198767456684E-2</v>
      </c>
      <c r="N59" s="2">
        <f t="shared" si="10"/>
        <v>8.5545566187322439E-4</v>
      </c>
      <c r="O59" s="2">
        <f t="shared" si="11"/>
        <v>3.5265555214074985E-4</v>
      </c>
      <c r="Q59" s="2">
        <v>0.56000000000000005</v>
      </c>
      <c r="R59" s="2">
        <v>0.44</v>
      </c>
      <c r="S59" s="8">
        <f t="shared" si="12"/>
        <v>5.3637712488480999E-3</v>
      </c>
      <c r="T59" s="8">
        <f t="shared" si="13"/>
        <v>2.0994947768962526E-2</v>
      </c>
      <c r="U59" s="8"/>
      <c r="V59" s="9"/>
      <c r="W59" s="9"/>
    </row>
    <row r="60" spans="1:23" x14ac:dyDescent="0.3">
      <c r="A60" s="1">
        <v>44215</v>
      </c>
      <c r="B60">
        <v>298.60000600000001</v>
      </c>
      <c r="C60" s="2">
        <v>546.45001200000002</v>
      </c>
      <c r="D60" s="2">
        <f t="shared" si="0"/>
        <v>1.3995655054333731E-2</v>
      </c>
      <c r="E60" s="2">
        <f t="shared" si="1"/>
        <v>2.4639978602943747E-2</v>
      </c>
      <c r="F60" s="2">
        <f t="shared" si="2"/>
        <v>6.0038962945843516E-3</v>
      </c>
      <c r="G60" s="2">
        <f t="shared" si="3"/>
        <v>4.5490666451837797E-3</v>
      </c>
      <c r="H60" s="2">
        <f t="shared" si="4"/>
        <v>7.9917587597493796E-3</v>
      </c>
      <c r="I60" s="2">
        <f t="shared" si="5"/>
        <v>2.0090911957759968E-2</v>
      </c>
      <c r="J60" s="2">
        <f t="shared" si="6"/>
        <v>6.3868208074030938E-5</v>
      </c>
      <c r="K60" s="2">
        <f t="shared" si="7"/>
        <v>4.0364474329446248E-4</v>
      </c>
      <c r="L60" s="2">
        <f t="shared" si="8"/>
        <v>2.3892756381468316E-2</v>
      </c>
      <c r="M60" s="2">
        <f t="shared" si="9"/>
        <v>2.1317198767456684E-2</v>
      </c>
      <c r="N60" s="2">
        <f t="shared" si="10"/>
        <v>1.6056172162978179E-4</v>
      </c>
      <c r="O60" s="2">
        <f t="shared" si="11"/>
        <v>3.5265555214074985E-4</v>
      </c>
      <c r="Q60" s="2">
        <v>0.56999999999999995</v>
      </c>
      <c r="R60" s="2">
        <v>0.42999999999999899</v>
      </c>
      <c r="S60" s="8">
        <f t="shared" si="12"/>
        <v>5.3783195453421008E-3</v>
      </c>
      <c r="T60" s="8">
        <f t="shared" si="13"/>
        <v>2.1032551167893567E-2</v>
      </c>
      <c r="U60" s="8"/>
      <c r="V60" s="9"/>
      <c r="W60" s="9"/>
    </row>
    <row r="61" spans="1:23" x14ac:dyDescent="0.3">
      <c r="A61" s="1">
        <v>44216</v>
      </c>
      <c r="B61">
        <v>302.54998799999998</v>
      </c>
      <c r="C61" s="2">
        <v>551</v>
      </c>
      <c r="D61" s="2">
        <f t="shared" si="0"/>
        <v>1.3141608206603119E-2</v>
      </c>
      <c r="E61" s="2">
        <f t="shared" si="1"/>
        <v>8.2919750703090676E-3</v>
      </c>
      <c r="F61" s="2">
        <f t="shared" si="2"/>
        <v>6.0038962945843516E-3</v>
      </c>
      <c r="G61" s="2">
        <f t="shared" si="3"/>
        <v>4.5490666451837797E-3</v>
      </c>
      <c r="H61" s="2">
        <f t="shared" si="4"/>
        <v>7.1377119120187675E-3</v>
      </c>
      <c r="I61" s="2">
        <f t="shared" si="5"/>
        <v>3.7429084251252879E-3</v>
      </c>
      <c r="J61" s="2">
        <f t="shared" si="6"/>
        <v>5.0946931338974613E-5</v>
      </c>
      <c r="K61" s="2">
        <f t="shared" si="7"/>
        <v>1.4009363478873864E-5</v>
      </c>
      <c r="L61" s="2">
        <f t="shared" si="8"/>
        <v>2.3892756381468316E-2</v>
      </c>
      <c r="M61" s="2">
        <f t="shared" si="9"/>
        <v>2.1317198767456684E-2</v>
      </c>
      <c r="N61" s="2">
        <f t="shared" si="10"/>
        <v>2.6715802051612172E-5</v>
      </c>
      <c r="O61" s="2">
        <f t="shared" si="11"/>
        <v>3.5265555214074985E-4</v>
      </c>
      <c r="Q61" s="2">
        <v>0.57999999999999996</v>
      </c>
      <c r="R61" s="2">
        <v>0.41999999999999899</v>
      </c>
      <c r="S61" s="8">
        <f t="shared" si="12"/>
        <v>5.3928678418361069E-3</v>
      </c>
      <c r="T61" s="8">
        <f t="shared" si="13"/>
        <v>2.1071606027352575E-2</v>
      </c>
      <c r="U61" s="8"/>
      <c r="V61" s="9"/>
      <c r="W61" s="9"/>
    </row>
    <row r="62" spans="1:23" x14ac:dyDescent="0.3">
      <c r="A62" s="1">
        <v>44217</v>
      </c>
      <c r="B62">
        <v>294.85000600000001</v>
      </c>
      <c r="C62" s="2">
        <v>552.70001200000002</v>
      </c>
      <c r="D62" s="2">
        <f t="shared" si="0"/>
        <v>-2.5779740609620821E-2</v>
      </c>
      <c r="E62" s="2">
        <f t="shared" si="1"/>
        <v>3.0805713979001285E-3</v>
      </c>
      <c r="F62" s="2">
        <f t="shared" si="2"/>
        <v>6.0038962945843516E-3</v>
      </c>
      <c r="G62" s="2">
        <f t="shared" si="3"/>
        <v>4.5490666451837797E-3</v>
      </c>
      <c r="H62" s="2">
        <f t="shared" si="4"/>
        <v>-3.1783636904205173E-2</v>
      </c>
      <c r="I62" s="2">
        <f t="shared" si="5"/>
        <v>-1.4684952472836512E-3</v>
      </c>
      <c r="J62" s="2">
        <f t="shared" si="6"/>
        <v>1.010199574858353E-3</v>
      </c>
      <c r="K62" s="2">
        <f t="shared" si="7"/>
        <v>2.1564782912946719E-6</v>
      </c>
      <c r="L62" s="2">
        <f t="shared" si="8"/>
        <v>2.3892756381468316E-2</v>
      </c>
      <c r="M62" s="2">
        <f t="shared" si="9"/>
        <v>2.1317198767456684E-2</v>
      </c>
      <c r="N62" s="2">
        <f t="shared" si="10"/>
        <v>4.6674119735214562E-5</v>
      </c>
      <c r="O62" s="2">
        <f t="shared" si="11"/>
        <v>3.5265555214074985E-4</v>
      </c>
      <c r="Q62" s="2">
        <v>0.59</v>
      </c>
      <c r="R62" s="2">
        <v>0.40999999999999898</v>
      </c>
      <c r="S62" s="8">
        <f t="shared" si="12"/>
        <v>5.4074161383301121E-3</v>
      </c>
      <c r="T62" s="8">
        <f t="shared" si="13"/>
        <v>2.1112104292257662E-2</v>
      </c>
      <c r="U62" s="8"/>
      <c r="V62" s="9"/>
      <c r="W62" s="9"/>
    </row>
    <row r="63" spans="1:23" x14ac:dyDescent="0.3">
      <c r="A63" s="1">
        <v>44218</v>
      </c>
      <c r="B63">
        <v>283.70001200000002</v>
      </c>
      <c r="C63" s="2">
        <v>533.79998799999998</v>
      </c>
      <c r="D63" s="2">
        <f t="shared" si="0"/>
        <v>-3.8549388682835958E-2</v>
      </c>
      <c r="E63" s="2">
        <f t="shared" si="1"/>
        <v>-3.4794166060720916E-2</v>
      </c>
      <c r="F63" s="2">
        <f t="shared" si="2"/>
        <v>6.0038962945843516E-3</v>
      </c>
      <c r="G63" s="2">
        <f t="shared" si="3"/>
        <v>4.5490666451837797E-3</v>
      </c>
      <c r="H63" s="2">
        <f t="shared" si="4"/>
        <v>-4.455328497742031E-2</v>
      </c>
      <c r="I63" s="2">
        <f t="shared" si="5"/>
        <v>-3.9343232705904695E-2</v>
      </c>
      <c r="J63" s="2">
        <f t="shared" si="6"/>
        <v>1.9849952022792262E-3</v>
      </c>
      <c r="K63" s="2">
        <f t="shared" si="7"/>
        <v>1.5478899597509688E-3</v>
      </c>
      <c r="L63" s="2">
        <f t="shared" si="8"/>
        <v>2.3892756381468316E-2</v>
      </c>
      <c r="M63" s="2">
        <f t="shared" si="9"/>
        <v>2.1317198767456684E-2</v>
      </c>
      <c r="N63" s="2">
        <f t="shared" si="10"/>
        <v>1.7528702586791351E-3</v>
      </c>
      <c r="O63" s="2">
        <f t="shared" si="11"/>
        <v>3.5265555214074985E-4</v>
      </c>
      <c r="Q63" s="2">
        <v>0.6</v>
      </c>
      <c r="R63" s="2">
        <v>0.39999999999999902</v>
      </c>
      <c r="S63" s="8">
        <f t="shared" si="12"/>
        <v>5.4219644348241182E-3</v>
      </c>
      <c r="T63" s="8">
        <f t="shared" si="13"/>
        <v>2.115403767264468E-2</v>
      </c>
      <c r="U63" s="8"/>
      <c r="V63" s="9"/>
      <c r="W63" s="9"/>
    </row>
    <row r="64" spans="1:23" x14ac:dyDescent="0.3">
      <c r="L64">
        <f>_xlfn.STDEV.S(D3:D63)</f>
        <v>2.3892756381468313E-2</v>
      </c>
      <c r="M64" s="2">
        <f>_xlfn.STDEV.S(E3:E63)</f>
        <v>2.1317198767456684E-2</v>
      </c>
      <c r="O64">
        <f>_xlfn.COVARIANCE.S(D3:D63,E3:E63)</f>
        <v>3.5265555214074985E-4</v>
      </c>
      <c r="Q64" s="2">
        <v>0.61</v>
      </c>
      <c r="R64" s="2">
        <v>0.38999999999999901</v>
      </c>
      <c r="S64" s="8">
        <f t="shared" si="12"/>
        <v>5.4365127313181242E-3</v>
      </c>
      <c r="T64" s="8">
        <f t="shared" si="13"/>
        <v>2.1197397651539187E-2</v>
      </c>
      <c r="U64" s="8"/>
      <c r="V64" s="9"/>
      <c r="W64" s="9"/>
    </row>
    <row r="65" spans="17:23" x14ac:dyDescent="0.3">
      <c r="Q65" s="2">
        <v>0.62</v>
      </c>
      <c r="R65" s="2">
        <v>0.37999999999999901</v>
      </c>
      <c r="S65" s="8">
        <f t="shared" si="12"/>
        <v>5.4510610278121294E-3</v>
      </c>
      <c r="T65" s="8">
        <f t="shared" si="13"/>
        <v>2.124217549293364E-2</v>
      </c>
      <c r="U65" s="8"/>
      <c r="V65" s="9"/>
      <c r="W65" s="9"/>
    </row>
    <row r="66" spans="17:23" x14ac:dyDescent="0.3">
      <c r="Q66" s="2">
        <v>0.63</v>
      </c>
      <c r="R66" s="2">
        <v>0.369999999999999</v>
      </c>
      <c r="S66" s="8">
        <f t="shared" si="12"/>
        <v>5.4656093243061355E-3</v>
      </c>
      <c r="T66" s="8">
        <f t="shared" si="13"/>
        <v>2.1288362249853907E-2</v>
      </c>
      <c r="U66" s="8"/>
      <c r="V66" s="9"/>
      <c r="W66" s="9"/>
    </row>
    <row r="67" spans="17:23" x14ac:dyDescent="0.3">
      <c r="Q67" s="2">
        <v>0.64</v>
      </c>
      <c r="R67" s="2">
        <v>0.35999999999999899</v>
      </c>
      <c r="S67" s="8">
        <f t="shared" si="12"/>
        <v>5.4801576208001416E-3</v>
      </c>
      <c r="T67" s="8">
        <f t="shared" si="13"/>
        <v>2.1335948772499475E-2</v>
      </c>
      <c r="U67" s="8"/>
      <c r="V67" s="9"/>
      <c r="W67" s="9"/>
    </row>
    <row r="68" spans="17:23" x14ac:dyDescent="0.3">
      <c r="Q68" s="2">
        <v>0.65</v>
      </c>
      <c r="R68" s="2">
        <v>0.34999999999999898</v>
      </c>
      <c r="S68" s="8">
        <f t="shared" ref="S68:S103" si="14">Q68*$F$3+R68*$G$3</f>
        <v>5.4947059172941477E-3</v>
      </c>
      <c r="T68" s="8">
        <f t="shared" ref="T68:T103" si="15">SQRT((Q68*$L$3)^2+(R68*$M$3)^2+2*Q68*R68*$O$3)</f>
        <v>2.1384925716441985E-2</v>
      </c>
      <c r="U68" s="8"/>
      <c r="V68" s="9"/>
      <c r="W68" s="9"/>
    </row>
    <row r="69" spans="17:23" x14ac:dyDescent="0.3">
      <c r="Q69" s="2">
        <v>0.66</v>
      </c>
      <c r="R69" s="2">
        <v>0.33999999999999903</v>
      </c>
      <c r="S69" s="8">
        <f t="shared" si="14"/>
        <v>5.509254213788152E-3</v>
      </c>
      <c r="T69" s="8">
        <f t="shared" si="15"/>
        <v>2.1435283550866883E-2</v>
      </c>
      <c r="U69" s="8"/>
      <c r="V69" s="9"/>
      <c r="W69" s="9"/>
    </row>
    <row r="70" spans="17:23" x14ac:dyDescent="0.3">
      <c r="Q70" s="2">
        <v>0.67</v>
      </c>
      <c r="R70" s="2">
        <v>0.32999999999999902</v>
      </c>
      <c r="S70" s="8">
        <f t="shared" si="14"/>
        <v>5.5238025102821581E-3</v>
      </c>
      <c r="T70" s="8">
        <f t="shared" si="15"/>
        <v>2.1487012566843485E-2</v>
      </c>
      <c r="U70" s="8"/>
      <c r="V70" s="9"/>
      <c r="W70" s="9"/>
    </row>
    <row r="71" spans="17:23" x14ac:dyDescent="0.3">
      <c r="Q71" s="2">
        <v>0.68</v>
      </c>
      <c r="R71" s="2">
        <v>0.31999999999999901</v>
      </c>
      <c r="S71" s="8">
        <f t="shared" si="14"/>
        <v>5.5383508067761641E-3</v>
      </c>
      <c r="T71" s="8">
        <f t="shared" si="15"/>
        <v>2.1540102885608928E-2</v>
      </c>
      <c r="U71" s="8"/>
      <c r="V71" s="9"/>
      <c r="W71" s="9"/>
    </row>
    <row r="72" spans="17:23" x14ac:dyDescent="0.3">
      <c r="Q72" s="2">
        <v>0.69</v>
      </c>
      <c r="R72" s="2">
        <v>0.309999999999999</v>
      </c>
      <c r="S72" s="8">
        <f t="shared" si="14"/>
        <v>5.5528991032701694E-3</v>
      </c>
      <c r="T72" s="8">
        <f t="shared" si="15"/>
        <v>2.1594544466852016E-2</v>
      </c>
      <c r="U72" s="8"/>
      <c r="V72" s="9"/>
      <c r="W72" s="9"/>
    </row>
    <row r="73" spans="17:23" x14ac:dyDescent="0.3">
      <c r="Q73" s="2">
        <v>0.7</v>
      </c>
      <c r="R73" s="2">
        <v>0.29999999999999899</v>
      </c>
      <c r="S73" s="8">
        <f t="shared" si="14"/>
        <v>5.5674473997641746E-3</v>
      </c>
      <c r="T73" s="8">
        <f t="shared" si="15"/>
        <v>2.1650327116983305E-2</v>
      </c>
      <c r="U73" s="8"/>
      <c r="V73" s="9"/>
      <c r="W73" s="9"/>
    </row>
    <row r="74" spans="17:23" x14ac:dyDescent="0.3">
      <c r="Q74" s="2">
        <v>0.71</v>
      </c>
      <c r="R74" s="2">
        <v>0.28999999999999898</v>
      </c>
      <c r="S74" s="8">
        <f t="shared" si="14"/>
        <v>5.5819956962581806E-3</v>
      </c>
      <c r="T74" s="8">
        <f t="shared" si="15"/>
        <v>2.1707440497378296E-2</v>
      </c>
      <c r="U74" s="8"/>
      <c r="V74" s="9"/>
      <c r="W74" s="9"/>
    </row>
    <row r="75" spans="17:23" x14ac:dyDescent="0.3">
      <c r="Q75" s="2">
        <v>0.72</v>
      </c>
      <c r="R75" s="2">
        <v>0.27999999999999903</v>
      </c>
      <c r="S75" s="8">
        <f t="shared" si="14"/>
        <v>5.5965439927521867E-3</v>
      </c>
      <c r="T75" s="8">
        <f t="shared" si="15"/>
        <v>2.1765874132581003E-2</v>
      </c>
      <c r="U75" s="8"/>
      <c r="V75" s="9"/>
      <c r="W75" s="9"/>
    </row>
    <row r="76" spans="17:23" x14ac:dyDescent="0.3">
      <c r="Q76" s="2">
        <v>0.73</v>
      </c>
      <c r="R76" s="2">
        <v>0.26999999999999902</v>
      </c>
      <c r="S76" s="8">
        <f t="shared" si="14"/>
        <v>5.6110922892461928E-3</v>
      </c>
      <c r="T76" s="8">
        <f t="shared" si="15"/>
        <v>2.1825617418455793E-2</v>
      </c>
      <c r="U76" s="8"/>
      <c r="V76" s="9"/>
      <c r="W76" s="9"/>
    </row>
    <row r="77" spans="17:23" x14ac:dyDescent="0.3">
      <c r="Q77" s="2">
        <v>0.74</v>
      </c>
      <c r="R77" s="2">
        <v>0.25999999999999901</v>
      </c>
      <c r="S77" s="8">
        <f t="shared" si="14"/>
        <v>5.625640585740198E-3</v>
      </c>
      <c r="T77" s="8">
        <f t="shared" si="15"/>
        <v>2.1886659630275834E-2</v>
      </c>
      <c r="U77" s="8"/>
      <c r="V77" s="9"/>
      <c r="W77" s="9"/>
    </row>
    <row r="78" spans="17:23" x14ac:dyDescent="0.3">
      <c r="Q78" s="2">
        <v>0.75</v>
      </c>
      <c r="R78" s="2">
        <v>0.249999999999999</v>
      </c>
      <c r="S78" s="8">
        <f t="shared" si="14"/>
        <v>5.6401888822342041E-3</v>
      </c>
      <c r="T78" s="8">
        <f t="shared" si="15"/>
        <v>2.1948989930736986E-2</v>
      </c>
      <c r="U78" s="8"/>
      <c r="V78" s="9"/>
      <c r="W78" s="9"/>
    </row>
    <row r="79" spans="17:23" x14ac:dyDescent="0.3">
      <c r="Q79" s="2">
        <v>0.76</v>
      </c>
      <c r="R79" s="2">
        <v>0.23999999999999899</v>
      </c>
      <c r="S79" s="8">
        <f t="shared" si="14"/>
        <v>5.6547371787282101E-3</v>
      </c>
      <c r="T79" s="8">
        <f t="shared" si="15"/>
        <v>2.2012597377886692E-2</v>
      </c>
      <c r="U79" s="8"/>
      <c r="V79" s="9"/>
      <c r="W79" s="9"/>
    </row>
    <row r="80" spans="17:23" x14ac:dyDescent="0.3">
      <c r="Q80" s="2">
        <v>0.77</v>
      </c>
      <c r="R80" s="2">
        <v>0.22999999999999901</v>
      </c>
      <c r="S80" s="8">
        <f t="shared" si="14"/>
        <v>5.6692854752222153E-3</v>
      </c>
      <c r="T80" s="8">
        <f t="shared" si="15"/>
        <v>2.2077470932957824E-2</v>
      </c>
      <c r="U80" s="8"/>
      <c r="V80" s="9"/>
      <c r="W80" s="9"/>
    </row>
    <row r="81" spans="17:23" x14ac:dyDescent="0.3">
      <c r="Q81" s="2">
        <v>0.78</v>
      </c>
      <c r="R81" s="2">
        <v>0.219999999999999</v>
      </c>
      <c r="S81" s="8">
        <f t="shared" si="14"/>
        <v>5.6838337717162214E-3</v>
      </c>
      <c r="T81" s="8">
        <f t="shared" si="15"/>
        <v>2.2143599468098085E-2</v>
      </c>
      <c r="U81" s="8"/>
      <c r="V81" s="9"/>
      <c r="W81" s="9"/>
    </row>
    <row r="82" spans="17:23" x14ac:dyDescent="0.3">
      <c r="Q82" s="2">
        <v>0.79</v>
      </c>
      <c r="R82" s="2">
        <v>0.20999999999999899</v>
      </c>
      <c r="S82" s="8">
        <f t="shared" si="14"/>
        <v>5.6983820682102275E-3</v>
      </c>
      <c r="T82" s="8">
        <f t="shared" si="15"/>
        <v>2.2210971773986218E-2</v>
      </c>
      <c r="U82" s="8"/>
      <c r="V82" s="9"/>
      <c r="W82" s="9"/>
    </row>
    <row r="83" spans="17:23" x14ac:dyDescent="0.3">
      <c r="Q83" s="2">
        <v>0.8</v>
      </c>
      <c r="R83" s="2">
        <v>0.19999999999999901</v>
      </c>
      <c r="S83" s="8">
        <f t="shared" si="14"/>
        <v>5.7129303647042336E-3</v>
      </c>
      <c r="T83" s="8">
        <f t="shared" si="15"/>
        <v>2.2279576567326733E-2</v>
      </c>
      <c r="U83" s="8"/>
      <c r="V83" s="9"/>
      <c r="W83" s="9"/>
    </row>
    <row r="84" spans="17:23" x14ac:dyDescent="0.3">
      <c r="Q84" s="2">
        <v>0.81</v>
      </c>
      <c r="R84" s="2">
        <v>0.189999999999999</v>
      </c>
      <c r="S84" s="8">
        <f t="shared" si="14"/>
        <v>5.7274786611982388E-3</v>
      </c>
      <c r="T84" s="8">
        <f t="shared" si="15"/>
        <v>2.2349402498215445E-2</v>
      </c>
      <c r="U84" s="8"/>
      <c r="V84" s="9"/>
      <c r="W84" s="9"/>
    </row>
    <row r="85" spans="17:23" x14ac:dyDescent="0.3">
      <c r="Q85" s="2">
        <v>0.82</v>
      </c>
      <c r="R85" s="2">
        <v>0.17999999999999899</v>
      </c>
      <c r="S85" s="8">
        <f t="shared" si="14"/>
        <v>5.742026957692244E-3</v>
      </c>
      <c r="T85" s="8">
        <f t="shared" si="15"/>
        <v>2.2420438157368959E-2</v>
      </c>
      <c r="U85" s="8"/>
      <c r="V85" s="9"/>
      <c r="W85" s="9"/>
    </row>
    <row r="86" spans="17:23" x14ac:dyDescent="0.3">
      <c r="Q86" s="2">
        <v>0.83</v>
      </c>
      <c r="R86" s="2">
        <v>0.16999999999999901</v>
      </c>
      <c r="S86" s="8">
        <f t="shared" si="14"/>
        <v>5.7565752541862501E-3</v>
      </c>
      <c r="T86" s="8">
        <f t="shared" si="15"/>
        <v>2.249267208321137E-2</v>
      </c>
      <c r="U86" s="8"/>
      <c r="V86" s="9"/>
      <c r="W86" s="9"/>
    </row>
    <row r="87" spans="17:23" x14ac:dyDescent="0.3">
      <c r="Q87" s="2">
        <v>0.84</v>
      </c>
      <c r="R87" s="2">
        <v>0.159999999999999</v>
      </c>
      <c r="S87" s="8">
        <f t="shared" si="14"/>
        <v>5.7711235506802561E-3</v>
      </c>
      <c r="T87" s="8">
        <f t="shared" si="15"/>
        <v>2.2566092768812437E-2</v>
      </c>
      <c r="U87" s="8"/>
      <c r="V87" s="9"/>
      <c r="W87" s="9"/>
    </row>
    <row r="88" spans="17:23" x14ac:dyDescent="0.3">
      <c r="Q88" s="2">
        <v>0.85</v>
      </c>
      <c r="R88" s="2">
        <v>0.149999999999999</v>
      </c>
      <c r="S88" s="8">
        <f t="shared" si="14"/>
        <v>5.7856718471742605E-3</v>
      </c>
      <c r="T88" s="8">
        <f t="shared" si="15"/>
        <v>2.2640688668671818E-2</v>
      </c>
      <c r="U88" s="8"/>
      <c r="V88" s="9"/>
      <c r="W88" s="9"/>
    </row>
    <row r="89" spans="17:23" x14ac:dyDescent="0.3">
      <c r="Q89" s="2">
        <v>0.86</v>
      </c>
      <c r="R89" s="2">
        <v>0.13999999999999899</v>
      </c>
      <c r="S89" s="8">
        <f t="shared" si="14"/>
        <v>5.8002201436682665E-3</v>
      </c>
      <c r="T89" s="8">
        <f t="shared" si="15"/>
        <v>2.2716448205344582E-2</v>
      </c>
      <c r="U89" s="8"/>
      <c r="V89" s="9"/>
      <c r="W89" s="9"/>
    </row>
    <row r="90" spans="17:23" x14ac:dyDescent="0.3">
      <c r="Q90" s="2">
        <v>0.87</v>
      </c>
      <c r="R90" s="2">
        <v>0.12999999999999901</v>
      </c>
      <c r="S90" s="8">
        <f t="shared" si="14"/>
        <v>5.8147684401622726E-3</v>
      </c>
      <c r="T90" s="8">
        <f t="shared" si="15"/>
        <v>2.2793359775903691E-2</v>
      </c>
      <c r="U90" s="8"/>
      <c r="V90" s="9"/>
      <c r="W90" s="9"/>
    </row>
    <row r="91" spans="17:23" x14ac:dyDescent="0.3">
      <c r="Q91" s="2">
        <v>0.88</v>
      </c>
      <c r="R91" s="2">
        <v>0.119999999999999</v>
      </c>
      <c r="S91" s="8">
        <f t="shared" si="14"/>
        <v>5.8293167366562778E-3</v>
      </c>
      <c r="T91" s="8">
        <f t="shared" si="15"/>
        <v>2.2871411758235833E-2</v>
      </c>
      <c r="U91" s="8"/>
      <c r="V91" s="9"/>
      <c r="W91" s="9"/>
    </row>
    <row r="92" spans="17:23" x14ac:dyDescent="0.3">
      <c r="Q92" s="2">
        <v>0.89</v>
      </c>
      <c r="R92" s="2">
        <v>0.109999999999999</v>
      </c>
      <c r="S92" s="8">
        <f t="shared" si="14"/>
        <v>5.8438650331502839E-3</v>
      </c>
      <c r="T92" s="8">
        <f t="shared" si="15"/>
        <v>2.2950592517167287E-2</v>
      </c>
      <c r="U92" s="8"/>
      <c r="V92" s="9"/>
      <c r="W92" s="9"/>
    </row>
    <row r="93" spans="17:23" x14ac:dyDescent="0.3">
      <c r="Q93" s="2">
        <v>0.9</v>
      </c>
      <c r="R93" s="2">
        <v>9.9999999999999006E-2</v>
      </c>
      <c r="S93" s="8">
        <f t="shared" si="14"/>
        <v>5.85841332964429E-3</v>
      </c>
      <c r="T93" s="8">
        <f t="shared" si="15"/>
        <v>2.3030890410417153E-2</v>
      </c>
      <c r="U93" s="8"/>
      <c r="V93" s="9"/>
      <c r="W93" s="9"/>
    </row>
    <row r="94" spans="17:23" x14ac:dyDescent="0.3">
      <c r="Q94" s="2">
        <v>0.91</v>
      </c>
      <c r="R94" s="2">
        <v>8.9999999999998997E-2</v>
      </c>
      <c r="S94" s="8">
        <f t="shared" si="14"/>
        <v>5.8729616261382952E-3</v>
      </c>
      <c r="T94" s="8">
        <f t="shared" si="15"/>
        <v>2.3112293794375693E-2</v>
      </c>
      <c r="U94" s="8"/>
      <c r="V94" s="9"/>
      <c r="W94" s="9"/>
    </row>
    <row r="95" spans="17:23" x14ac:dyDescent="0.3">
      <c r="Q95" s="2">
        <v>0.92</v>
      </c>
      <c r="R95" s="2">
        <v>7.9999999999999002E-2</v>
      </c>
      <c r="S95" s="8">
        <f t="shared" si="14"/>
        <v>5.8875099226323013E-3</v>
      </c>
      <c r="T95" s="8">
        <f t="shared" si="15"/>
        <v>2.3194791029706049E-2</v>
      </c>
      <c r="U95" s="8"/>
      <c r="V95" s="9"/>
      <c r="W95" s="9"/>
    </row>
    <row r="96" spans="17:23" x14ac:dyDescent="0.3">
      <c r="Q96" s="2">
        <v>0.93</v>
      </c>
      <c r="R96" s="2">
        <v>6.9999999999998994E-2</v>
      </c>
      <c r="S96" s="8">
        <f t="shared" si="14"/>
        <v>5.9020582191263073E-3</v>
      </c>
      <c r="T96" s="8">
        <f t="shared" si="15"/>
        <v>2.3278370486767976E-2</v>
      </c>
      <c r="U96" s="8"/>
      <c r="V96" s="9"/>
      <c r="W96" s="9"/>
    </row>
    <row r="97" spans="17:23" x14ac:dyDescent="0.3">
      <c r="Q97" s="2">
        <v>0.94</v>
      </c>
      <c r="R97" s="2">
        <v>5.9999999999999103E-2</v>
      </c>
      <c r="S97" s="8">
        <f t="shared" si="14"/>
        <v>5.9166065156203134E-3</v>
      </c>
      <c r="T97" s="8">
        <f t="shared" si="15"/>
        <v>2.3363020550862659E-2</v>
      </c>
      <c r="U97" s="8"/>
      <c r="V97" s="9"/>
      <c r="W97" s="9"/>
    </row>
    <row r="98" spans="17:23" x14ac:dyDescent="0.3">
      <c r="Q98" s="2">
        <v>0.95</v>
      </c>
      <c r="R98" s="2">
        <v>4.9999999999998997E-2</v>
      </c>
      <c r="S98" s="8">
        <f t="shared" si="14"/>
        <v>5.9311548121143177E-3</v>
      </c>
      <c r="T98" s="8">
        <f t="shared" si="15"/>
        <v>2.3448729627298246E-2</v>
      </c>
      <c r="U98" s="8"/>
      <c r="V98" s="9"/>
      <c r="W98" s="9"/>
    </row>
    <row r="99" spans="17:23" x14ac:dyDescent="0.3">
      <c r="Q99" s="2">
        <v>0.96</v>
      </c>
      <c r="R99" s="2">
        <v>3.9999999999999002E-2</v>
      </c>
      <c r="S99" s="8">
        <f t="shared" si="14"/>
        <v>5.9457031086083238E-3</v>
      </c>
      <c r="T99" s="8">
        <f t="shared" si="15"/>
        <v>2.3535486146275819E-2</v>
      </c>
      <c r="U99" s="8"/>
      <c r="V99" s="9"/>
      <c r="W99" s="9"/>
    </row>
    <row r="100" spans="17:23" x14ac:dyDescent="0.3">
      <c r="Q100" s="2">
        <v>0.97</v>
      </c>
      <c r="R100" s="2">
        <v>2.9999999999999E-2</v>
      </c>
      <c r="S100" s="8">
        <f t="shared" si="14"/>
        <v>5.9602514051023299E-3</v>
      </c>
      <c r="T100" s="8">
        <f t="shared" si="15"/>
        <v>2.36232785675962E-2</v>
      </c>
      <c r="U100" s="8"/>
      <c r="V100" s="9"/>
      <c r="W100" s="9"/>
    </row>
    <row r="101" spans="17:23" x14ac:dyDescent="0.3">
      <c r="Q101" s="2">
        <v>0.98</v>
      </c>
      <c r="R101" s="2">
        <v>1.9999999999999001E-2</v>
      </c>
      <c r="S101" s="8">
        <f t="shared" si="14"/>
        <v>5.974799701596336E-3</v>
      </c>
      <c r="T101" s="8">
        <f t="shared" si="15"/>
        <v>2.3712095385188165E-2</v>
      </c>
      <c r="U101" s="8"/>
      <c r="V101" s="9"/>
      <c r="W101" s="9"/>
    </row>
    <row r="102" spans="17:23" x14ac:dyDescent="0.3">
      <c r="Q102" s="2">
        <v>0.99</v>
      </c>
      <c r="R102" s="2">
        <v>9.9999999999990097E-3</v>
      </c>
      <c r="S102" s="8">
        <f t="shared" si="14"/>
        <v>5.9893479980903412E-3</v>
      </c>
      <c r="T102" s="8">
        <f t="shared" si="15"/>
        <v>2.3801925131458943E-2</v>
      </c>
      <c r="U102" s="8"/>
      <c r="V102" s="9"/>
      <c r="W102" s="9"/>
    </row>
    <row r="103" spans="17:23" x14ac:dyDescent="0.3">
      <c r="Q103" s="2">
        <v>1</v>
      </c>
      <c r="R103" s="2">
        <v>0</v>
      </c>
      <c r="S103" s="8">
        <f t="shared" si="14"/>
        <v>6.0038962945843516E-3</v>
      </c>
      <c r="T103" s="8">
        <f t="shared" si="15"/>
        <v>2.3892756381468316E-2</v>
      </c>
      <c r="U103" s="8"/>
      <c r="V103" s="9"/>
      <c r="W103" s="9"/>
    </row>
    <row r="104" spans="17:23" x14ac:dyDescent="0.3">
      <c r="Q104" s="2"/>
      <c r="R104" s="2"/>
    </row>
    <row r="105" spans="17:23" x14ac:dyDescent="0.3">
      <c r="Q105" s="2"/>
      <c r="R105" s="2"/>
    </row>
    <row r="106" spans="17:23" x14ac:dyDescent="0.3">
      <c r="Q106" s="2"/>
      <c r="R106" s="2"/>
    </row>
    <row r="107" spans="17:23" x14ac:dyDescent="0.3">
      <c r="Q107" s="2"/>
      <c r="R107" s="2"/>
    </row>
    <row r="108" spans="17:23" x14ac:dyDescent="0.3">
      <c r="Q108" s="2"/>
      <c r="R108" s="2"/>
    </row>
    <row r="109" spans="17:23" x14ac:dyDescent="0.3">
      <c r="Q109" s="2"/>
      <c r="R109" s="2"/>
    </row>
    <row r="110" spans="17:23" x14ac:dyDescent="0.3">
      <c r="Q110" s="2"/>
      <c r="R110" s="2"/>
    </row>
    <row r="111" spans="17:23" x14ac:dyDescent="0.3">
      <c r="Q111" s="2"/>
      <c r="R111" s="2"/>
    </row>
    <row r="112" spans="17:23" x14ac:dyDescent="0.3">
      <c r="Q112" s="2"/>
      <c r="R112" s="2"/>
    </row>
    <row r="113" spans="17:18" x14ac:dyDescent="0.3">
      <c r="Q113" s="2"/>
      <c r="R113" s="2"/>
    </row>
    <row r="114" spans="17:18" x14ac:dyDescent="0.3">
      <c r="Q114" s="2"/>
      <c r="R114" s="2"/>
    </row>
    <row r="115" spans="17:18" x14ac:dyDescent="0.3">
      <c r="Q115" s="2"/>
      <c r="R115" s="2"/>
    </row>
    <row r="116" spans="17:18" x14ac:dyDescent="0.3">
      <c r="Q116" s="2"/>
      <c r="R116" s="2"/>
    </row>
    <row r="117" spans="17:18" x14ac:dyDescent="0.3">
      <c r="Q117" s="2"/>
      <c r="R117" s="2"/>
    </row>
    <row r="118" spans="17:18" x14ac:dyDescent="0.3">
      <c r="Q118" s="2"/>
      <c r="R118" s="2"/>
    </row>
    <row r="119" spans="17:18" x14ac:dyDescent="0.3">
      <c r="Q119" s="2"/>
      <c r="R119" s="2"/>
    </row>
    <row r="120" spans="17:18" x14ac:dyDescent="0.3">
      <c r="Q120" s="2"/>
      <c r="R120" s="2"/>
    </row>
    <row r="121" spans="17:18" x14ac:dyDescent="0.3">
      <c r="Q121" s="2"/>
      <c r="R121" s="2"/>
    </row>
    <row r="122" spans="17:18" x14ac:dyDescent="0.3">
      <c r="Q122" s="2"/>
      <c r="R122" s="2"/>
    </row>
    <row r="123" spans="17:18" x14ac:dyDescent="0.3">
      <c r="Q123" s="2"/>
      <c r="R123" s="2"/>
    </row>
    <row r="124" spans="17:18" x14ac:dyDescent="0.3">
      <c r="Q124" s="2"/>
      <c r="R124" s="2"/>
    </row>
    <row r="125" spans="17:18" x14ac:dyDescent="0.3">
      <c r="Q125" s="2"/>
      <c r="R125" s="2"/>
    </row>
    <row r="126" spans="17:18" x14ac:dyDescent="0.3">
      <c r="Q126" s="2"/>
      <c r="R126" s="2"/>
    </row>
    <row r="127" spans="17:18" x14ac:dyDescent="0.3">
      <c r="Q127" s="2"/>
      <c r="R127" s="2"/>
    </row>
    <row r="128" spans="17:18" x14ac:dyDescent="0.3">
      <c r="Q128" s="2"/>
      <c r="R128" s="2"/>
    </row>
    <row r="129" spans="17:18" x14ac:dyDescent="0.3">
      <c r="Q129" s="2"/>
      <c r="R129" s="2"/>
    </row>
    <row r="130" spans="17:18" x14ac:dyDescent="0.3">
      <c r="Q130" s="2"/>
      <c r="R130" s="2"/>
    </row>
    <row r="131" spans="17:18" x14ac:dyDescent="0.3">
      <c r="Q131" s="2"/>
      <c r="R131" s="2"/>
    </row>
    <row r="132" spans="17:18" x14ac:dyDescent="0.3">
      <c r="Q132" s="2"/>
      <c r="R132" s="2"/>
    </row>
    <row r="133" spans="17:18" x14ac:dyDescent="0.3">
      <c r="Q133" s="2"/>
      <c r="R133" s="2"/>
    </row>
    <row r="134" spans="17:18" x14ac:dyDescent="0.3">
      <c r="Q134" s="2"/>
      <c r="R134" s="2"/>
    </row>
    <row r="135" spans="17:18" x14ac:dyDescent="0.3">
      <c r="Q135" s="2"/>
      <c r="R135" s="2"/>
    </row>
    <row r="136" spans="17:18" x14ac:dyDescent="0.3">
      <c r="Q136" s="2"/>
      <c r="R136" s="2"/>
    </row>
    <row r="137" spans="17:18" x14ac:dyDescent="0.3">
      <c r="Q137" s="2"/>
      <c r="R137" s="2"/>
    </row>
    <row r="138" spans="17:18" x14ac:dyDescent="0.3">
      <c r="Q138" s="2"/>
      <c r="R138" s="2"/>
    </row>
    <row r="139" spans="17:18" x14ac:dyDescent="0.3">
      <c r="Q139" s="2"/>
      <c r="R139" s="2"/>
    </row>
    <row r="140" spans="17:18" x14ac:dyDescent="0.3">
      <c r="Q140" s="2"/>
      <c r="R140" s="2"/>
    </row>
    <row r="141" spans="17:18" x14ac:dyDescent="0.3">
      <c r="Q141" s="2"/>
      <c r="R141" s="2"/>
    </row>
    <row r="142" spans="17:18" x14ac:dyDescent="0.3">
      <c r="Q142" s="2"/>
      <c r="R142" s="2"/>
    </row>
    <row r="143" spans="17:18" x14ac:dyDescent="0.3">
      <c r="Q143" s="2"/>
      <c r="R143" s="2"/>
    </row>
    <row r="144" spans="17:18" x14ac:dyDescent="0.3">
      <c r="Q144" s="2"/>
      <c r="R144" s="2"/>
    </row>
    <row r="145" spans="17:18" x14ac:dyDescent="0.3">
      <c r="Q145" s="2"/>
      <c r="R145" s="2"/>
    </row>
    <row r="146" spans="17:18" x14ac:dyDescent="0.3">
      <c r="Q146" s="2"/>
      <c r="R146" s="2"/>
    </row>
    <row r="147" spans="17:18" x14ac:dyDescent="0.3">
      <c r="Q147" s="2"/>
      <c r="R147" s="2"/>
    </row>
  </sheetData>
  <mergeCells count="1">
    <mergeCell ref="Q2:R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508"/>
  <sheetViews>
    <sheetView workbookViewId="0">
      <selection activeCell="C2" sqref="C2"/>
    </sheetView>
  </sheetViews>
  <sheetFormatPr defaultRowHeight="14.4" x14ac:dyDescent="0.3"/>
  <cols>
    <col min="1" max="1" width="10.44140625" bestFit="1" customWidth="1"/>
  </cols>
  <sheetData>
    <row r="1" spans="1:2" x14ac:dyDescent="0.3">
      <c r="A1" s="3" t="s">
        <v>0</v>
      </c>
      <c r="B1" s="3" t="s">
        <v>2</v>
      </c>
    </row>
    <row r="2" spans="1:2" x14ac:dyDescent="0.3">
      <c r="A2" s="1">
        <v>40476</v>
      </c>
      <c r="B2" s="2">
        <v>6105.7998049999997</v>
      </c>
    </row>
    <row r="3" spans="1:2" x14ac:dyDescent="0.3">
      <c r="A3" s="1">
        <v>40477</v>
      </c>
      <c r="B3" s="2">
        <v>6082</v>
      </c>
    </row>
    <row r="4" spans="1:2" x14ac:dyDescent="0.3">
      <c r="A4" s="1">
        <v>40478</v>
      </c>
      <c r="B4" s="2">
        <v>6012.6499020000001</v>
      </c>
    </row>
    <row r="5" spans="1:2" x14ac:dyDescent="0.3">
      <c r="A5" s="1">
        <v>40479</v>
      </c>
      <c r="B5" s="2">
        <v>5987.7001950000003</v>
      </c>
    </row>
    <row r="6" spans="1:2" x14ac:dyDescent="0.3">
      <c r="A6" s="1">
        <v>40480</v>
      </c>
      <c r="B6" s="2">
        <v>6017.7001950000003</v>
      </c>
    </row>
    <row r="7" spans="1:2" x14ac:dyDescent="0.3">
      <c r="A7" s="1">
        <v>40483</v>
      </c>
      <c r="B7" s="2">
        <v>6117.5498049999997</v>
      </c>
    </row>
    <row r="8" spans="1:2" x14ac:dyDescent="0.3">
      <c r="A8" s="1">
        <v>40484</v>
      </c>
      <c r="B8" s="2">
        <v>6119</v>
      </c>
    </row>
    <row r="9" spans="1:2" x14ac:dyDescent="0.3">
      <c r="A9" s="1">
        <v>40485</v>
      </c>
      <c r="B9" s="2">
        <v>6160.5</v>
      </c>
    </row>
    <row r="10" spans="1:2" x14ac:dyDescent="0.3">
      <c r="A10" s="1">
        <v>40486</v>
      </c>
      <c r="B10" s="2">
        <v>6281.7998049999997</v>
      </c>
    </row>
    <row r="11" spans="1:2" x14ac:dyDescent="0.3">
      <c r="A11" s="1">
        <v>40490</v>
      </c>
      <c r="B11" s="2">
        <v>6273.2001950000003</v>
      </c>
    </row>
    <row r="12" spans="1:2" x14ac:dyDescent="0.3">
      <c r="A12" s="1">
        <v>40491</v>
      </c>
      <c r="B12" s="2">
        <v>6301.5498049999997</v>
      </c>
    </row>
    <row r="13" spans="1:2" x14ac:dyDescent="0.3">
      <c r="A13" s="1">
        <v>40492</v>
      </c>
      <c r="B13" s="2">
        <v>6275.7001950000003</v>
      </c>
    </row>
    <row r="14" spans="1:2" x14ac:dyDescent="0.3">
      <c r="A14" s="1">
        <v>40493</v>
      </c>
      <c r="B14" s="2">
        <v>6194.25</v>
      </c>
    </row>
    <row r="15" spans="1:2" x14ac:dyDescent="0.3">
      <c r="A15" s="1">
        <v>40494</v>
      </c>
      <c r="B15" s="2">
        <v>6071.6499020000001</v>
      </c>
    </row>
    <row r="16" spans="1:2" x14ac:dyDescent="0.3">
      <c r="A16" s="1">
        <v>40497</v>
      </c>
      <c r="B16" s="2">
        <v>6121.6000979999999</v>
      </c>
    </row>
    <row r="17" spans="1:2" x14ac:dyDescent="0.3">
      <c r="A17" s="1">
        <v>40498</v>
      </c>
      <c r="B17" s="2">
        <v>5988.7001950000003</v>
      </c>
    </row>
    <row r="18" spans="1:2" x14ac:dyDescent="0.3">
      <c r="A18" s="1">
        <v>40500</v>
      </c>
      <c r="B18" s="2">
        <v>5998.7998049999997</v>
      </c>
    </row>
    <row r="19" spans="1:2" x14ac:dyDescent="0.3">
      <c r="A19" s="1">
        <v>40501</v>
      </c>
      <c r="B19" s="2">
        <v>5890.2998049999997</v>
      </c>
    </row>
    <row r="20" spans="1:2" x14ac:dyDescent="0.3">
      <c r="A20" s="1">
        <v>40504</v>
      </c>
      <c r="B20" s="2">
        <v>6010</v>
      </c>
    </row>
    <row r="21" spans="1:2" x14ac:dyDescent="0.3">
      <c r="A21" s="1">
        <v>40505</v>
      </c>
      <c r="B21" s="2">
        <v>5934.75</v>
      </c>
    </row>
    <row r="22" spans="1:2" x14ac:dyDescent="0.3">
      <c r="A22" s="1">
        <v>40506</v>
      </c>
      <c r="B22" s="2">
        <v>5865.75</v>
      </c>
    </row>
    <row r="23" spans="1:2" x14ac:dyDescent="0.3">
      <c r="A23" s="1">
        <v>40507</v>
      </c>
      <c r="B23" s="2">
        <v>5799.75</v>
      </c>
    </row>
    <row r="24" spans="1:2" x14ac:dyDescent="0.3">
      <c r="A24" s="1">
        <v>40508</v>
      </c>
      <c r="B24" s="2">
        <v>5751.9501950000003</v>
      </c>
    </row>
    <row r="25" spans="1:2" x14ac:dyDescent="0.3">
      <c r="A25" s="1">
        <v>40511</v>
      </c>
      <c r="B25" s="2">
        <v>5830</v>
      </c>
    </row>
    <row r="26" spans="1:2" x14ac:dyDescent="0.3">
      <c r="A26" s="1">
        <v>40512</v>
      </c>
      <c r="B26" s="2">
        <v>5862.7001950000003</v>
      </c>
    </row>
    <row r="27" spans="1:2" x14ac:dyDescent="0.3">
      <c r="A27" s="1">
        <v>40513</v>
      </c>
      <c r="B27" s="2">
        <v>5960.8999020000001</v>
      </c>
    </row>
    <row r="28" spans="1:2" x14ac:dyDescent="0.3">
      <c r="A28" s="1">
        <v>40514</v>
      </c>
      <c r="B28" s="2">
        <v>6011.7001950000003</v>
      </c>
    </row>
    <row r="29" spans="1:2" x14ac:dyDescent="0.3">
      <c r="A29" s="1">
        <v>40515</v>
      </c>
      <c r="B29" s="2">
        <v>5992.7998049999997</v>
      </c>
    </row>
    <row r="30" spans="1:2" x14ac:dyDescent="0.3">
      <c r="A30" s="1">
        <v>40518</v>
      </c>
      <c r="B30" s="2">
        <v>5992.25</v>
      </c>
    </row>
    <row r="31" spans="1:2" x14ac:dyDescent="0.3">
      <c r="A31" s="1">
        <v>40519</v>
      </c>
      <c r="B31" s="2">
        <v>5976.5498049999997</v>
      </c>
    </row>
    <row r="32" spans="1:2" x14ac:dyDescent="0.3">
      <c r="A32" s="1">
        <v>40520</v>
      </c>
      <c r="B32" s="2">
        <v>5903.7001950000003</v>
      </c>
    </row>
    <row r="33" spans="1:2" x14ac:dyDescent="0.3">
      <c r="A33" s="1">
        <v>40521</v>
      </c>
      <c r="B33" s="2">
        <v>5766.5</v>
      </c>
    </row>
    <row r="34" spans="1:2" x14ac:dyDescent="0.3">
      <c r="A34" s="1">
        <v>40522</v>
      </c>
      <c r="B34" s="2">
        <v>5857.3500979999999</v>
      </c>
    </row>
    <row r="35" spans="1:2" x14ac:dyDescent="0.3">
      <c r="A35" s="1">
        <v>40525</v>
      </c>
      <c r="B35" s="2">
        <v>5907.6499020000001</v>
      </c>
    </row>
    <row r="36" spans="1:2" x14ac:dyDescent="0.3">
      <c r="A36" s="1">
        <v>40526</v>
      </c>
      <c r="B36" s="2">
        <v>5944.1000979999999</v>
      </c>
    </row>
    <row r="37" spans="1:2" x14ac:dyDescent="0.3">
      <c r="A37" s="1">
        <v>40527</v>
      </c>
      <c r="B37" s="2">
        <v>5892.2998049999997</v>
      </c>
    </row>
    <row r="38" spans="1:2" x14ac:dyDescent="0.3">
      <c r="A38" s="1">
        <v>40528</v>
      </c>
      <c r="B38" s="2">
        <v>5948.75</v>
      </c>
    </row>
    <row r="39" spans="1:2" x14ac:dyDescent="0.3">
      <c r="A39" s="1">
        <v>40532</v>
      </c>
      <c r="B39" s="2">
        <v>5947.0498049999997</v>
      </c>
    </row>
    <row r="40" spans="1:2" x14ac:dyDescent="0.3">
      <c r="A40" s="1">
        <v>40533</v>
      </c>
      <c r="B40" s="2">
        <v>6000.6499020000001</v>
      </c>
    </row>
    <row r="41" spans="1:2" x14ac:dyDescent="0.3">
      <c r="A41" s="1">
        <v>40534</v>
      </c>
      <c r="B41" s="2">
        <v>5984.3999020000001</v>
      </c>
    </row>
    <row r="42" spans="1:2" x14ac:dyDescent="0.3">
      <c r="A42" s="1">
        <v>40535</v>
      </c>
      <c r="B42" s="2">
        <v>5980</v>
      </c>
    </row>
    <row r="43" spans="1:2" x14ac:dyDescent="0.3">
      <c r="A43" s="1">
        <v>40536</v>
      </c>
      <c r="B43" s="2">
        <v>6011.6000979999999</v>
      </c>
    </row>
    <row r="44" spans="1:2" x14ac:dyDescent="0.3">
      <c r="A44" s="1">
        <v>40539</v>
      </c>
      <c r="B44" s="2">
        <v>5998.1000979999999</v>
      </c>
    </row>
    <row r="45" spans="1:2" x14ac:dyDescent="0.3">
      <c r="A45" s="1">
        <v>40540</v>
      </c>
      <c r="B45" s="2">
        <v>5996</v>
      </c>
    </row>
    <row r="46" spans="1:2" x14ac:dyDescent="0.3">
      <c r="A46" s="1">
        <v>40541</v>
      </c>
      <c r="B46" s="2">
        <v>6060.3500979999999</v>
      </c>
    </row>
    <row r="47" spans="1:2" x14ac:dyDescent="0.3">
      <c r="A47" s="1">
        <v>40542</v>
      </c>
      <c r="B47" s="2">
        <v>6101.8500979999999</v>
      </c>
    </row>
    <row r="48" spans="1:2" x14ac:dyDescent="0.3">
      <c r="A48" s="1">
        <v>40543</v>
      </c>
      <c r="B48" s="2">
        <v>6134.5</v>
      </c>
    </row>
    <row r="49" spans="1:2" x14ac:dyDescent="0.3">
      <c r="A49" s="1">
        <v>40546</v>
      </c>
      <c r="B49" s="2">
        <v>6157.6000979999999</v>
      </c>
    </row>
    <row r="50" spans="1:2" x14ac:dyDescent="0.3">
      <c r="A50" s="1">
        <v>40547</v>
      </c>
      <c r="B50" s="2">
        <v>6146.3500979999999</v>
      </c>
    </row>
    <row r="51" spans="1:2" x14ac:dyDescent="0.3">
      <c r="A51" s="1">
        <v>40548</v>
      </c>
      <c r="B51" s="2">
        <v>6079.7998049999997</v>
      </c>
    </row>
    <row r="52" spans="1:2" x14ac:dyDescent="0.3">
      <c r="A52" s="1">
        <v>40549</v>
      </c>
      <c r="B52" s="2">
        <v>6048.25</v>
      </c>
    </row>
    <row r="53" spans="1:2" x14ac:dyDescent="0.3">
      <c r="A53" s="1">
        <v>40550</v>
      </c>
      <c r="B53" s="2">
        <v>5904.6000979999999</v>
      </c>
    </row>
    <row r="54" spans="1:2" x14ac:dyDescent="0.3">
      <c r="A54" s="1">
        <v>40553</v>
      </c>
      <c r="B54" s="2">
        <v>5762.8500979999999</v>
      </c>
    </row>
    <row r="55" spans="1:2" x14ac:dyDescent="0.3">
      <c r="A55" s="1">
        <v>40554</v>
      </c>
      <c r="B55" s="2">
        <v>5754.1000979999999</v>
      </c>
    </row>
    <row r="56" spans="1:2" x14ac:dyDescent="0.3">
      <c r="A56" s="1">
        <v>40555</v>
      </c>
      <c r="B56" s="2">
        <v>5863.25</v>
      </c>
    </row>
    <row r="57" spans="1:2" x14ac:dyDescent="0.3">
      <c r="A57" s="1">
        <v>40556</v>
      </c>
      <c r="B57" s="2">
        <v>5751.8999020000001</v>
      </c>
    </row>
    <row r="58" spans="1:2" x14ac:dyDescent="0.3">
      <c r="A58" s="1">
        <v>40557</v>
      </c>
      <c r="B58" s="2">
        <v>5654.5498049999997</v>
      </c>
    </row>
    <row r="59" spans="1:2" x14ac:dyDescent="0.3">
      <c r="A59" s="1">
        <v>40560</v>
      </c>
      <c r="B59" s="2">
        <v>5654.75</v>
      </c>
    </row>
    <row r="60" spans="1:2" x14ac:dyDescent="0.3">
      <c r="A60" s="1">
        <v>40561</v>
      </c>
      <c r="B60" s="2">
        <v>5724.0498049999997</v>
      </c>
    </row>
    <row r="61" spans="1:2" x14ac:dyDescent="0.3">
      <c r="A61" s="1">
        <v>40562</v>
      </c>
      <c r="B61" s="2">
        <v>5691.0498049999997</v>
      </c>
    </row>
    <row r="62" spans="1:2" x14ac:dyDescent="0.3">
      <c r="A62" s="1">
        <v>40563</v>
      </c>
      <c r="B62" s="2">
        <v>5711.6000979999999</v>
      </c>
    </row>
    <row r="63" spans="1:2" x14ac:dyDescent="0.3">
      <c r="A63" s="1">
        <v>40564</v>
      </c>
      <c r="B63" s="2">
        <v>5696.5</v>
      </c>
    </row>
    <row r="64" spans="1:2" x14ac:dyDescent="0.3">
      <c r="A64" s="1">
        <v>40567</v>
      </c>
      <c r="B64" s="2">
        <v>5743.25</v>
      </c>
    </row>
    <row r="65" spans="1:2" x14ac:dyDescent="0.3">
      <c r="A65" s="1">
        <v>40568</v>
      </c>
      <c r="B65" s="2">
        <v>5687.3999020000001</v>
      </c>
    </row>
    <row r="66" spans="1:2" x14ac:dyDescent="0.3">
      <c r="A66" s="1">
        <v>40570</v>
      </c>
      <c r="B66" s="2">
        <v>5604.2998049999997</v>
      </c>
    </row>
    <row r="67" spans="1:2" x14ac:dyDescent="0.3">
      <c r="A67" s="1">
        <v>40571</v>
      </c>
      <c r="B67" s="2">
        <v>5512.1499020000001</v>
      </c>
    </row>
    <row r="68" spans="1:2" x14ac:dyDescent="0.3">
      <c r="A68" s="1">
        <v>40574</v>
      </c>
      <c r="B68" s="2">
        <v>5505.8999020000001</v>
      </c>
    </row>
    <row r="69" spans="1:2" x14ac:dyDescent="0.3">
      <c r="A69" s="1">
        <v>40575</v>
      </c>
      <c r="B69" s="2">
        <v>5417.2001950000003</v>
      </c>
    </row>
    <row r="70" spans="1:2" x14ac:dyDescent="0.3">
      <c r="A70" s="1">
        <v>40576</v>
      </c>
      <c r="B70" s="2">
        <v>5432</v>
      </c>
    </row>
    <row r="71" spans="1:2" x14ac:dyDescent="0.3">
      <c r="A71" s="1">
        <v>40577</v>
      </c>
      <c r="B71" s="2">
        <v>5526.75</v>
      </c>
    </row>
    <row r="72" spans="1:2" x14ac:dyDescent="0.3">
      <c r="A72" s="1">
        <v>40578</v>
      </c>
      <c r="B72" s="2">
        <v>5395.75</v>
      </c>
    </row>
    <row r="73" spans="1:2" x14ac:dyDescent="0.3">
      <c r="A73" s="1">
        <v>40581</v>
      </c>
      <c r="B73" s="2">
        <v>5396</v>
      </c>
    </row>
    <row r="74" spans="1:2" x14ac:dyDescent="0.3">
      <c r="A74" s="1">
        <v>40582</v>
      </c>
      <c r="B74" s="2">
        <v>5312.5498049999997</v>
      </c>
    </row>
    <row r="75" spans="1:2" x14ac:dyDescent="0.3">
      <c r="A75" s="1">
        <v>40583</v>
      </c>
      <c r="B75" s="2">
        <v>5253.5498049999997</v>
      </c>
    </row>
    <row r="76" spans="1:2" x14ac:dyDescent="0.3">
      <c r="A76" s="1">
        <v>40584</v>
      </c>
      <c r="B76" s="2">
        <v>5225.7998049999997</v>
      </c>
    </row>
    <row r="77" spans="1:2" x14ac:dyDescent="0.3">
      <c r="A77" s="1">
        <v>40585</v>
      </c>
      <c r="B77" s="2">
        <v>5310</v>
      </c>
    </row>
    <row r="78" spans="1:2" x14ac:dyDescent="0.3">
      <c r="A78" s="1">
        <v>40588</v>
      </c>
      <c r="B78" s="2">
        <v>5456</v>
      </c>
    </row>
    <row r="79" spans="1:2" x14ac:dyDescent="0.3">
      <c r="A79" s="1">
        <v>40589</v>
      </c>
      <c r="B79" s="2">
        <v>5481</v>
      </c>
    </row>
    <row r="80" spans="1:2" x14ac:dyDescent="0.3">
      <c r="A80" s="1">
        <v>40590</v>
      </c>
      <c r="B80" s="2">
        <v>5481.7001950000003</v>
      </c>
    </row>
    <row r="81" spans="1:2" x14ac:dyDescent="0.3">
      <c r="A81" s="1">
        <v>40591</v>
      </c>
      <c r="B81" s="2">
        <v>5546.4501950000003</v>
      </c>
    </row>
    <row r="82" spans="1:2" x14ac:dyDescent="0.3">
      <c r="A82" s="1">
        <v>40592</v>
      </c>
      <c r="B82" s="2">
        <v>5458.9501950000003</v>
      </c>
    </row>
    <row r="83" spans="1:2" x14ac:dyDescent="0.3">
      <c r="A83" s="1">
        <v>40595</v>
      </c>
      <c r="B83" s="2">
        <v>5518.6000979999999</v>
      </c>
    </row>
    <row r="84" spans="1:2" x14ac:dyDescent="0.3">
      <c r="A84" s="1">
        <v>40596</v>
      </c>
      <c r="B84" s="2">
        <v>5469.2001950000003</v>
      </c>
    </row>
    <row r="85" spans="1:2" x14ac:dyDescent="0.3">
      <c r="A85" s="1">
        <v>40597</v>
      </c>
      <c r="B85" s="2">
        <v>5437.3500979999999</v>
      </c>
    </row>
    <row r="86" spans="1:2" x14ac:dyDescent="0.3">
      <c r="A86" s="1">
        <v>40598</v>
      </c>
      <c r="B86" s="2">
        <v>5262.7001950000003</v>
      </c>
    </row>
    <row r="87" spans="1:2" x14ac:dyDescent="0.3">
      <c r="A87" s="1">
        <v>40599</v>
      </c>
      <c r="B87" s="2">
        <v>5303.5498049999997</v>
      </c>
    </row>
    <row r="88" spans="1:2" x14ac:dyDescent="0.3">
      <c r="A88" s="1">
        <v>40602</v>
      </c>
      <c r="B88" s="2">
        <v>5333.25</v>
      </c>
    </row>
    <row r="89" spans="1:2" x14ac:dyDescent="0.3">
      <c r="A89" s="1">
        <v>40603</v>
      </c>
      <c r="B89" s="2">
        <v>5522.2998049999997</v>
      </c>
    </row>
    <row r="90" spans="1:2" x14ac:dyDescent="0.3">
      <c r="A90" s="1">
        <v>40605</v>
      </c>
      <c r="B90" s="2">
        <v>5536.2001950000003</v>
      </c>
    </row>
    <row r="91" spans="1:2" x14ac:dyDescent="0.3">
      <c r="A91" s="1">
        <v>40606</v>
      </c>
      <c r="B91" s="2">
        <v>5538.75</v>
      </c>
    </row>
    <row r="92" spans="1:2" x14ac:dyDescent="0.3">
      <c r="A92" s="1">
        <v>40609</v>
      </c>
      <c r="B92" s="2">
        <v>5463.1499020000001</v>
      </c>
    </row>
    <row r="93" spans="1:2" x14ac:dyDescent="0.3">
      <c r="A93" s="1">
        <v>40610</v>
      </c>
      <c r="B93" s="2">
        <v>5520.7998049999997</v>
      </c>
    </row>
    <row r="94" spans="1:2" x14ac:dyDescent="0.3">
      <c r="A94" s="1">
        <v>40611</v>
      </c>
      <c r="B94" s="2">
        <v>5531</v>
      </c>
    </row>
    <row r="95" spans="1:2" x14ac:dyDescent="0.3">
      <c r="A95" s="1">
        <v>40612</v>
      </c>
      <c r="B95" s="2">
        <v>5494.3999020000001</v>
      </c>
    </row>
    <row r="96" spans="1:2" x14ac:dyDescent="0.3">
      <c r="A96" s="1">
        <v>40613</v>
      </c>
      <c r="B96" s="2">
        <v>5445.4501950000003</v>
      </c>
    </row>
    <row r="97" spans="1:2" x14ac:dyDescent="0.3">
      <c r="A97" s="1">
        <v>40616</v>
      </c>
      <c r="B97" s="2">
        <v>5531.5</v>
      </c>
    </row>
    <row r="98" spans="1:2" x14ac:dyDescent="0.3">
      <c r="A98" s="1">
        <v>40617</v>
      </c>
      <c r="B98" s="2">
        <v>5449.6499020000001</v>
      </c>
    </row>
    <row r="99" spans="1:2" x14ac:dyDescent="0.3">
      <c r="A99" s="1">
        <v>40618</v>
      </c>
      <c r="B99" s="2">
        <v>5511.1499020000001</v>
      </c>
    </row>
    <row r="100" spans="1:2" x14ac:dyDescent="0.3">
      <c r="A100" s="1">
        <v>40619</v>
      </c>
      <c r="B100" s="2">
        <v>5446.6499020000001</v>
      </c>
    </row>
    <row r="101" spans="1:2" x14ac:dyDescent="0.3">
      <c r="A101" s="1">
        <v>40620</v>
      </c>
      <c r="B101" s="2">
        <v>5373.7001950000003</v>
      </c>
    </row>
    <row r="102" spans="1:2" x14ac:dyDescent="0.3">
      <c r="A102" s="1">
        <v>40623</v>
      </c>
      <c r="B102" s="2">
        <v>5364.75</v>
      </c>
    </row>
    <row r="103" spans="1:2" x14ac:dyDescent="0.3">
      <c r="A103" s="1">
        <v>40624</v>
      </c>
      <c r="B103" s="2">
        <v>5413.8500979999999</v>
      </c>
    </row>
    <row r="104" spans="1:2" x14ac:dyDescent="0.3">
      <c r="A104" s="1">
        <v>40625</v>
      </c>
      <c r="B104" s="2">
        <v>5480.25</v>
      </c>
    </row>
    <row r="105" spans="1:2" x14ac:dyDescent="0.3">
      <c r="A105" s="1">
        <v>40626</v>
      </c>
      <c r="B105" s="2">
        <v>5522.3999020000001</v>
      </c>
    </row>
    <row r="106" spans="1:2" x14ac:dyDescent="0.3">
      <c r="A106" s="1">
        <v>40627</v>
      </c>
      <c r="B106" s="2">
        <v>5654.25</v>
      </c>
    </row>
    <row r="107" spans="1:2" x14ac:dyDescent="0.3">
      <c r="A107" s="1">
        <v>40630</v>
      </c>
      <c r="B107" s="2">
        <v>5687.25</v>
      </c>
    </row>
    <row r="108" spans="1:2" x14ac:dyDescent="0.3">
      <c r="A108" s="1">
        <v>40631</v>
      </c>
      <c r="B108" s="2">
        <v>5736.3500979999999</v>
      </c>
    </row>
    <row r="109" spans="1:2" x14ac:dyDescent="0.3">
      <c r="A109" s="1">
        <v>40632</v>
      </c>
      <c r="B109" s="2">
        <v>5787.6499020000001</v>
      </c>
    </row>
    <row r="110" spans="1:2" x14ac:dyDescent="0.3">
      <c r="A110" s="1">
        <v>40633</v>
      </c>
      <c r="B110" s="2">
        <v>5833.75</v>
      </c>
    </row>
    <row r="111" spans="1:2" x14ac:dyDescent="0.3">
      <c r="A111" s="1">
        <v>40634</v>
      </c>
      <c r="B111" s="2">
        <v>5826.0498049999997</v>
      </c>
    </row>
    <row r="112" spans="1:2" x14ac:dyDescent="0.3">
      <c r="A112" s="1">
        <v>40637</v>
      </c>
      <c r="B112" s="2">
        <v>5908.4501950000003</v>
      </c>
    </row>
    <row r="113" spans="1:2" x14ac:dyDescent="0.3">
      <c r="A113" s="1">
        <v>40638</v>
      </c>
      <c r="B113" s="2">
        <v>5910.0498049999997</v>
      </c>
    </row>
    <row r="114" spans="1:2" x14ac:dyDescent="0.3">
      <c r="A114" s="1">
        <v>40639</v>
      </c>
      <c r="B114" s="2">
        <v>5891.75</v>
      </c>
    </row>
    <row r="115" spans="1:2" x14ac:dyDescent="0.3">
      <c r="A115" s="1">
        <v>40640</v>
      </c>
      <c r="B115" s="2">
        <v>5885.7001950000003</v>
      </c>
    </row>
    <row r="116" spans="1:2" x14ac:dyDescent="0.3">
      <c r="A116" s="1">
        <v>40641</v>
      </c>
      <c r="B116" s="2">
        <v>5842</v>
      </c>
    </row>
    <row r="117" spans="1:2" x14ac:dyDescent="0.3">
      <c r="A117" s="1">
        <v>40644</v>
      </c>
      <c r="B117" s="2">
        <v>5785.7001950000003</v>
      </c>
    </row>
    <row r="118" spans="1:2" x14ac:dyDescent="0.3">
      <c r="A118" s="1">
        <v>40646</v>
      </c>
      <c r="B118" s="2">
        <v>5911.5</v>
      </c>
    </row>
    <row r="119" spans="1:2" x14ac:dyDescent="0.3">
      <c r="A119" s="1">
        <v>40648</v>
      </c>
      <c r="B119" s="2">
        <v>5824.5498049999997</v>
      </c>
    </row>
    <row r="120" spans="1:2" x14ac:dyDescent="0.3">
      <c r="A120" s="1">
        <v>40651</v>
      </c>
      <c r="B120" s="2">
        <v>5729.1000979999999</v>
      </c>
    </row>
    <row r="121" spans="1:2" x14ac:dyDescent="0.3">
      <c r="A121" s="1">
        <v>40652</v>
      </c>
      <c r="B121" s="2">
        <v>5740.75</v>
      </c>
    </row>
    <row r="122" spans="1:2" x14ac:dyDescent="0.3">
      <c r="A122" s="1">
        <v>40653</v>
      </c>
      <c r="B122" s="2">
        <v>5851.6499020000001</v>
      </c>
    </row>
    <row r="123" spans="1:2" x14ac:dyDescent="0.3">
      <c r="A123" s="1">
        <v>40654</v>
      </c>
      <c r="B123" s="2">
        <v>5884.7001950000003</v>
      </c>
    </row>
    <row r="124" spans="1:2" x14ac:dyDescent="0.3">
      <c r="A124" s="1">
        <v>40658</v>
      </c>
      <c r="B124" s="2">
        <v>5874.5</v>
      </c>
    </row>
    <row r="125" spans="1:2" x14ac:dyDescent="0.3">
      <c r="A125" s="1">
        <v>40659</v>
      </c>
      <c r="B125" s="2">
        <v>5868.3999020000001</v>
      </c>
    </row>
    <row r="126" spans="1:2" x14ac:dyDescent="0.3">
      <c r="A126" s="1">
        <v>40660</v>
      </c>
      <c r="B126" s="2">
        <v>5833.8999020000001</v>
      </c>
    </row>
    <row r="127" spans="1:2" x14ac:dyDescent="0.3">
      <c r="A127" s="1">
        <v>40661</v>
      </c>
      <c r="B127" s="2">
        <v>5785.4501950000003</v>
      </c>
    </row>
    <row r="128" spans="1:2" x14ac:dyDescent="0.3">
      <c r="A128" s="1">
        <v>40662</v>
      </c>
      <c r="B128" s="2">
        <v>5749.5</v>
      </c>
    </row>
    <row r="129" spans="1:2" x14ac:dyDescent="0.3">
      <c r="A129" s="1">
        <v>40665</v>
      </c>
      <c r="B129" s="2">
        <v>5701.2998049999997</v>
      </c>
    </row>
    <row r="130" spans="1:2" x14ac:dyDescent="0.3">
      <c r="A130" s="1">
        <v>40666</v>
      </c>
      <c r="B130" s="2">
        <v>5565.25</v>
      </c>
    </row>
    <row r="131" spans="1:2" x14ac:dyDescent="0.3">
      <c r="A131" s="1">
        <v>40667</v>
      </c>
      <c r="B131" s="2">
        <v>5537.1499020000001</v>
      </c>
    </row>
    <row r="132" spans="1:2" x14ac:dyDescent="0.3">
      <c r="A132" s="1">
        <v>40668</v>
      </c>
      <c r="B132" s="2">
        <v>5459.8500979999999</v>
      </c>
    </row>
    <row r="133" spans="1:2" x14ac:dyDescent="0.3">
      <c r="A133" s="1">
        <v>40669</v>
      </c>
      <c r="B133" s="2">
        <v>5551.4501950000003</v>
      </c>
    </row>
    <row r="134" spans="1:2" x14ac:dyDescent="0.3">
      <c r="A134" s="1">
        <v>40672</v>
      </c>
      <c r="B134" s="2">
        <v>5551.1000979999999</v>
      </c>
    </row>
    <row r="135" spans="1:2" x14ac:dyDescent="0.3">
      <c r="A135" s="1">
        <v>40673</v>
      </c>
      <c r="B135" s="2">
        <v>5541.25</v>
      </c>
    </row>
    <row r="136" spans="1:2" x14ac:dyDescent="0.3">
      <c r="A136" s="1">
        <v>40674</v>
      </c>
      <c r="B136" s="2">
        <v>5565.0498049999997</v>
      </c>
    </row>
    <row r="137" spans="1:2" x14ac:dyDescent="0.3">
      <c r="A137" s="1">
        <v>40675</v>
      </c>
      <c r="B137" s="2">
        <v>5486.1499020000001</v>
      </c>
    </row>
    <row r="138" spans="1:2" x14ac:dyDescent="0.3">
      <c r="A138" s="1">
        <v>40676</v>
      </c>
      <c r="B138" s="2">
        <v>5544.75</v>
      </c>
    </row>
    <row r="139" spans="1:2" x14ac:dyDescent="0.3">
      <c r="A139" s="1">
        <v>40679</v>
      </c>
      <c r="B139" s="2">
        <v>5499</v>
      </c>
    </row>
    <row r="140" spans="1:2" x14ac:dyDescent="0.3">
      <c r="A140" s="1">
        <v>40680</v>
      </c>
      <c r="B140" s="2">
        <v>5438.9501950000003</v>
      </c>
    </row>
    <row r="141" spans="1:2" x14ac:dyDescent="0.3">
      <c r="A141" s="1">
        <v>40681</v>
      </c>
      <c r="B141" s="2">
        <v>5420.6000979999999</v>
      </c>
    </row>
    <row r="142" spans="1:2" x14ac:dyDescent="0.3">
      <c r="A142" s="1">
        <v>40682</v>
      </c>
      <c r="B142" s="2">
        <v>5428.1000979999999</v>
      </c>
    </row>
    <row r="143" spans="1:2" x14ac:dyDescent="0.3">
      <c r="A143" s="1">
        <v>40683</v>
      </c>
      <c r="B143" s="2">
        <v>5486.3500979999999</v>
      </c>
    </row>
    <row r="144" spans="1:2" x14ac:dyDescent="0.3">
      <c r="A144" s="1">
        <v>40686</v>
      </c>
      <c r="B144" s="2">
        <v>5386.5498049999997</v>
      </c>
    </row>
    <row r="145" spans="1:2" x14ac:dyDescent="0.3">
      <c r="A145" s="1">
        <v>40687</v>
      </c>
      <c r="B145" s="2">
        <v>5394.8500979999999</v>
      </c>
    </row>
    <row r="146" spans="1:2" x14ac:dyDescent="0.3">
      <c r="A146" s="1">
        <v>40688</v>
      </c>
      <c r="B146" s="2">
        <v>5348.9501950000003</v>
      </c>
    </row>
    <row r="147" spans="1:2" x14ac:dyDescent="0.3">
      <c r="A147" s="1">
        <v>40689</v>
      </c>
      <c r="B147" s="2">
        <v>5412.3500979999999</v>
      </c>
    </row>
    <row r="148" spans="1:2" x14ac:dyDescent="0.3">
      <c r="A148" s="1">
        <v>40690</v>
      </c>
      <c r="B148" s="2">
        <v>5476.1000979999999</v>
      </c>
    </row>
    <row r="149" spans="1:2" x14ac:dyDescent="0.3">
      <c r="A149" s="1">
        <v>40693</v>
      </c>
      <c r="B149" s="2">
        <v>5473.1000979999999</v>
      </c>
    </row>
    <row r="150" spans="1:2" x14ac:dyDescent="0.3">
      <c r="A150" s="1">
        <v>40695</v>
      </c>
      <c r="B150" s="2">
        <v>5592</v>
      </c>
    </row>
    <row r="151" spans="1:2" x14ac:dyDescent="0.3">
      <c r="A151" s="1">
        <v>40696</v>
      </c>
      <c r="B151" s="2">
        <v>5550.3500979999999</v>
      </c>
    </row>
    <row r="152" spans="1:2" x14ac:dyDescent="0.3">
      <c r="A152" s="1">
        <v>40697</v>
      </c>
      <c r="B152" s="2">
        <v>5516.75</v>
      </c>
    </row>
    <row r="153" spans="1:2" x14ac:dyDescent="0.3">
      <c r="A153" s="1">
        <v>40700</v>
      </c>
      <c r="B153" s="2">
        <v>5532.0498049999997</v>
      </c>
    </row>
    <row r="154" spans="1:2" x14ac:dyDescent="0.3">
      <c r="A154" s="1">
        <v>40701</v>
      </c>
      <c r="B154" s="2">
        <v>5556.1499020000001</v>
      </c>
    </row>
    <row r="155" spans="1:2" x14ac:dyDescent="0.3">
      <c r="A155" s="1">
        <v>40702</v>
      </c>
      <c r="B155" s="2">
        <v>5526.8500979999999</v>
      </c>
    </row>
    <row r="156" spans="1:2" x14ac:dyDescent="0.3">
      <c r="A156" s="1">
        <v>40703</v>
      </c>
      <c r="B156" s="2">
        <v>5521.0498049999997</v>
      </c>
    </row>
    <row r="157" spans="1:2" x14ac:dyDescent="0.3">
      <c r="A157" s="1">
        <v>40704</v>
      </c>
      <c r="B157" s="2">
        <v>5485.7998049999997</v>
      </c>
    </row>
    <row r="158" spans="1:2" x14ac:dyDescent="0.3">
      <c r="A158" s="1">
        <v>40707</v>
      </c>
      <c r="B158" s="2">
        <v>5482.7998049999997</v>
      </c>
    </row>
    <row r="159" spans="1:2" x14ac:dyDescent="0.3">
      <c r="A159" s="1">
        <v>40708</v>
      </c>
      <c r="B159" s="2">
        <v>5500.5</v>
      </c>
    </row>
    <row r="160" spans="1:2" x14ac:dyDescent="0.3">
      <c r="A160" s="1">
        <v>40709</v>
      </c>
      <c r="B160" s="2">
        <v>5447.5</v>
      </c>
    </row>
    <row r="161" spans="1:2" x14ac:dyDescent="0.3">
      <c r="A161" s="1">
        <v>40710</v>
      </c>
      <c r="B161" s="2">
        <v>5396.75</v>
      </c>
    </row>
    <row r="162" spans="1:2" x14ac:dyDescent="0.3">
      <c r="A162" s="1">
        <v>40711</v>
      </c>
      <c r="B162" s="2">
        <v>5366.3999020000001</v>
      </c>
    </row>
    <row r="163" spans="1:2" x14ac:dyDescent="0.3">
      <c r="A163" s="1">
        <v>40714</v>
      </c>
      <c r="B163" s="2">
        <v>5257.8999020000001</v>
      </c>
    </row>
    <row r="164" spans="1:2" x14ac:dyDescent="0.3">
      <c r="A164" s="1">
        <v>40715</v>
      </c>
      <c r="B164" s="2">
        <v>5275.8500979999999</v>
      </c>
    </row>
    <row r="165" spans="1:2" x14ac:dyDescent="0.3">
      <c r="A165" s="1">
        <v>40716</v>
      </c>
      <c r="B165" s="2">
        <v>5278.2998049999997</v>
      </c>
    </row>
    <row r="166" spans="1:2" x14ac:dyDescent="0.3">
      <c r="A166" s="1">
        <v>40717</v>
      </c>
      <c r="B166" s="2">
        <v>5320</v>
      </c>
    </row>
    <row r="167" spans="1:2" x14ac:dyDescent="0.3">
      <c r="A167" s="1">
        <v>40718</v>
      </c>
      <c r="B167" s="2">
        <v>5471.25</v>
      </c>
    </row>
    <row r="168" spans="1:2" x14ac:dyDescent="0.3">
      <c r="A168" s="1">
        <v>40721</v>
      </c>
      <c r="B168" s="2">
        <v>5526.6000979999999</v>
      </c>
    </row>
    <row r="169" spans="1:2" x14ac:dyDescent="0.3">
      <c r="A169" s="1">
        <v>40722</v>
      </c>
      <c r="B169" s="2">
        <v>5545.2998049999997</v>
      </c>
    </row>
    <row r="170" spans="1:2" x14ac:dyDescent="0.3">
      <c r="A170" s="1">
        <v>40723</v>
      </c>
      <c r="B170" s="2">
        <v>5600.4501950000003</v>
      </c>
    </row>
    <row r="171" spans="1:2" x14ac:dyDescent="0.3">
      <c r="A171" s="1">
        <v>40724</v>
      </c>
      <c r="B171" s="2">
        <v>5647.3999020000001</v>
      </c>
    </row>
    <row r="172" spans="1:2" x14ac:dyDescent="0.3">
      <c r="A172" s="1">
        <v>40725</v>
      </c>
      <c r="B172" s="2">
        <v>5627.2001950000003</v>
      </c>
    </row>
    <row r="173" spans="1:2" x14ac:dyDescent="0.3">
      <c r="A173" s="1">
        <v>40728</v>
      </c>
      <c r="B173" s="2">
        <v>5650.5</v>
      </c>
    </row>
    <row r="174" spans="1:2" x14ac:dyDescent="0.3">
      <c r="A174" s="1">
        <v>40729</v>
      </c>
      <c r="B174" s="2">
        <v>5632.1000979999999</v>
      </c>
    </row>
    <row r="175" spans="1:2" x14ac:dyDescent="0.3">
      <c r="A175" s="1">
        <v>40730</v>
      </c>
      <c r="B175" s="2">
        <v>5625.4501950000003</v>
      </c>
    </row>
    <row r="176" spans="1:2" x14ac:dyDescent="0.3">
      <c r="A176" s="1">
        <v>40731</v>
      </c>
      <c r="B176" s="2">
        <v>5728.9501950000003</v>
      </c>
    </row>
    <row r="177" spans="1:2" x14ac:dyDescent="0.3">
      <c r="A177" s="1">
        <v>40732</v>
      </c>
      <c r="B177" s="2">
        <v>5660.6499020000001</v>
      </c>
    </row>
    <row r="178" spans="1:2" x14ac:dyDescent="0.3">
      <c r="A178" s="1">
        <v>40735</v>
      </c>
      <c r="B178" s="2">
        <v>5616.1000979999999</v>
      </c>
    </row>
    <row r="179" spans="1:2" x14ac:dyDescent="0.3">
      <c r="A179" s="1">
        <v>40736</v>
      </c>
      <c r="B179" s="2">
        <v>5526.1499020000001</v>
      </c>
    </row>
    <row r="180" spans="1:2" x14ac:dyDescent="0.3">
      <c r="A180" s="1">
        <v>40737</v>
      </c>
      <c r="B180" s="2">
        <v>5585.4501950000003</v>
      </c>
    </row>
    <row r="181" spans="1:2" x14ac:dyDescent="0.3">
      <c r="A181" s="1">
        <v>40738</v>
      </c>
      <c r="B181" s="2">
        <v>5512.2998049999997</v>
      </c>
    </row>
    <row r="182" spans="1:2" x14ac:dyDescent="0.3">
      <c r="A182" s="1">
        <v>40739</v>
      </c>
      <c r="B182" s="2">
        <v>5581.1000979999999</v>
      </c>
    </row>
    <row r="183" spans="1:2" x14ac:dyDescent="0.3">
      <c r="A183" s="1">
        <v>40742</v>
      </c>
      <c r="B183" s="2">
        <v>5567.0498049999997</v>
      </c>
    </row>
    <row r="184" spans="1:2" x14ac:dyDescent="0.3">
      <c r="A184" s="1">
        <v>40743</v>
      </c>
      <c r="B184" s="2">
        <v>5613.5498049999997</v>
      </c>
    </row>
    <row r="185" spans="1:2" x14ac:dyDescent="0.3">
      <c r="A185" s="1">
        <v>40744</v>
      </c>
      <c r="B185" s="2">
        <v>5567.0498049999997</v>
      </c>
    </row>
    <row r="186" spans="1:2" x14ac:dyDescent="0.3">
      <c r="A186" s="1">
        <v>40745</v>
      </c>
      <c r="B186" s="2">
        <v>5541.6000979999999</v>
      </c>
    </row>
    <row r="187" spans="1:2" x14ac:dyDescent="0.3">
      <c r="A187" s="1">
        <v>40746</v>
      </c>
      <c r="B187" s="2">
        <v>5633.9501950000003</v>
      </c>
    </row>
    <row r="188" spans="1:2" x14ac:dyDescent="0.3">
      <c r="A188" s="1">
        <v>40749</v>
      </c>
      <c r="B188" s="2">
        <v>5680.2998049999997</v>
      </c>
    </row>
    <row r="189" spans="1:2" x14ac:dyDescent="0.3">
      <c r="A189" s="1">
        <v>40750</v>
      </c>
      <c r="B189" s="2">
        <v>5574.8500979999999</v>
      </c>
    </row>
    <row r="190" spans="1:2" x14ac:dyDescent="0.3">
      <c r="A190" s="1">
        <v>40751</v>
      </c>
      <c r="B190" s="2">
        <v>5546.7998049999997</v>
      </c>
    </row>
    <row r="191" spans="1:2" x14ac:dyDescent="0.3">
      <c r="A191" s="1">
        <v>40752</v>
      </c>
      <c r="B191" s="2">
        <v>5487.75</v>
      </c>
    </row>
    <row r="192" spans="1:2" x14ac:dyDescent="0.3">
      <c r="A192" s="1">
        <v>40753</v>
      </c>
      <c r="B192" s="2">
        <v>5482</v>
      </c>
    </row>
    <row r="193" spans="1:2" x14ac:dyDescent="0.3">
      <c r="A193" s="1">
        <v>40756</v>
      </c>
      <c r="B193" s="2">
        <v>5516.7998049999997</v>
      </c>
    </row>
    <row r="194" spans="1:2" x14ac:dyDescent="0.3">
      <c r="A194" s="1">
        <v>40757</v>
      </c>
      <c r="B194" s="2">
        <v>5456.5498049999997</v>
      </c>
    </row>
    <row r="195" spans="1:2" x14ac:dyDescent="0.3">
      <c r="A195" s="1">
        <v>40758</v>
      </c>
      <c r="B195" s="2">
        <v>5404.7998049999997</v>
      </c>
    </row>
    <row r="196" spans="1:2" x14ac:dyDescent="0.3">
      <c r="A196" s="1">
        <v>40759</v>
      </c>
      <c r="B196" s="2">
        <v>5331.7998049999997</v>
      </c>
    </row>
    <row r="197" spans="1:2" x14ac:dyDescent="0.3">
      <c r="A197" s="1">
        <v>40760</v>
      </c>
      <c r="B197" s="2">
        <v>5211.25</v>
      </c>
    </row>
    <row r="198" spans="1:2" x14ac:dyDescent="0.3">
      <c r="A198" s="1">
        <v>40763</v>
      </c>
      <c r="B198" s="2">
        <v>5118.5</v>
      </c>
    </row>
    <row r="199" spans="1:2" x14ac:dyDescent="0.3">
      <c r="A199" s="1">
        <v>40764</v>
      </c>
      <c r="B199" s="2">
        <v>5072.8500979999999</v>
      </c>
    </row>
    <row r="200" spans="1:2" x14ac:dyDescent="0.3">
      <c r="A200" s="1">
        <v>40765</v>
      </c>
      <c r="B200" s="2">
        <v>5161</v>
      </c>
    </row>
    <row r="201" spans="1:2" x14ac:dyDescent="0.3">
      <c r="A201" s="1">
        <v>40766</v>
      </c>
      <c r="B201" s="2">
        <v>5138.2998049999997</v>
      </c>
    </row>
    <row r="202" spans="1:2" x14ac:dyDescent="0.3">
      <c r="A202" s="1">
        <v>40767</v>
      </c>
      <c r="B202" s="2">
        <v>5072.9501950000003</v>
      </c>
    </row>
    <row r="203" spans="1:2" x14ac:dyDescent="0.3">
      <c r="A203" s="1">
        <v>40771</v>
      </c>
      <c r="B203" s="2">
        <v>5035.7998049999997</v>
      </c>
    </row>
    <row r="204" spans="1:2" x14ac:dyDescent="0.3">
      <c r="A204" s="1">
        <v>40772</v>
      </c>
      <c r="B204" s="2">
        <v>5056.6000979999999</v>
      </c>
    </row>
    <row r="205" spans="1:2" x14ac:dyDescent="0.3">
      <c r="A205" s="1">
        <v>40773</v>
      </c>
      <c r="B205" s="2">
        <v>4944.1499020000001</v>
      </c>
    </row>
    <row r="206" spans="1:2" x14ac:dyDescent="0.3">
      <c r="A206" s="1">
        <v>40774</v>
      </c>
      <c r="B206" s="2">
        <v>4845.6499020000001</v>
      </c>
    </row>
    <row r="207" spans="1:2" x14ac:dyDescent="0.3">
      <c r="A207" s="1">
        <v>40777</v>
      </c>
      <c r="B207" s="2">
        <v>4898.7998049999997</v>
      </c>
    </row>
    <row r="208" spans="1:2" x14ac:dyDescent="0.3">
      <c r="A208" s="1">
        <v>40778</v>
      </c>
      <c r="B208" s="2">
        <v>4948.8999020000001</v>
      </c>
    </row>
    <row r="209" spans="1:2" x14ac:dyDescent="0.3">
      <c r="A209" s="1">
        <v>40779</v>
      </c>
      <c r="B209" s="2">
        <v>4888.8999020000001</v>
      </c>
    </row>
    <row r="210" spans="1:2" x14ac:dyDescent="0.3">
      <c r="A210" s="1">
        <v>40780</v>
      </c>
      <c r="B210" s="2">
        <v>4839.6000979999999</v>
      </c>
    </row>
    <row r="211" spans="1:2" x14ac:dyDescent="0.3">
      <c r="A211" s="1">
        <v>40781</v>
      </c>
      <c r="B211" s="2">
        <v>4747.7998049999997</v>
      </c>
    </row>
    <row r="212" spans="1:2" x14ac:dyDescent="0.3">
      <c r="A212" s="1">
        <v>40784</v>
      </c>
      <c r="B212" s="2">
        <v>4919.6000979999999</v>
      </c>
    </row>
    <row r="213" spans="1:2" x14ac:dyDescent="0.3">
      <c r="A213" s="1">
        <v>40785</v>
      </c>
      <c r="B213" s="2">
        <v>5001</v>
      </c>
    </row>
    <row r="214" spans="1:2" x14ac:dyDescent="0.3">
      <c r="A214" s="1">
        <v>40788</v>
      </c>
      <c r="B214" s="2">
        <v>5040</v>
      </c>
    </row>
    <row r="215" spans="1:2" x14ac:dyDescent="0.3">
      <c r="A215" s="1">
        <v>40791</v>
      </c>
      <c r="B215" s="2">
        <v>5017.2001950000003</v>
      </c>
    </row>
    <row r="216" spans="1:2" x14ac:dyDescent="0.3">
      <c r="A216" s="1">
        <v>40792</v>
      </c>
      <c r="B216" s="2">
        <v>5064.2998049999997</v>
      </c>
    </row>
    <row r="217" spans="1:2" x14ac:dyDescent="0.3">
      <c r="A217" s="1">
        <v>40793</v>
      </c>
      <c r="B217" s="2">
        <v>5124.6499020000001</v>
      </c>
    </row>
    <row r="218" spans="1:2" x14ac:dyDescent="0.3">
      <c r="A218" s="1">
        <v>40794</v>
      </c>
      <c r="B218" s="2">
        <v>5153.25</v>
      </c>
    </row>
    <row r="219" spans="1:2" x14ac:dyDescent="0.3">
      <c r="A219" s="1">
        <v>40795</v>
      </c>
      <c r="B219" s="2">
        <v>5059.4501950000003</v>
      </c>
    </row>
    <row r="220" spans="1:2" x14ac:dyDescent="0.3">
      <c r="A220" s="1">
        <v>40798</v>
      </c>
      <c r="B220" s="2">
        <v>4946.7998049999997</v>
      </c>
    </row>
    <row r="221" spans="1:2" x14ac:dyDescent="0.3">
      <c r="A221" s="1">
        <v>40799</v>
      </c>
      <c r="B221" s="2">
        <v>4940.9501950000003</v>
      </c>
    </row>
    <row r="222" spans="1:2" x14ac:dyDescent="0.3">
      <c r="A222" s="1">
        <v>40800</v>
      </c>
      <c r="B222" s="2">
        <v>5012.5498049999997</v>
      </c>
    </row>
    <row r="223" spans="1:2" x14ac:dyDescent="0.3">
      <c r="A223" s="1">
        <v>40801</v>
      </c>
      <c r="B223" s="2">
        <v>5075.7001950000003</v>
      </c>
    </row>
    <row r="224" spans="1:2" x14ac:dyDescent="0.3">
      <c r="A224" s="1">
        <v>40802</v>
      </c>
      <c r="B224" s="2">
        <v>5084.25</v>
      </c>
    </row>
    <row r="225" spans="1:2" x14ac:dyDescent="0.3">
      <c r="A225" s="1">
        <v>40805</v>
      </c>
      <c r="B225" s="2">
        <v>5031.9501950000003</v>
      </c>
    </row>
    <row r="226" spans="1:2" x14ac:dyDescent="0.3">
      <c r="A226" s="1">
        <v>40806</v>
      </c>
      <c r="B226" s="2">
        <v>5140.2001950000003</v>
      </c>
    </row>
    <row r="227" spans="1:2" x14ac:dyDescent="0.3">
      <c r="A227" s="1">
        <v>40807</v>
      </c>
      <c r="B227" s="2">
        <v>5133.25</v>
      </c>
    </row>
    <row r="228" spans="1:2" x14ac:dyDescent="0.3">
      <c r="A228" s="1">
        <v>40808</v>
      </c>
      <c r="B228" s="2">
        <v>4923.6499020000001</v>
      </c>
    </row>
    <row r="229" spans="1:2" x14ac:dyDescent="0.3">
      <c r="A229" s="1">
        <v>40809</v>
      </c>
      <c r="B229" s="2">
        <v>4867.75</v>
      </c>
    </row>
    <row r="230" spans="1:2" x14ac:dyDescent="0.3">
      <c r="A230" s="1">
        <v>40812</v>
      </c>
      <c r="B230" s="2">
        <v>4835.3999020000001</v>
      </c>
    </row>
    <row r="231" spans="1:2" x14ac:dyDescent="0.3">
      <c r="A231" s="1">
        <v>40813</v>
      </c>
      <c r="B231" s="2">
        <v>4971.25</v>
      </c>
    </row>
    <row r="232" spans="1:2" x14ac:dyDescent="0.3">
      <c r="A232" s="1">
        <v>40814</v>
      </c>
      <c r="B232" s="2">
        <v>4945.8999020000001</v>
      </c>
    </row>
    <row r="233" spans="1:2" x14ac:dyDescent="0.3">
      <c r="A233" s="1">
        <v>40815</v>
      </c>
      <c r="B233" s="2">
        <v>5015.4501950000003</v>
      </c>
    </row>
    <row r="234" spans="1:2" x14ac:dyDescent="0.3">
      <c r="A234" s="1">
        <v>40816</v>
      </c>
      <c r="B234" s="2">
        <v>4943.25</v>
      </c>
    </row>
    <row r="235" spans="1:2" x14ac:dyDescent="0.3">
      <c r="A235" s="1">
        <v>40819</v>
      </c>
      <c r="B235" s="2">
        <v>4849.5</v>
      </c>
    </row>
    <row r="236" spans="1:2" x14ac:dyDescent="0.3">
      <c r="A236" s="1">
        <v>40820</v>
      </c>
      <c r="B236" s="2">
        <v>4772.1499020000001</v>
      </c>
    </row>
    <row r="237" spans="1:2" x14ac:dyDescent="0.3">
      <c r="A237" s="1">
        <v>40821</v>
      </c>
      <c r="B237" s="2">
        <v>4751.2998049999997</v>
      </c>
    </row>
    <row r="238" spans="1:2" x14ac:dyDescent="0.3">
      <c r="A238" s="1">
        <v>40823</v>
      </c>
      <c r="B238" s="2">
        <v>4888.0498049999997</v>
      </c>
    </row>
    <row r="239" spans="1:2" x14ac:dyDescent="0.3">
      <c r="A239" s="1">
        <v>40826</v>
      </c>
      <c r="B239" s="2">
        <v>4979.6000979999999</v>
      </c>
    </row>
    <row r="240" spans="1:2" x14ac:dyDescent="0.3">
      <c r="A240" s="1">
        <v>40827</v>
      </c>
      <c r="B240" s="2">
        <v>4974.3500979999999</v>
      </c>
    </row>
    <row r="241" spans="1:2" x14ac:dyDescent="0.3">
      <c r="A241" s="1">
        <v>40828</v>
      </c>
      <c r="B241" s="2">
        <v>5099.3999020000001</v>
      </c>
    </row>
    <row r="242" spans="1:2" x14ac:dyDescent="0.3">
      <c r="A242" s="1">
        <v>40829</v>
      </c>
      <c r="B242" s="2">
        <v>5077.8500979999999</v>
      </c>
    </row>
    <row r="243" spans="1:2" x14ac:dyDescent="0.3">
      <c r="A243" s="1">
        <v>40830</v>
      </c>
      <c r="B243" s="2">
        <v>5132.2998049999997</v>
      </c>
    </row>
    <row r="244" spans="1:2" x14ac:dyDescent="0.3">
      <c r="A244" s="1">
        <v>40833</v>
      </c>
      <c r="B244" s="2">
        <v>5118.25</v>
      </c>
    </row>
    <row r="245" spans="1:2" x14ac:dyDescent="0.3">
      <c r="A245" s="1">
        <v>40834</v>
      </c>
      <c r="B245" s="2">
        <v>5037.5</v>
      </c>
    </row>
    <row r="246" spans="1:2" x14ac:dyDescent="0.3">
      <c r="A246" s="1">
        <v>40835</v>
      </c>
      <c r="B246" s="2">
        <v>5139.1499020000001</v>
      </c>
    </row>
    <row r="247" spans="1:2" x14ac:dyDescent="0.3">
      <c r="A247" s="1">
        <v>40836</v>
      </c>
      <c r="B247" s="2">
        <v>5091.8999020000001</v>
      </c>
    </row>
    <row r="248" spans="1:2" x14ac:dyDescent="0.3">
      <c r="A248" s="1">
        <v>40837</v>
      </c>
      <c r="B248" s="2">
        <v>5049.9501950000003</v>
      </c>
    </row>
    <row r="249" spans="1:2" x14ac:dyDescent="0.3">
      <c r="A249" s="1">
        <v>40840</v>
      </c>
      <c r="B249" s="2">
        <v>5098.3500979999999</v>
      </c>
    </row>
    <row r="250" spans="1:2" x14ac:dyDescent="0.3">
      <c r="A250" s="1">
        <v>40841</v>
      </c>
      <c r="B250" s="2">
        <v>5191.6000979999999</v>
      </c>
    </row>
    <row r="251" spans="1:2" x14ac:dyDescent="0.3">
      <c r="A251" s="1">
        <v>40844</v>
      </c>
      <c r="B251" s="2">
        <v>5360.7001950000003</v>
      </c>
    </row>
    <row r="252" spans="1:2" x14ac:dyDescent="0.3">
      <c r="A252" s="1">
        <v>40847</v>
      </c>
      <c r="B252" s="2">
        <v>5326.6000979999999</v>
      </c>
    </row>
    <row r="253" spans="1:2" x14ac:dyDescent="0.3">
      <c r="A253" s="1">
        <v>40848</v>
      </c>
      <c r="B253" s="2">
        <v>5257.9501950000003</v>
      </c>
    </row>
    <row r="254" spans="1:2" x14ac:dyDescent="0.3">
      <c r="A254" s="1">
        <v>40849</v>
      </c>
      <c r="B254" s="2">
        <v>5258.4501950000003</v>
      </c>
    </row>
    <row r="255" spans="1:2" x14ac:dyDescent="0.3">
      <c r="A255" s="1">
        <v>40850</v>
      </c>
      <c r="B255" s="2">
        <v>5265.75</v>
      </c>
    </row>
    <row r="256" spans="1:2" x14ac:dyDescent="0.3">
      <c r="A256" s="1">
        <v>40851</v>
      </c>
      <c r="B256" s="2">
        <v>5284.2001950000003</v>
      </c>
    </row>
    <row r="257" spans="1:2" x14ac:dyDescent="0.3">
      <c r="A257" s="1">
        <v>40855</v>
      </c>
      <c r="B257" s="2">
        <v>5289.3500979999999</v>
      </c>
    </row>
    <row r="258" spans="1:2" x14ac:dyDescent="0.3">
      <c r="A258" s="1">
        <v>40856</v>
      </c>
      <c r="B258" s="2">
        <v>5221.0498049999997</v>
      </c>
    </row>
    <row r="259" spans="1:2" x14ac:dyDescent="0.3">
      <c r="A259" s="1">
        <v>40858</v>
      </c>
      <c r="B259" s="2">
        <v>5168.8500979999999</v>
      </c>
    </row>
    <row r="260" spans="1:2" x14ac:dyDescent="0.3">
      <c r="A260" s="1">
        <v>40861</v>
      </c>
      <c r="B260" s="2">
        <v>5148.3500979999999</v>
      </c>
    </row>
    <row r="261" spans="1:2" x14ac:dyDescent="0.3">
      <c r="A261" s="1">
        <v>40862</v>
      </c>
      <c r="B261" s="2">
        <v>5068.5</v>
      </c>
    </row>
    <row r="262" spans="1:2" x14ac:dyDescent="0.3">
      <c r="A262" s="1">
        <v>40863</v>
      </c>
      <c r="B262" s="2">
        <v>5030.4501950000003</v>
      </c>
    </row>
    <row r="263" spans="1:2" x14ac:dyDescent="0.3">
      <c r="A263" s="1">
        <v>40864</v>
      </c>
      <c r="B263" s="2">
        <v>4934.75</v>
      </c>
    </row>
    <row r="264" spans="1:2" x14ac:dyDescent="0.3">
      <c r="A264" s="1">
        <v>40865</v>
      </c>
      <c r="B264" s="2">
        <v>4905.7998049999997</v>
      </c>
    </row>
    <row r="265" spans="1:2" x14ac:dyDescent="0.3">
      <c r="A265" s="1">
        <v>40868</v>
      </c>
      <c r="B265" s="2">
        <v>4778.3500979999999</v>
      </c>
    </row>
    <row r="266" spans="1:2" x14ac:dyDescent="0.3">
      <c r="A266" s="1">
        <v>40869</v>
      </c>
      <c r="B266" s="2">
        <v>4812.3500979999999</v>
      </c>
    </row>
    <row r="267" spans="1:2" x14ac:dyDescent="0.3">
      <c r="A267" s="1">
        <v>40870</v>
      </c>
      <c r="B267" s="2">
        <v>4706.4501950000003</v>
      </c>
    </row>
    <row r="268" spans="1:2" x14ac:dyDescent="0.3">
      <c r="A268" s="1">
        <v>40872</v>
      </c>
      <c r="B268" s="2">
        <v>4710.0498049999997</v>
      </c>
    </row>
    <row r="269" spans="1:2" x14ac:dyDescent="0.3">
      <c r="A269" s="1">
        <v>40875</v>
      </c>
      <c r="B269" s="2">
        <v>4851.2998049999997</v>
      </c>
    </row>
    <row r="270" spans="1:2" x14ac:dyDescent="0.3">
      <c r="A270" s="1">
        <v>40876</v>
      </c>
      <c r="B270" s="2">
        <v>4805.1000979999999</v>
      </c>
    </row>
    <row r="271" spans="1:2" x14ac:dyDescent="0.3">
      <c r="A271" s="1">
        <v>40877</v>
      </c>
      <c r="B271" s="2">
        <v>4832.0498049999997</v>
      </c>
    </row>
    <row r="272" spans="1:2" x14ac:dyDescent="0.3">
      <c r="A272" s="1">
        <v>40878</v>
      </c>
      <c r="B272" s="2">
        <v>4936.8500979999999</v>
      </c>
    </row>
    <row r="273" spans="1:2" x14ac:dyDescent="0.3">
      <c r="A273" s="1">
        <v>40879</v>
      </c>
      <c r="B273" s="2">
        <v>5050.1499020000001</v>
      </c>
    </row>
    <row r="274" spans="1:2" x14ac:dyDescent="0.3">
      <c r="A274" s="1">
        <v>40882</v>
      </c>
      <c r="B274" s="2">
        <v>5039.1499020000001</v>
      </c>
    </row>
    <row r="275" spans="1:2" x14ac:dyDescent="0.3">
      <c r="A275" s="1">
        <v>40884</v>
      </c>
      <c r="B275" s="2">
        <v>5062.6000979999999</v>
      </c>
    </row>
    <row r="276" spans="1:2" x14ac:dyDescent="0.3">
      <c r="A276" s="1">
        <v>40885</v>
      </c>
      <c r="B276" s="2">
        <v>4943.6499020000001</v>
      </c>
    </row>
    <row r="277" spans="1:2" x14ac:dyDescent="0.3">
      <c r="A277" s="1">
        <v>40886</v>
      </c>
      <c r="B277" s="2">
        <v>4866.7001950000003</v>
      </c>
    </row>
    <row r="278" spans="1:2" x14ac:dyDescent="0.3">
      <c r="A278" s="1">
        <v>40889</v>
      </c>
      <c r="B278" s="2">
        <v>4764.6000979999999</v>
      </c>
    </row>
    <row r="279" spans="1:2" x14ac:dyDescent="0.3">
      <c r="A279" s="1">
        <v>40890</v>
      </c>
      <c r="B279" s="2">
        <v>4800.6000979999999</v>
      </c>
    </row>
    <row r="280" spans="1:2" x14ac:dyDescent="0.3">
      <c r="A280" s="1">
        <v>40891</v>
      </c>
      <c r="B280" s="2">
        <v>4763.25</v>
      </c>
    </row>
    <row r="281" spans="1:2" x14ac:dyDescent="0.3">
      <c r="A281" s="1">
        <v>40892</v>
      </c>
      <c r="B281" s="2">
        <v>4746.3500979999999</v>
      </c>
    </row>
    <row r="282" spans="1:2" x14ac:dyDescent="0.3">
      <c r="A282" s="1">
        <v>40893</v>
      </c>
      <c r="B282" s="2">
        <v>4651.6000979999999</v>
      </c>
    </row>
    <row r="283" spans="1:2" x14ac:dyDescent="0.3">
      <c r="A283" s="1">
        <v>40896</v>
      </c>
      <c r="B283" s="2">
        <v>4613.1000979999999</v>
      </c>
    </row>
    <row r="284" spans="1:2" x14ac:dyDescent="0.3">
      <c r="A284" s="1">
        <v>40897</v>
      </c>
      <c r="B284" s="2">
        <v>4544.2001950000003</v>
      </c>
    </row>
    <row r="285" spans="1:2" x14ac:dyDescent="0.3">
      <c r="A285" s="1">
        <v>40898</v>
      </c>
      <c r="B285" s="2">
        <v>4693.1499020000001</v>
      </c>
    </row>
    <row r="286" spans="1:2" x14ac:dyDescent="0.3">
      <c r="A286" s="1">
        <v>40899</v>
      </c>
      <c r="B286" s="2">
        <v>4733.8500979999999</v>
      </c>
    </row>
    <row r="287" spans="1:2" x14ac:dyDescent="0.3">
      <c r="A287" s="1">
        <v>40900</v>
      </c>
      <c r="B287" s="2">
        <v>4714</v>
      </c>
    </row>
    <row r="288" spans="1:2" x14ac:dyDescent="0.3">
      <c r="A288" s="1">
        <v>40904</v>
      </c>
      <c r="B288" s="2">
        <v>4750.5</v>
      </c>
    </row>
    <row r="289" spans="1:2" x14ac:dyDescent="0.3">
      <c r="A289" s="1">
        <v>40905</v>
      </c>
      <c r="B289" s="2">
        <v>4705.7998049999997</v>
      </c>
    </row>
    <row r="290" spans="1:2" x14ac:dyDescent="0.3">
      <c r="A290" s="1">
        <v>40906</v>
      </c>
      <c r="B290" s="2">
        <v>4646.25</v>
      </c>
    </row>
    <row r="291" spans="1:2" x14ac:dyDescent="0.3">
      <c r="A291" s="1">
        <v>40907</v>
      </c>
      <c r="B291" s="2">
        <v>4624.2998049999997</v>
      </c>
    </row>
    <row r="292" spans="1:2" x14ac:dyDescent="0.3">
      <c r="A292" s="1">
        <v>40911</v>
      </c>
      <c r="B292" s="2">
        <v>4765.2998049999997</v>
      </c>
    </row>
    <row r="293" spans="1:2" x14ac:dyDescent="0.3">
      <c r="A293" s="1">
        <v>40912</v>
      </c>
      <c r="B293" s="2">
        <v>4749.6499020000001</v>
      </c>
    </row>
    <row r="294" spans="1:2" x14ac:dyDescent="0.3">
      <c r="A294" s="1">
        <v>40913</v>
      </c>
      <c r="B294" s="2">
        <v>4749.9501950000003</v>
      </c>
    </row>
    <row r="295" spans="1:2" x14ac:dyDescent="0.3">
      <c r="A295" s="1">
        <v>40914</v>
      </c>
      <c r="B295" s="2">
        <v>4754.1000979999999</v>
      </c>
    </row>
    <row r="296" spans="1:2" x14ac:dyDescent="0.3">
      <c r="A296" s="1">
        <v>40917</v>
      </c>
      <c r="B296" s="2">
        <v>4742.7998049999997</v>
      </c>
    </row>
    <row r="297" spans="1:2" x14ac:dyDescent="0.3">
      <c r="A297" s="1">
        <v>40918</v>
      </c>
      <c r="B297" s="2">
        <v>4849.5498049999997</v>
      </c>
    </row>
    <row r="298" spans="1:2" x14ac:dyDescent="0.3">
      <c r="A298" s="1">
        <v>40919</v>
      </c>
      <c r="B298" s="2">
        <v>4860.9501950000003</v>
      </c>
    </row>
    <row r="299" spans="1:2" x14ac:dyDescent="0.3">
      <c r="A299" s="1">
        <v>40920</v>
      </c>
      <c r="B299" s="2">
        <v>4831.25</v>
      </c>
    </row>
    <row r="300" spans="1:2" x14ac:dyDescent="0.3">
      <c r="A300" s="1">
        <v>40921</v>
      </c>
      <c r="B300" s="2">
        <v>4866</v>
      </c>
    </row>
    <row r="301" spans="1:2" x14ac:dyDescent="0.3">
      <c r="A301" s="1">
        <v>40924</v>
      </c>
      <c r="B301" s="2">
        <v>4873.8999020000001</v>
      </c>
    </row>
    <row r="302" spans="1:2" x14ac:dyDescent="0.3">
      <c r="A302" s="1">
        <v>40925</v>
      </c>
      <c r="B302" s="2">
        <v>4967.2998049999997</v>
      </c>
    </row>
    <row r="303" spans="1:2" x14ac:dyDescent="0.3">
      <c r="A303" s="1">
        <v>40926</v>
      </c>
      <c r="B303" s="2">
        <v>4955.7998049999997</v>
      </c>
    </row>
    <row r="304" spans="1:2" x14ac:dyDescent="0.3">
      <c r="A304" s="1">
        <v>40927</v>
      </c>
      <c r="B304" s="2">
        <v>5018.3999020000001</v>
      </c>
    </row>
    <row r="305" spans="1:2" x14ac:dyDescent="0.3">
      <c r="A305" s="1">
        <v>40928</v>
      </c>
      <c r="B305" s="2">
        <v>5048.6000979999999</v>
      </c>
    </row>
    <row r="306" spans="1:2" x14ac:dyDescent="0.3">
      <c r="A306" s="1">
        <v>40931</v>
      </c>
      <c r="B306" s="2">
        <v>5046.25</v>
      </c>
    </row>
    <row r="307" spans="1:2" x14ac:dyDescent="0.3">
      <c r="A307" s="1">
        <v>40932</v>
      </c>
      <c r="B307" s="2">
        <v>5127.3500979999999</v>
      </c>
    </row>
    <row r="308" spans="1:2" x14ac:dyDescent="0.3">
      <c r="A308" s="1">
        <v>40933</v>
      </c>
      <c r="B308" s="2">
        <v>5158.2998049999997</v>
      </c>
    </row>
    <row r="309" spans="1:2" x14ac:dyDescent="0.3">
      <c r="A309" s="1">
        <v>40935</v>
      </c>
      <c r="B309" s="2">
        <v>5204.7001950000003</v>
      </c>
    </row>
    <row r="310" spans="1:2" x14ac:dyDescent="0.3">
      <c r="A310" s="1">
        <v>40938</v>
      </c>
      <c r="B310" s="2">
        <v>5087.2998049999997</v>
      </c>
    </row>
    <row r="311" spans="1:2" x14ac:dyDescent="0.3">
      <c r="A311" s="1">
        <v>40939</v>
      </c>
      <c r="B311" s="2">
        <v>5199.25</v>
      </c>
    </row>
    <row r="312" spans="1:2" x14ac:dyDescent="0.3">
      <c r="A312" s="1">
        <v>40940</v>
      </c>
      <c r="B312" s="2">
        <v>5235.7001950000003</v>
      </c>
    </row>
    <row r="313" spans="1:2" x14ac:dyDescent="0.3">
      <c r="A313" s="1">
        <v>40941</v>
      </c>
      <c r="B313" s="2">
        <v>5269.8999020000001</v>
      </c>
    </row>
    <row r="314" spans="1:2" x14ac:dyDescent="0.3">
      <c r="A314" s="1">
        <v>40942</v>
      </c>
      <c r="B314" s="2">
        <v>5325.8500979999999</v>
      </c>
    </row>
    <row r="315" spans="1:2" x14ac:dyDescent="0.3">
      <c r="A315" s="1">
        <v>40945</v>
      </c>
      <c r="B315" s="2">
        <v>5361.6499020000001</v>
      </c>
    </row>
    <row r="316" spans="1:2" x14ac:dyDescent="0.3">
      <c r="A316" s="1">
        <v>40946</v>
      </c>
      <c r="B316" s="2">
        <v>5335.1499020000001</v>
      </c>
    </row>
    <row r="317" spans="1:2" x14ac:dyDescent="0.3">
      <c r="A317" s="1">
        <v>40947</v>
      </c>
      <c r="B317" s="2">
        <v>5368.1499020000001</v>
      </c>
    </row>
    <row r="318" spans="1:2" x14ac:dyDescent="0.3">
      <c r="A318" s="1">
        <v>40948</v>
      </c>
      <c r="B318" s="2">
        <v>5412.3500979999999</v>
      </c>
    </row>
    <row r="319" spans="1:2" x14ac:dyDescent="0.3">
      <c r="A319" s="1">
        <v>40949</v>
      </c>
      <c r="B319" s="2">
        <v>5381.6000979999999</v>
      </c>
    </row>
    <row r="320" spans="1:2" x14ac:dyDescent="0.3">
      <c r="A320" s="1">
        <v>40952</v>
      </c>
      <c r="B320" s="2">
        <v>5390.2001950000003</v>
      </c>
    </row>
    <row r="321" spans="1:2" x14ac:dyDescent="0.3">
      <c r="A321" s="1">
        <v>40953</v>
      </c>
      <c r="B321" s="2">
        <v>5416.0498049999997</v>
      </c>
    </row>
    <row r="322" spans="1:2" x14ac:dyDescent="0.3">
      <c r="A322" s="1">
        <v>40954</v>
      </c>
      <c r="B322" s="2">
        <v>5531.9501950000003</v>
      </c>
    </row>
    <row r="323" spans="1:2" x14ac:dyDescent="0.3">
      <c r="A323" s="1">
        <v>40955</v>
      </c>
      <c r="B323" s="2">
        <v>5521.9501950000003</v>
      </c>
    </row>
    <row r="324" spans="1:2" x14ac:dyDescent="0.3">
      <c r="A324" s="1">
        <v>40956</v>
      </c>
      <c r="B324" s="2">
        <v>5564.2998049999997</v>
      </c>
    </row>
    <row r="325" spans="1:2" x14ac:dyDescent="0.3">
      <c r="A325" s="1">
        <v>40960</v>
      </c>
      <c r="B325" s="2">
        <v>5607.1499020000001</v>
      </c>
    </row>
    <row r="326" spans="1:2" x14ac:dyDescent="0.3">
      <c r="A326" s="1">
        <v>40961</v>
      </c>
      <c r="B326" s="2">
        <v>5505.3500979999999</v>
      </c>
    </row>
    <row r="327" spans="1:2" x14ac:dyDescent="0.3">
      <c r="A327" s="1">
        <v>40962</v>
      </c>
      <c r="B327" s="2">
        <v>5483.2998049999997</v>
      </c>
    </row>
    <row r="328" spans="1:2" x14ac:dyDescent="0.3">
      <c r="A328" s="1">
        <v>40963</v>
      </c>
      <c r="B328" s="2">
        <v>5429.2998049999997</v>
      </c>
    </row>
    <row r="329" spans="1:2" x14ac:dyDescent="0.3">
      <c r="A329" s="1">
        <v>40966</v>
      </c>
      <c r="B329" s="2">
        <v>5281.2001950000003</v>
      </c>
    </row>
    <row r="330" spans="1:2" x14ac:dyDescent="0.3">
      <c r="A330" s="1">
        <v>40967</v>
      </c>
      <c r="B330" s="2">
        <v>5375.5</v>
      </c>
    </row>
    <row r="331" spans="1:2" x14ac:dyDescent="0.3">
      <c r="A331" s="1">
        <v>40968</v>
      </c>
      <c r="B331" s="2">
        <v>5385.2001950000003</v>
      </c>
    </row>
    <row r="332" spans="1:2" x14ac:dyDescent="0.3">
      <c r="A332" s="1">
        <v>40969</v>
      </c>
      <c r="B332" s="2">
        <v>5339.75</v>
      </c>
    </row>
    <row r="333" spans="1:2" x14ac:dyDescent="0.3">
      <c r="A333" s="1">
        <v>40970</v>
      </c>
      <c r="B333" s="2">
        <v>5359.3500979999999</v>
      </c>
    </row>
    <row r="334" spans="1:2" x14ac:dyDescent="0.3">
      <c r="A334" s="1">
        <v>40973</v>
      </c>
      <c r="B334" s="2">
        <v>5280.3500979999999</v>
      </c>
    </row>
    <row r="335" spans="1:2" x14ac:dyDescent="0.3">
      <c r="A335" s="1">
        <v>40974</v>
      </c>
      <c r="B335" s="2">
        <v>5222.3999020000001</v>
      </c>
    </row>
    <row r="336" spans="1:2" x14ac:dyDescent="0.3">
      <c r="A336" s="1">
        <v>40975</v>
      </c>
      <c r="B336" s="2">
        <v>5220.4501950000003</v>
      </c>
    </row>
    <row r="337" spans="1:2" x14ac:dyDescent="0.3">
      <c r="A337" s="1">
        <v>40977</v>
      </c>
      <c r="B337" s="2">
        <v>5333.5498049999997</v>
      </c>
    </row>
    <row r="338" spans="1:2" x14ac:dyDescent="0.3">
      <c r="A338" s="1">
        <v>40980</v>
      </c>
      <c r="B338" s="2">
        <v>5359.5498049999997</v>
      </c>
    </row>
    <row r="339" spans="1:2" x14ac:dyDescent="0.3">
      <c r="A339" s="1">
        <v>40981</v>
      </c>
      <c r="B339" s="2">
        <v>5429.5</v>
      </c>
    </row>
    <row r="340" spans="1:2" x14ac:dyDescent="0.3">
      <c r="A340" s="1">
        <v>40982</v>
      </c>
      <c r="B340" s="2">
        <v>5463.8999020000001</v>
      </c>
    </row>
    <row r="341" spans="1:2" x14ac:dyDescent="0.3">
      <c r="A341" s="1">
        <v>40983</v>
      </c>
      <c r="B341" s="2">
        <v>5380.5</v>
      </c>
    </row>
    <row r="342" spans="1:2" x14ac:dyDescent="0.3">
      <c r="A342" s="1">
        <v>40984</v>
      </c>
      <c r="B342" s="2">
        <v>5317.8999020000001</v>
      </c>
    </row>
    <row r="343" spans="1:2" x14ac:dyDescent="0.3">
      <c r="A343" s="1">
        <v>40987</v>
      </c>
      <c r="B343" s="2">
        <v>5257.0498049999997</v>
      </c>
    </row>
    <row r="344" spans="1:2" x14ac:dyDescent="0.3">
      <c r="A344" s="1">
        <v>40988</v>
      </c>
      <c r="B344" s="2">
        <v>5274.8500979999999</v>
      </c>
    </row>
    <row r="345" spans="1:2" x14ac:dyDescent="0.3">
      <c r="A345" s="1">
        <v>40989</v>
      </c>
      <c r="B345" s="2">
        <v>5364.9501950000003</v>
      </c>
    </row>
    <row r="346" spans="1:2" x14ac:dyDescent="0.3">
      <c r="A346" s="1">
        <v>40990</v>
      </c>
      <c r="B346" s="2">
        <v>5228.4501950000003</v>
      </c>
    </row>
    <row r="347" spans="1:2" x14ac:dyDescent="0.3">
      <c r="A347" s="1">
        <v>40991</v>
      </c>
      <c r="B347" s="2">
        <v>5278.2001950000003</v>
      </c>
    </row>
    <row r="348" spans="1:2" x14ac:dyDescent="0.3">
      <c r="A348" s="1">
        <v>40994</v>
      </c>
      <c r="B348" s="2">
        <v>5184.25</v>
      </c>
    </row>
    <row r="349" spans="1:2" x14ac:dyDescent="0.3">
      <c r="A349" s="1">
        <v>40995</v>
      </c>
      <c r="B349" s="2">
        <v>5243.1499020000001</v>
      </c>
    </row>
    <row r="350" spans="1:2" x14ac:dyDescent="0.3">
      <c r="A350" s="1">
        <v>40996</v>
      </c>
      <c r="B350" s="2">
        <v>5194.75</v>
      </c>
    </row>
    <row r="351" spans="1:2" x14ac:dyDescent="0.3">
      <c r="A351" s="1">
        <v>40997</v>
      </c>
      <c r="B351" s="2">
        <v>5178.8500979999999</v>
      </c>
    </row>
    <row r="352" spans="1:2" x14ac:dyDescent="0.3">
      <c r="A352" s="1">
        <v>40998</v>
      </c>
      <c r="B352" s="2">
        <v>5295.5498049999997</v>
      </c>
    </row>
    <row r="353" spans="1:2" x14ac:dyDescent="0.3">
      <c r="A353" s="1">
        <v>41001</v>
      </c>
      <c r="B353" s="2">
        <v>5317.8999020000001</v>
      </c>
    </row>
    <row r="354" spans="1:2" x14ac:dyDescent="0.3">
      <c r="A354" s="1">
        <v>41002</v>
      </c>
      <c r="B354" s="2">
        <v>5358.5</v>
      </c>
    </row>
    <row r="355" spans="1:2" x14ac:dyDescent="0.3">
      <c r="A355" s="1">
        <v>41003</v>
      </c>
      <c r="B355" s="2">
        <v>5322.8999020000001</v>
      </c>
    </row>
    <row r="356" spans="1:2" x14ac:dyDescent="0.3">
      <c r="A356" s="1">
        <v>41008</v>
      </c>
      <c r="B356" s="2">
        <v>5234.3999020000001</v>
      </c>
    </row>
    <row r="357" spans="1:2" x14ac:dyDescent="0.3">
      <c r="A357" s="1">
        <v>41009</v>
      </c>
      <c r="B357" s="2">
        <v>5243.6000979999999</v>
      </c>
    </row>
    <row r="358" spans="1:2" x14ac:dyDescent="0.3">
      <c r="A358" s="1">
        <v>41010</v>
      </c>
      <c r="B358" s="2">
        <v>5226.8500979999999</v>
      </c>
    </row>
    <row r="359" spans="1:2" x14ac:dyDescent="0.3">
      <c r="A359" s="1">
        <v>41011</v>
      </c>
      <c r="B359" s="2">
        <v>5276.8500979999999</v>
      </c>
    </row>
    <row r="360" spans="1:2" x14ac:dyDescent="0.3">
      <c r="A360" s="1">
        <v>41012</v>
      </c>
      <c r="B360" s="2">
        <v>5207.4501950000003</v>
      </c>
    </row>
    <row r="361" spans="1:2" x14ac:dyDescent="0.3">
      <c r="A361" s="1">
        <v>41015</v>
      </c>
      <c r="B361" s="2">
        <v>5226.2001950000003</v>
      </c>
    </row>
    <row r="362" spans="1:2" x14ac:dyDescent="0.3">
      <c r="A362" s="1">
        <v>41016</v>
      </c>
      <c r="B362" s="2">
        <v>5289.7001950000003</v>
      </c>
    </row>
    <row r="363" spans="1:2" x14ac:dyDescent="0.3">
      <c r="A363" s="1">
        <v>41017</v>
      </c>
      <c r="B363" s="2">
        <v>5300</v>
      </c>
    </row>
    <row r="364" spans="1:2" x14ac:dyDescent="0.3">
      <c r="A364" s="1">
        <v>41018</v>
      </c>
      <c r="B364" s="2">
        <v>5332.3999020000001</v>
      </c>
    </row>
    <row r="365" spans="1:2" x14ac:dyDescent="0.3">
      <c r="A365" s="1">
        <v>41019</v>
      </c>
      <c r="B365" s="2">
        <v>5290.8500979999999</v>
      </c>
    </row>
    <row r="366" spans="1:2" x14ac:dyDescent="0.3">
      <c r="A366" s="1">
        <v>41022</v>
      </c>
      <c r="B366" s="2">
        <v>5200.6000979999999</v>
      </c>
    </row>
    <row r="367" spans="1:2" x14ac:dyDescent="0.3">
      <c r="A367" s="1">
        <v>41023</v>
      </c>
      <c r="B367" s="2">
        <v>5222.6499020000001</v>
      </c>
    </row>
    <row r="368" spans="1:2" x14ac:dyDescent="0.3">
      <c r="A368" s="1">
        <v>41024</v>
      </c>
      <c r="B368" s="2">
        <v>5202</v>
      </c>
    </row>
    <row r="369" spans="1:2" x14ac:dyDescent="0.3">
      <c r="A369" s="1">
        <v>41025</v>
      </c>
      <c r="B369" s="2">
        <v>5189</v>
      </c>
    </row>
    <row r="370" spans="1:2" x14ac:dyDescent="0.3">
      <c r="A370" s="1">
        <v>41026</v>
      </c>
      <c r="B370" s="2">
        <v>5190.6000979999999</v>
      </c>
    </row>
    <row r="371" spans="1:2" x14ac:dyDescent="0.3">
      <c r="A371" s="1">
        <v>41029</v>
      </c>
      <c r="B371" s="2">
        <v>5248.1499020000001</v>
      </c>
    </row>
    <row r="372" spans="1:2" x14ac:dyDescent="0.3">
      <c r="A372" s="1">
        <v>41031</v>
      </c>
      <c r="B372" s="2">
        <v>5239.1499020000001</v>
      </c>
    </row>
    <row r="373" spans="1:2" x14ac:dyDescent="0.3">
      <c r="A373" s="1">
        <v>41032</v>
      </c>
      <c r="B373" s="2">
        <v>5188.3999020000001</v>
      </c>
    </row>
    <row r="374" spans="1:2" x14ac:dyDescent="0.3">
      <c r="A374" s="1">
        <v>41033</v>
      </c>
      <c r="B374" s="2">
        <v>5086.8500979999999</v>
      </c>
    </row>
    <row r="375" spans="1:2" x14ac:dyDescent="0.3">
      <c r="A375" s="1">
        <v>41036</v>
      </c>
      <c r="B375" s="2">
        <v>5114.1499020000001</v>
      </c>
    </row>
    <row r="376" spans="1:2" x14ac:dyDescent="0.3">
      <c r="A376" s="1">
        <v>41037</v>
      </c>
      <c r="B376" s="2">
        <v>4999.9501950000003</v>
      </c>
    </row>
    <row r="377" spans="1:2" x14ac:dyDescent="0.3">
      <c r="A377" s="1">
        <v>41038</v>
      </c>
      <c r="B377" s="2">
        <v>4974.7998049999997</v>
      </c>
    </row>
    <row r="378" spans="1:2" x14ac:dyDescent="0.3">
      <c r="A378" s="1">
        <v>41039</v>
      </c>
      <c r="B378" s="2">
        <v>4965.7001950000003</v>
      </c>
    </row>
    <row r="379" spans="1:2" x14ac:dyDescent="0.3">
      <c r="A379" s="1">
        <v>41040</v>
      </c>
      <c r="B379" s="2">
        <v>4928.8999020000001</v>
      </c>
    </row>
    <row r="380" spans="1:2" x14ac:dyDescent="0.3">
      <c r="A380" s="1">
        <v>41043</v>
      </c>
      <c r="B380" s="2">
        <v>4907.7998049999997</v>
      </c>
    </row>
    <row r="381" spans="1:2" x14ac:dyDescent="0.3">
      <c r="A381" s="1">
        <v>41044</v>
      </c>
      <c r="B381" s="2">
        <v>4942.7998049999997</v>
      </c>
    </row>
    <row r="382" spans="1:2" x14ac:dyDescent="0.3">
      <c r="A382" s="1">
        <v>41045</v>
      </c>
      <c r="B382" s="2">
        <v>4858.25</v>
      </c>
    </row>
    <row r="383" spans="1:2" x14ac:dyDescent="0.3">
      <c r="A383" s="1">
        <v>41046</v>
      </c>
      <c r="B383" s="2">
        <v>4870.2001950000003</v>
      </c>
    </row>
    <row r="384" spans="1:2" x14ac:dyDescent="0.3">
      <c r="A384" s="1">
        <v>41047</v>
      </c>
      <c r="B384" s="2">
        <v>4891.4501950000003</v>
      </c>
    </row>
    <row r="385" spans="1:2" x14ac:dyDescent="0.3">
      <c r="A385" s="1">
        <v>41051</v>
      </c>
      <c r="B385" s="2">
        <v>4860.5</v>
      </c>
    </row>
    <row r="386" spans="1:2" x14ac:dyDescent="0.3">
      <c r="A386" s="1">
        <v>41052</v>
      </c>
      <c r="B386" s="2">
        <v>4835.6499020000001</v>
      </c>
    </row>
    <row r="387" spans="1:2" x14ac:dyDescent="0.3">
      <c r="A387" s="1">
        <v>41053</v>
      </c>
      <c r="B387" s="2">
        <v>4921.3999020000001</v>
      </c>
    </row>
    <row r="388" spans="1:2" x14ac:dyDescent="0.3">
      <c r="A388" s="1">
        <v>41054</v>
      </c>
      <c r="B388" s="2">
        <v>4920.3999020000001</v>
      </c>
    </row>
    <row r="389" spans="1:2" x14ac:dyDescent="0.3">
      <c r="A389" s="1">
        <v>41057</v>
      </c>
      <c r="B389" s="2">
        <v>4985.6499020000001</v>
      </c>
    </row>
    <row r="390" spans="1:2" x14ac:dyDescent="0.3">
      <c r="A390" s="1">
        <v>41058</v>
      </c>
      <c r="B390" s="2">
        <v>4990.1000979999999</v>
      </c>
    </row>
    <row r="391" spans="1:2" x14ac:dyDescent="0.3">
      <c r="A391" s="1">
        <v>41059</v>
      </c>
      <c r="B391" s="2">
        <v>4950.75</v>
      </c>
    </row>
    <row r="392" spans="1:2" x14ac:dyDescent="0.3">
      <c r="A392" s="1">
        <v>41060</v>
      </c>
      <c r="B392" s="2">
        <v>4924.25</v>
      </c>
    </row>
    <row r="393" spans="1:2" x14ac:dyDescent="0.3">
      <c r="A393" s="1">
        <v>41061</v>
      </c>
      <c r="B393" s="2">
        <v>4841.6000979999999</v>
      </c>
    </row>
    <row r="394" spans="1:2" x14ac:dyDescent="0.3">
      <c r="A394" s="1">
        <v>41064</v>
      </c>
      <c r="B394" s="2">
        <v>4848.1499020000001</v>
      </c>
    </row>
    <row r="395" spans="1:2" x14ac:dyDescent="0.3">
      <c r="A395" s="1">
        <v>41065</v>
      </c>
      <c r="B395" s="2">
        <v>4863.2998049999997</v>
      </c>
    </row>
    <row r="396" spans="1:2" x14ac:dyDescent="0.3">
      <c r="A396" s="1">
        <v>41066</v>
      </c>
      <c r="B396" s="2">
        <v>4997.1000979999999</v>
      </c>
    </row>
    <row r="397" spans="1:2" x14ac:dyDescent="0.3">
      <c r="A397" s="1">
        <v>41067</v>
      </c>
      <c r="B397" s="2">
        <v>5049.6499020000001</v>
      </c>
    </row>
    <row r="398" spans="1:2" x14ac:dyDescent="0.3">
      <c r="A398" s="1">
        <v>41068</v>
      </c>
      <c r="B398" s="2">
        <v>5068.3500979999999</v>
      </c>
    </row>
    <row r="399" spans="1:2" x14ac:dyDescent="0.3">
      <c r="A399" s="1">
        <v>41071</v>
      </c>
      <c r="B399" s="2">
        <v>5054.1000979999999</v>
      </c>
    </row>
    <row r="400" spans="1:2" x14ac:dyDescent="0.3">
      <c r="A400" s="1">
        <v>41072</v>
      </c>
      <c r="B400" s="2">
        <v>5115.8999020000001</v>
      </c>
    </row>
    <row r="401" spans="1:2" x14ac:dyDescent="0.3">
      <c r="A401" s="1">
        <v>41073</v>
      </c>
      <c r="B401" s="2">
        <v>5121.4501950000003</v>
      </c>
    </row>
    <row r="402" spans="1:2" x14ac:dyDescent="0.3">
      <c r="A402" s="1">
        <v>41074</v>
      </c>
      <c r="B402" s="2">
        <v>5054.75</v>
      </c>
    </row>
    <row r="403" spans="1:2" x14ac:dyDescent="0.3">
      <c r="A403" s="1">
        <v>41075</v>
      </c>
      <c r="B403" s="2">
        <v>5139.0498049999997</v>
      </c>
    </row>
    <row r="404" spans="1:2" x14ac:dyDescent="0.3">
      <c r="A404" s="1">
        <v>41078</v>
      </c>
      <c r="B404" s="2">
        <v>5064.25</v>
      </c>
    </row>
    <row r="405" spans="1:2" x14ac:dyDescent="0.3">
      <c r="A405" s="1">
        <v>41079</v>
      </c>
      <c r="B405" s="2">
        <v>5103.8500979999999</v>
      </c>
    </row>
    <row r="406" spans="1:2" x14ac:dyDescent="0.3">
      <c r="A406" s="1">
        <v>41080</v>
      </c>
      <c r="B406" s="2">
        <v>5120.5498049999997</v>
      </c>
    </row>
    <row r="407" spans="1:2" x14ac:dyDescent="0.3">
      <c r="A407" s="1">
        <v>41081</v>
      </c>
      <c r="B407" s="2">
        <v>5165</v>
      </c>
    </row>
    <row r="408" spans="1:2" x14ac:dyDescent="0.3">
      <c r="A408" s="1">
        <v>41082</v>
      </c>
      <c r="B408" s="2">
        <v>5146.0498049999997</v>
      </c>
    </row>
    <row r="409" spans="1:2" x14ac:dyDescent="0.3">
      <c r="A409" s="1">
        <v>41085</v>
      </c>
      <c r="B409" s="2">
        <v>5114.6499020000001</v>
      </c>
    </row>
    <row r="410" spans="1:2" x14ac:dyDescent="0.3">
      <c r="A410" s="1">
        <v>41086</v>
      </c>
      <c r="B410" s="2">
        <v>5120.7998049999997</v>
      </c>
    </row>
    <row r="411" spans="1:2" x14ac:dyDescent="0.3">
      <c r="A411" s="1">
        <v>41087</v>
      </c>
      <c r="B411" s="2">
        <v>5141.8999020000001</v>
      </c>
    </row>
    <row r="412" spans="1:2" x14ac:dyDescent="0.3">
      <c r="A412" s="1">
        <v>41088</v>
      </c>
      <c r="B412" s="2">
        <v>5149.1499020000001</v>
      </c>
    </row>
    <row r="413" spans="1:2" x14ac:dyDescent="0.3">
      <c r="A413" s="1">
        <v>41089</v>
      </c>
      <c r="B413" s="2">
        <v>5278.8999020000001</v>
      </c>
    </row>
    <row r="414" spans="1:2" x14ac:dyDescent="0.3">
      <c r="A414" s="1">
        <v>41092</v>
      </c>
      <c r="B414" s="2">
        <v>5278.6000979999999</v>
      </c>
    </row>
    <row r="415" spans="1:2" x14ac:dyDescent="0.3">
      <c r="A415" s="1">
        <v>41093</v>
      </c>
      <c r="B415" s="2">
        <v>5287.9501950000003</v>
      </c>
    </row>
    <row r="416" spans="1:2" x14ac:dyDescent="0.3">
      <c r="A416" s="1">
        <v>41094</v>
      </c>
      <c r="B416" s="2">
        <v>5302.5498049999997</v>
      </c>
    </row>
    <row r="417" spans="1:2" x14ac:dyDescent="0.3">
      <c r="A417" s="1">
        <v>41095</v>
      </c>
      <c r="B417" s="2">
        <v>5327.2998049999997</v>
      </c>
    </row>
    <row r="418" spans="1:2" x14ac:dyDescent="0.3">
      <c r="A418" s="1">
        <v>41096</v>
      </c>
      <c r="B418" s="2">
        <v>5316.9501950000003</v>
      </c>
    </row>
    <row r="419" spans="1:2" x14ac:dyDescent="0.3">
      <c r="A419" s="1">
        <v>41099</v>
      </c>
      <c r="B419" s="2">
        <v>5275.1499020000001</v>
      </c>
    </row>
    <row r="420" spans="1:2" x14ac:dyDescent="0.3">
      <c r="A420" s="1">
        <v>41100</v>
      </c>
      <c r="B420" s="2">
        <v>5345.3500979999999</v>
      </c>
    </row>
    <row r="421" spans="1:2" x14ac:dyDescent="0.3">
      <c r="A421" s="1">
        <v>41101</v>
      </c>
      <c r="B421" s="2">
        <v>5306.2998049999997</v>
      </c>
    </row>
    <row r="422" spans="1:2" x14ac:dyDescent="0.3">
      <c r="A422" s="1">
        <v>41102</v>
      </c>
      <c r="B422" s="2">
        <v>5235.25</v>
      </c>
    </row>
    <row r="423" spans="1:2" x14ac:dyDescent="0.3">
      <c r="A423" s="1">
        <v>41103</v>
      </c>
      <c r="B423" s="2">
        <v>5227.25</v>
      </c>
    </row>
    <row r="424" spans="1:2" x14ac:dyDescent="0.3">
      <c r="A424" s="1">
        <v>41106</v>
      </c>
      <c r="B424" s="2">
        <v>5197.25</v>
      </c>
    </row>
    <row r="425" spans="1:2" x14ac:dyDescent="0.3">
      <c r="A425" s="1">
        <v>41107</v>
      </c>
      <c r="B425" s="2">
        <v>5192.8500979999999</v>
      </c>
    </row>
    <row r="426" spans="1:2" x14ac:dyDescent="0.3">
      <c r="A426" s="1">
        <v>41108</v>
      </c>
      <c r="B426" s="2">
        <v>5216.2998049999997</v>
      </c>
    </row>
    <row r="427" spans="1:2" x14ac:dyDescent="0.3">
      <c r="A427" s="1">
        <v>41109</v>
      </c>
      <c r="B427" s="2">
        <v>5242.7001950000003</v>
      </c>
    </row>
    <row r="428" spans="1:2" x14ac:dyDescent="0.3">
      <c r="A428" s="1">
        <v>41110</v>
      </c>
      <c r="B428" s="2">
        <v>5205.1000979999999</v>
      </c>
    </row>
    <row r="429" spans="1:2" x14ac:dyDescent="0.3">
      <c r="A429" s="1">
        <v>41113</v>
      </c>
      <c r="B429" s="2">
        <v>5117.9501950000003</v>
      </c>
    </row>
    <row r="430" spans="1:2" x14ac:dyDescent="0.3">
      <c r="A430" s="1">
        <v>41114</v>
      </c>
      <c r="B430" s="2">
        <v>5128.2001950000003</v>
      </c>
    </row>
    <row r="431" spans="1:2" x14ac:dyDescent="0.3">
      <c r="A431" s="1">
        <v>41115</v>
      </c>
      <c r="B431" s="2">
        <v>5109.6000979999999</v>
      </c>
    </row>
    <row r="432" spans="1:2" x14ac:dyDescent="0.3">
      <c r="A432" s="1">
        <v>41116</v>
      </c>
      <c r="B432" s="2">
        <v>5043</v>
      </c>
    </row>
    <row r="433" spans="1:2" x14ac:dyDescent="0.3">
      <c r="A433" s="1">
        <v>41117</v>
      </c>
      <c r="B433" s="2">
        <v>5099.8500979999999</v>
      </c>
    </row>
    <row r="434" spans="1:2" x14ac:dyDescent="0.3">
      <c r="A434" s="1">
        <v>41120</v>
      </c>
      <c r="B434" s="2">
        <v>5199.7998049999997</v>
      </c>
    </row>
    <row r="435" spans="1:2" x14ac:dyDescent="0.3">
      <c r="A435" s="1">
        <v>41121</v>
      </c>
      <c r="B435" s="2">
        <v>5229</v>
      </c>
    </row>
    <row r="436" spans="1:2" x14ac:dyDescent="0.3">
      <c r="A436" s="1">
        <v>41122</v>
      </c>
      <c r="B436" s="2">
        <v>5240.5</v>
      </c>
    </row>
    <row r="437" spans="1:2" x14ac:dyDescent="0.3">
      <c r="A437" s="1">
        <v>41123</v>
      </c>
      <c r="B437" s="2">
        <v>5227.75</v>
      </c>
    </row>
    <row r="438" spans="1:2" x14ac:dyDescent="0.3">
      <c r="A438" s="1">
        <v>41124</v>
      </c>
      <c r="B438" s="2">
        <v>5215.7001950000003</v>
      </c>
    </row>
    <row r="439" spans="1:2" x14ac:dyDescent="0.3">
      <c r="A439" s="1">
        <v>41127</v>
      </c>
      <c r="B439" s="2">
        <v>5282.5498049999997</v>
      </c>
    </row>
    <row r="440" spans="1:2" x14ac:dyDescent="0.3">
      <c r="A440" s="1">
        <v>41128</v>
      </c>
      <c r="B440" s="2">
        <v>5336.7001950000003</v>
      </c>
    </row>
    <row r="441" spans="1:2" x14ac:dyDescent="0.3">
      <c r="A441" s="1">
        <v>41129</v>
      </c>
      <c r="B441" s="2">
        <v>5338</v>
      </c>
    </row>
    <row r="442" spans="1:2" x14ac:dyDescent="0.3">
      <c r="A442" s="1">
        <v>41130</v>
      </c>
      <c r="B442" s="2">
        <v>5322.9501950000003</v>
      </c>
    </row>
    <row r="443" spans="1:2" x14ac:dyDescent="0.3">
      <c r="A443" s="1">
        <v>41131</v>
      </c>
      <c r="B443" s="2">
        <v>5320.3999020000001</v>
      </c>
    </row>
    <row r="444" spans="1:2" x14ac:dyDescent="0.3">
      <c r="A444" s="1">
        <v>41134</v>
      </c>
      <c r="B444" s="2">
        <v>5347.8999020000001</v>
      </c>
    </row>
    <row r="445" spans="1:2" x14ac:dyDescent="0.3">
      <c r="A445" s="1">
        <v>41135</v>
      </c>
      <c r="B445" s="2">
        <v>5380.3500979999999</v>
      </c>
    </row>
    <row r="446" spans="1:2" x14ac:dyDescent="0.3">
      <c r="A446" s="1">
        <v>41137</v>
      </c>
      <c r="B446" s="2">
        <v>5362.9501950000003</v>
      </c>
    </row>
    <row r="447" spans="1:2" x14ac:dyDescent="0.3">
      <c r="A447" s="1">
        <v>41138</v>
      </c>
      <c r="B447" s="2">
        <v>5366.2998049999997</v>
      </c>
    </row>
    <row r="448" spans="1:2" x14ac:dyDescent="0.3">
      <c r="A448" s="1">
        <v>41142</v>
      </c>
      <c r="B448" s="2">
        <v>5421</v>
      </c>
    </row>
    <row r="449" spans="1:2" x14ac:dyDescent="0.3">
      <c r="A449" s="1">
        <v>41143</v>
      </c>
      <c r="B449" s="2">
        <v>5412.8500979999999</v>
      </c>
    </row>
    <row r="450" spans="1:2" x14ac:dyDescent="0.3">
      <c r="A450" s="1">
        <v>41144</v>
      </c>
      <c r="B450" s="2">
        <v>5415.3500979999999</v>
      </c>
    </row>
    <row r="451" spans="1:2" x14ac:dyDescent="0.3">
      <c r="A451" s="1">
        <v>41145</v>
      </c>
      <c r="B451" s="2">
        <v>5386.7001950000003</v>
      </c>
    </row>
    <row r="452" spans="1:2" x14ac:dyDescent="0.3">
      <c r="A452" s="1">
        <v>41148</v>
      </c>
      <c r="B452" s="2">
        <v>5350.25</v>
      </c>
    </row>
    <row r="453" spans="1:2" x14ac:dyDescent="0.3">
      <c r="A453" s="1">
        <v>41150</v>
      </c>
      <c r="B453" s="2">
        <v>5287.7998049999997</v>
      </c>
    </row>
    <row r="454" spans="1:2" x14ac:dyDescent="0.3">
      <c r="A454" s="1">
        <v>41151</v>
      </c>
      <c r="B454" s="2">
        <v>5315.0498049999997</v>
      </c>
    </row>
    <row r="455" spans="1:2" x14ac:dyDescent="0.3">
      <c r="A455" s="1">
        <v>41152</v>
      </c>
      <c r="B455" s="2">
        <v>5258.5</v>
      </c>
    </row>
    <row r="456" spans="1:2" x14ac:dyDescent="0.3">
      <c r="A456" s="1">
        <v>41155</v>
      </c>
      <c r="B456" s="2">
        <v>5253.75</v>
      </c>
    </row>
    <row r="457" spans="1:2" x14ac:dyDescent="0.3">
      <c r="A457" s="1">
        <v>41156</v>
      </c>
      <c r="B457" s="2">
        <v>5274</v>
      </c>
    </row>
    <row r="458" spans="1:2" x14ac:dyDescent="0.3">
      <c r="A458" s="1">
        <v>41157</v>
      </c>
      <c r="B458" s="2">
        <v>5225.7001950000003</v>
      </c>
    </row>
    <row r="459" spans="1:2" x14ac:dyDescent="0.3">
      <c r="A459" s="1">
        <v>41158</v>
      </c>
      <c r="B459" s="2">
        <v>5238.3999020000001</v>
      </c>
    </row>
    <row r="460" spans="1:2" x14ac:dyDescent="0.3">
      <c r="A460" s="1">
        <v>41159</v>
      </c>
      <c r="B460" s="2">
        <v>5342.1000979999999</v>
      </c>
    </row>
    <row r="461" spans="1:2" x14ac:dyDescent="0.3">
      <c r="A461" s="1">
        <v>41162</v>
      </c>
      <c r="B461" s="2">
        <v>5363.4501950000003</v>
      </c>
    </row>
    <row r="462" spans="1:2" x14ac:dyDescent="0.3">
      <c r="A462" s="1">
        <v>41163</v>
      </c>
      <c r="B462" s="2">
        <v>5390</v>
      </c>
    </row>
    <row r="463" spans="1:2" x14ac:dyDescent="0.3">
      <c r="A463" s="1">
        <v>41164</v>
      </c>
      <c r="B463" s="2">
        <v>5431</v>
      </c>
    </row>
    <row r="464" spans="1:2" x14ac:dyDescent="0.3">
      <c r="A464" s="1">
        <v>41165</v>
      </c>
      <c r="B464" s="2">
        <v>5435.3500979999999</v>
      </c>
    </row>
    <row r="465" spans="1:2" x14ac:dyDescent="0.3">
      <c r="A465" s="1">
        <v>41166</v>
      </c>
      <c r="B465" s="2">
        <v>5577.6499020000001</v>
      </c>
    </row>
    <row r="466" spans="1:2" x14ac:dyDescent="0.3">
      <c r="A466" s="1">
        <v>41169</v>
      </c>
      <c r="B466" s="2">
        <v>5610</v>
      </c>
    </row>
    <row r="467" spans="1:2" x14ac:dyDescent="0.3">
      <c r="A467" s="1">
        <v>41170</v>
      </c>
      <c r="B467" s="2">
        <v>5600.0498049999997</v>
      </c>
    </row>
    <row r="468" spans="1:2" x14ac:dyDescent="0.3">
      <c r="A468" s="1">
        <v>41172</v>
      </c>
      <c r="B468" s="2">
        <v>5554.25</v>
      </c>
    </row>
    <row r="469" spans="1:2" x14ac:dyDescent="0.3">
      <c r="A469" s="1">
        <v>41173</v>
      </c>
      <c r="B469" s="2">
        <v>5691.1499020000001</v>
      </c>
    </row>
    <row r="470" spans="1:2" x14ac:dyDescent="0.3">
      <c r="A470" s="1">
        <v>41176</v>
      </c>
      <c r="B470" s="2">
        <v>5669.6000979999999</v>
      </c>
    </row>
    <row r="471" spans="1:2" x14ac:dyDescent="0.3">
      <c r="A471" s="1">
        <v>41177</v>
      </c>
      <c r="B471" s="2">
        <v>5673.8999020000001</v>
      </c>
    </row>
    <row r="472" spans="1:2" x14ac:dyDescent="0.3">
      <c r="A472" s="1">
        <v>41178</v>
      </c>
      <c r="B472" s="2">
        <v>5663.4501950000003</v>
      </c>
    </row>
    <row r="473" spans="1:2" x14ac:dyDescent="0.3">
      <c r="A473" s="1">
        <v>41179</v>
      </c>
      <c r="B473" s="2">
        <v>5649.5</v>
      </c>
    </row>
    <row r="474" spans="1:2" x14ac:dyDescent="0.3">
      <c r="A474" s="1">
        <v>41180</v>
      </c>
      <c r="B474" s="2">
        <v>5703.2998049999997</v>
      </c>
    </row>
    <row r="475" spans="1:2" x14ac:dyDescent="0.3">
      <c r="A475" s="1">
        <v>41183</v>
      </c>
      <c r="B475" s="2">
        <v>5718.7998049999997</v>
      </c>
    </row>
    <row r="476" spans="1:2" x14ac:dyDescent="0.3">
      <c r="A476" s="1">
        <v>41185</v>
      </c>
      <c r="B476" s="2">
        <v>5731.25</v>
      </c>
    </row>
    <row r="477" spans="1:2" x14ac:dyDescent="0.3">
      <c r="A477" s="1">
        <v>41186</v>
      </c>
      <c r="B477" s="2">
        <v>5787.6000979999999</v>
      </c>
    </row>
    <row r="478" spans="1:2" x14ac:dyDescent="0.3">
      <c r="A478" s="1">
        <v>41187</v>
      </c>
      <c r="B478" s="2">
        <v>5746.9501950000003</v>
      </c>
    </row>
    <row r="479" spans="1:2" x14ac:dyDescent="0.3">
      <c r="A479" s="1">
        <v>41190</v>
      </c>
      <c r="B479" s="2">
        <v>5676</v>
      </c>
    </row>
    <row r="480" spans="1:2" x14ac:dyDescent="0.3">
      <c r="A480" s="1">
        <v>41191</v>
      </c>
      <c r="B480" s="2">
        <v>5704.6000979999999</v>
      </c>
    </row>
    <row r="481" spans="1:2" x14ac:dyDescent="0.3">
      <c r="A481" s="1">
        <v>41192</v>
      </c>
      <c r="B481" s="2">
        <v>5652.1499020000001</v>
      </c>
    </row>
    <row r="482" spans="1:2" x14ac:dyDescent="0.3">
      <c r="A482" s="1">
        <v>41193</v>
      </c>
      <c r="B482" s="2">
        <v>5708.0498049999997</v>
      </c>
    </row>
    <row r="483" spans="1:2" x14ac:dyDescent="0.3">
      <c r="A483" s="1">
        <v>41194</v>
      </c>
      <c r="B483" s="2">
        <v>5676.0498049999997</v>
      </c>
    </row>
    <row r="484" spans="1:2" x14ac:dyDescent="0.3">
      <c r="A484" s="1">
        <v>41197</v>
      </c>
      <c r="B484" s="2">
        <v>5687.25</v>
      </c>
    </row>
    <row r="485" spans="1:2" x14ac:dyDescent="0.3">
      <c r="A485" s="1">
        <v>41198</v>
      </c>
      <c r="B485" s="2">
        <v>5648</v>
      </c>
    </row>
    <row r="486" spans="1:2" x14ac:dyDescent="0.3">
      <c r="A486" s="1">
        <v>41199</v>
      </c>
      <c r="B486" s="2">
        <v>5660.25</v>
      </c>
    </row>
    <row r="487" spans="1:2" x14ac:dyDescent="0.3">
      <c r="A487" s="1">
        <v>41200</v>
      </c>
      <c r="B487" s="2">
        <v>5718.7001950000003</v>
      </c>
    </row>
    <row r="488" spans="1:2" x14ac:dyDescent="0.3">
      <c r="A488" s="1">
        <v>41201</v>
      </c>
      <c r="B488" s="2">
        <v>5684.25</v>
      </c>
    </row>
    <row r="489" spans="1:2" x14ac:dyDescent="0.3">
      <c r="A489" s="1">
        <v>41204</v>
      </c>
      <c r="B489" s="2">
        <v>5717.1499020000001</v>
      </c>
    </row>
    <row r="490" spans="1:2" x14ac:dyDescent="0.3">
      <c r="A490" s="1">
        <v>41205</v>
      </c>
      <c r="B490" s="2">
        <v>5691.3999020000001</v>
      </c>
    </row>
    <row r="491" spans="1:2" x14ac:dyDescent="0.3">
      <c r="A491" s="1">
        <v>41207</v>
      </c>
      <c r="B491" s="2">
        <v>5705.2998049999997</v>
      </c>
    </row>
    <row r="492" spans="1:2" x14ac:dyDescent="0.3">
      <c r="A492" s="1">
        <v>41211</v>
      </c>
      <c r="B492" s="2">
        <v>5665.6000979999999</v>
      </c>
    </row>
    <row r="493" spans="1:2" x14ac:dyDescent="0.3">
      <c r="A493" s="1">
        <v>41212</v>
      </c>
      <c r="B493" s="2">
        <v>5597.8999020000001</v>
      </c>
    </row>
    <row r="494" spans="1:2" x14ac:dyDescent="0.3">
      <c r="A494" s="1">
        <v>41213</v>
      </c>
      <c r="B494" s="2">
        <v>5619.7001950000003</v>
      </c>
    </row>
    <row r="495" spans="1:2" x14ac:dyDescent="0.3">
      <c r="A495" s="1">
        <v>41214</v>
      </c>
      <c r="B495" s="2">
        <v>5645.0498049999997</v>
      </c>
    </row>
    <row r="496" spans="1:2" x14ac:dyDescent="0.3">
      <c r="A496" s="1">
        <v>41215</v>
      </c>
      <c r="B496" s="2">
        <v>5697.7001950000003</v>
      </c>
    </row>
    <row r="497" spans="1:2" x14ac:dyDescent="0.3">
      <c r="A497" s="1">
        <v>41218</v>
      </c>
      <c r="B497" s="2">
        <v>5704.2001950000003</v>
      </c>
    </row>
    <row r="498" spans="1:2" x14ac:dyDescent="0.3">
      <c r="A498" s="1">
        <v>41219</v>
      </c>
      <c r="B498" s="2">
        <v>5724.3999020000001</v>
      </c>
    </row>
    <row r="499" spans="1:2" x14ac:dyDescent="0.3">
      <c r="A499" s="1">
        <v>41220</v>
      </c>
      <c r="B499" s="2">
        <v>5760.1000979999999</v>
      </c>
    </row>
    <row r="500" spans="1:2" x14ac:dyDescent="0.3">
      <c r="A500" s="1">
        <v>41221</v>
      </c>
      <c r="B500" s="2">
        <v>5738.75</v>
      </c>
    </row>
    <row r="501" spans="1:2" x14ac:dyDescent="0.3">
      <c r="A501" s="1">
        <v>41222</v>
      </c>
      <c r="B501" s="2">
        <v>5686.25</v>
      </c>
    </row>
    <row r="502" spans="1:2" x14ac:dyDescent="0.3">
      <c r="A502" s="1">
        <v>41225</v>
      </c>
      <c r="B502" s="2">
        <v>5683.7001950000003</v>
      </c>
    </row>
    <row r="503" spans="1:2" x14ac:dyDescent="0.3">
      <c r="A503" s="1">
        <v>41228</v>
      </c>
      <c r="B503" s="2">
        <v>5631</v>
      </c>
    </row>
    <row r="504" spans="1:2" x14ac:dyDescent="0.3">
      <c r="A504" s="1">
        <v>41229</v>
      </c>
      <c r="B504" s="2">
        <v>5574.0498049999997</v>
      </c>
    </row>
    <row r="505" spans="1:2" x14ac:dyDescent="0.3">
      <c r="A505" s="1">
        <v>41232</v>
      </c>
      <c r="B505" s="2">
        <v>5571.3999020000001</v>
      </c>
    </row>
    <row r="506" spans="1:2" x14ac:dyDescent="0.3">
      <c r="A506" s="1">
        <v>41233</v>
      </c>
      <c r="B506" s="2">
        <v>5571.5498049999997</v>
      </c>
    </row>
    <row r="507" spans="1:2" x14ac:dyDescent="0.3">
      <c r="A507" s="1">
        <v>41234</v>
      </c>
      <c r="B507" s="2">
        <v>5614.7998049999997</v>
      </c>
    </row>
    <row r="508" spans="1:2" x14ac:dyDescent="0.3">
      <c r="A508" s="1">
        <v>41235</v>
      </c>
      <c r="B508" s="2">
        <v>5627.75</v>
      </c>
    </row>
    <row r="509" spans="1:2" x14ac:dyDescent="0.3">
      <c r="A509" s="1">
        <v>41236</v>
      </c>
      <c r="B509" s="2">
        <v>5626.6000979999999</v>
      </c>
    </row>
    <row r="510" spans="1:2" x14ac:dyDescent="0.3">
      <c r="A510" s="1">
        <v>41239</v>
      </c>
      <c r="B510" s="2">
        <v>5635.8999020000001</v>
      </c>
    </row>
    <row r="511" spans="1:2" x14ac:dyDescent="0.3">
      <c r="A511" s="1">
        <v>41240</v>
      </c>
      <c r="B511" s="2">
        <v>5727.4501950000003</v>
      </c>
    </row>
    <row r="512" spans="1:2" x14ac:dyDescent="0.3">
      <c r="A512" s="1">
        <v>41242</v>
      </c>
      <c r="B512" s="2">
        <v>5825</v>
      </c>
    </row>
    <row r="513" spans="1:2" x14ac:dyDescent="0.3">
      <c r="A513" s="1">
        <v>41243</v>
      </c>
      <c r="B513" s="2">
        <v>5879.8500979999999</v>
      </c>
    </row>
    <row r="514" spans="1:2" x14ac:dyDescent="0.3">
      <c r="A514" s="1">
        <v>41246</v>
      </c>
      <c r="B514" s="2">
        <v>5870.9501950000003</v>
      </c>
    </row>
    <row r="515" spans="1:2" x14ac:dyDescent="0.3">
      <c r="A515" s="1">
        <v>41247</v>
      </c>
      <c r="B515" s="2">
        <v>5889.25</v>
      </c>
    </row>
    <row r="516" spans="1:2" x14ac:dyDescent="0.3">
      <c r="A516" s="1">
        <v>41248</v>
      </c>
      <c r="B516" s="2">
        <v>5900.5</v>
      </c>
    </row>
    <row r="517" spans="1:2" x14ac:dyDescent="0.3">
      <c r="A517" s="1">
        <v>41249</v>
      </c>
      <c r="B517" s="2">
        <v>5930.8999020000001</v>
      </c>
    </row>
    <row r="518" spans="1:2" x14ac:dyDescent="0.3">
      <c r="A518" s="1">
        <v>41250</v>
      </c>
      <c r="B518" s="2">
        <v>5907.3999020000001</v>
      </c>
    </row>
    <row r="519" spans="1:2" x14ac:dyDescent="0.3">
      <c r="A519" s="1">
        <v>41253</v>
      </c>
      <c r="B519" s="2">
        <v>5908.8999020000001</v>
      </c>
    </row>
    <row r="520" spans="1:2" x14ac:dyDescent="0.3">
      <c r="A520" s="1">
        <v>41254</v>
      </c>
      <c r="B520" s="2">
        <v>5898.7998049999997</v>
      </c>
    </row>
    <row r="521" spans="1:2" x14ac:dyDescent="0.3">
      <c r="A521" s="1">
        <v>41255</v>
      </c>
      <c r="B521" s="2">
        <v>5888</v>
      </c>
    </row>
    <row r="522" spans="1:2" x14ac:dyDescent="0.3">
      <c r="A522" s="1">
        <v>41256</v>
      </c>
      <c r="B522" s="2">
        <v>5851.5</v>
      </c>
    </row>
    <row r="523" spans="1:2" x14ac:dyDescent="0.3">
      <c r="A523" s="1">
        <v>41257</v>
      </c>
      <c r="B523" s="2">
        <v>5879.6000979999999</v>
      </c>
    </row>
    <row r="524" spans="1:2" x14ac:dyDescent="0.3">
      <c r="A524" s="1">
        <v>41260</v>
      </c>
      <c r="B524" s="2">
        <v>5857.8999020000001</v>
      </c>
    </row>
    <row r="525" spans="1:2" x14ac:dyDescent="0.3">
      <c r="A525" s="1">
        <v>41261</v>
      </c>
      <c r="B525" s="2">
        <v>5896.7998049999997</v>
      </c>
    </row>
    <row r="526" spans="1:2" x14ac:dyDescent="0.3">
      <c r="A526" s="1">
        <v>41262</v>
      </c>
      <c r="B526" s="2">
        <v>5929.6000979999999</v>
      </c>
    </row>
    <row r="527" spans="1:2" x14ac:dyDescent="0.3">
      <c r="A527" s="1">
        <v>41263</v>
      </c>
      <c r="B527" s="2">
        <v>5916.3999020000001</v>
      </c>
    </row>
    <row r="528" spans="1:2" x14ac:dyDescent="0.3">
      <c r="A528" s="1">
        <v>41264</v>
      </c>
      <c r="B528" s="2">
        <v>5847.7001950000003</v>
      </c>
    </row>
    <row r="529" spans="1:2" x14ac:dyDescent="0.3">
      <c r="A529" s="1">
        <v>41267</v>
      </c>
      <c r="B529" s="2">
        <v>5855.75</v>
      </c>
    </row>
    <row r="530" spans="1:2" x14ac:dyDescent="0.3">
      <c r="A530" s="1">
        <v>41269</v>
      </c>
      <c r="B530" s="2">
        <v>5905.6000979999999</v>
      </c>
    </row>
    <row r="531" spans="1:2" x14ac:dyDescent="0.3">
      <c r="A531" s="1">
        <v>41270</v>
      </c>
      <c r="B531" s="2">
        <v>5870.1000979999999</v>
      </c>
    </row>
    <row r="532" spans="1:2" x14ac:dyDescent="0.3">
      <c r="A532" s="1">
        <v>41271</v>
      </c>
      <c r="B532" s="2">
        <v>5908.3500979999999</v>
      </c>
    </row>
    <row r="533" spans="1:2" x14ac:dyDescent="0.3">
      <c r="A533" s="1">
        <v>41274</v>
      </c>
      <c r="B533" s="2">
        <v>5905.1000979999999</v>
      </c>
    </row>
    <row r="534" spans="1:2" x14ac:dyDescent="0.3">
      <c r="A534" s="1">
        <v>41276</v>
      </c>
      <c r="B534" s="2">
        <v>5993.25</v>
      </c>
    </row>
    <row r="535" spans="1:2" x14ac:dyDescent="0.3">
      <c r="A535" s="1">
        <v>41277</v>
      </c>
      <c r="B535" s="2">
        <v>6009.5</v>
      </c>
    </row>
    <row r="536" spans="1:2" x14ac:dyDescent="0.3">
      <c r="A536" s="1">
        <v>41278</v>
      </c>
      <c r="B536" s="2">
        <v>6016.1499020000001</v>
      </c>
    </row>
    <row r="537" spans="1:2" x14ac:dyDescent="0.3">
      <c r="A537" s="1">
        <v>41281</v>
      </c>
      <c r="B537" s="2">
        <v>5988.3999020000001</v>
      </c>
    </row>
    <row r="538" spans="1:2" x14ac:dyDescent="0.3">
      <c r="A538" s="1">
        <v>41282</v>
      </c>
      <c r="B538" s="2">
        <v>6001.7001950000003</v>
      </c>
    </row>
    <row r="539" spans="1:2" x14ac:dyDescent="0.3">
      <c r="A539" s="1">
        <v>41283</v>
      </c>
      <c r="B539" s="2">
        <v>5971.5</v>
      </c>
    </row>
    <row r="540" spans="1:2" x14ac:dyDescent="0.3">
      <c r="A540" s="1">
        <v>41284</v>
      </c>
      <c r="B540" s="2">
        <v>5968.6499020000001</v>
      </c>
    </row>
    <row r="541" spans="1:2" x14ac:dyDescent="0.3">
      <c r="A541" s="1">
        <v>41285</v>
      </c>
      <c r="B541" s="2">
        <v>5951.2998049999997</v>
      </c>
    </row>
    <row r="542" spans="1:2" x14ac:dyDescent="0.3">
      <c r="A542" s="1">
        <v>41288</v>
      </c>
      <c r="B542" s="2">
        <v>6024.0498049999997</v>
      </c>
    </row>
    <row r="543" spans="1:2" x14ac:dyDescent="0.3">
      <c r="A543" s="1">
        <v>41289</v>
      </c>
      <c r="B543" s="2">
        <v>6056.6000979999999</v>
      </c>
    </row>
    <row r="544" spans="1:2" x14ac:dyDescent="0.3">
      <c r="A544" s="1">
        <v>41290</v>
      </c>
      <c r="B544" s="2">
        <v>6001.8500979999999</v>
      </c>
    </row>
    <row r="545" spans="1:2" x14ac:dyDescent="0.3">
      <c r="A545" s="1">
        <v>41291</v>
      </c>
      <c r="B545" s="2">
        <v>6039.2001950000003</v>
      </c>
    </row>
    <row r="546" spans="1:2" x14ac:dyDescent="0.3">
      <c r="A546" s="1">
        <v>41292</v>
      </c>
      <c r="B546" s="2">
        <v>6064.3999020000001</v>
      </c>
    </row>
    <row r="547" spans="1:2" x14ac:dyDescent="0.3">
      <c r="A547" s="1">
        <v>41295</v>
      </c>
      <c r="B547" s="2">
        <v>6082.2998049999997</v>
      </c>
    </row>
    <row r="548" spans="1:2" x14ac:dyDescent="0.3">
      <c r="A548" s="1">
        <v>41296</v>
      </c>
      <c r="B548" s="2">
        <v>6048.5</v>
      </c>
    </row>
    <row r="549" spans="1:2" x14ac:dyDescent="0.3">
      <c r="A549" s="1">
        <v>41297</v>
      </c>
      <c r="B549" s="2">
        <v>6054.2998049999997</v>
      </c>
    </row>
    <row r="550" spans="1:2" x14ac:dyDescent="0.3">
      <c r="A550" s="1">
        <v>41298</v>
      </c>
      <c r="B550" s="2">
        <v>6019.3500979999999</v>
      </c>
    </row>
    <row r="551" spans="1:2" x14ac:dyDescent="0.3">
      <c r="A551" s="1">
        <v>41299</v>
      </c>
      <c r="B551" s="2">
        <v>6074.6499020000001</v>
      </c>
    </row>
    <row r="552" spans="1:2" x14ac:dyDescent="0.3">
      <c r="A552" s="1">
        <v>41302</v>
      </c>
      <c r="B552" s="2">
        <v>6074.7998049999997</v>
      </c>
    </row>
    <row r="553" spans="1:2" x14ac:dyDescent="0.3">
      <c r="A553" s="1">
        <v>41303</v>
      </c>
      <c r="B553" s="2">
        <v>6049.8999020000001</v>
      </c>
    </row>
    <row r="554" spans="1:2" x14ac:dyDescent="0.3">
      <c r="A554" s="1">
        <v>41304</v>
      </c>
      <c r="B554" s="2">
        <v>6055.75</v>
      </c>
    </row>
    <row r="555" spans="1:2" x14ac:dyDescent="0.3">
      <c r="A555" s="1">
        <v>41305</v>
      </c>
      <c r="B555" s="2">
        <v>6034.75</v>
      </c>
    </row>
    <row r="556" spans="1:2" x14ac:dyDescent="0.3">
      <c r="A556" s="1">
        <v>41306</v>
      </c>
      <c r="B556" s="2">
        <v>5998.8999020000001</v>
      </c>
    </row>
    <row r="557" spans="1:2" x14ac:dyDescent="0.3">
      <c r="A557" s="1">
        <v>41309</v>
      </c>
      <c r="B557" s="2">
        <v>5987.25</v>
      </c>
    </row>
    <row r="558" spans="1:2" x14ac:dyDescent="0.3">
      <c r="A558" s="1">
        <v>41310</v>
      </c>
      <c r="B558" s="2">
        <v>5956.8999020000001</v>
      </c>
    </row>
    <row r="559" spans="1:2" x14ac:dyDescent="0.3">
      <c r="A559" s="1">
        <v>41311</v>
      </c>
      <c r="B559" s="2">
        <v>5959.2001950000003</v>
      </c>
    </row>
    <row r="560" spans="1:2" x14ac:dyDescent="0.3">
      <c r="A560" s="1">
        <v>41312</v>
      </c>
      <c r="B560" s="2">
        <v>5938.7998049999997</v>
      </c>
    </row>
    <row r="561" spans="1:2" x14ac:dyDescent="0.3">
      <c r="A561" s="1">
        <v>41313</v>
      </c>
      <c r="B561" s="2">
        <v>5903.5</v>
      </c>
    </row>
    <row r="562" spans="1:2" x14ac:dyDescent="0.3">
      <c r="A562" s="1">
        <v>41316</v>
      </c>
      <c r="B562" s="2">
        <v>5897.8500979999999</v>
      </c>
    </row>
    <row r="563" spans="1:2" x14ac:dyDescent="0.3">
      <c r="A563" s="1">
        <v>41317</v>
      </c>
      <c r="B563" s="2">
        <v>5922.5</v>
      </c>
    </row>
    <row r="564" spans="1:2" x14ac:dyDescent="0.3">
      <c r="A564" s="1">
        <v>41318</v>
      </c>
      <c r="B564" s="2">
        <v>5932.9501950000003</v>
      </c>
    </row>
    <row r="565" spans="1:2" x14ac:dyDescent="0.3">
      <c r="A565" s="1">
        <v>41319</v>
      </c>
      <c r="B565" s="2">
        <v>5896.9501950000003</v>
      </c>
    </row>
    <row r="566" spans="1:2" x14ac:dyDescent="0.3">
      <c r="A566" s="1">
        <v>41320</v>
      </c>
      <c r="B566" s="2">
        <v>5887.3999020000001</v>
      </c>
    </row>
    <row r="567" spans="1:2" x14ac:dyDescent="0.3">
      <c r="A567" s="1">
        <v>41323</v>
      </c>
      <c r="B567" s="2">
        <v>5898.2001950000003</v>
      </c>
    </row>
    <row r="568" spans="1:2" x14ac:dyDescent="0.3">
      <c r="A568" s="1">
        <v>41324</v>
      </c>
      <c r="B568" s="2">
        <v>5939.7001950000003</v>
      </c>
    </row>
    <row r="569" spans="1:2" x14ac:dyDescent="0.3">
      <c r="A569" s="1">
        <v>41325</v>
      </c>
      <c r="B569" s="2">
        <v>5943.0498049999997</v>
      </c>
    </row>
    <row r="570" spans="1:2" x14ac:dyDescent="0.3">
      <c r="A570" s="1">
        <v>41326</v>
      </c>
      <c r="B570" s="2">
        <v>5852.25</v>
      </c>
    </row>
    <row r="571" spans="1:2" x14ac:dyDescent="0.3">
      <c r="A571" s="1">
        <v>41327</v>
      </c>
      <c r="B571" s="2">
        <v>5850.2998049999997</v>
      </c>
    </row>
    <row r="572" spans="1:2" x14ac:dyDescent="0.3">
      <c r="A572" s="1">
        <v>41330</v>
      </c>
      <c r="B572" s="2">
        <v>5854.75</v>
      </c>
    </row>
    <row r="573" spans="1:2" x14ac:dyDescent="0.3">
      <c r="A573" s="1">
        <v>41331</v>
      </c>
      <c r="B573" s="2">
        <v>5761.3500979999999</v>
      </c>
    </row>
    <row r="574" spans="1:2" x14ac:dyDescent="0.3">
      <c r="A574" s="1">
        <v>41332</v>
      </c>
      <c r="B574" s="2">
        <v>5796.8999020000001</v>
      </c>
    </row>
    <row r="575" spans="1:2" x14ac:dyDescent="0.3">
      <c r="A575" s="1">
        <v>41333</v>
      </c>
      <c r="B575" s="2">
        <v>5693.0498049999997</v>
      </c>
    </row>
    <row r="576" spans="1:2" x14ac:dyDescent="0.3">
      <c r="A576" s="1">
        <v>41334</v>
      </c>
      <c r="B576" s="2">
        <v>5719.7001950000003</v>
      </c>
    </row>
    <row r="577" spans="1:2" x14ac:dyDescent="0.3">
      <c r="A577" s="1">
        <v>41337</v>
      </c>
      <c r="B577" s="2">
        <v>5698.5</v>
      </c>
    </row>
    <row r="578" spans="1:2" x14ac:dyDescent="0.3">
      <c r="A578" s="1">
        <v>41338</v>
      </c>
      <c r="B578" s="2">
        <v>5784.25</v>
      </c>
    </row>
    <row r="579" spans="1:2" x14ac:dyDescent="0.3">
      <c r="A579" s="1">
        <v>41339</v>
      </c>
      <c r="B579" s="2">
        <v>5818.6000979999999</v>
      </c>
    </row>
    <row r="580" spans="1:2" x14ac:dyDescent="0.3">
      <c r="A580" s="1">
        <v>41340</v>
      </c>
      <c r="B580" s="2">
        <v>5863.2998049999997</v>
      </c>
    </row>
    <row r="581" spans="1:2" x14ac:dyDescent="0.3">
      <c r="A581" s="1">
        <v>41341</v>
      </c>
      <c r="B581" s="2">
        <v>5945.7001950000003</v>
      </c>
    </row>
    <row r="582" spans="1:2" x14ac:dyDescent="0.3">
      <c r="A582" s="1">
        <v>41344</v>
      </c>
      <c r="B582" s="2">
        <v>5942.3500979999999</v>
      </c>
    </row>
    <row r="583" spans="1:2" x14ac:dyDescent="0.3">
      <c r="A583" s="1">
        <v>41345</v>
      </c>
      <c r="B583" s="2">
        <v>5914.1000979999999</v>
      </c>
    </row>
    <row r="584" spans="1:2" x14ac:dyDescent="0.3">
      <c r="A584" s="1">
        <v>41346</v>
      </c>
      <c r="B584" s="2">
        <v>5851.2001950000003</v>
      </c>
    </row>
    <row r="585" spans="1:2" x14ac:dyDescent="0.3">
      <c r="A585" s="1">
        <v>41347</v>
      </c>
      <c r="B585" s="2">
        <v>5908.9501950000003</v>
      </c>
    </row>
    <row r="586" spans="1:2" x14ac:dyDescent="0.3">
      <c r="A586" s="1">
        <v>41348</v>
      </c>
      <c r="B586" s="2">
        <v>5872.6000979999999</v>
      </c>
    </row>
    <row r="587" spans="1:2" x14ac:dyDescent="0.3">
      <c r="A587" s="1">
        <v>41351</v>
      </c>
      <c r="B587" s="2">
        <v>5835.25</v>
      </c>
    </row>
    <row r="588" spans="1:2" x14ac:dyDescent="0.3">
      <c r="A588" s="1">
        <v>41352</v>
      </c>
      <c r="B588" s="2">
        <v>5745.9501950000003</v>
      </c>
    </row>
    <row r="589" spans="1:2" x14ac:dyDescent="0.3">
      <c r="A589" s="1">
        <v>41353</v>
      </c>
      <c r="B589" s="2">
        <v>5694.3999020000001</v>
      </c>
    </row>
    <row r="590" spans="1:2" x14ac:dyDescent="0.3">
      <c r="A590" s="1">
        <v>41354</v>
      </c>
      <c r="B590" s="2">
        <v>5658.75</v>
      </c>
    </row>
    <row r="591" spans="1:2" x14ac:dyDescent="0.3">
      <c r="A591" s="1">
        <v>41355</v>
      </c>
      <c r="B591" s="2">
        <v>5651.3500979999999</v>
      </c>
    </row>
    <row r="592" spans="1:2" x14ac:dyDescent="0.3">
      <c r="A592" s="1">
        <v>41358</v>
      </c>
      <c r="B592" s="2">
        <v>5633.8500979999999</v>
      </c>
    </row>
    <row r="593" spans="1:2" x14ac:dyDescent="0.3">
      <c r="A593" s="1">
        <v>41359</v>
      </c>
      <c r="B593" s="2">
        <v>5641.6000979999999</v>
      </c>
    </row>
    <row r="594" spans="1:2" x14ac:dyDescent="0.3">
      <c r="A594" s="1">
        <v>41361</v>
      </c>
      <c r="B594" s="2">
        <v>5682.5498049999997</v>
      </c>
    </row>
    <row r="595" spans="1:2" x14ac:dyDescent="0.3">
      <c r="A595" s="1">
        <v>41365</v>
      </c>
      <c r="B595" s="2">
        <v>5704.3999020000001</v>
      </c>
    </row>
    <row r="596" spans="1:2" x14ac:dyDescent="0.3">
      <c r="A596" s="1">
        <v>41366</v>
      </c>
      <c r="B596" s="2">
        <v>5748.1000979999999</v>
      </c>
    </row>
    <row r="597" spans="1:2" x14ac:dyDescent="0.3">
      <c r="A597" s="1">
        <v>41367</v>
      </c>
      <c r="B597" s="2">
        <v>5672.8999020000001</v>
      </c>
    </row>
    <row r="598" spans="1:2" x14ac:dyDescent="0.3">
      <c r="A598" s="1">
        <v>41368</v>
      </c>
      <c r="B598" s="2">
        <v>5574.75</v>
      </c>
    </row>
    <row r="599" spans="1:2" x14ac:dyDescent="0.3">
      <c r="A599" s="1">
        <v>41369</v>
      </c>
      <c r="B599" s="2">
        <v>5553.25</v>
      </c>
    </row>
    <row r="600" spans="1:2" x14ac:dyDescent="0.3">
      <c r="A600" s="1">
        <v>41372</v>
      </c>
      <c r="B600" s="2">
        <v>5542.9501950000003</v>
      </c>
    </row>
    <row r="601" spans="1:2" x14ac:dyDescent="0.3">
      <c r="A601" s="1">
        <v>41373</v>
      </c>
      <c r="B601" s="2">
        <v>5495.1000979999999</v>
      </c>
    </row>
    <row r="602" spans="1:2" x14ac:dyDescent="0.3">
      <c r="A602" s="1">
        <v>41374</v>
      </c>
      <c r="B602" s="2">
        <v>5558.7001950000003</v>
      </c>
    </row>
    <row r="603" spans="1:2" x14ac:dyDescent="0.3">
      <c r="A603" s="1">
        <v>41375</v>
      </c>
      <c r="B603" s="2">
        <v>5594</v>
      </c>
    </row>
    <row r="604" spans="1:2" x14ac:dyDescent="0.3">
      <c r="A604" s="1">
        <v>41376</v>
      </c>
      <c r="B604" s="2">
        <v>5528.5498049999997</v>
      </c>
    </row>
    <row r="605" spans="1:2" x14ac:dyDescent="0.3">
      <c r="A605" s="1">
        <v>41379</v>
      </c>
      <c r="B605" s="2">
        <v>5568.3999020000001</v>
      </c>
    </row>
    <row r="606" spans="1:2" x14ac:dyDescent="0.3">
      <c r="A606" s="1">
        <v>41380</v>
      </c>
      <c r="B606" s="2">
        <v>5688.9501950000003</v>
      </c>
    </row>
    <row r="607" spans="1:2" x14ac:dyDescent="0.3">
      <c r="A607" s="1">
        <v>41381</v>
      </c>
      <c r="B607" s="2">
        <v>5688.7001950000003</v>
      </c>
    </row>
    <row r="608" spans="1:2" x14ac:dyDescent="0.3">
      <c r="A608" s="1">
        <v>41382</v>
      </c>
      <c r="B608" s="2">
        <v>5783.1000979999999</v>
      </c>
    </row>
    <row r="609" spans="1:2" x14ac:dyDescent="0.3">
      <c r="A609" s="1">
        <v>41386</v>
      </c>
      <c r="B609" s="2">
        <v>5834.3999020000001</v>
      </c>
    </row>
    <row r="610" spans="1:2" x14ac:dyDescent="0.3">
      <c r="A610" s="1">
        <v>41387</v>
      </c>
      <c r="B610" s="2">
        <v>5836.8999020000001</v>
      </c>
    </row>
    <row r="611" spans="1:2" x14ac:dyDescent="0.3">
      <c r="A611" s="1">
        <v>41389</v>
      </c>
      <c r="B611" s="2">
        <v>5916.2998049999997</v>
      </c>
    </row>
    <row r="612" spans="1:2" x14ac:dyDescent="0.3">
      <c r="A612" s="1">
        <v>41390</v>
      </c>
      <c r="B612" s="2">
        <v>5871.4501950000003</v>
      </c>
    </row>
    <row r="613" spans="1:2" x14ac:dyDescent="0.3">
      <c r="A613" s="1">
        <v>41393</v>
      </c>
      <c r="B613" s="2">
        <v>5904.1000979999999</v>
      </c>
    </row>
    <row r="614" spans="1:2" x14ac:dyDescent="0.3">
      <c r="A614" s="1">
        <v>41394</v>
      </c>
      <c r="B614" s="2">
        <v>5930.2001950000003</v>
      </c>
    </row>
    <row r="615" spans="1:2" x14ac:dyDescent="0.3">
      <c r="A615" s="1">
        <v>41396</v>
      </c>
      <c r="B615" s="2">
        <v>5999.3500979999999</v>
      </c>
    </row>
    <row r="616" spans="1:2" x14ac:dyDescent="0.3">
      <c r="A616" s="1">
        <v>41397</v>
      </c>
      <c r="B616" s="2">
        <v>5944</v>
      </c>
    </row>
    <row r="617" spans="1:2" x14ac:dyDescent="0.3">
      <c r="A617" s="1">
        <v>41400</v>
      </c>
      <c r="B617" s="2">
        <v>5971.0498049999997</v>
      </c>
    </row>
    <row r="618" spans="1:2" x14ac:dyDescent="0.3">
      <c r="A618" s="1">
        <v>41401</v>
      </c>
      <c r="B618" s="2">
        <v>6043.5498049999997</v>
      </c>
    </row>
    <row r="619" spans="1:2" x14ac:dyDescent="0.3">
      <c r="A619" s="1">
        <v>41402</v>
      </c>
      <c r="B619" s="2">
        <v>6069.2998049999997</v>
      </c>
    </row>
    <row r="620" spans="1:2" x14ac:dyDescent="0.3">
      <c r="A620" s="1">
        <v>41403</v>
      </c>
      <c r="B620" s="2">
        <v>6050.1499020000001</v>
      </c>
    </row>
    <row r="621" spans="1:2" x14ac:dyDescent="0.3">
      <c r="A621" s="1">
        <v>41404</v>
      </c>
      <c r="B621" s="2">
        <v>6094.75</v>
      </c>
    </row>
    <row r="622" spans="1:2" x14ac:dyDescent="0.3">
      <c r="A622" s="1">
        <v>41407</v>
      </c>
      <c r="B622" s="2">
        <v>5980.4501950000003</v>
      </c>
    </row>
    <row r="623" spans="1:2" x14ac:dyDescent="0.3">
      <c r="A623" s="1">
        <v>41408</v>
      </c>
      <c r="B623" s="2">
        <v>5995.3999020000001</v>
      </c>
    </row>
    <row r="624" spans="1:2" x14ac:dyDescent="0.3">
      <c r="A624" s="1">
        <v>41409</v>
      </c>
      <c r="B624" s="2">
        <v>6146.75</v>
      </c>
    </row>
    <row r="625" spans="1:2" x14ac:dyDescent="0.3">
      <c r="A625" s="1">
        <v>41410</v>
      </c>
      <c r="B625" s="2">
        <v>6169.8999020000001</v>
      </c>
    </row>
    <row r="626" spans="1:2" x14ac:dyDescent="0.3">
      <c r="A626" s="1">
        <v>41411</v>
      </c>
      <c r="B626" s="2">
        <v>6187.2998049999997</v>
      </c>
    </row>
    <row r="627" spans="1:2" x14ac:dyDescent="0.3">
      <c r="A627" s="1">
        <v>41414</v>
      </c>
      <c r="B627" s="2">
        <v>6156.8999020000001</v>
      </c>
    </row>
    <row r="628" spans="1:2" x14ac:dyDescent="0.3">
      <c r="A628" s="1">
        <v>41415</v>
      </c>
      <c r="B628" s="2">
        <v>6114.1000979999999</v>
      </c>
    </row>
    <row r="629" spans="1:2" x14ac:dyDescent="0.3">
      <c r="A629" s="1">
        <v>41416</v>
      </c>
      <c r="B629" s="2">
        <v>6094.5</v>
      </c>
    </row>
    <row r="630" spans="1:2" x14ac:dyDescent="0.3">
      <c r="A630" s="1">
        <v>41417</v>
      </c>
      <c r="B630" s="2">
        <v>5967.0498049999997</v>
      </c>
    </row>
    <row r="631" spans="1:2" x14ac:dyDescent="0.3">
      <c r="A631" s="1">
        <v>41418</v>
      </c>
      <c r="B631" s="2">
        <v>5983.5498049999997</v>
      </c>
    </row>
    <row r="632" spans="1:2" x14ac:dyDescent="0.3">
      <c r="A632" s="1">
        <v>41421</v>
      </c>
      <c r="B632" s="2">
        <v>6083.1499020000001</v>
      </c>
    </row>
    <row r="633" spans="1:2" x14ac:dyDescent="0.3">
      <c r="A633" s="1">
        <v>41422</v>
      </c>
      <c r="B633" s="2">
        <v>6111.25</v>
      </c>
    </row>
    <row r="634" spans="1:2" x14ac:dyDescent="0.3">
      <c r="A634" s="1">
        <v>41423</v>
      </c>
      <c r="B634" s="2">
        <v>6104.2998049999997</v>
      </c>
    </row>
    <row r="635" spans="1:2" x14ac:dyDescent="0.3">
      <c r="A635" s="1">
        <v>41424</v>
      </c>
      <c r="B635" s="2">
        <v>6124.0498049999997</v>
      </c>
    </row>
    <row r="636" spans="1:2" x14ac:dyDescent="0.3">
      <c r="A636" s="1">
        <v>41425</v>
      </c>
      <c r="B636" s="2">
        <v>5985.9501950000003</v>
      </c>
    </row>
    <row r="637" spans="1:2" x14ac:dyDescent="0.3">
      <c r="A637" s="1">
        <v>41428</v>
      </c>
      <c r="B637" s="2">
        <v>5939.2998049999997</v>
      </c>
    </row>
    <row r="638" spans="1:2" x14ac:dyDescent="0.3">
      <c r="A638" s="1">
        <v>41429</v>
      </c>
      <c r="B638" s="2">
        <v>5919.4501950000003</v>
      </c>
    </row>
    <row r="639" spans="1:2" x14ac:dyDescent="0.3">
      <c r="A639" s="1">
        <v>41430</v>
      </c>
      <c r="B639" s="2">
        <v>5923.8500979999999</v>
      </c>
    </row>
    <row r="640" spans="1:2" x14ac:dyDescent="0.3">
      <c r="A640" s="1">
        <v>41431</v>
      </c>
      <c r="B640" s="2">
        <v>5921.3999020000001</v>
      </c>
    </row>
    <row r="641" spans="1:2" x14ac:dyDescent="0.3">
      <c r="A641" s="1">
        <v>41432</v>
      </c>
      <c r="B641" s="2">
        <v>5881</v>
      </c>
    </row>
    <row r="642" spans="1:2" x14ac:dyDescent="0.3">
      <c r="A642" s="1">
        <v>41435</v>
      </c>
      <c r="B642" s="2">
        <v>5878</v>
      </c>
    </row>
    <row r="643" spans="1:2" x14ac:dyDescent="0.3">
      <c r="A643" s="1">
        <v>41436</v>
      </c>
      <c r="B643" s="2">
        <v>5788.7998049999997</v>
      </c>
    </row>
    <row r="644" spans="1:2" x14ac:dyDescent="0.3">
      <c r="A644" s="1">
        <v>41437</v>
      </c>
      <c r="B644" s="2">
        <v>5760.2001950000003</v>
      </c>
    </row>
    <row r="645" spans="1:2" x14ac:dyDescent="0.3">
      <c r="A645" s="1">
        <v>41438</v>
      </c>
      <c r="B645" s="2">
        <v>5699.1000979999999</v>
      </c>
    </row>
    <row r="646" spans="1:2" x14ac:dyDescent="0.3">
      <c r="A646" s="1">
        <v>41439</v>
      </c>
      <c r="B646" s="2">
        <v>5808.3999020000001</v>
      </c>
    </row>
    <row r="647" spans="1:2" x14ac:dyDescent="0.3">
      <c r="A647" s="1">
        <v>41442</v>
      </c>
      <c r="B647" s="2">
        <v>5850.0498049999997</v>
      </c>
    </row>
    <row r="648" spans="1:2" x14ac:dyDescent="0.3">
      <c r="A648" s="1">
        <v>41443</v>
      </c>
      <c r="B648" s="2">
        <v>5813.6000979999999</v>
      </c>
    </row>
    <row r="649" spans="1:2" x14ac:dyDescent="0.3">
      <c r="A649" s="1">
        <v>41444</v>
      </c>
      <c r="B649" s="2">
        <v>5822.25</v>
      </c>
    </row>
    <row r="650" spans="1:2" x14ac:dyDescent="0.3">
      <c r="A650" s="1">
        <v>41445</v>
      </c>
      <c r="B650" s="2">
        <v>5655.8999020000001</v>
      </c>
    </row>
    <row r="651" spans="1:2" x14ac:dyDescent="0.3">
      <c r="A651" s="1">
        <v>41446</v>
      </c>
      <c r="B651" s="2">
        <v>5667.6499020000001</v>
      </c>
    </row>
    <row r="652" spans="1:2" x14ac:dyDescent="0.3">
      <c r="A652" s="1">
        <v>41449</v>
      </c>
      <c r="B652" s="2">
        <v>5590.25</v>
      </c>
    </row>
    <row r="653" spans="1:2" x14ac:dyDescent="0.3">
      <c r="A653" s="1">
        <v>41450</v>
      </c>
      <c r="B653" s="2">
        <v>5609.1000979999999</v>
      </c>
    </row>
    <row r="654" spans="1:2" x14ac:dyDescent="0.3">
      <c r="A654" s="1">
        <v>41451</v>
      </c>
      <c r="B654" s="2">
        <v>5588.7001950000003</v>
      </c>
    </row>
    <row r="655" spans="1:2" x14ac:dyDescent="0.3">
      <c r="A655" s="1">
        <v>41452</v>
      </c>
      <c r="B655" s="2">
        <v>5682.3500979999999</v>
      </c>
    </row>
    <row r="656" spans="1:2" x14ac:dyDescent="0.3">
      <c r="A656" s="1">
        <v>41453</v>
      </c>
      <c r="B656" s="2">
        <v>5842.2001950000003</v>
      </c>
    </row>
    <row r="657" spans="1:2" x14ac:dyDescent="0.3">
      <c r="A657" s="1">
        <v>41456</v>
      </c>
      <c r="B657" s="2">
        <v>5898.8500979999999</v>
      </c>
    </row>
    <row r="658" spans="1:2" x14ac:dyDescent="0.3">
      <c r="A658" s="1">
        <v>41457</v>
      </c>
      <c r="B658" s="2">
        <v>5857.5498049999997</v>
      </c>
    </row>
    <row r="659" spans="1:2" x14ac:dyDescent="0.3">
      <c r="A659" s="1">
        <v>41458</v>
      </c>
      <c r="B659" s="2">
        <v>5770.8999020000001</v>
      </c>
    </row>
    <row r="660" spans="1:2" x14ac:dyDescent="0.3">
      <c r="A660" s="1">
        <v>41459</v>
      </c>
      <c r="B660" s="2">
        <v>5836.9501950000003</v>
      </c>
    </row>
    <row r="661" spans="1:2" x14ac:dyDescent="0.3">
      <c r="A661" s="1">
        <v>41460</v>
      </c>
      <c r="B661" s="2">
        <v>5867.8999020000001</v>
      </c>
    </row>
    <row r="662" spans="1:2" x14ac:dyDescent="0.3">
      <c r="A662" s="1">
        <v>41463</v>
      </c>
      <c r="B662" s="2">
        <v>5811.5498049999997</v>
      </c>
    </row>
    <row r="663" spans="1:2" x14ac:dyDescent="0.3">
      <c r="A663" s="1">
        <v>41464</v>
      </c>
      <c r="B663" s="2">
        <v>5859</v>
      </c>
    </row>
    <row r="664" spans="1:2" x14ac:dyDescent="0.3">
      <c r="A664" s="1">
        <v>41465</v>
      </c>
      <c r="B664" s="2">
        <v>5816.7001950000003</v>
      </c>
    </row>
    <row r="665" spans="1:2" x14ac:dyDescent="0.3">
      <c r="A665" s="1">
        <v>41466</v>
      </c>
      <c r="B665" s="2">
        <v>5935.1000979999999</v>
      </c>
    </row>
    <row r="666" spans="1:2" x14ac:dyDescent="0.3">
      <c r="A666" s="1">
        <v>41467</v>
      </c>
      <c r="B666" s="2">
        <v>6009</v>
      </c>
    </row>
    <row r="667" spans="1:2" x14ac:dyDescent="0.3">
      <c r="A667" s="1">
        <v>41470</v>
      </c>
      <c r="B667" s="2">
        <v>6030.7998049999997</v>
      </c>
    </row>
    <row r="668" spans="1:2" x14ac:dyDescent="0.3">
      <c r="A668" s="1">
        <v>41471</v>
      </c>
      <c r="B668" s="2">
        <v>5955.25</v>
      </c>
    </row>
    <row r="669" spans="1:2" x14ac:dyDescent="0.3">
      <c r="A669" s="1">
        <v>41472</v>
      </c>
      <c r="B669" s="2">
        <v>5973.2998049999997</v>
      </c>
    </row>
    <row r="670" spans="1:2" x14ac:dyDescent="0.3">
      <c r="A670" s="1">
        <v>41473</v>
      </c>
      <c r="B670" s="2">
        <v>6038.0498049999997</v>
      </c>
    </row>
    <row r="671" spans="1:2" x14ac:dyDescent="0.3">
      <c r="A671" s="1">
        <v>41474</v>
      </c>
      <c r="B671" s="2">
        <v>6029.2001950000003</v>
      </c>
    </row>
    <row r="672" spans="1:2" x14ac:dyDescent="0.3">
      <c r="A672" s="1">
        <v>41477</v>
      </c>
      <c r="B672" s="2">
        <v>6031.7998049999997</v>
      </c>
    </row>
    <row r="673" spans="1:2" x14ac:dyDescent="0.3">
      <c r="A673" s="1">
        <v>41478</v>
      </c>
      <c r="B673" s="2">
        <v>6077.7998049999997</v>
      </c>
    </row>
    <row r="674" spans="1:2" x14ac:dyDescent="0.3">
      <c r="A674" s="1">
        <v>41479</v>
      </c>
      <c r="B674" s="2">
        <v>5990.5</v>
      </c>
    </row>
    <row r="675" spans="1:2" x14ac:dyDescent="0.3">
      <c r="A675" s="1">
        <v>41480</v>
      </c>
      <c r="B675" s="2">
        <v>5907.5</v>
      </c>
    </row>
    <row r="676" spans="1:2" x14ac:dyDescent="0.3">
      <c r="A676" s="1">
        <v>41481</v>
      </c>
      <c r="B676" s="2">
        <v>5886.2001950000003</v>
      </c>
    </row>
    <row r="677" spans="1:2" x14ac:dyDescent="0.3">
      <c r="A677" s="1">
        <v>41484</v>
      </c>
      <c r="B677" s="2">
        <v>5831.6499020000001</v>
      </c>
    </row>
    <row r="678" spans="1:2" x14ac:dyDescent="0.3">
      <c r="A678" s="1">
        <v>41485</v>
      </c>
      <c r="B678" s="2">
        <v>5755.0498049999997</v>
      </c>
    </row>
    <row r="679" spans="1:2" x14ac:dyDescent="0.3">
      <c r="A679" s="1">
        <v>41486</v>
      </c>
      <c r="B679" s="2">
        <v>5742</v>
      </c>
    </row>
    <row r="680" spans="1:2" x14ac:dyDescent="0.3">
      <c r="A680" s="1">
        <v>41487</v>
      </c>
      <c r="B680" s="2">
        <v>5727.8500979999999</v>
      </c>
    </row>
    <row r="681" spans="1:2" x14ac:dyDescent="0.3">
      <c r="A681" s="1">
        <v>41488</v>
      </c>
      <c r="B681" s="2">
        <v>5677.8999020000001</v>
      </c>
    </row>
    <row r="682" spans="1:2" x14ac:dyDescent="0.3">
      <c r="A682" s="1">
        <v>41491</v>
      </c>
      <c r="B682" s="2">
        <v>5685.3999020000001</v>
      </c>
    </row>
    <row r="683" spans="1:2" x14ac:dyDescent="0.3">
      <c r="A683" s="1">
        <v>41492</v>
      </c>
      <c r="B683" s="2">
        <v>5542.25</v>
      </c>
    </row>
    <row r="684" spans="1:2" x14ac:dyDescent="0.3">
      <c r="A684" s="1">
        <v>41493</v>
      </c>
      <c r="B684" s="2">
        <v>5519.1000979999999</v>
      </c>
    </row>
    <row r="685" spans="1:2" x14ac:dyDescent="0.3">
      <c r="A685" s="1">
        <v>41494</v>
      </c>
      <c r="B685" s="2">
        <v>5565.6499020000001</v>
      </c>
    </row>
    <row r="686" spans="1:2" x14ac:dyDescent="0.3">
      <c r="A686" s="1">
        <v>41498</v>
      </c>
      <c r="B686" s="2">
        <v>5612.3999020000001</v>
      </c>
    </row>
    <row r="687" spans="1:2" x14ac:dyDescent="0.3">
      <c r="A687" s="1">
        <v>41499</v>
      </c>
      <c r="B687" s="2">
        <v>5699.2998049999997</v>
      </c>
    </row>
    <row r="688" spans="1:2" x14ac:dyDescent="0.3">
      <c r="A688" s="1">
        <v>41500</v>
      </c>
      <c r="B688" s="2">
        <v>5742.2998049999997</v>
      </c>
    </row>
    <row r="689" spans="1:2" x14ac:dyDescent="0.3">
      <c r="A689" s="1">
        <v>41502</v>
      </c>
      <c r="B689" s="2">
        <v>5507.8500979999999</v>
      </c>
    </row>
    <row r="690" spans="1:2" x14ac:dyDescent="0.3">
      <c r="A690" s="1">
        <v>41505</v>
      </c>
      <c r="B690" s="2">
        <v>5414.75</v>
      </c>
    </row>
    <row r="691" spans="1:2" x14ac:dyDescent="0.3">
      <c r="A691" s="1">
        <v>41506</v>
      </c>
      <c r="B691" s="2">
        <v>5401.4501950000003</v>
      </c>
    </row>
    <row r="692" spans="1:2" x14ac:dyDescent="0.3">
      <c r="A692" s="1">
        <v>41507</v>
      </c>
      <c r="B692" s="2">
        <v>5302.5498049999997</v>
      </c>
    </row>
    <row r="693" spans="1:2" x14ac:dyDescent="0.3">
      <c r="A693" s="1">
        <v>41508</v>
      </c>
      <c r="B693" s="2">
        <v>5408.4501950000003</v>
      </c>
    </row>
    <row r="694" spans="1:2" x14ac:dyDescent="0.3">
      <c r="A694" s="1">
        <v>41509</v>
      </c>
      <c r="B694" s="2">
        <v>5471.75</v>
      </c>
    </row>
    <row r="695" spans="1:2" x14ac:dyDescent="0.3">
      <c r="A695" s="1">
        <v>41512</v>
      </c>
      <c r="B695" s="2">
        <v>5476.5</v>
      </c>
    </row>
    <row r="696" spans="1:2" x14ac:dyDescent="0.3">
      <c r="A696" s="1">
        <v>41513</v>
      </c>
      <c r="B696" s="2">
        <v>5287.4501950000003</v>
      </c>
    </row>
    <row r="697" spans="1:2" x14ac:dyDescent="0.3">
      <c r="A697" s="1">
        <v>41514</v>
      </c>
      <c r="B697" s="2">
        <v>5285</v>
      </c>
    </row>
    <row r="698" spans="1:2" x14ac:dyDescent="0.3">
      <c r="A698" s="1">
        <v>41515</v>
      </c>
      <c r="B698" s="2">
        <v>5409.0498049999997</v>
      </c>
    </row>
    <row r="699" spans="1:2" x14ac:dyDescent="0.3">
      <c r="A699" s="1">
        <v>41516</v>
      </c>
      <c r="B699" s="2">
        <v>5471.7998049999997</v>
      </c>
    </row>
    <row r="700" spans="1:2" x14ac:dyDescent="0.3">
      <c r="A700" s="1">
        <v>41519</v>
      </c>
      <c r="B700" s="2">
        <v>5550.75</v>
      </c>
    </row>
    <row r="701" spans="1:2" x14ac:dyDescent="0.3">
      <c r="A701" s="1">
        <v>41520</v>
      </c>
      <c r="B701" s="2">
        <v>5341.4501950000003</v>
      </c>
    </row>
    <row r="702" spans="1:2" x14ac:dyDescent="0.3">
      <c r="A702" s="1">
        <v>41521</v>
      </c>
      <c r="B702" s="2">
        <v>5448.1000979999999</v>
      </c>
    </row>
    <row r="703" spans="1:2" x14ac:dyDescent="0.3">
      <c r="A703" s="1">
        <v>41522</v>
      </c>
      <c r="B703" s="2">
        <v>5592.9501950000003</v>
      </c>
    </row>
    <row r="704" spans="1:2" x14ac:dyDescent="0.3">
      <c r="A704" s="1">
        <v>41523</v>
      </c>
      <c r="B704" s="2">
        <v>5680.3999020000001</v>
      </c>
    </row>
    <row r="705" spans="1:2" x14ac:dyDescent="0.3">
      <c r="A705" s="1">
        <v>41527</v>
      </c>
      <c r="B705" s="2">
        <v>5896.75</v>
      </c>
    </row>
    <row r="706" spans="1:2" x14ac:dyDescent="0.3">
      <c r="A706" s="1">
        <v>41528</v>
      </c>
      <c r="B706" s="2">
        <v>5913.1499020000001</v>
      </c>
    </row>
    <row r="707" spans="1:2" x14ac:dyDescent="0.3">
      <c r="A707" s="1">
        <v>41529</v>
      </c>
      <c r="B707" s="2">
        <v>5850.7001950000003</v>
      </c>
    </row>
    <row r="708" spans="1:2" x14ac:dyDescent="0.3">
      <c r="A708" s="1">
        <v>41530</v>
      </c>
      <c r="B708" s="2">
        <v>5850.6000979999999</v>
      </c>
    </row>
    <row r="709" spans="1:2" x14ac:dyDescent="0.3">
      <c r="A709" s="1">
        <v>41533</v>
      </c>
      <c r="B709" s="2">
        <v>5840.5498049999997</v>
      </c>
    </row>
    <row r="710" spans="1:2" x14ac:dyDescent="0.3">
      <c r="A710" s="1">
        <v>41534</v>
      </c>
      <c r="B710" s="2">
        <v>5850.2001950000003</v>
      </c>
    </row>
    <row r="711" spans="1:2" x14ac:dyDescent="0.3">
      <c r="A711" s="1">
        <v>41535</v>
      </c>
      <c r="B711" s="2">
        <v>5899.4501950000003</v>
      </c>
    </row>
    <row r="712" spans="1:2" x14ac:dyDescent="0.3">
      <c r="A712" s="1">
        <v>41536</v>
      </c>
      <c r="B712" s="2">
        <v>6115.5498049999997</v>
      </c>
    </row>
    <row r="713" spans="1:2" x14ac:dyDescent="0.3">
      <c r="A713" s="1">
        <v>41537</v>
      </c>
      <c r="B713" s="2">
        <v>6012.1000979999999</v>
      </c>
    </row>
    <row r="714" spans="1:2" x14ac:dyDescent="0.3">
      <c r="A714" s="1">
        <v>41540</v>
      </c>
      <c r="B714" s="2">
        <v>5889.75</v>
      </c>
    </row>
    <row r="715" spans="1:2" x14ac:dyDescent="0.3">
      <c r="A715" s="1">
        <v>41541</v>
      </c>
      <c r="B715" s="2">
        <v>5892.4501950000003</v>
      </c>
    </row>
    <row r="716" spans="1:2" x14ac:dyDescent="0.3">
      <c r="A716" s="1">
        <v>41542</v>
      </c>
      <c r="B716" s="2">
        <v>5873.8500979999999</v>
      </c>
    </row>
    <row r="717" spans="1:2" x14ac:dyDescent="0.3">
      <c r="A717" s="1">
        <v>41543</v>
      </c>
      <c r="B717" s="2">
        <v>5882.25</v>
      </c>
    </row>
    <row r="718" spans="1:2" x14ac:dyDescent="0.3">
      <c r="A718" s="1">
        <v>41544</v>
      </c>
      <c r="B718" s="2">
        <v>5833.2001950000003</v>
      </c>
    </row>
    <row r="719" spans="1:2" x14ac:dyDescent="0.3">
      <c r="A719" s="1">
        <v>41547</v>
      </c>
      <c r="B719" s="2">
        <v>5735.2998049999997</v>
      </c>
    </row>
    <row r="720" spans="1:2" x14ac:dyDescent="0.3">
      <c r="A720" s="1">
        <v>41548</v>
      </c>
      <c r="B720" s="2">
        <v>5780.0498049999997</v>
      </c>
    </row>
    <row r="721" spans="1:2" x14ac:dyDescent="0.3">
      <c r="A721" s="1">
        <v>41550</v>
      </c>
      <c r="B721" s="2">
        <v>5909.7001950000003</v>
      </c>
    </row>
    <row r="722" spans="1:2" x14ac:dyDescent="0.3">
      <c r="A722" s="1">
        <v>41551</v>
      </c>
      <c r="B722" s="2">
        <v>5907.2998049999997</v>
      </c>
    </row>
    <row r="723" spans="1:2" x14ac:dyDescent="0.3">
      <c r="A723" s="1">
        <v>41554</v>
      </c>
      <c r="B723" s="2">
        <v>5906.1499020000001</v>
      </c>
    </row>
    <row r="724" spans="1:2" x14ac:dyDescent="0.3">
      <c r="A724" s="1">
        <v>41555</v>
      </c>
      <c r="B724" s="2">
        <v>5928.3999020000001</v>
      </c>
    </row>
    <row r="725" spans="1:2" x14ac:dyDescent="0.3">
      <c r="A725" s="1">
        <v>41556</v>
      </c>
      <c r="B725" s="2">
        <v>6007.4501950000003</v>
      </c>
    </row>
    <row r="726" spans="1:2" x14ac:dyDescent="0.3">
      <c r="A726" s="1">
        <v>41557</v>
      </c>
      <c r="B726" s="2">
        <v>6020.9501950000003</v>
      </c>
    </row>
    <row r="727" spans="1:2" x14ac:dyDescent="0.3">
      <c r="A727" s="1">
        <v>41558</v>
      </c>
      <c r="B727" s="2">
        <v>6096.2001950000003</v>
      </c>
    </row>
    <row r="728" spans="1:2" x14ac:dyDescent="0.3">
      <c r="A728" s="1">
        <v>41561</v>
      </c>
      <c r="B728" s="2">
        <v>6112.7001950000003</v>
      </c>
    </row>
    <row r="729" spans="1:2" x14ac:dyDescent="0.3">
      <c r="A729" s="1">
        <v>41562</v>
      </c>
      <c r="B729" s="2">
        <v>6089.0498049999997</v>
      </c>
    </row>
    <row r="730" spans="1:2" x14ac:dyDescent="0.3">
      <c r="A730" s="1">
        <v>41564</v>
      </c>
      <c r="B730" s="2">
        <v>6045.8500979999999</v>
      </c>
    </row>
    <row r="731" spans="1:2" x14ac:dyDescent="0.3">
      <c r="A731" s="1">
        <v>41565</v>
      </c>
      <c r="B731" s="2">
        <v>6189.3500979999999</v>
      </c>
    </row>
    <row r="732" spans="1:2" x14ac:dyDescent="0.3">
      <c r="A732" s="1">
        <v>41568</v>
      </c>
      <c r="B732" s="2">
        <v>6204.9501950000003</v>
      </c>
    </row>
    <row r="733" spans="1:2" x14ac:dyDescent="0.3">
      <c r="A733" s="1">
        <v>41569</v>
      </c>
      <c r="B733" s="2">
        <v>6202.7998049999997</v>
      </c>
    </row>
    <row r="734" spans="1:2" x14ac:dyDescent="0.3">
      <c r="A734" s="1">
        <v>41570</v>
      </c>
      <c r="B734" s="2">
        <v>6178.3500979999999</v>
      </c>
    </row>
    <row r="735" spans="1:2" x14ac:dyDescent="0.3">
      <c r="A735" s="1">
        <v>41571</v>
      </c>
      <c r="B735" s="2">
        <v>6164.3500979999999</v>
      </c>
    </row>
    <row r="736" spans="1:2" x14ac:dyDescent="0.3">
      <c r="A736" s="1">
        <v>41572</v>
      </c>
      <c r="B736" s="2">
        <v>6144.8999020000001</v>
      </c>
    </row>
    <row r="737" spans="1:2" x14ac:dyDescent="0.3">
      <c r="A737" s="1">
        <v>41575</v>
      </c>
      <c r="B737" s="2">
        <v>6101.1000979999999</v>
      </c>
    </row>
    <row r="738" spans="1:2" x14ac:dyDescent="0.3">
      <c r="A738" s="1">
        <v>41576</v>
      </c>
      <c r="B738" s="2">
        <v>6220.8999020000001</v>
      </c>
    </row>
    <row r="739" spans="1:2" x14ac:dyDescent="0.3">
      <c r="A739" s="1">
        <v>41577</v>
      </c>
      <c r="B739" s="2">
        <v>6251.7001950000003</v>
      </c>
    </row>
    <row r="740" spans="1:2" x14ac:dyDescent="0.3">
      <c r="A740" s="1">
        <v>41578</v>
      </c>
      <c r="B740" s="2">
        <v>6299.1499020000001</v>
      </c>
    </row>
    <row r="741" spans="1:2" x14ac:dyDescent="0.3">
      <c r="A741" s="1">
        <v>41579</v>
      </c>
      <c r="B741" s="2">
        <v>6307.2001950000003</v>
      </c>
    </row>
    <row r="742" spans="1:2" x14ac:dyDescent="0.3">
      <c r="A742" s="1">
        <v>41583</v>
      </c>
      <c r="B742" s="2">
        <v>6253.1499020000001</v>
      </c>
    </row>
    <row r="743" spans="1:2" x14ac:dyDescent="0.3">
      <c r="A743" s="1">
        <v>41584</v>
      </c>
      <c r="B743" s="2">
        <v>6215.1499020000001</v>
      </c>
    </row>
    <row r="744" spans="1:2" x14ac:dyDescent="0.3">
      <c r="A744" s="1">
        <v>41585</v>
      </c>
      <c r="B744" s="2">
        <v>6187.25</v>
      </c>
    </row>
    <row r="745" spans="1:2" x14ac:dyDescent="0.3">
      <c r="A745" s="1">
        <v>41586</v>
      </c>
      <c r="B745" s="2">
        <v>6140.75</v>
      </c>
    </row>
    <row r="746" spans="1:2" x14ac:dyDescent="0.3">
      <c r="A746" s="1">
        <v>41589</v>
      </c>
      <c r="B746" s="2">
        <v>6078.7998049999997</v>
      </c>
    </row>
    <row r="747" spans="1:2" x14ac:dyDescent="0.3">
      <c r="A747" s="1">
        <v>41590</v>
      </c>
      <c r="B747" s="2">
        <v>6018.0498049999997</v>
      </c>
    </row>
    <row r="748" spans="1:2" x14ac:dyDescent="0.3">
      <c r="A748" s="1">
        <v>41591</v>
      </c>
      <c r="B748" s="2">
        <v>5989.6000979999999</v>
      </c>
    </row>
    <row r="749" spans="1:2" x14ac:dyDescent="0.3">
      <c r="A749" s="1">
        <v>41592</v>
      </c>
      <c r="B749" s="2">
        <v>6056.1499020000001</v>
      </c>
    </row>
    <row r="750" spans="1:2" x14ac:dyDescent="0.3">
      <c r="A750" s="1">
        <v>41596</v>
      </c>
      <c r="B750" s="2">
        <v>6189</v>
      </c>
    </row>
    <row r="751" spans="1:2" x14ac:dyDescent="0.3">
      <c r="A751" s="1">
        <v>41597</v>
      </c>
      <c r="B751" s="2">
        <v>6203.3500979999999</v>
      </c>
    </row>
    <row r="752" spans="1:2" x14ac:dyDescent="0.3">
      <c r="A752" s="1">
        <v>41598</v>
      </c>
      <c r="B752" s="2">
        <v>6122.8999020000001</v>
      </c>
    </row>
    <row r="753" spans="1:2" x14ac:dyDescent="0.3">
      <c r="A753" s="1">
        <v>41599</v>
      </c>
      <c r="B753" s="2">
        <v>5999.0498049999997</v>
      </c>
    </row>
    <row r="754" spans="1:2" x14ac:dyDescent="0.3">
      <c r="A754" s="1">
        <v>41600</v>
      </c>
      <c r="B754" s="2">
        <v>5995.4501950000003</v>
      </c>
    </row>
    <row r="755" spans="1:2" x14ac:dyDescent="0.3">
      <c r="A755" s="1">
        <v>41603</v>
      </c>
      <c r="B755" s="2">
        <v>6115.3500979999999</v>
      </c>
    </row>
    <row r="756" spans="1:2" x14ac:dyDescent="0.3">
      <c r="A756" s="1">
        <v>41604</v>
      </c>
      <c r="B756" s="2">
        <v>6059.1000979999999</v>
      </c>
    </row>
    <row r="757" spans="1:2" x14ac:dyDescent="0.3">
      <c r="A757" s="1">
        <v>41605</v>
      </c>
      <c r="B757" s="2">
        <v>6057.1000979999999</v>
      </c>
    </row>
    <row r="758" spans="1:2" x14ac:dyDescent="0.3">
      <c r="A758" s="1">
        <v>41606</v>
      </c>
      <c r="B758" s="2">
        <v>6091.8500979999999</v>
      </c>
    </row>
    <row r="759" spans="1:2" x14ac:dyDescent="0.3">
      <c r="A759" s="1">
        <v>41607</v>
      </c>
      <c r="B759" s="2">
        <v>6176.1000979999999</v>
      </c>
    </row>
    <row r="760" spans="1:2" x14ac:dyDescent="0.3">
      <c r="A760" s="1">
        <v>41610</v>
      </c>
      <c r="B760" s="2">
        <v>6217.8500979999999</v>
      </c>
    </row>
    <row r="761" spans="1:2" x14ac:dyDescent="0.3">
      <c r="A761" s="1">
        <v>41611</v>
      </c>
      <c r="B761" s="2">
        <v>6201.8500979999999</v>
      </c>
    </row>
    <row r="762" spans="1:2" x14ac:dyDescent="0.3">
      <c r="A762" s="1">
        <v>41612</v>
      </c>
      <c r="B762" s="2">
        <v>6160.9501950000003</v>
      </c>
    </row>
    <row r="763" spans="1:2" x14ac:dyDescent="0.3">
      <c r="A763" s="1">
        <v>41613</v>
      </c>
      <c r="B763" s="2">
        <v>6241.1000979999999</v>
      </c>
    </row>
    <row r="764" spans="1:2" x14ac:dyDescent="0.3">
      <c r="A764" s="1">
        <v>41614</v>
      </c>
      <c r="B764" s="2">
        <v>6259.8999020000001</v>
      </c>
    </row>
    <row r="765" spans="1:2" x14ac:dyDescent="0.3">
      <c r="A765" s="1">
        <v>41617</v>
      </c>
      <c r="B765" s="2">
        <v>6363.8999020000001</v>
      </c>
    </row>
    <row r="766" spans="1:2" x14ac:dyDescent="0.3">
      <c r="A766" s="1">
        <v>41618</v>
      </c>
      <c r="B766" s="2">
        <v>6332.8500979999999</v>
      </c>
    </row>
    <row r="767" spans="1:2" x14ac:dyDescent="0.3">
      <c r="A767" s="1">
        <v>41619</v>
      </c>
      <c r="B767" s="2">
        <v>6307.8999020000001</v>
      </c>
    </row>
    <row r="768" spans="1:2" x14ac:dyDescent="0.3">
      <c r="A768" s="1">
        <v>41620</v>
      </c>
      <c r="B768" s="2">
        <v>6237.0498049999997</v>
      </c>
    </row>
    <row r="769" spans="1:2" x14ac:dyDescent="0.3">
      <c r="A769" s="1">
        <v>41621</v>
      </c>
      <c r="B769" s="2">
        <v>6168.3999020000001</v>
      </c>
    </row>
    <row r="770" spans="1:2" x14ac:dyDescent="0.3">
      <c r="A770" s="1">
        <v>41624</v>
      </c>
      <c r="B770" s="2">
        <v>6154.7001950000003</v>
      </c>
    </row>
    <row r="771" spans="1:2" x14ac:dyDescent="0.3">
      <c r="A771" s="1">
        <v>41625</v>
      </c>
      <c r="B771" s="2">
        <v>6139.0498049999997</v>
      </c>
    </row>
    <row r="772" spans="1:2" x14ac:dyDescent="0.3">
      <c r="A772" s="1">
        <v>41626</v>
      </c>
      <c r="B772" s="2">
        <v>6217.1499020000001</v>
      </c>
    </row>
    <row r="773" spans="1:2" x14ac:dyDescent="0.3">
      <c r="A773" s="1">
        <v>41627</v>
      </c>
      <c r="B773" s="2">
        <v>6166.6499020000001</v>
      </c>
    </row>
    <row r="774" spans="1:2" x14ac:dyDescent="0.3">
      <c r="A774" s="1">
        <v>41628</v>
      </c>
      <c r="B774" s="2">
        <v>6274.25</v>
      </c>
    </row>
    <row r="775" spans="1:2" x14ac:dyDescent="0.3">
      <c r="A775" s="1">
        <v>41631</v>
      </c>
      <c r="B775" s="2">
        <v>6284.5</v>
      </c>
    </row>
    <row r="776" spans="1:2" x14ac:dyDescent="0.3">
      <c r="A776" s="1">
        <v>41632</v>
      </c>
      <c r="B776" s="2">
        <v>6268.3999020000001</v>
      </c>
    </row>
    <row r="777" spans="1:2" x14ac:dyDescent="0.3">
      <c r="A777" s="1">
        <v>41634</v>
      </c>
      <c r="B777" s="2">
        <v>6278.8999020000001</v>
      </c>
    </row>
    <row r="778" spans="1:2" x14ac:dyDescent="0.3">
      <c r="A778" s="1">
        <v>41635</v>
      </c>
      <c r="B778" s="2">
        <v>6313.7998049999997</v>
      </c>
    </row>
    <row r="779" spans="1:2" x14ac:dyDescent="0.3">
      <c r="A779" s="1">
        <v>41638</v>
      </c>
      <c r="B779" s="2">
        <v>6291.1000979999999</v>
      </c>
    </row>
    <row r="780" spans="1:2" x14ac:dyDescent="0.3">
      <c r="A780" s="1">
        <v>41639</v>
      </c>
      <c r="B780" s="2">
        <v>6304</v>
      </c>
    </row>
    <row r="781" spans="1:2" x14ac:dyDescent="0.3">
      <c r="A781" s="1">
        <v>41641</v>
      </c>
      <c r="B781" s="2">
        <v>6221.1499020000001</v>
      </c>
    </row>
    <row r="782" spans="1:2" x14ac:dyDescent="0.3">
      <c r="A782" s="1">
        <v>41642</v>
      </c>
      <c r="B782" s="2">
        <v>6211.1499020000001</v>
      </c>
    </row>
    <row r="783" spans="1:2" x14ac:dyDescent="0.3">
      <c r="A783" s="1">
        <v>41645</v>
      </c>
      <c r="B783" s="2">
        <v>6191.4501950000003</v>
      </c>
    </row>
    <row r="784" spans="1:2" x14ac:dyDescent="0.3">
      <c r="A784" s="1">
        <v>41646</v>
      </c>
      <c r="B784" s="2">
        <v>6162.25</v>
      </c>
    </row>
    <row r="785" spans="1:2" x14ac:dyDescent="0.3">
      <c r="A785" s="1">
        <v>41647</v>
      </c>
      <c r="B785" s="2">
        <v>6174.6000979999999</v>
      </c>
    </row>
    <row r="786" spans="1:2" x14ac:dyDescent="0.3">
      <c r="A786" s="1">
        <v>41648</v>
      </c>
      <c r="B786" s="2">
        <v>6168.3500979999999</v>
      </c>
    </row>
    <row r="787" spans="1:2" x14ac:dyDescent="0.3">
      <c r="A787" s="1">
        <v>41649</v>
      </c>
      <c r="B787" s="2">
        <v>6171.4501950000003</v>
      </c>
    </row>
    <row r="788" spans="1:2" x14ac:dyDescent="0.3">
      <c r="A788" s="1">
        <v>41652</v>
      </c>
      <c r="B788" s="2">
        <v>6272.75</v>
      </c>
    </row>
    <row r="789" spans="1:2" x14ac:dyDescent="0.3">
      <c r="A789" s="1">
        <v>41653</v>
      </c>
      <c r="B789" s="2">
        <v>6241.8500979999999</v>
      </c>
    </row>
    <row r="790" spans="1:2" x14ac:dyDescent="0.3">
      <c r="A790" s="1">
        <v>41654</v>
      </c>
      <c r="B790" s="2">
        <v>6320.8999020000001</v>
      </c>
    </row>
    <row r="791" spans="1:2" x14ac:dyDescent="0.3">
      <c r="A791" s="1">
        <v>41655</v>
      </c>
      <c r="B791" s="2">
        <v>6318.8999020000001</v>
      </c>
    </row>
    <row r="792" spans="1:2" x14ac:dyDescent="0.3">
      <c r="A792" s="1">
        <v>41656</v>
      </c>
      <c r="B792" s="2">
        <v>6261.6499020000001</v>
      </c>
    </row>
    <row r="793" spans="1:2" x14ac:dyDescent="0.3">
      <c r="A793" s="1">
        <v>41659</v>
      </c>
      <c r="B793" s="2">
        <v>6303.9501950000003</v>
      </c>
    </row>
    <row r="794" spans="1:2" x14ac:dyDescent="0.3">
      <c r="A794" s="1">
        <v>41660</v>
      </c>
      <c r="B794" s="2">
        <v>6313.7998049999997</v>
      </c>
    </row>
    <row r="795" spans="1:2" x14ac:dyDescent="0.3">
      <c r="A795" s="1">
        <v>41661</v>
      </c>
      <c r="B795" s="2">
        <v>6338.9501950000003</v>
      </c>
    </row>
    <row r="796" spans="1:2" x14ac:dyDescent="0.3">
      <c r="A796" s="1">
        <v>41662</v>
      </c>
      <c r="B796" s="2">
        <v>6345.6499020000001</v>
      </c>
    </row>
    <row r="797" spans="1:2" x14ac:dyDescent="0.3">
      <c r="A797" s="1">
        <v>41663</v>
      </c>
      <c r="B797" s="2">
        <v>6266.75</v>
      </c>
    </row>
    <row r="798" spans="1:2" x14ac:dyDescent="0.3">
      <c r="A798" s="1">
        <v>41666</v>
      </c>
      <c r="B798" s="2">
        <v>6135.8500979999999</v>
      </c>
    </row>
    <row r="799" spans="1:2" x14ac:dyDescent="0.3">
      <c r="A799" s="1">
        <v>41667</v>
      </c>
      <c r="B799" s="2">
        <v>6126.25</v>
      </c>
    </row>
    <row r="800" spans="1:2" x14ac:dyDescent="0.3">
      <c r="A800" s="1">
        <v>41668</v>
      </c>
      <c r="B800" s="2">
        <v>6120.25</v>
      </c>
    </row>
    <row r="801" spans="1:2" x14ac:dyDescent="0.3">
      <c r="A801" s="1">
        <v>41669</v>
      </c>
      <c r="B801" s="2">
        <v>6073.7001950000003</v>
      </c>
    </row>
    <row r="802" spans="1:2" x14ac:dyDescent="0.3">
      <c r="A802" s="1">
        <v>41670</v>
      </c>
      <c r="B802" s="2">
        <v>6089.5</v>
      </c>
    </row>
    <row r="803" spans="1:2" x14ac:dyDescent="0.3">
      <c r="A803" s="1">
        <v>41673</v>
      </c>
      <c r="B803" s="2">
        <v>6001.7998049999997</v>
      </c>
    </row>
    <row r="804" spans="1:2" x14ac:dyDescent="0.3">
      <c r="A804" s="1">
        <v>41674</v>
      </c>
      <c r="B804" s="2">
        <v>6000.8999020000001</v>
      </c>
    </row>
    <row r="805" spans="1:2" x14ac:dyDescent="0.3">
      <c r="A805" s="1">
        <v>41675</v>
      </c>
      <c r="B805" s="2">
        <v>6022.3999020000001</v>
      </c>
    </row>
    <row r="806" spans="1:2" x14ac:dyDescent="0.3">
      <c r="A806" s="1">
        <v>41676</v>
      </c>
      <c r="B806" s="2">
        <v>6036.2998049999997</v>
      </c>
    </row>
    <row r="807" spans="1:2" x14ac:dyDescent="0.3">
      <c r="A807" s="1">
        <v>41677</v>
      </c>
      <c r="B807" s="2">
        <v>6063.2001950000003</v>
      </c>
    </row>
    <row r="808" spans="1:2" x14ac:dyDescent="0.3">
      <c r="A808" s="1">
        <v>41680</v>
      </c>
      <c r="B808" s="2">
        <v>6053.4501950000003</v>
      </c>
    </row>
    <row r="809" spans="1:2" x14ac:dyDescent="0.3">
      <c r="A809" s="1">
        <v>41681</v>
      </c>
      <c r="B809" s="2">
        <v>6062.7001950000003</v>
      </c>
    </row>
    <row r="810" spans="1:2" x14ac:dyDescent="0.3">
      <c r="A810" s="1">
        <v>41682</v>
      </c>
      <c r="B810" s="2">
        <v>6084</v>
      </c>
    </row>
    <row r="811" spans="1:2" x14ac:dyDescent="0.3">
      <c r="A811" s="1">
        <v>41683</v>
      </c>
      <c r="B811" s="2">
        <v>6001.1000979999999</v>
      </c>
    </row>
    <row r="812" spans="1:2" x14ac:dyDescent="0.3">
      <c r="A812" s="1">
        <v>41684</v>
      </c>
      <c r="B812" s="2">
        <v>6048.3500979999999</v>
      </c>
    </row>
    <row r="813" spans="1:2" x14ac:dyDescent="0.3">
      <c r="A813" s="1">
        <v>41687</v>
      </c>
      <c r="B813" s="2">
        <v>6073.2998049999997</v>
      </c>
    </row>
    <row r="814" spans="1:2" x14ac:dyDescent="0.3">
      <c r="A814" s="1">
        <v>41688</v>
      </c>
      <c r="B814" s="2">
        <v>6127.1000979999999</v>
      </c>
    </row>
    <row r="815" spans="1:2" x14ac:dyDescent="0.3">
      <c r="A815" s="1">
        <v>41689</v>
      </c>
      <c r="B815" s="2">
        <v>6152.75</v>
      </c>
    </row>
    <row r="816" spans="1:2" x14ac:dyDescent="0.3">
      <c r="A816" s="1">
        <v>41690</v>
      </c>
      <c r="B816" s="2">
        <v>6091.4501950000003</v>
      </c>
    </row>
    <row r="817" spans="1:2" x14ac:dyDescent="0.3">
      <c r="A817" s="1">
        <v>41691</v>
      </c>
      <c r="B817" s="2">
        <v>6155.4501950000003</v>
      </c>
    </row>
    <row r="818" spans="1:2" x14ac:dyDescent="0.3">
      <c r="A818" s="1">
        <v>41694</v>
      </c>
      <c r="B818" s="2">
        <v>6186.1000979999999</v>
      </c>
    </row>
    <row r="819" spans="1:2" x14ac:dyDescent="0.3">
      <c r="A819" s="1">
        <v>41695</v>
      </c>
      <c r="B819" s="2">
        <v>6200.0498049999997</v>
      </c>
    </row>
    <row r="820" spans="1:2" x14ac:dyDescent="0.3">
      <c r="A820" s="1">
        <v>41696</v>
      </c>
      <c r="B820" s="2">
        <v>6238.7998049999997</v>
      </c>
    </row>
    <row r="821" spans="1:2" x14ac:dyDescent="0.3">
      <c r="A821" s="1">
        <v>41698</v>
      </c>
      <c r="B821" s="2">
        <v>6276.9501950000003</v>
      </c>
    </row>
    <row r="822" spans="1:2" x14ac:dyDescent="0.3">
      <c r="A822" s="1">
        <v>41701</v>
      </c>
      <c r="B822" s="2">
        <v>6221.4501950000003</v>
      </c>
    </row>
    <row r="823" spans="1:2" x14ac:dyDescent="0.3">
      <c r="A823" s="1">
        <v>41702</v>
      </c>
      <c r="B823" s="2">
        <v>6297.9501950000003</v>
      </c>
    </row>
    <row r="824" spans="1:2" x14ac:dyDescent="0.3">
      <c r="A824" s="1">
        <v>41703</v>
      </c>
      <c r="B824" s="2">
        <v>6328.6499020000001</v>
      </c>
    </row>
    <row r="825" spans="1:2" x14ac:dyDescent="0.3">
      <c r="A825" s="1">
        <v>41704</v>
      </c>
      <c r="B825" s="2">
        <v>6401.1499020000001</v>
      </c>
    </row>
    <row r="826" spans="1:2" x14ac:dyDescent="0.3">
      <c r="A826" s="1">
        <v>41705</v>
      </c>
      <c r="B826" s="2">
        <v>6526.6499020000001</v>
      </c>
    </row>
    <row r="827" spans="1:2" x14ac:dyDescent="0.3">
      <c r="A827" s="1">
        <v>41708</v>
      </c>
      <c r="B827" s="2">
        <v>6537.25</v>
      </c>
    </row>
    <row r="828" spans="1:2" x14ac:dyDescent="0.3">
      <c r="A828" s="1">
        <v>41709</v>
      </c>
      <c r="B828" s="2">
        <v>6511.8999020000001</v>
      </c>
    </row>
    <row r="829" spans="1:2" x14ac:dyDescent="0.3">
      <c r="A829" s="1">
        <v>41710</v>
      </c>
      <c r="B829" s="2">
        <v>6516.8999020000001</v>
      </c>
    </row>
    <row r="830" spans="1:2" x14ac:dyDescent="0.3">
      <c r="A830" s="1">
        <v>41711</v>
      </c>
      <c r="B830" s="2">
        <v>6493.1000979999999</v>
      </c>
    </row>
    <row r="831" spans="1:2" x14ac:dyDescent="0.3">
      <c r="A831" s="1">
        <v>41712</v>
      </c>
      <c r="B831" s="2">
        <v>6504.2001950000003</v>
      </c>
    </row>
    <row r="832" spans="1:2" x14ac:dyDescent="0.3">
      <c r="A832" s="1">
        <v>41716</v>
      </c>
      <c r="B832" s="2">
        <v>6516.6499020000001</v>
      </c>
    </row>
    <row r="833" spans="1:2" x14ac:dyDescent="0.3">
      <c r="A833" s="1">
        <v>41717</v>
      </c>
      <c r="B833" s="2">
        <v>6524.0498049999997</v>
      </c>
    </row>
    <row r="834" spans="1:2" x14ac:dyDescent="0.3">
      <c r="A834" s="1">
        <v>41718</v>
      </c>
      <c r="B834" s="2">
        <v>6483.1000979999999</v>
      </c>
    </row>
    <row r="835" spans="1:2" x14ac:dyDescent="0.3">
      <c r="A835" s="1">
        <v>41719</v>
      </c>
      <c r="B835" s="2">
        <v>6493.2001950000003</v>
      </c>
    </row>
    <row r="836" spans="1:2" x14ac:dyDescent="0.3">
      <c r="A836" s="1">
        <v>41722</v>
      </c>
      <c r="B836" s="2">
        <v>6583.5</v>
      </c>
    </row>
    <row r="837" spans="1:2" x14ac:dyDescent="0.3">
      <c r="A837" s="1">
        <v>41723</v>
      </c>
      <c r="B837" s="2">
        <v>6589.75</v>
      </c>
    </row>
    <row r="838" spans="1:2" x14ac:dyDescent="0.3">
      <c r="A838" s="1">
        <v>41724</v>
      </c>
      <c r="B838" s="2">
        <v>6601.3999020000001</v>
      </c>
    </row>
    <row r="839" spans="1:2" x14ac:dyDescent="0.3">
      <c r="A839" s="1">
        <v>41725</v>
      </c>
      <c r="B839" s="2">
        <v>6641.75</v>
      </c>
    </row>
    <row r="840" spans="1:2" x14ac:dyDescent="0.3">
      <c r="A840" s="1">
        <v>41726</v>
      </c>
      <c r="B840" s="2">
        <v>6695.8999020000001</v>
      </c>
    </row>
    <row r="841" spans="1:2" x14ac:dyDescent="0.3">
      <c r="A841" s="1">
        <v>41729</v>
      </c>
      <c r="B841" s="2">
        <v>6704.2001950000003</v>
      </c>
    </row>
    <row r="842" spans="1:2" x14ac:dyDescent="0.3">
      <c r="A842" s="1">
        <v>41730</v>
      </c>
      <c r="B842" s="2">
        <v>6721.0498049999997</v>
      </c>
    </row>
    <row r="843" spans="1:2" x14ac:dyDescent="0.3">
      <c r="A843" s="1">
        <v>41731</v>
      </c>
      <c r="B843" s="2">
        <v>6752.5498049999997</v>
      </c>
    </row>
    <row r="844" spans="1:2" x14ac:dyDescent="0.3">
      <c r="A844" s="1">
        <v>41732</v>
      </c>
      <c r="B844" s="2">
        <v>6736.1000979999999</v>
      </c>
    </row>
    <row r="845" spans="1:2" x14ac:dyDescent="0.3">
      <c r="A845" s="1">
        <v>41733</v>
      </c>
      <c r="B845" s="2">
        <v>6694.3500979999999</v>
      </c>
    </row>
    <row r="846" spans="1:2" x14ac:dyDescent="0.3">
      <c r="A846" s="1">
        <v>41736</v>
      </c>
      <c r="B846" s="2">
        <v>6695.0498049999997</v>
      </c>
    </row>
    <row r="847" spans="1:2" x14ac:dyDescent="0.3">
      <c r="A847" s="1">
        <v>41738</v>
      </c>
      <c r="B847" s="2">
        <v>6796.2001950000003</v>
      </c>
    </row>
    <row r="848" spans="1:2" x14ac:dyDescent="0.3">
      <c r="A848" s="1">
        <v>41739</v>
      </c>
      <c r="B848" s="2">
        <v>6796.3999020000001</v>
      </c>
    </row>
    <row r="849" spans="1:2" x14ac:dyDescent="0.3">
      <c r="A849" s="1">
        <v>41740</v>
      </c>
      <c r="B849" s="2">
        <v>6776.2998049999997</v>
      </c>
    </row>
    <row r="850" spans="1:2" x14ac:dyDescent="0.3">
      <c r="A850" s="1">
        <v>41744</v>
      </c>
      <c r="B850" s="2">
        <v>6733.1000979999999</v>
      </c>
    </row>
    <row r="851" spans="1:2" x14ac:dyDescent="0.3">
      <c r="A851" s="1">
        <v>41745</v>
      </c>
      <c r="B851" s="2">
        <v>6675.2998049999997</v>
      </c>
    </row>
    <row r="852" spans="1:2" x14ac:dyDescent="0.3">
      <c r="A852" s="1">
        <v>41746</v>
      </c>
      <c r="B852" s="2">
        <v>6779.3999020000001</v>
      </c>
    </row>
    <row r="853" spans="1:2" x14ac:dyDescent="0.3">
      <c r="A853" s="1">
        <v>41750</v>
      </c>
      <c r="B853" s="2">
        <v>6817.6499020000001</v>
      </c>
    </row>
    <row r="854" spans="1:2" x14ac:dyDescent="0.3">
      <c r="A854" s="1">
        <v>41751</v>
      </c>
      <c r="B854" s="2">
        <v>6815.3500979999999</v>
      </c>
    </row>
    <row r="855" spans="1:2" x14ac:dyDescent="0.3">
      <c r="A855" s="1">
        <v>41752</v>
      </c>
      <c r="B855" s="2">
        <v>6840.7998049999997</v>
      </c>
    </row>
    <row r="856" spans="1:2" x14ac:dyDescent="0.3">
      <c r="A856" s="1">
        <v>41754</v>
      </c>
      <c r="B856" s="2">
        <v>6782.75</v>
      </c>
    </row>
    <row r="857" spans="1:2" x14ac:dyDescent="0.3">
      <c r="A857" s="1">
        <v>41757</v>
      </c>
      <c r="B857" s="2">
        <v>6761.25</v>
      </c>
    </row>
    <row r="858" spans="1:2" x14ac:dyDescent="0.3">
      <c r="A858" s="1">
        <v>41758</v>
      </c>
      <c r="B858" s="2">
        <v>6715.25</v>
      </c>
    </row>
    <row r="859" spans="1:2" x14ac:dyDescent="0.3">
      <c r="A859" s="1">
        <v>41759</v>
      </c>
      <c r="B859" s="2">
        <v>6696.3999020000001</v>
      </c>
    </row>
    <row r="860" spans="1:2" x14ac:dyDescent="0.3">
      <c r="A860" s="1">
        <v>41761</v>
      </c>
      <c r="B860" s="2">
        <v>6694.7998049999997</v>
      </c>
    </row>
    <row r="861" spans="1:2" x14ac:dyDescent="0.3">
      <c r="A861" s="1">
        <v>41764</v>
      </c>
      <c r="B861" s="2">
        <v>6699.3500979999999</v>
      </c>
    </row>
    <row r="862" spans="1:2" x14ac:dyDescent="0.3">
      <c r="A862" s="1">
        <v>41765</v>
      </c>
      <c r="B862" s="2">
        <v>6715.2998049999997</v>
      </c>
    </row>
    <row r="863" spans="1:2" x14ac:dyDescent="0.3">
      <c r="A863" s="1">
        <v>41766</v>
      </c>
      <c r="B863" s="2">
        <v>6652.5498049999997</v>
      </c>
    </row>
    <row r="864" spans="1:2" x14ac:dyDescent="0.3">
      <c r="A864" s="1">
        <v>41767</v>
      </c>
      <c r="B864" s="2">
        <v>6659.8500979999999</v>
      </c>
    </row>
    <row r="865" spans="1:2" x14ac:dyDescent="0.3">
      <c r="A865" s="1">
        <v>41768</v>
      </c>
      <c r="B865" s="2">
        <v>6858.7998049999997</v>
      </c>
    </row>
    <row r="866" spans="1:2" x14ac:dyDescent="0.3">
      <c r="A866" s="1">
        <v>41771</v>
      </c>
      <c r="B866" s="2">
        <v>7014.25</v>
      </c>
    </row>
    <row r="867" spans="1:2" x14ac:dyDescent="0.3">
      <c r="A867" s="1">
        <v>41772</v>
      </c>
      <c r="B867" s="2">
        <v>7108.75</v>
      </c>
    </row>
    <row r="868" spans="1:2" x14ac:dyDescent="0.3">
      <c r="A868" s="1">
        <v>41773</v>
      </c>
      <c r="B868" s="2">
        <v>7108.75</v>
      </c>
    </row>
    <row r="869" spans="1:2" x14ac:dyDescent="0.3">
      <c r="A869" s="1">
        <v>41774</v>
      </c>
      <c r="B869" s="2">
        <v>7123.1499020000001</v>
      </c>
    </row>
    <row r="870" spans="1:2" x14ac:dyDescent="0.3">
      <c r="A870" s="1">
        <v>41775</v>
      </c>
      <c r="B870" s="2">
        <v>7203</v>
      </c>
    </row>
    <row r="871" spans="1:2" x14ac:dyDescent="0.3">
      <c r="A871" s="1">
        <v>41778</v>
      </c>
      <c r="B871" s="2">
        <v>7263.5498049999997</v>
      </c>
    </row>
    <row r="872" spans="1:2" x14ac:dyDescent="0.3">
      <c r="A872" s="1">
        <v>41779</v>
      </c>
      <c r="B872" s="2">
        <v>7275.5</v>
      </c>
    </row>
    <row r="873" spans="1:2" x14ac:dyDescent="0.3">
      <c r="A873" s="1">
        <v>41780</v>
      </c>
      <c r="B873" s="2">
        <v>7252.8999020000001</v>
      </c>
    </row>
    <row r="874" spans="1:2" x14ac:dyDescent="0.3">
      <c r="A874" s="1">
        <v>41781</v>
      </c>
      <c r="B874" s="2">
        <v>7276.3999020000001</v>
      </c>
    </row>
    <row r="875" spans="1:2" x14ac:dyDescent="0.3">
      <c r="A875" s="1">
        <v>41782</v>
      </c>
      <c r="B875" s="2">
        <v>7367.1000979999999</v>
      </c>
    </row>
    <row r="876" spans="1:2" x14ac:dyDescent="0.3">
      <c r="A876" s="1">
        <v>41785</v>
      </c>
      <c r="B876" s="2">
        <v>7359.0498049999997</v>
      </c>
    </row>
    <row r="877" spans="1:2" x14ac:dyDescent="0.3">
      <c r="A877" s="1">
        <v>41786</v>
      </c>
      <c r="B877" s="2">
        <v>7318</v>
      </c>
    </row>
    <row r="878" spans="1:2" x14ac:dyDescent="0.3">
      <c r="A878" s="1">
        <v>41787</v>
      </c>
      <c r="B878" s="2">
        <v>7329.6499020000001</v>
      </c>
    </row>
    <row r="879" spans="1:2" x14ac:dyDescent="0.3">
      <c r="A879" s="1">
        <v>41788</v>
      </c>
      <c r="B879" s="2">
        <v>7235.6499020000001</v>
      </c>
    </row>
    <row r="880" spans="1:2" x14ac:dyDescent="0.3">
      <c r="A880" s="1">
        <v>41789</v>
      </c>
      <c r="B880" s="2">
        <v>7229.9501950000003</v>
      </c>
    </row>
    <row r="881" spans="1:2" x14ac:dyDescent="0.3">
      <c r="A881" s="1">
        <v>41792</v>
      </c>
      <c r="B881" s="2">
        <v>7362.5</v>
      </c>
    </row>
    <row r="882" spans="1:2" x14ac:dyDescent="0.3">
      <c r="A882" s="1">
        <v>41793</v>
      </c>
      <c r="B882" s="2">
        <v>7415.8500979999999</v>
      </c>
    </row>
    <row r="883" spans="1:2" x14ac:dyDescent="0.3">
      <c r="A883" s="1">
        <v>41794</v>
      </c>
      <c r="B883" s="2">
        <v>7402.25</v>
      </c>
    </row>
    <row r="884" spans="1:2" x14ac:dyDescent="0.3">
      <c r="A884" s="1">
        <v>41795</v>
      </c>
      <c r="B884" s="2">
        <v>7474.1000979999999</v>
      </c>
    </row>
    <row r="885" spans="1:2" x14ac:dyDescent="0.3">
      <c r="A885" s="1">
        <v>41796</v>
      </c>
      <c r="B885" s="2">
        <v>7583.3999020000001</v>
      </c>
    </row>
    <row r="886" spans="1:2" x14ac:dyDescent="0.3">
      <c r="A886" s="1">
        <v>41799</v>
      </c>
      <c r="B886" s="2">
        <v>7654.6000979999999</v>
      </c>
    </row>
    <row r="887" spans="1:2" x14ac:dyDescent="0.3">
      <c r="A887" s="1">
        <v>41800</v>
      </c>
      <c r="B887" s="2">
        <v>7656.3999020000001</v>
      </c>
    </row>
    <row r="888" spans="1:2" x14ac:dyDescent="0.3">
      <c r="A888" s="1">
        <v>41801</v>
      </c>
      <c r="B888" s="2">
        <v>7626.8500979999999</v>
      </c>
    </row>
    <row r="889" spans="1:2" x14ac:dyDescent="0.3">
      <c r="A889" s="1">
        <v>41802</v>
      </c>
      <c r="B889" s="2">
        <v>7649.8999020000001</v>
      </c>
    </row>
    <row r="890" spans="1:2" x14ac:dyDescent="0.3">
      <c r="A890" s="1">
        <v>41803</v>
      </c>
      <c r="B890" s="2">
        <v>7542.1000979999999</v>
      </c>
    </row>
    <row r="891" spans="1:2" x14ac:dyDescent="0.3">
      <c r="A891" s="1">
        <v>41806</v>
      </c>
      <c r="B891" s="2">
        <v>7533.5498049999997</v>
      </c>
    </row>
    <row r="892" spans="1:2" x14ac:dyDescent="0.3">
      <c r="A892" s="1">
        <v>41807</v>
      </c>
      <c r="B892" s="2">
        <v>7631.7001950000003</v>
      </c>
    </row>
    <row r="893" spans="1:2" x14ac:dyDescent="0.3">
      <c r="A893" s="1">
        <v>41808</v>
      </c>
      <c r="B893" s="2">
        <v>7558.2001950000003</v>
      </c>
    </row>
    <row r="894" spans="1:2" x14ac:dyDescent="0.3">
      <c r="A894" s="1">
        <v>41809</v>
      </c>
      <c r="B894" s="2">
        <v>7540.7001950000003</v>
      </c>
    </row>
    <row r="895" spans="1:2" x14ac:dyDescent="0.3">
      <c r="A895" s="1">
        <v>41810</v>
      </c>
      <c r="B895" s="2">
        <v>7511.4501950000003</v>
      </c>
    </row>
    <row r="896" spans="1:2" x14ac:dyDescent="0.3">
      <c r="A896" s="1">
        <v>41813</v>
      </c>
      <c r="B896" s="2">
        <v>7493.3500979999999</v>
      </c>
    </row>
    <row r="897" spans="1:2" x14ac:dyDescent="0.3">
      <c r="A897" s="1">
        <v>41814</v>
      </c>
      <c r="B897" s="2">
        <v>7580.2001950000003</v>
      </c>
    </row>
    <row r="898" spans="1:2" x14ac:dyDescent="0.3">
      <c r="A898" s="1">
        <v>41815</v>
      </c>
      <c r="B898" s="2">
        <v>7569.25</v>
      </c>
    </row>
    <row r="899" spans="1:2" x14ac:dyDescent="0.3">
      <c r="A899" s="1">
        <v>41816</v>
      </c>
      <c r="B899" s="2">
        <v>7493.2001950000003</v>
      </c>
    </row>
    <row r="900" spans="1:2" x14ac:dyDescent="0.3">
      <c r="A900" s="1">
        <v>41817</v>
      </c>
      <c r="B900" s="2">
        <v>7508.7998049999997</v>
      </c>
    </row>
    <row r="901" spans="1:2" x14ac:dyDescent="0.3">
      <c r="A901" s="1">
        <v>41820</v>
      </c>
      <c r="B901" s="2">
        <v>7611.3500979999999</v>
      </c>
    </row>
    <row r="902" spans="1:2" x14ac:dyDescent="0.3">
      <c r="A902" s="1">
        <v>41821</v>
      </c>
      <c r="B902" s="2">
        <v>7634.7001950000003</v>
      </c>
    </row>
    <row r="903" spans="1:2" x14ac:dyDescent="0.3">
      <c r="A903" s="1">
        <v>41822</v>
      </c>
      <c r="B903" s="2">
        <v>7725.1499020000001</v>
      </c>
    </row>
    <row r="904" spans="1:2" x14ac:dyDescent="0.3">
      <c r="A904" s="1">
        <v>41823</v>
      </c>
      <c r="B904" s="2">
        <v>7714.7998049999997</v>
      </c>
    </row>
    <row r="905" spans="1:2" x14ac:dyDescent="0.3">
      <c r="A905" s="1">
        <v>41824</v>
      </c>
      <c r="B905" s="2">
        <v>7751.6000979999999</v>
      </c>
    </row>
    <row r="906" spans="1:2" x14ac:dyDescent="0.3">
      <c r="A906" s="1">
        <v>41827</v>
      </c>
      <c r="B906" s="2">
        <v>7787.1499020000001</v>
      </c>
    </row>
    <row r="907" spans="1:2" x14ac:dyDescent="0.3">
      <c r="A907" s="1">
        <v>41828</v>
      </c>
      <c r="B907" s="2">
        <v>7623.2001950000003</v>
      </c>
    </row>
    <row r="908" spans="1:2" x14ac:dyDescent="0.3">
      <c r="A908" s="1">
        <v>41829</v>
      </c>
      <c r="B908" s="2">
        <v>7585</v>
      </c>
    </row>
    <row r="909" spans="1:2" x14ac:dyDescent="0.3">
      <c r="A909" s="1">
        <v>41830</v>
      </c>
      <c r="B909" s="2">
        <v>7567.75</v>
      </c>
    </row>
    <row r="910" spans="1:2" x14ac:dyDescent="0.3">
      <c r="A910" s="1">
        <v>41831</v>
      </c>
      <c r="B910" s="2">
        <v>7459.6000979999999</v>
      </c>
    </row>
    <row r="911" spans="1:2" x14ac:dyDescent="0.3">
      <c r="A911" s="1">
        <v>41834</v>
      </c>
      <c r="B911" s="2">
        <v>7454.1499020000001</v>
      </c>
    </row>
    <row r="912" spans="1:2" x14ac:dyDescent="0.3">
      <c r="A912" s="1">
        <v>41835</v>
      </c>
      <c r="B912" s="2">
        <v>7526.6499020000001</v>
      </c>
    </row>
    <row r="913" spans="1:2" x14ac:dyDescent="0.3">
      <c r="A913" s="1">
        <v>41836</v>
      </c>
      <c r="B913" s="2">
        <v>7624.3999020000001</v>
      </c>
    </row>
    <row r="914" spans="1:2" x14ac:dyDescent="0.3">
      <c r="A914" s="1">
        <v>41837</v>
      </c>
      <c r="B914" s="2">
        <v>7640.4501950000003</v>
      </c>
    </row>
    <row r="915" spans="1:2" x14ac:dyDescent="0.3">
      <c r="A915" s="1">
        <v>41838</v>
      </c>
      <c r="B915" s="2">
        <v>7663.8999020000001</v>
      </c>
    </row>
    <row r="916" spans="1:2" x14ac:dyDescent="0.3">
      <c r="A916" s="1">
        <v>41841</v>
      </c>
      <c r="B916" s="2">
        <v>7684.2001950000003</v>
      </c>
    </row>
    <row r="917" spans="1:2" x14ac:dyDescent="0.3">
      <c r="A917" s="1">
        <v>41842</v>
      </c>
      <c r="B917" s="2">
        <v>7767.8500979999999</v>
      </c>
    </row>
    <row r="918" spans="1:2" x14ac:dyDescent="0.3">
      <c r="A918" s="1">
        <v>41843</v>
      </c>
      <c r="B918" s="2">
        <v>7795.75</v>
      </c>
    </row>
    <row r="919" spans="1:2" x14ac:dyDescent="0.3">
      <c r="A919" s="1">
        <v>41844</v>
      </c>
      <c r="B919" s="2">
        <v>7830.6000979999999</v>
      </c>
    </row>
    <row r="920" spans="1:2" x14ac:dyDescent="0.3">
      <c r="A920" s="1">
        <v>41845</v>
      </c>
      <c r="B920" s="2">
        <v>7790.4501950000003</v>
      </c>
    </row>
    <row r="921" spans="1:2" x14ac:dyDescent="0.3">
      <c r="A921" s="1">
        <v>41848</v>
      </c>
      <c r="B921" s="2">
        <v>7748.7001950000003</v>
      </c>
    </row>
    <row r="922" spans="1:2" x14ac:dyDescent="0.3">
      <c r="A922" s="1">
        <v>41850</v>
      </c>
      <c r="B922" s="2">
        <v>7791.3999020000001</v>
      </c>
    </row>
    <row r="923" spans="1:2" x14ac:dyDescent="0.3">
      <c r="A923" s="1">
        <v>41851</v>
      </c>
      <c r="B923" s="2">
        <v>7721.2998049999997</v>
      </c>
    </row>
    <row r="924" spans="1:2" x14ac:dyDescent="0.3">
      <c r="A924" s="1">
        <v>41852</v>
      </c>
      <c r="B924" s="2">
        <v>7602.6000979999999</v>
      </c>
    </row>
    <row r="925" spans="1:2" x14ac:dyDescent="0.3">
      <c r="A925" s="1">
        <v>41855</v>
      </c>
      <c r="B925" s="2">
        <v>7683.6499020000001</v>
      </c>
    </row>
    <row r="926" spans="1:2" x14ac:dyDescent="0.3">
      <c r="A926" s="1">
        <v>41856</v>
      </c>
      <c r="B926" s="2">
        <v>7746.5498049999997</v>
      </c>
    </row>
    <row r="927" spans="1:2" x14ac:dyDescent="0.3">
      <c r="A927" s="1">
        <v>41857</v>
      </c>
      <c r="B927" s="2">
        <v>7672.0498049999997</v>
      </c>
    </row>
    <row r="928" spans="1:2" x14ac:dyDescent="0.3">
      <c r="A928" s="1">
        <v>41858</v>
      </c>
      <c r="B928" s="2">
        <v>7649.25</v>
      </c>
    </row>
    <row r="929" spans="1:2" x14ac:dyDescent="0.3">
      <c r="A929" s="1">
        <v>41859</v>
      </c>
      <c r="B929" s="2">
        <v>7568.5498049999997</v>
      </c>
    </row>
    <row r="930" spans="1:2" x14ac:dyDescent="0.3">
      <c r="A930" s="1">
        <v>41862</v>
      </c>
      <c r="B930" s="2">
        <v>7625.9501950000003</v>
      </c>
    </row>
    <row r="931" spans="1:2" x14ac:dyDescent="0.3">
      <c r="A931" s="1">
        <v>41863</v>
      </c>
      <c r="B931" s="2">
        <v>7727.0498049999997</v>
      </c>
    </row>
    <row r="932" spans="1:2" x14ac:dyDescent="0.3">
      <c r="A932" s="1">
        <v>41864</v>
      </c>
      <c r="B932" s="2">
        <v>7739.5498049999997</v>
      </c>
    </row>
    <row r="933" spans="1:2" x14ac:dyDescent="0.3">
      <c r="A933" s="1">
        <v>41865</v>
      </c>
      <c r="B933" s="2">
        <v>7791.7001950000003</v>
      </c>
    </row>
    <row r="934" spans="1:2" x14ac:dyDescent="0.3">
      <c r="A934" s="1">
        <v>41869</v>
      </c>
      <c r="B934" s="2">
        <v>7874.25</v>
      </c>
    </row>
    <row r="935" spans="1:2" x14ac:dyDescent="0.3">
      <c r="A935" s="1">
        <v>41870</v>
      </c>
      <c r="B935" s="2">
        <v>7897.5</v>
      </c>
    </row>
    <row r="936" spans="1:2" x14ac:dyDescent="0.3">
      <c r="A936" s="1">
        <v>41871</v>
      </c>
      <c r="B936" s="2">
        <v>7875.2998049999997</v>
      </c>
    </row>
    <row r="937" spans="1:2" x14ac:dyDescent="0.3">
      <c r="A937" s="1">
        <v>41872</v>
      </c>
      <c r="B937" s="2">
        <v>7891.1000979999999</v>
      </c>
    </row>
    <row r="938" spans="1:2" x14ac:dyDescent="0.3">
      <c r="A938" s="1">
        <v>41873</v>
      </c>
      <c r="B938" s="2">
        <v>7913.2001950000003</v>
      </c>
    </row>
    <row r="939" spans="1:2" x14ac:dyDescent="0.3">
      <c r="A939" s="1">
        <v>41876</v>
      </c>
      <c r="B939" s="2">
        <v>7906.2998049999997</v>
      </c>
    </row>
    <row r="940" spans="1:2" x14ac:dyDescent="0.3">
      <c r="A940" s="1">
        <v>41877</v>
      </c>
      <c r="B940" s="2">
        <v>7904.75</v>
      </c>
    </row>
    <row r="941" spans="1:2" x14ac:dyDescent="0.3">
      <c r="A941" s="1">
        <v>41878</v>
      </c>
      <c r="B941" s="2">
        <v>7936.0498049999997</v>
      </c>
    </row>
    <row r="942" spans="1:2" x14ac:dyDescent="0.3">
      <c r="A942" s="1">
        <v>41879</v>
      </c>
      <c r="B942" s="2">
        <v>7954.3500979999999</v>
      </c>
    </row>
    <row r="943" spans="1:2" x14ac:dyDescent="0.3">
      <c r="A943" s="1">
        <v>41883</v>
      </c>
      <c r="B943" s="2">
        <v>8027.7001950000003</v>
      </c>
    </row>
    <row r="944" spans="1:2" x14ac:dyDescent="0.3">
      <c r="A944" s="1">
        <v>41884</v>
      </c>
      <c r="B944" s="2">
        <v>8083.0498049999997</v>
      </c>
    </row>
    <row r="945" spans="1:2" x14ac:dyDescent="0.3">
      <c r="A945" s="1">
        <v>41885</v>
      </c>
      <c r="B945" s="2">
        <v>8114.6000979999999</v>
      </c>
    </row>
    <row r="946" spans="1:2" x14ac:dyDescent="0.3">
      <c r="A946" s="1">
        <v>41886</v>
      </c>
      <c r="B946" s="2">
        <v>8095.9501950000003</v>
      </c>
    </row>
    <row r="947" spans="1:2" x14ac:dyDescent="0.3">
      <c r="A947" s="1">
        <v>41887</v>
      </c>
      <c r="B947" s="2">
        <v>8086.8500979999999</v>
      </c>
    </row>
    <row r="948" spans="1:2" x14ac:dyDescent="0.3">
      <c r="A948" s="1">
        <v>41890</v>
      </c>
      <c r="B948" s="2">
        <v>8173.8999020000001</v>
      </c>
    </row>
    <row r="949" spans="1:2" x14ac:dyDescent="0.3">
      <c r="A949" s="1">
        <v>41891</v>
      </c>
      <c r="B949" s="2">
        <v>8152.9501950000003</v>
      </c>
    </row>
    <row r="950" spans="1:2" x14ac:dyDescent="0.3">
      <c r="A950" s="1">
        <v>41892</v>
      </c>
      <c r="B950" s="2">
        <v>8094.1000979999999</v>
      </c>
    </row>
    <row r="951" spans="1:2" x14ac:dyDescent="0.3">
      <c r="A951" s="1">
        <v>41893</v>
      </c>
      <c r="B951" s="2">
        <v>8085.7001950000003</v>
      </c>
    </row>
    <row r="952" spans="1:2" x14ac:dyDescent="0.3">
      <c r="A952" s="1">
        <v>41894</v>
      </c>
      <c r="B952" s="2">
        <v>8105.5</v>
      </c>
    </row>
    <row r="953" spans="1:2" x14ac:dyDescent="0.3">
      <c r="A953" s="1">
        <v>41897</v>
      </c>
      <c r="B953" s="2">
        <v>8042</v>
      </c>
    </row>
    <row r="954" spans="1:2" x14ac:dyDescent="0.3">
      <c r="A954" s="1">
        <v>41898</v>
      </c>
      <c r="B954" s="2">
        <v>7932.8999020000001</v>
      </c>
    </row>
    <row r="955" spans="1:2" x14ac:dyDescent="0.3">
      <c r="A955" s="1">
        <v>41899</v>
      </c>
      <c r="B955" s="2">
        <v>7975.5</v>
      </c>
    </row>
    <row r="956" spans="1:2" x14ac:dyDescent="0.3">
      <c r="A956" s="1">
        <v>41900</v>
      </c>
      <c r="B956" s="2">
        <v>8114.75</v>
      </c>
    </row>
    <row r="957" spans="1:2" x14ac:dyDescent="0.3">
      <c r="A957" s="1">
        <v>41901</v>
      </c>
      <c r="B957" s="2">
        <v>8121.4501950000003</v>
      </c>
    </row>
    <row r="958" spans="1:2" x14ac:dyDescent="0.3">
      <c r="A958" s="1">
        <v>41904</v>
      </c>
      <c r="B958" s="2">
        <v>8146.2998049999997</v>
      </c>
    </row>
    <row r="959" spans="1:2" x14ac:dyDescent="0.3">
      <c r="A959" s="1">
        <v>41905</v>
      </c>
      <c r="B959" s="2">
        <v>8017.5498049999997</v>
      </c>
    </row>
    <row r="960" spans="1:2" x14ac:dyDescent="0.3">
      <c r="A960" s="1">
        <v>41906</v>
      </c>
      <c r="B960" s="2">
        <v>8002.3999020000001</v>
      </c>
    </row>
    <row r="961" spans="1:2" x14ac:dyDescent="0.3">
      <c r="A961" s="1">
        <v>41907</v>
      </c>
      <c r="B961" s="2">
        <v>7911.8500979999999</v>
      </c>
    </row>
    <row r="962" spans="1:2" x14ac:dyDescent="0.3">
      <c r="A962" s="1">
        <v>41908</v>
      </c>
      <c r="B962" s="2">
        <v>7968.8500979999999</v>
      </c>
    </row>
    <row r="963" spans="1:2" x14ac:dyDescent="0.3">
      <c r="A963" s="1">
        <v>41911</v>
      </c>
      <c r="B963" s="2">
        <v>7958.8999020000001</v>
      </c>
    </row>
    <row r="964" spans="1:2" x14ac:dyDescent="0.3">
      <c r="A964" s="1">
        <v>41912</v>
      </c>
      <c r="B964" s="2">
        <v>7964.7998049999997</v>
      </c>
    </row>
    <row r="965" spans="1:2" x14ac:dyDescent="0.3">
      <c r="A965" s="1">
        <v>41913</v>
      </c>
      <c r="B965" s="2">
        <v>7945.5498049999997</v>
      </c>
    </row>
    <row r="966" spans="1:2" x14ac:dyDescent="0.3">
      <c r="A966" s="1">
        <v>41919</v>
      </c>
      <c r="B966" s="2">
        <v>7852.3999020000001</v>
      </c>
    </row>
    <row r="967" spans="1:2" x14ac:dyDescent="0.3">
      <c r="A967" s="1">
        <v>41920</v>
      </c>
      <c r="B967" s="2">
        <v>7842.7001950000003</v>
      </c>
    </row>
    <row r="968" spans="1:2" x14ac:dyDescent="0.3">
      <c r="A968" s="1">
        <v>41921</v>
      </c>
      <c r="B968" s="2">
        <v>7960.5498049999997</v>
      </c>
    </row>
    <row r="969" spans="1:2" x14ac:dyDescent="0.3">
      <c r="A969" s="1">
        <v>41922</v>
      </c>
      <c r="B969" s="2">
        <v>7859.9501950000003</v>
      </c>
    </row>
    <row r="970" spans="1:2" x14ac:dyDescent="0.3">
      <c r="A970" s="1">
        <v>41925</v>
      </c>
      <c r="B970" s="2">
        <v>7884.25</v>
      </c>
    </row>
    <row r="971" spans="1:2" x14ac:dyDescent="0.3">
      <c r="A971" s="1">
        <v>41926</v>
      </c>
      <c r="B971" s="2">
        <v>7864</v>
      </c>
    </row>
    <row r="972" spans="1:2" x14ac:dyDescent="0.3">
      <c r="A972" s="1">
        <v>41928</v>
      </c>
      <c r="B972" s="2">
        <v>7748.2001950000003</v>
      </c>
    </row>
    <row r="973" spans="1:2" x14ac:dyDescent="0.3">
      <c r="A973" s="1">
        <v>41929</v>
      </c>
      <c r="B973" s="2">
        <v>7779.7001950000003</v>
      </c>
    </row>
    <row r="974" spans="1:2" x14ac:dyDescent="0.3">
      <c r="A974" s="1">
        <v>41932</v>
      </c>
      <c r="B974" s="2">
        <v>7879.3999020000001</v>
      </c>
    </row>
    <row r="975" spans="1:2" x14ac:dyDescent="0.3">
      <c r="A975" s="1">
        <v>41933</v>
      </c>
      <c r="B975" s="2">
        <v>7927.75</v>
      </c>
    </row>
    <row r="976" spans="1:2" x14ac:dyDescent="0.3">
      <c r="A976" s="1">
        <v>41934</v>
      </c>
      <c r="B976" s="2">
        <v>7995.8999020000001</v>
      </c>
    </row>
    <row r="977" spans="1:2" x14ac:dyDescent="0.3">
      <c r="A977" s="1">
        <v>41939</v>
      </c>
      <c r="B977" s="2">
        <v>7991.7001950000003</v>
      </c>
    </row>
    <row r="978" spans="1:2" x14ac:dyDescent="0.3">
      <c r="A978" s="1">
        <v>41940</v>
      </c>
      <c r="B978" s="2">
        <v>8027.6000979999999</v>
      </c>
    </row>
    <row r="979" spans="1:2" x14ac:dyDescent="0.3">
      <c r="A979" s="1">
        <v>41941</v>
      </c>
      <c r="B979" s="2">
        <v>8090.4501950000003</v>
      </c>
    </row>
    <row r="980" spans="1:2" x14ac:dyDescent="0.3">
      <c r="A980" s="1">
        <v>41942</v>
      </c>
      <c r="B980" s="2">
        <v>8169.2001950000003</v>
      </c>
    </row>
    <row r="981" spans="1:2" x14ac:dyDescent="0.3">
      <c r="A981" s="1">
        <v>41943</v>
      </c>
      <c r="B981" s="2">
        <v>8322.2001949999994</v>
      </c>
    </row>
    <row r="982" spans="1:2" x14ac:dyDescent="0.3">
      <c r="A982" s="1">
        <v>41946</v>
      </c>
      <c r="B982" s="2">
        <v>8324.1503909999992</v>
      </c>
    </row>
    <row r="983" spans="1:2" x14ac:dyDescent="0.3">
      <c r="A983" s="1">
        <v>41948</v>
      </c>
      <c r="B983" s="2">
        <v>8338.2998050000006</v>
      </c>
    </row>
    <row r="984" spans="1:2" x14ac:dyDescent="0.3">
      <c r="A984" s="1">
        <v>41950</v>
      </c>
      <c r="B984" s="2">
        <v>8337</v>
      </c>
    </row>
    <row r="985" spans="1:2" x14ac:dyDescent="0.3">
      <c r="A985" s="1">
        <v>41953</v>
      </c>
      <c r="B985" s="2">
        <v>8344.25</v>
      </c>
    </row>
    <row r="986" spans="1:2" x14ac:dyDescent="0.3">
      <c r="A986" s="1">
        <v>41954</v>
      </c>
      <c r="B986" s="2">
        <v>8362.6503909999992</v>
      </c>
    </row>
    <row r="987" spans="1:2" x14ac:dyDescent="0.3">
      <c r="A987" s="1">
        <v>41955</v>
      </c>
      <c r="B987" s="2">
        <v>8383.2998050000006</v>
      </c>
    </row>
    <row r="988" spans="1:2" x14ac:dyDescent="0.3">
      <c r="A988" s="1">
        <v>41956</v>
      </c>
      <c r="B988" s="2">
        <v>8357.8496090000008</v>
      </c>
    </row>
    <row r="989" spans="1:2" x14ac:dyDescent="0.3">
      <c r="A989" s="1">
        <v>41957</v>
      </c>
      <c r="B989" s="2">
        <v>8389.9003909999992</v>
      </c>
    </row>
    <row r="990" spans="1:2" x14ac:dyDescent="0.3">
      <c r="A990" s="1">
        <v>41960</v>
      </c>
      <c r="B990" s="2">
        <v>8430.75</v>
      </c>
    </row>
    <row r="991" spans="1:2" x14ac:dyDescent="0.3">
      <c r="A991" s="1">
        <v>41961</v>
      </c>
      <c r="B991" s="2">
        <v>8425.9003909999992</v>
      </c>
    </row>
    <row r="992" spans="1:2" x14ac:dyDescent="0.3">
      <c r="A992" s="1">
        <v>41962</v>
      </c>
      <c r="B992" s="2">
        <v>8382.2998050000006</v>
      </c>
    </row>
    <row r="993" spans="1:2" x14ac:dyDescent="0.3">
      <c r="A993" s="1">
        <v>41963</v>
      </c>
      <c r="B993" s="2">
        <v>8401.9003909999992</v>
      </c>
    </row>
    <row r="994" spans="1:2" x14ac:dyDescent="0.3">
      <c r="A994" s="1">
        <v>41964</v>
      </c>
      <c r="B994" s="2">
        <v>8477.3496090000008</v>
      </c>
    </row>
    <row r="995" spans="1:2" x14ac:dyDescent="0.3">
      <c r="A995" s="1">
        <v>41967</v>
      </c>
      <c r="B995" s="2">
        <v>8530.1503909999992</v>
      </c>
    </row>
    <row r="996" spans="1:2" x14ac:dyDescent="0.3">
      <c r="A996" s="1">
        <v>41968</v>
      </c>
      <c r="B996" s="2">
        <v>8463.0996090000008</v>
      </c>
    </row>
    <row r="997" spans="1:2" x14ac:dyDescent="0.3">
      <c r="A997" s="1">
        <v>41969</v>
      </c>
      <c r="B997" s="2">
        <v>8475.75</v>
      </c>
    </row>
    <row r="998" spans="1:2" x14ac:dyDescent="0.3">
      <c r="A998" s="1">
        <v>41970</v>
      </c>
      <c r="B998" s="2">
        <v>8494.2001949999994</v>
      </c>
    </row>
    <row r="999" spans="1:2" x14ac:dyDescent="0.3">
      <c r="A999" s="1">
        <v>41971</v>
      </c>
      <c r="B999" s="2">
        <v>8588.25</v>
      </c>
    </row>
    <row r="1000" spans="1:2" x14ac:dyDescent="0.3">
      <c r="A1000" s="1">
        <v>41974</v>
      </c>
      <c r="B1000" s="2">
        <v>8555.9003909999992</v>
      </c>
    </row>
    <row r="1001" spans="1:2" x14ac:dyDescent="0.3">
      <c r="A1001" s="1">
        <v>41975</v>
      </c>
      <c r="B1001" s="2">
        <v>8524.7001949999994</v>
      </c>
    </row>
    <row r="1002" spans="1:2" x14ac:dyDescent="0.3">
      <c r="A1002" s="1">
        <v>41976</v>
      </c>
      <c r="B1002" s="2">
        <v>8537.6503909999992</v>
      </c>
    </row>
    <row r="1003" spans="1:2" x14ac:dyDescent="0.3">
      <c r="A1003" s="1">
        <v>41977</v>
      </c>
      <c r="B1003" s="2">
        <v>8564.4003909999992</v>
      </c>
    </row>
    <row r="1004" spans="1:2" x14ac:dyDescent="0.3">
      <c r="A1004" s="1">
        <v>41978</v>
      </c>
      <c r="B1004" s="2">
        <v>8538.2998050000006</v>
      </c>
    </row>
    <row r="1005" spans="1:2" x14ac:dyDescent="0.3">
      <c r="A1005" s="1">
        <v>41981</v>
      </c>
      <c r="B1005" s="2">
        <v>8438.25</v>
      </c>
    </row>
    <row r="1006" spans="1:2" x14ac:dyDescent="0.3">
      <c r="A1006" s="1">
        <v>41982</v>
      </c>
      <c r="B1006" s="2">
        <v>8340.7001949999994</v>
      </c>
    </row>
    <row r="1007" spans="1:2" x14ac:dyDescent="0.3">
      <c r="A1007" s="1">
        <v>41983</v>
      </c>
      <c r="B1007" s="2">
        <v>8355.6503909999992</v>
      </c>
    </row>
    <row r="1008" spans="1:2" x14ac:dyDescent="0.3">
      <c r="A1008" s="1">
        <v>41984</v>
      </c>
      <c r="B1008" s="2">
        <v>8292.9003909999992</v>
      </c>
    </row>
    <row r="1009" spans="1:2" x14ac:dyDescent="0.3">
      <c r="A1009" s="1">
        <v>41985</v>
      </c>
      <c r="B1009" s="2">
        <v>8224.0996090000008</v>
      </c>
    </row>
    <row r="1010" spans="1:2" x14ac:dyDescent="0.3">
      <c r="A1010" s="1">
        <v>41988</v>
      </c>
      <c r="B1010" s="2">
        <v>8219.5996090000008</v>
      </c>
    </row>
    <row r="1011" spans="1:2" x14ac:dyDescent="0.3">
      <c r="A1011" s="1">
        <v>41989</v>
      </c>
      <c r="B1011" s="2">
        <v>8067.6000979999999</v>
      </c>
    </row>
    <row r="1012" spans="1:2" x14ac:dyDescent="0.3">
      <c r="A1012" s="1">
        <v>41990</v>
      </c>
      <c r="B1012" s="2">
        <v>8029.7998049999997</v>
      </c>
    </row>
    <row r="1013" spans="1:2" x14ac:dyDescent="0.3">
      <c r="A1013" s="1">
        <v>41991</v>
      </c>
      <c r="B1013" s="2">
        <v>8159.2998049999997</v>
      </c>
    </row>
    <row r="1014" spans="1:2" x14ac:dyDescent="0.3">
      <c r="A1014" s="1">
        <v>41992</v>
      </c>
      <c r="B1014" s="2">
        <v>8225.2001949999994</v>
      </c>
    </row>
    <row r="1015" spans="1:2" x14ac:dyDescent="0.3">
      <c r="A1015" s="1">
        <v>41995</v>
      </c>
      <c r="B1015" s="2">
        <v>8324</v>
      </c>
    </row>
    <row r="1016" spans="1:2" x14ac:dyDescent="0.3">
      <c r="A1016" s="1">
        <v>41996</v>
      </c>
      <c r="B1016" s="2">
        <v>8267</v>
      </c>
    </row>
    <row r="1017" spans="1:2" x14ac:dyDescent="0.3">
      <c r="A1017" s="1">
        <v>41997</v>
      </c>
      <c r="B1017" s="2">
        <v>8174.1000979999999</v>
      </c>
    </row>
    <row r="1018" spans="1:2" x14ac:dyDescent="0.3">
      <c r="A1018" s="1">
        <v>41999</v>
      </c>
      <c r="B1018" s="2">
        <v>8200.7001949999994</v>
      </c>
    </row>
    <row r="1019" spans="1:2" x14ac:dyDescent="0.3">
      <c r="A1019" s="1">
        <v>42002</v>
      </c>
      <c r="B1019" s="2">
        <v>8246.2998050000006</v>
      </c>
    </row>
    <row r="1020" spans="1:2" x14ac:dyDescent="0.3">
      <c r="A1020" s="1">
        <v>42003</v>
      </c>
      <c r="B1020" s="2">
        <v>8248.25</v>
      </c>
    </row>
    <row r="1021" spans="1:2" x14ac:dyDescent="0.3">
      <c r="A1021" s="1">
        <v>42004</v>
      </c>
      <c r="B1021" s="2">
        <v>8282.7001949999994</v>
      </c>
    </row>
    <row r="1022" spans="1:2" x14ac:dyDescent="0.3">
      <c r="A1022" s="1">
        <v>42006</v>
      </c>
      <c r="B1022" s="2">
        <v>8395.4501949999994</v>
      </c>
    </row>
    <row r="1023" spans="1:2" x14ac:dyDescent="0.3">
      <c r="A1023" s="1">
        <v>42009</v>
      </c>
      <c r="B1023" s="2">
        <v>8378.4003909999992</v>
      </c>
    </row>
    <row r="1024" spans="1:2" x14ac:dyDescent="0.3">
      <c r="A1024" s="1">
        <v>42010</v>
      </c>
      <c r="B1024" s="2">
        <v>8127.3500979999999</v>
      </c>
    </row>
    <row r="1025" spans="1:2" x14ac:dyDescent="0.3">
      <c r="A1025" s="1">
        <v>42011</v>
      </c>
      <c r="B1025" s="2">
        <v>8102.1000979999999</v>
      </c>
    </row>
    <row r="1026" spans="1:2" x14ac:dyDescent="0.3">
      <c r="A1026" s="1">
        <v>42012</v>
      </c>
      <c r="B1026" s="2">
        <v>8234.5996090000008</v>
      </c>
    </row>
    <row r="1027" spans="1:2" x14ac:dyDescent="0.3">
      <c r="A1027" s="1">
        <v>42013</v>
      </c>
      <c r="B1027" s="2">
        <v>8284.5</v>
      </c>
    </row>
    <row r="1028" spans="1:2" x14ac:dyDescent="0.3">
      <c r="A1028" s="1">
        <v>42016</v>
      </c>
      <c r="B1028" s="2">
        <v>8323</v>
      </c>
    </row>
    <row r="1029" spans="1:2" x14ac:dyDescent="0.3">
      <c r="A1029" s="1">
        <v>42017</v>
      </c>
      <c r="B1029" s="2">
        <v>8299.4003909999992</v>
      </c>
    </row>
    <row r="1030" spans="1:2" x14ac:dyDescent="0.3">
      <c r="A1030" s="1">
        <v>42018</v>
      </c>
      <c r="B1030" s="2">
        <v>8277.5498050000006</v>
      </c>
    </row>
    <row r="1031" spans="1:2" x14ac:dyDescent="0.3">
      <c r="A1031" s="1">
        <v>42019</v>
      </c>
      <c r="B1031" s="2">
        <v>8494.1503909999992</v>
      </c>
    </row>
    <row r="1032" spans="1:2" x14ac:dyDescent="0.3">
      <c r="A1032" s="1">
        <v>42020</v>
      </c>
      <c r="B1032" s="2">
        <v>8513.7998050000006</v>
      </c>
    </row>
    <row r="1033" spans="1:2" x14ac:dyDescent="0.3">
      <c r="A1033" s="1">
        <v>42023</v>
      </c>
      <c r="B1033" s="2">
        <v>8550.7001949999994</v>
      </c>
    </row>
    <row r="1034" spans="1:2" x14ac:dyDescent="0.3">
      <c r="A1034" s="1">
        <v>42024</v>
      </c>
      <c r="B1034" s="2">
        <v>8695.5996090000008</v>
      </c>
    </row>
    <row r="1035" spans="1:2" x14ac:dyDescent="0.3">
      <c r="A1035" s="1">
        <v>42025</v>
      </c>
      <c r="B1035" s="2">
        <v>8729.5</v>
      </c>
    </row>
    <row r="1036" spans="1:2" x14ac:dyDescent="0.3">
      <c r="A1036" s="1">
        <v>42026</v>
      </c>
      <c r="B1036" s="2">
        <v>8761.4003909999992</v>
      </c>
    </row>
    <row r="1037" spans="1:2" x14ac:dyDescent="0.3">
      <c r="A1037" s="1">
        <v>42027</v>
      </c>
      <c r="B1037" s="2">
        <v>8835.5996090000008</v>
      </c>
    </row>
    <row r="1038" spans="1:2" x14ac:dyDescent="0.3">
      <c r="A1038" s="1">
        <v>42031</v>
      </c>
      <c r="B1038" s="2">
        <v>8910.5</v>
      </c>
    </row>
    <row r="1039" spans="1:2" x14ac:dyDescent="0.3">
      <c r="A1039" s="1">
        <v>42032</v>
      </c>
      <c r="B1039" s="2">
        <v>8914.2998050000006</v>
      </c>
    </row>
    <row r="1040" spans="1:2" x14ac:dyDescent="0.3">
      <c r="A1040" s="1">
        <v>42033</v>
      </c>
      <c r="B1040" s="2">
        <v>8952.3496090000008</v>
      </c>
    </row>
    <row r="1041" spans="1:2" x14ac:dyDescent="0.3">
      <c r="A1041" s="1">
        <v>42034</v>
      </c>
      <c r="B1041" s="2">
        <v>8808.9003909999992</v>
      </c>
    </row>
    <row r="1042" spans="1:2" x14ac:dyDescent="0.3">
      <c r="A1042" s="1">
        <v>42037</v>
      </c>
      <c r="B1042" s="2">
        <v>8797.4003909999992</v>
      </c>
    </row>
    <row r="1043" spans="1:2" x14ac:dyDescent="0.3">
      <c r="A1043" s="1">
        <v>42038</v>
      </c>
      <c r="B1043" s="2">
        <v>8756.5498050000006</v>
      </c>
    </row>
    <row r="1044" spans="1:2" x14ac:dyDescent="0.3">
      <c r="A1044" s="1">
        <v>42039</v>
      </c>
      <c r="B1044" s="2">
        <v>8723.7001949999994</v>
      </c>
    </row>
    <row r="1045" spans="1:2" x14ac:dyDescent="0.3">
      <c r="A1045" s="1">
        <v>42040</v>
      </c>
      <c r="B1045" s="2">
        <v>8711.7001949999994</v>
      </c>
    </row>
    <row r="1046" spans="1:2" x14ac:dyDescent="0.3">
      <c r="A1046" s="1">
        <v>42041</v>
      </c>
      <c r="B1046" s="2">
        <v>8661.0498050000006</v>
      </c>
    </row>
    <row r="1047" spans="1:2" x14ac:dyDescent="0.3">
      <c r="A1047" s="1">
        <v>42044</v>
      </c>
      <c r="B1047" s="2">
        <v>8526.3496090000008</v>
      </c>
    </row>
    <row r="1048" spans="1:2" x14ac:dyDescent="0.3">
      <c r="A1048" s="1">
        <v>42045</v>
      </c>
      <c r="B1048" s="2">
        <v>8565.5498050000006</v>
      </c>
    </row>
    <row r="1049" spans="1:2" x14ac:dyDescent="0.3">
      <c r="A1049" s="1">
        <v>42046</v>
      </c>
      <c r="B1049" s="2">
        <v>8627.4003909999992</v>
      </c>
    </row>
    <row r="1050" spans="1:2" x14ac:dyDescent="0.3">
      <c r="A1050" s="1">
        <v>42047</v>
      </c>
      <c r="B1050" s="2">
        <v>8711.5498050000006</v>
      </c>
    </row>
    <row r="1051" spans="1:2" x14ac:dyDescent="0.3">
      <c r="A1051" s="1">
        <v>42048</v>
      </c>
      <c r="B1051" s="2">
        <v>8805.5</v>
      </c>
    </row>
    <row r="1052" spans="1:2" x14ac:dyDescent="0.3">
      <c r="A1052" s="1">
        <v>42051</v>
      </c>
      <c r="B1052" s="2">
        <v>8809.3496090000008</v>
      </c>
    </row>
    <row r="1053" spans="1:2" x14ac:dyDescent="0.3">
      <c r="A1053" s="1">
        <v>42053</v>
      </c>
      <c r="B1053" s="2">
        <v>8869.0996090000008</v>
      </c>
    </row>
    <row r="1054" spans="1:2" x14ac:dyDescent="0.3">
      <c r="A1054" s="1">
        <v>42054</v>
      </c>
      <c r="B1054" s="2">
        <v>8895.2998050000006</v>
      </c>
    </row>
    <row r="1055" spans="1:2" x14ac:dyDescent="0.3">
      <c r="A1055" s="1">
        <v>42055</v>
      </c>
      <c r="B1055" s="2">
        <v>8833.5996090000008</v>
      </c>
    </row>
    <row r="1056" spans="1:2" x14ac:dyDescent="0.3">
      <c r="A1056" s="1">
        <v>42058</v>
      </c>
      <c r="B1056" s="2">
        <v>8754.9501949999994</v>
      </c>
    </row>
    <row r="1057" spans="1:2" x14ac:dyDescent="0.3">
      <c r="A1057" s="1">
        <v>42059</v>
      </c>
      <c r="B1057" s="2">
        <v>8762.0996090000008</v>
      </c>
    </row>
    <row r="1058" spans="1:2" x14ac:dyDescent="0.3">
      <c r="A1058" s="1">
        <v>42060</v>
      </c>
      <c r="B1058" s="2">
        <v>8767.25</v>
      </c>
    </row>
    <row r="1059" spans="1:2" x14ac:dyDescent="0.3">
      <c r="A1059" s="1">
        <v>42061</v>
      </c>
      <c r="B1059" s="2">
        <v>8683.8496090000008</v>
      </c>
    </row>
    <row r="1060" spans="1:2" x14ac:dyDescent="0.3">
      <c r="A1060" s="1">
        <v>42062</v>
      </c>
      <c r="B1060" s="2">
        <v>8844.5996090000008</v>
      </c>
    </row>
    <row r="1061" spans="1:2" x14ac:dyDescent="0.3">
      <c r="A1061" s="1">
        <v>42065</v>
      </c>
      <c r="B1061" s="2">
        <v>8956.75</v>
      </c>
    </row>
    <row r="1062" spans="1:2" x14ac:dyDescent="0.3">
      <c r="A1062" s="1">
        <v>42066</v>
      </c>
      <c r="B1062" s="2">
        <v>8996.25</v>
      </c>
    </row>
    <row r="1063" spans="1:2" x14ac:dyDescent="0.3">
      <c r="A1063" s="1">
        <v>42067</v>
      </c>
      <c r="B1063" s="2">
        <v>8922.6503909999992</v>
      </c>
    </row>
    <row r="1064" spans="1:2" x14ac:dyDescent="0.3">
      <c r="A1064" s="1">
        <v>42068</v>
      </c>
      <c r="B1064" s="2">
        <v>8937.75</v>
      </c>
    </row>
    <row r="1065" spans="1:2" x14ac:dyDescent="0.3">
      <c r="A1065" s="1">
        <v>42072</v>
      </c>
      <c r="B1065" s="2">
        <v>8756.75</v>
      </c>
    </row>
    <row r="1066" spans="1:2" x14ac:dyDescent="0.3">
      <c r="A1066" s="1">
        <v>42073</v>
      </c>
      <c r="B1066" s="2">
        <v>8712.0498050000006</v>
      </c>
    </row>
    <row r="1067" spans="1:2" x14ac:dyDescent="0.3">
      <c r="A1067" s="1">
        <v>42074</v>
      </c>
      <c r="B1067" s="2">
        <v>8699.9501949999994</v>
      </c>
    </row>
    <row r="1068" spans="1:2" x14ac:dyDescent="0.3">
      <c r="A1068" s="1">
        <v>42075</v>
      </c>
      <c r="B1068" s="2">
        <v>8776</v>
      </c>
    </row>
    <row r="1069" spans="1:2" x14ac:dyDescent="0.3">
      <c r="A1069" s="1">
        <v>42076</v>
      </c>
      <c r="B1069" s="2">
        <v>8647.75</v>
      </c>
    </row>
    <row r="1070" spans="1:2" x14ac:dyDescent="0.3">
      <c r="A1070" s="1">
        <v>42079</v>
      </c>
      <c r="B1070" s="2">
        <v>8633.1503909999992</v>
      </c>
    </row>
    <row r="1071" spans="1:2" x14ac:dyDescent="0.3">
      <c r="A1071" s="1">
        <v>42080</v>
      </c>
      <c r="B1071" s="2">
        <v>8723.2998050000006</v>
      </c>
    </row>
    <row r="1072" spans="1:2" x14ac:dyDescent="0.3">
      <c r="A1072" s="1">
        <v>42081</v>
      </c>
      <c r="B1072" s="2">
        <v>8685.9003909999992</v>
      </c>
    </row>
    <row r="1073" spans="1:2" x14ac:dyDescent="0.3">
      <c r="A1073" s="1">
        <v>42082</v>
      </c>
      <c r="B1073" s="2">
        <v>8634.6503909999992</v>
      </c>
    </row>
    <row r="1074" spans="1:2" x14ac:dyDescent="0.3">
      <c r="A1074" s="1">
        <v>42083</v>
      </c>
      <c r="B1074" s="2">
        <v>8570.9003909999992</v>
      </c>
    </row>
    <row r="1075" spans="1:2" x14ac:dyDescent="0.3">
      <c r="A1075" s="1">
        <v>42086</v>
      </c>
      <c r="B1075" s="2">
        <v>8550.9003909999992</v>
      </c>
    </row>
    <row r="1076" spans="1:2" x14ac:dyDescent="0.3">
      <c r="A1076" s="1">
        <v>42087</v>
      </c>
      <c r="B1076" s="2">
        <v>8542.9501949999994</v>
      </c>
    </row>
    <row r="1077" spans="1:2" x14ac:dyDescent="0.3">
      <c r="A1077" s="1">
        <v>42088</v>
      </c>
      <c r="B1077" s="2">
        <v>8530.7998050000006</v>
      </c>
    </row>
    <row r="1078" spans="1:2" x14ac:dyDescent="0.3">
      <c r="A1078" s="1">
        <v>42089</v>
      </c>
      <c r="B1078" s="2">
        <v>8342.1503909999992</v>
      </c>
    </row>
    <row r="1079" spans="1:2" x14ac:dyDescent="0.3">
      <c r="A1079" s="1">
        <v>42090</v>
      </c>
      <c r="B1079" s="2">
        <v>8341.4003909999992</v>
      </c>
    </row>
    <row r="1080" spans="1:2" x14ac:dyDescent="0.3">
      <c r="A1080" s="1">
        <v>42093</v>
      </c>
      <c r="B1080" s="2">
        <v>8492.2998050000006</v>
      </c>
    </row>
    <row r="1081" spans="1:2" x14ac:dyDescent="0.3">
      <c r="A1081" s="1">
        <v>42094</v>
      </c>
      <c r="B1081" s="2">
        <v>8491</v>
      </c>
    </row>
    <row r="1082" spans="1:2" x14ac:dyDescent="0.3">
      <c r="A1082" s="1">
        <v>42095</v>
      </c>
      <c r="B1082" s="2">
        <v>8586.25</v>
      </c>
    </row>
    <row r="1083" spans="1:2" x14ac:dyDescent="0.3">
      <c r="A1083" s="1">
        <v>42100</v>
      </c>
      <c r="B1083" s="2">
        <v>8659.9003909999992</v>
      </c>
    </row>
    <row r="1084" spans="1:2" x14ac:dyDescent="0.3">
      <c r="A1084" s="1">
        <v>42101</v>
      </c>
      <c r="B1084" s="2">
        <v>8660.2998050000006</v>
      </c>
    </row>
    <row r="1085" spans="1:2" x14ac:dyDescent="0.3">
      <c r="A1085" s="1">
        <v>42102</v>
      </c>
      <c r="B1085" s="2">
        <v>8714.4003909999992</v>
      </c>
    </row>
    <row r="1086" spans="1:2" x14ac:dyDescent="0.3">
      <c r="A1086" s="1">
        <v>42103</v>
      </c>
      <c r="B1086" s="2">
        <v>8778.2998050000006</v>
      </c>
    </row>
    <row r="1087" spans="1:2" x14ac:dyDescent="0.3">
      <c r="A1087" s="1">
        <v>42104</v>
      </c>
      <c r="B1087" s="2">
        <v>8780.3496090000008</v>
      </c>
    </row>
    <row r="1088" spans="1:2" x14ac:dyDescent="0.3">
      <c r="A1088" s="1">
        <v>42107</v>
      </c>
      <c r="B1088" s="2">
        <v>8834</v>
      </c>
    </row>
    <row r="1089" spans="1:2" x14ac:dyDescent="0.3">
      <c r="A1089" s="1">
        <v>42110</v>
      </c>
      <c r="B1089" s="2">
        <v>8706.7001949999994</v>
      </c>
    </row>
    <row r="1090" spans="1:2" x14ac:dyDescent="0.3">
      <c r="A1090" s="1">
        <v>42111</v>
      </c>
      <c r="B1090" s="2">
        <v>8606</v>
      </c>
    </row>
    <row r="1091" spans="1:2" x14ac:dyDescent="0.3">
      <c r="A1091" s="1">
        <v>42114</v>
      </c>
      <c r="B1091" s="2">
        <v>8448.0996090000008</v>
      </c>
    </row>
    <row r="1092" spans="1:2" x14ac:dyDescent="0.3">
      <c r="A1092" s="1">
        <v>42115</v>
      </c>
      <c r="B1092" s="2">
        <v>8377.75</v>
      </c>
    </row>
    <row r="1093" spans="1:2" x14ac:dyDescent="0.3">
      <c r="A1093" s="1">
        <v>42116</v>
      </c>
      <c r="B1093" s="2">
        <v>8429.7001949999994</v>
      </c>
    </row>
    <row r="1094" spans="1:2" x14ac:dyDescent="0.3">
      <c r="A1094" s="1">
        <v>42117</v>
      </c>
      <c r="B1094" s="2">
        <v>8398.2998050000006</v>
      </c>
    </row>
    <row r="1095" spans="1:2" x14ac:dyDescent="0.3">
      <c r="A1095" s="1">
        <v>42118</v>
      </c>
      <c r="B1095" s="2">
        <v>8305.25</v>
      </c>
    </row>
    <row r="1096" spans="1:2" x14ac:dyDescent="0.3">
      <c r="A1096" s="1">
        <v>42121</v>
      </c>
      <c r="B1096" s="2">
        <v>8213.7998050000006</v>
      </c>
    </row>
    <row r="1097" spans="1:2" x14ac:dyDescent="0.3">
      <c r="A1097" s="1">
        <v>42122</v>
      </c>
      <c r="B1097" s="2">
        <v>8285.5996090000008</v>
      </c>
    </row>
    <row r="1098" spans="1:2" x14ac:dyDescent="0.3">
      <c r="A1098" s="1">
        <v>42123</v>
      </c>
      <c r="B1098" s="2">
        <v>8239.75</v>
      </c>
    </row>
    <row r="1099" spans="1:2" x14ac:dyDescent="0.3">
      <c r="A1099" s="1">
        <v>42124</v>
      </c>
      <c r="B1099" s="2">
        <v>8181.5</v>
      </c>
    </row>
    <row r="1100" spans="1:2" x14ac:dyDescent="0.3">
      <c r="A1100" s="1">
        <v>42128</v>
      </c>
      <c r="B1100" s="2">
        <v>8331.9501949999994</v>
      </c>
    </row>
    <row r="1101" spans="1:2" x14ac:dyDescent="0.3">
      <c r="A1101" s="1">
        <v>42129</v>
      </c>
      <c r="B1101" s="2">
        <v>8324.7998050000006</v>
      </c>
    </row>
    <row r="1102" spans="1:2" x14ac:dyDescent="0.3">
      <c r="A1102" s="1">
        <v>42130</v>
      </c>
      <c r="B1102" s="2">
        <v>8097</v>
      </c>
    </row>
    <row r="1103" spans="1:2" x14ac:dyDescent="0.3">
      <c r="A1103" s="1">
        <v>42131</v>
      </c>
      <c r="B1103" s="2">
        <v>8057.2998049999997</v>
      </c>
    </row>
    <row r="1104" spans="1:2" x14ac:dyDescent="0.3">
      <c r="A1104" s="1">
        <v>42132</v>
      </c>
      <c r="B1104" s="2">
        <v>8191.5</v>
      </c>
    </row>
    <row r="1105" spans="1:2" x14ac:dyDescent="0.3">
      <c r="A1105" s="1">
        <v>42135</v>
      </c>
      <c r="B1105" s="2">
        <v>8325.25</v>
      </c>
    </row>
    <row r="1106" spans="1:2" x14ac:dyDescent="0.3">
      <c r="A1106" s="1">
        <v>42136</v>
      </c>
      <c r="B1106" s="2">
        <v>8126.9501950000003</v>
      </c>
    </row>
    <row r="1107" spans="1:2" x14ac:dyDescent="0.3">
      <c r="A1107" s="1">
        <v>42137</v>
      </c>
      <c r="B1107" s="2">
        <v>8235.4501949999994</v>
      </c>
    </row>
    <row r="1108" spans="1:2" x14ac:dyDescent="0.3">
      <c r="A1108" s="1">
        <v>42138</v>
      </c>
      <c r="B1108" s="2">
        <v>8224.2001949999994</v>
      </c>
    </row>
    <row r="1109" spans="1:2" x14ac:dyDescent="0.3">
      <c r="A1109" s="1">
        <v>42139</v>
      </c>
      <c r="B1109" s="2">
        <v>8262.3496090000008</v>
      </c>
    </row>
    <row r="1110" spans="1:2" x14ac:dyDescent="0.3">
      <c r="A1110" s="1">
        <v>42142</v>
      </c>
      <c r="B1110" s="2">
        <v>8373.6503909999992</v>
      </c>
    </row>
    <row r="1111" spans="1:2" x14ac:dyDescent="0.3">
      <c r="A1111" s="1">
        <v>42143</v>
      </c>
      <c r="B1111" s="2">
        <v>8365.6503909999992</v>
      </c>
    </row>
    <row r="1112" spans="1:2" x14ac:dyDescent="0.3">
      <c r="A1112" s="1">
        <v>42144</v>
      </c>
      <c r="B1112" s="2">
        <v>8423.25</v>
      </c>
    </row>
    <row r="1113" spans="1:2" x14ac:dyDescent="0.3">
      <c r="A1113" s="1">
        <v>42145</v>
      </c>
      <c r="B1113" s="2">
        <v>8421</v>
      </c>
    </row>
    <row r="1114" spans="1:2" x14ac:dyDescent="0.3">
      <c r="A1114" s="1">
        <v>42146</v>
      </c>
      <c r="B1114" s="2">
        <v>8458.9501949999994</v>
      </c>
    </row>
    <row r="1115" spans="1:2" x14ac:dyDescent="0.3">
      <c r="A1115" s="1">
        <v>42149</v>
      </c>
      <c r="B1115" s="2">
        <v>8370.25</v>
      </c>
    </row>
    <row r="1116" spans="1:2" x14ac:dyDescent="0.3">
      <c r="A1116" s="1">
        <v>42150</v>
      </c>
      <c r="B1116" s="2">
        <v>8339.3496090000008</v>
      </c>
    </row>
    <row r="1117" spans="1:2" x14ac:dyDescent="0.3">
      <c r="A1117" s="1">
        <v>42151</v>
      </c>
      <c r="B1117" s="2">
        <v>8334.5996090000008</v>
      </c>
    </row>
    <row r="1118" spans="1:2" x14ac:dyDescent="0.3">
      <c r="A1118" s="1">
        <v>42152</v>
      </c>
      <c r="B1118" s="2">
        <v>8319</v>
      </c>
    </row>
    <row r="1119" spans="1:2" x14ac:dyDescent="0.3">
      <c r="A1119" s="1">
        <v>42153</v>
      </c>
      <c r="B1119" s="2">
        <v>8433.6503909999992</v>
      </c>
    </row>
    <row r="1120" spans="1:2" x14ac:dyDescent="0.3">
      <c r="A1120" s="1">
        <v>42156</v>
      </c>
      <c r="B1120" s="2">
        <v>8433.4003909999992</v>
      </c>
    </row>
    <row r="1121" spans="1:2" x14ac:dyDescent="0.3">
      <c r="A1121" s="1">
        <v>42157</v>
      </c>
      <c r="B1121" s="2">
        <v>8236.4501949999994</v>
      </c>
    </row>
    <row r="1122" spans="1:2" x14ac:dyDescent="0.3">
      <c r="A1122" s="1">
        <v>42158</v>
      </c>
      <c r="B1122" s="2">
        <v>8135.1000979999999</v>
      </c>
    </row>
    <row r="1123" spans="1:2" x14ac:dyDescent="0.3">
      <c r="A1123" s="1">
        <v>42159</v>
      </c>
      <c r="B1123" s="2">
        <v>8130.6499020000001</v>
      </c>
    </row>
    <row r="1124" spans="1:2" x14ac:dyDescent="0.3">
      <c r="A1124" s="1">
        <v>42160</v>
      </c>
      <c r="B1124" s="2">
        <v>8114.7001950000003</v>
      </c>
    </row>
    <row r="1125" spans="1:2" x14ac:dyDescent="0.3">
      <c r="A1125" s="1">
        <v>42163</v>
      </c>
      <c r="B1125" s="2">
        <v>8044.1499020000001</v>
      </c>
    </row>
    <row r="1126" spans="1:2" x14ac:dyDescent="0.3">
      <c r="A1126" s="1">
        <v>42164</v>
      </c>
      <c r="B1126" s="2">
        <v>8022.3999020000001</v>
      </c>
    </row>
    <row r="1127" spans="1:2" x14ac:dyDescent="0.3">
      <c r="A1127" s="1">
        <v>42165</v>
      </c>
      <c r="B1127" s="2">
        <v>8124.4501950000003</v>
      </c>
    </row>
    <row r="1128" spans="1:2" x14ac:dyDescent="0.3">
      <c r="A1128" s="1">
        <v>42166</v>
      </c>
      <c r="B1128" s="2">
        <v>7965.3500979999999</v>
      </c>
    </row>
    <row r="1129" spans="1:2" x14ac:dyDescent="0.3">
      <c r="A1129" s="1">
        <v>42167</v>
      </c>
      <c r="B1129" s="2">
        <v>7982.8999020000001</v>
      </c>
    </row>
    <row r="1130" spans="1:2" x14ac:dyDescent="0.3">
      <c r="A1130" s="1">
        <v>42170</v>
      </c>
      <c r="B1130" s="2">
        <v>8013.8999020000001</v>
      </c>
    </row>
    <row r="1131" spans="1:2" x14ac:dyDescent="0.3">
      <c r="A1131" s="1">
        <v>42171</v>
      </c>
      <c r="B1131" s="2">
        <v>8047.2998049999997</v>
      </c>
    </row>
    <row r="1132" spans="1:2" x14ac:dyDescent="0.3">
      <c r="A1132" s="1">
        <v>42172</v>
      </c>
      <c r="B1132" s="2">
        <v>8091.5498049999997</v>
      </c>
    </row>
    <row r="1133" spans="1:2" x14ac:dyDescent="0.3">
      <c r="A1133" s="1">
        <v>42173</v>
      </c>
      <c r="B1133" s="2">
        <v>8174.6000979999999</v>
      </c>
    </row>
    <row r="1134" spans="1:2" x14ac:dyDescent="0.3">
      <c r="A1134" s="1">
        <v>42174</v>
      </c>
      <c r="B1134" s="2">
        <v>8224.9501949999994</v>
      </c>
    </row>
    <row r="1135" spans="1:2" x14ac:dyDescent="0.3">
      <c r="A1135" s="1">
        <v>42177</v>
      </c>
      <c r="B1135" s="2">
        <v>8353.0996090000008</v>
      </c>
    </row>
    <row r="1136" spans="1:2" x14ac:dyDescent="0.3">
      <c r="A1136" s="1">
        <v>42178</v>
      </c>
      <c r="B1136" s="2">
        <v>8381.5498050000006</v>
      </c>
    </row>
    <row r="1137" spans="1:2" x14ac:dyDescent="0.3">
      <c r="A1137" s="1">
        <v>42179</v>
      </c>
      <c r="B1137" s="2">
        <v>8360.8496090000008</v>
      </c>
    </row>
    <row r="1138" spans="1:2" x14ac:dyDescent="0.3">
      <c r="A1138" s="1">
        <v>42180</v>
      </c>
      <c r="B1138" s="2">
        <v>8398</v>
      </c>
    </row>
    <row r="1139" spans="1:2" x14ac:dyDescent="0.3">
      <c r="A1139" s="1">
        <v>42181</v>
      </c>
      <c r="B1139" s="2">
        <v>8381.0996090000008</v>
      </c>
    </row>
    <row r="1140" spans="1:2" x14ac:dyDescent="0.3">
      <c r="A1140" s="1">
        <v>42184</v>
      </c>
      <c r="B1140" s="2">
        <v>8318.4003909999992</v>
      </c>
    </row>
    <row r="1141" spans="1:2" x14ac:dyDescent="0.3">
      <c r="A1141" s="1">
        <v>42185</v>
      </c>
      <c r="B1141" s="2">
        <v>8368.5</v>
      </c>
    </row>
    <row r="1142" spans="1:2" x14ac:dyDescent="0.3">
      <c r="A1142" s="1">
        <v>42186</v>
      </c>
      <c r="B1142" s="2">
        <v>8453.0498050000006</v>
      </c>
    </row>
    <row r="1143" spans="1:2" x14ac:dyDescent="0.3">
      <c r="A1143" s="1">
        <v>42187</v>
      </c>
      <c r="B1143" s="2">
        <v>8444.9003909999992</v>
      </c>
    </row>
    <row r="1144" spans="1:2" x14ac:dyDescent="0.3">
      <c r="A1144" s="1">
        <v>42188</v>
      </c>
      <c r="B1144" s="2">
        <v>8484.9003909999992</v>
      </c>
    </row>
    <row r="1145" spans="1:2" x14ac:dyDescent="0.3">
      <c r="A1145" s="1">
        <v>42191</v>
      </c>
      <c r="B1145" s="2">
        <v>8522.1503909999992</v>
      </c>
    </row>
    <row r="1146" spans="1:2" x14ac:dyDescent="0.3">
      <c r="A1146" s="1">
        <v>42192</v>
      </c>
      <c r="B1146" s="2">
        <v>8510.7998050000006</v>
      </c>
    </row>
    <row r="1147" spans="1:2" x14ac:dyDescent="0.3">
      <c r="A1147" s="1">
        <v>42193</v>
      </c>
      <c r="B1147" s="2">
        <v>8363.0498050000006</v>
      </c>
    </row>
    <row r="1148" spans="1:2" x14ac:dyDescent="0.3">
      <c r="A1148" s="1">
        <v>42194</v>
      </c>
      <c r="B1148" s="2">
        <v>8328.5498050000006</v>
      </c>
    </row>
    <row r="1149" spans="1:2" x14ac:dyDescent="0.3">
      <c r="A1149" s="1">
        <v>42195</v>
      </c>
      <c r="B1149" s="2">
        <v>8360.5498050000006</v>
      </c>
    </row>
    <row r="1150" spans="1:2" x14ac:dyDescent="0.3">
      <c r="A1150" s="1">
        <v>42198</v>
      </c>
      <c r="B1150" s="2">
        <v>8459.6503909999992</v>
      </c>
    </row>
    <row r="1151" spans="1:2" x14ac:dyDescent="0.3">
      <c r="A1151" s="1">
        <v>42199</v>
      </c>
      <c r="B1151" s="2">
        <v>8454.0996090000008</v>
      </c>
    </row>
    <row r="1152" spans="1:2" x14ac:dyDescent="0.3">
      <c r="A1152" s="1">
        <v>42200</v>
      </c>
      <c r="B1152" s="2">
        <v>8523.7998050000006</v>
      </c>
    </row>
    <row r="1153" spans="1:2" x14ac:dyDescent="0.3">
      <c r="A1153" s="1">
        <v>42201</v>
      </c>
      <c r="B1153" s="2">
        <v>8608.0498050000006</v>
      </c>
    </row>
    <row r="1154" spans="1:2" x14ac:dyDescent="0.3">
      <c r="A1154" s="1">
        <v>42202</v>
      </c>
      <c r="B1154" s="2">
        <v>8609.8496090000008</v>
      </c>
    </row>
    <row r="1155" spans="1:2" x14ac:dyDescent="0.3">
      <c r="A1155" s="1">
        <v>42205</v>
      </c>
      <c r="B1155" s="2">
        <v>8603.4501949999994</v>
      </c>
    </row>
    <row r="1156" spans="1:2" x14ac:dyDescent="0.3">
      <c r="A1156" s="1">
        <v>42206</v>
      </c>
      <c r="B1156" s="2">
        <v>8529.4501949999994</v>
      </c>
    </row>
    <row r="1157" spans="1:2" x14ac:dyDescent="0.3">
      <c r="A1157" s="1">
        <v>42207</v>
      </c>
      <c r="B1157" s="2">
        <v>8633.5</v>
      </c>
    </row>
    <row r="1158" spans="1:2" x14ac:dyDescent="0.3">
      <c r="A1158" s="1">
        <v>42208</v>
      </c>
      <c r="B1158" s="2">
        <v>8589.7998050000006</v>
      </c>
    </row>
    <row r="1159" spans="1:2" x14ac:dyDescent="0.3">
      <c r="A1159" s="1">
        <v>42209</v>
      </c>
      <c r="B1159" s="2">
        <v>8521.5498050000006</v>
      </c>
    </row>
    <row r="1160" spans="1:2" x14ac:dyDescent="0.3">
      <c r="A1160" s="1">
        <v>42212</v>
      </c>
      <c r="B1160" s="2">
        <v>8361</v>
      </c>
    </row>
    <row r="1161" spans="1:2" x14ac:dyDescent="0.3">
      <c r="A1161" s="1">
        <v>42213</v>
      </c>
      <c r="B1161" s="2">
        <v>8337</v>
      </c>
    </row>
    <row r="1162" spans="1:2" x14ac:dyDescent="0.3">
      <c r="A1162" s="1">
        <v>42214</v>
      </c>
      <c r="B1162" s="2">
        <v>8375.0498050000006</v>
      </c>
    </row>
    <row r="1163" spans="1:2" x14ac:dyDescent="0.3">
      <c r="A1163" s="1">
        <v>42215</v>
      </c>
      <c r="B1163" s="2">
        <v>8421.7998050000006</v>
      </c>
    </row>
    <row r="1164" spans="1:2" x14ac:dyDescent="0.3">
      <c r="A1164" s="1">
        <v>42216</v>
      </c>
      <c r="B1164" s="2">
        <v>8532.8496090000008</v>
      </c>
    </row>
    <row r="1165" spans="1:2" x14ac:dyDescent="0.3">
      <c r="A1165" s="1">
        <v>42219</v>
      </c>
      <c r="B1165" s="2">
        <v>8543.0498050000006</v>
      </c>
    </row>
    <row r="1166" spans="1:2" x14ac:dyDescent="0.3">
      <c r="A1166" s="1">
        <v>42220</v>
      </c>
      <c r="B1166" s="2">
        <v>8516.9003909999992</v>
      </c>
    </row>
    <row r="1167" spans="1:2" x14ac:dyDescent="0.3">
      <c r="A1167" s="1">
        <v>42221</v>
      </c>
      <c r="B1167" s="2">
        <v>8567.9501949999994</v>
      </c>
    </row>
    <row r="1168" spans="1:2" x14ac:dyDescent="0.3">
      <c r="A1168" s="1">
        <v>42222</v>
      </c>
      <c r="B1168" s="2">
        <v>8588.6503909999992</v>
      </c>
    </row>
    <row r="1169" spans="1:2" x14ac:dyDescent="0.3">
      <c r="A1169" s="1">
        <v>42223</v>
      </c>
      <c r="B1169" s="2">
        <v>8564.5996090000008</v>
      </c>
    </row>
    <row r="1170" spans="1:2" x14ac:dyDescent="0.3">
      <c r="A1170" s="1">
        <v>42226</v>
      </c>
      <c r="B1170" s="2">
        <v>8525.5996090000008</v>
      </c>
    </row>
    <row r="1171" spans="1:2" x14ac:dyDescent="0.3">
      <c r="A1171" s="1">
        <v>42227</v>
      </c>
      <c r="B1171" s="2">
        <v>8462.3496090000008</v>
      </c>
    </row>
    <row r="1172" spans="1:2" x14ac:dyDescent="0.3">
      <c r="A1172" s="1">
        <v>42228</v>
      </c>
      <c r="B1172" s="2">
        <v>8349.4501949999994</v>
      </c>
    </row>
    <row r="1173" spans="1:2" x14ac:dyDescent="0.3">
      <c r="A1173" s="1">
        <v>42229</v>
      </c>
      <c r="B1173" s="2">
        <v>8355.8496090000008</v>
      </c>
    </row>
    <row r="1174" spans="1:2" x14ac:dyDescent="0.3">
      <c r="A1174" s="1">
        <v>42230</v>
      </c>
      <c r="B1174" s="2">
        <v>8518.5498050000006</v>
      </c>
    </row>
    <row r="1175" spans="1:2" x14ac:dyDescent="0.3">
      <c r="A1175" s="1">
        <v>42233</v>
      </c>
      <c r="B1175" s="2">
        <v>8477.2998050000006</v>
      </c>
    </row>
    <row r="1176" spans="1:2" x14ac:dyDescent="0.3">
      <c r="A1176" s="1">
        <v>42234</v>
      </c>
      <c r="B1176" s="2">
        <v>8466.5498050000006</v>
      </c>
    </row>
    <row r="1177" spans="1:2" x14ac:dyDescent="0.3">
      <c r="A1177" s="1">
        <v>42235</v>
      </c>
      <c r="B1177" s="2">
        <v>8495.1503909999992</v>
      </c>
    </row>
    <row r="1178" spans="1:2" x14ac:dyDescent="0.3">
      <c r="A1178" s="1">
        <v>42236</v>
      </c>
      <c r="B1178" s="2">
        <v>8372.75</v>
      </c>
    </row>
    <row r="1179" spans="1:2" x14ac:dyDescent="0.3">
      <c r="A1179" s="1">
        <v>42237</v>
      </c>
      <c r="B1179" s="2">
        <v>8299.9501949999994</v>
      </c>
    </row>
    <row r="1180" spans="1:2" x14ac:dyDescent="0.3">
      <c r="A1180" s="1">
        <v>42240</v>
      </c>
      <c r="B1180" s="2">
        <v>7809</v>
      </c>
    </row>
    <row r="1181" spans="1:2" x14ac:dyDescent="0.3">
      <c r="A1181" s="1">
        <v>42241</v>
      </c>
      <c r="B1181" s="2">
        <v>7880.7001950000003</v>
      </c>
    </row>
    <row r="1182" spans="1:2" x14ac:dyDescent="0.3">
      <c r="A1182" s="1">
        <v>42242</v>
      </c>
      <c r="B1182" s="2">
        <v>7791.8500979999999</v>
      </c>
    </row>
    <row r="1183" spans="1:2" x14ac:dyDescent="0.3">
      <c r="A1183" s="1">
        <v>42243</v>
      </c>
      <c r="B1183" s="2">
        <v>7948.9501950000003</v>
      </c>
    </row>
    <row r="1184" spans="1:2" x14ac:dyDescent="0.3">
      <c r="A1184" s="1">
        <v>42244</v>
      </c>
      <c r="B1184" s="2">
        <v>8001.9501950000003</v>
      </c>
    </row>
    <row r="1185" spans="1:2" x14ac:dyDescent="0.3">
      <c r="A1185" s="1">
        <v>42247</v>
      </c>
      <c r="B1185" s="2">
        <v>7971.2998049999997</v>
      </c>
    </row>
    <row r="1186" spans="1:2" x14ac:dyDescent="0.3">
      <c r="A1186" s="1">
        <v>42248</v>
      </c>
      <c r="B1186" s="2">
        <v>7785.8500979999999</v>
      </c>
    </row>
    <row r="1187" spans="1:2" x14ac:dyDescent="0.3">
      <c r="A1187" s="1">
        <v>42249</v>
      </c>
      <c r="B1187" s="2">
        <v>7717</v>
      </c>
    </row>
    <row r="1188" spans="1:2" x14ac:dyDescent="0.3">
      <c r="A1188" s="1">
        <v>42250</v>
      </c>
      <c r="B1188" s="2">
        <v>7823</v>
      </c>
    </row>
    <row r="1189" spans="1:2" x14ac:dyDescent="0.3">
      <c r="A1189" s="1">
        <v>42251</v>
      </c>
      <c r="B1189" s="2">
        <v>7655.0498049999997</v>
      </c>
    </row>
    <row r="1190" spans="1:2" x14ac:dyDescent="0.3">
      <c r="A1190" s="1">
        <v>42254</v>
      </c>
      <c r="B1190" s="2">
        <v>7558.7998049999997</v>
      </c>
    </row>
    <row r="1191" spans="1:2" x14ac:dyDescent="0.3">
      <c r="A1191" s="1">
        <v>42255</v>
      </c>
      <c r="B1191" s="2">
        <v>7688.25</v>
      </c>
    </row>
    <row r="1192" spans="1:2" x14ac:dyDescent="0.3">
      <c r="A1192" s="1">
        <v>42256</v>
      </c>
      <c r="B1192" s="2">
        <v>7818.6000979999999</v>
      </c>
    </row>
    <row r="1193" spans="1:2" x14ac:dyDescent="0.3">
      <c r="A1193" s="1">
        <v>42257</v>
      </c>
      <c r="B1193" s="2">
        <v>7788.1000979999999</v>
      </c>
    </row>
    <row r="1194" spans="1:2" x14ac:dyDescent="0.3">
      <c r="A1194" s="1">
        <v>42258</v>
      </c>
      <c r="B1194" s="2">
        <v>7789.2998049999997</v>
      </c>
    </row>
    <row r="1195" spans="1:2" x14ac:dyDescent="0.3">
      <c r="A1195" s="1">
        <v>42261</v>
      </c>
      <c r="B1195" s="2">
        <v>7872.25</v>
      </c>
    </row>
    <row r="1196" spans="1:2" x14ac:dyDescent="0.3">
      <c r="A1196" s="1">
        <v>42262</v>
      </c>
      <c r="B1196" s="2">
        <v>7829.1000979999999</v>
      </c>
    </row>
    <row r="1197" spans="1:2" x14ac:dyDescent="0.3">
      <c r="A1197" s="1">
        <v>42263</v>
      </c>
      <c r="B1197" s="2">
        <v>7899.1499020000001</v>
      </c>
    </row>
    <row r="1198" spans="1:2" x14ac:dyDescent="0.3">
      <c r="A1198" s="1">
        <v>42265</v>
      </c>
      <c r="B1198" s="2">
        <v>7981.8999020000001</v>
      </c>
    </row>
    <row r="1199" spans="1:2" x14ac:dyDescent="0.3">
      <c r="A1199" s="1">
        <v>42268</v>
      </c>
      <c r="B1199" s="2">
        <v>7977.1000979999999</v>
      </c>
    </row>
    <row r="1200" spans="1:2" x14ac:dyDescent="0.3">
      <c r="A1200" s="1">
        <v>42269</v>
      </c>
      <c r="B1200" s="2">
        <v>7812</v>
      </c>
    </row>
    <row r="1201" spans="1:2" x14ac:dyDescent="0.3">
      <c r="A1201" s="1">
        <v>42270</v>
      </c>
      <c r="B1201" s="2">
        <v>7845.9501950000003</v>
      </c>
    </row>
    <row r="1202" spans="1:2" x14ac:dyDescent="0.3">
      <c r="A1202" s="1">
        <v>42271</v>
      </c>
      <c r="B1202" s="2">
        <v>7868.5</v>
      </c>
    </row>
    <row r="1203" spans="1:2" x14ac:dyDescent="0.3">
      <c r="A1203" s="1">
        <v>42275</v>
      </c>
      <c r="B1203" s="2">
        <v>7795.7001950000003</v>
      </c>
    </row>
    <row r="1204" spans="1:2" x14ac:dyDescent="0.3">
      <c r="A1204" s="1">
        <v>42276</v>
      </c>
      <c r="B1204" s="2">
        <v>7843.2998049999997</v>
      </c>
    </row>
    <row r="1205" spans="1:2" x14ac:dyDescent="0.3">
      <c r="A1205" s="1">
        <v>42277</v>
      </c>
      <c r="B1205" s="2">
        <v>7948.8999020000001</v>
      </c>
    </row>
    <row r="1206" spans="1:2" x14ac:dyDescent="0.3">
      <c r="A1206" s="1">
        <v>42278</v>
      </c>
      <c r="B1206" s="2">
        <v>7950.8999020000001</v>
      </c>
    </row>
    <row r="1207" spans="1:2" x14ac:dyDescent="0.3">
      <c r="A1207" s="1">
        <v>42282</v>
      </c>
      <c r="B1207" s="2">
        <v>8119.2998049999997</v>
      </c>
    </row>
    <row r="1208" spans="1:2" x14ac:dyDescent="0.3">
      <c r="A1208" s="1">
        <v>42283</v>
      </c>
      <c r="B1208" s="2">
        <v>8152.8999020000001</v>
      </c>
    </row>
    <row r="1209" spans="1:2" x14ac:dyDescent="0.3">
      <c r="A1209" s="1">
        <v>42284</v>
      </c>
      <c r="B1209" s="2">
        <v>8177.3999020000001</v>
      </c>
    </row>
    <row r="1210" spans="1:2" x14ac:dyDescent="0.3">
      <c r="A1210" s="1">
        <v>42285</v>
      </c>
      <c r="B1210" s="2">
        <v>8129.3500979999999</v>
      </c>
    </row>
    <row r="1211" spans="1:2" x14ac:dyDescent="0.3">
      <c r="A1211" s="1">
        <v>42286</v>
      </c>
      <c r="B1211" s="2">
        <v>8189.7001950000003</v>
      </c>
    </row>
    <row r="1212" spans="1:2" x14ac:dyDescent="0.3">
      <c r="A1212" s="1">
        <v>42289</v>
      </c>
      <c r="B1212" s="2">
        <v>8143.6000979999999</v>
      </c>
    </row>
    <row r="1213" spans="1:2" x14ac:dyDescent="0.3">
      <c r="A1213" s="1">
        <v>42290</v>
      </c>
      <c r="B1213" s="2">
        <v>8131.7001950000003</v>
      </c>
    </row>
    <row r="1214" spans="1:2" x14ac:dyDescent="0.3">
      <c r="A1214" s="1">
        <v>42291</v>
      </c>
      <c r="B1214" s="2">
        <v>8107.8999020000001</v>
      </c>
    </row>
    <row r="1215" spans="1:2" x14ac:dyDescent="0.3">
      <c r="A1215" s="1">
        <v>42292</v>
      </c>
      <c r="B1215" s="2">
        <v>8179.5</v>
      </c>
    </row>
    <row r="1216" spans="1:2" x14ac:dyDescent="0.3">
      <c r="A1216" s="1">
        <v>42293</v>
      </c>
      <c r="B1216" s="2">
        <v>8238.1503909999992</v>
      </c>
    </row>
    <row r="1217" spans="1:2" x14ac:dyDescent="0.3">
      <c r="A1217" s="1">
        <v>42296</v>
      </c>
      <c r="B1217" s="2">
        <v>8275.0498050000006</v>
      </c>
    </row>
    <row r="1218" spans="1:2" x14ac:dyDescent="0.3">
      <c r="A1218" s="1">
        <v>42297</v>
      </c>
      <c r="B1218" s="2">
        <v>8261.6503909999992</v>
      </c>
    </row>
    <row r="1219" spans="1:2" x14ac:dyDescent="0.3">
      <c r="A1219" s="1">
        <v>42298</v>
      </c>
      <c r="B1219" s="2">
        <v>8251.7001949999994</v>
      </c>
    </row>
    <row r="1220" spans="1:2" x14ac:dyDescent="0.3">
      <c r="A1220" s="1">
        <v>42300</v>
      </c>
      <c r="B1220" s="2">
        <v>8295.4501949999994</v>
      </c>
    </row>
    <row r="1221" spans="1:2" x14ac:dyDescent="0.3">
      <c r="A1221" s="1">
        <v>42303</v>
      </c>
      <c r="B1221" s="2">
        <v>8260.5498050000006</v>
      </c>
    </row>
    <row r="1222" spans="1:2" x14ac:dyDescent="0.3">
      <c r="A1222" s="1">
        <v>42304</v>
      </c>
      <c r="B1222" s="2">
        <v>8232.9003909999992</v>
      </c>
    </row>
    <row r="1223" spans="1:2" x14ac:dyDescent="0.3">
      <c r="A1223" s="1">
        <v>42305</v>
      </c>
      <c r="B1223" s="2">
        <v>8171.2001950000003</v>
      </c>
    </row>
    <row r="1224" spans="1:2" x14ac:dyDescent="0.3">
      <c r="A1224" s="1">
        <v>42306</v>
      </c>
      <c r="B1224" s="2">
        <v>8111.75</v>
      </c>
    </row>
    <row r="1225" spans="1:2" x14ac:dyDescent="0.3">
      <c r="A1225" s="1">
        <v>42307</v>
      </c>
      <c r="B1225" s="2">
        <v>8065.7998049999997</v>
      </c>
    </row>
    <row r="1226" spans="1:2" x14ac:dyDescent="0.3">
      <c r="A1226" s="1">
        <v>42310</v>
      </c>
      <c r="B1226" s="2">
        <v>8050.7998049999997</v>
      </c>
    </row>
    <row r="1227" spans="1:2" x14ac:dyDescent="0.3">
      <c r="A1227" s="1">
        <v>42311</v>
      </c>
      <c r="B1227" s="2">
        <v>8060.7001950000003</v>
      </c>
    </row>
    <row r="1228" spans="1:2" x14ac:dyDescent="0.3">
      <c r="A1228" s="1">
        <v>42312</v>
      </c>
      <c r="B1228" s="2">
        <v>8040.2001950000003</v>
      </c>
    </row>
    <row r="1229" spans="1:2" x14ac:dyDescent="0.3">
      <c r="A1229" s="1">
        <v>42313</v>
      </c>
      <c r="B1229" s="2">
        <v>7955.4501950000003</v>
      </c>
    </row>
    <row r="1230" spans="1:2" x14ac:dyDescent="0.3">
      <c r="A1230" s="1">
        <v>42314</v>
      </c>
      <c r="B1230" s="2">
        <v>7954.2998049999997</v>
      </c>
    </row>
    <row r="1231" spans="1:2" x14ac:dyDescent="0.3">
      <c r="A1231" s="1">
        <v>42317</v>
      </c>
      <c r="B1231" s="2">
        <v>7915.2001950000003</v>
      </c>
    </row>
    <row r="1232" spans="1:2" x14ac:dyDescent="0.3">
      <c r="A1232" s="1">
        <v>42318</v>
      </c>
      <c r="B1232" s="2">
        <v>7783.3500979999999</v>
      </c>
    </row>
    <row r="1233" spans="1:2" x14ac:dyDescent="0.3">
      <c r="A1233" s="1">
        <v>42321</v>
      </c>
      <c r="B1233" s="2">
        <v>7762.25</v>
      </c>
    </row>
    <row r="1234" spans="1:2" x14ac:dyDescent="0.3">
      <c r="A1234" s="1">
        <v>42324</v>
      </c>
      <c r="B1234" s="2">
        <v>7806.6000979999999</v>
      </c>
    </row>
    <row r="1235" spans="1:2" x14ac:dyDescent="0.3">
      <c r="A1235" s="1">
        <v>42325</v>
      </c>
      <c r="B1235" s="2">
        <v>7837.5498049999997</v>
      </c>
    </row>
    <row r="1236" spans="1:2" x14ac:dyDescent="0.3">
      <c r="A1236" s="1">
        <v>42326</v>
      </c>
      <c r="B1236" s="2">
        <v>7731.7998049999997</v>
      </c>
    </row>
    <row r="1237" spans="1:2" x14ac:dyDescent="0.3">
      <c r="A1237" s="1">
        <v>42327</v>
      </c>
      <c r="B1237" s="2">
        <v>7842.75</v>
      </c>
    </row>
    <row r="1238" spans="1:2" x14ac:dyDescent="0.3">
      <c r="A1238" s="1">
        <v>42328</v>
      </c>
      <c r="B1238" s="2">
        <v>7856.5498049999997</v>
      </c>
    </row>
    <row r="1239" spans="1:2" x14ac:dyDescent="0.3">
      <c r="A1239" s="1">
        <v>42331</v>
      </c>
      <c r="B1239" s="2">
        <v>7849.25</v>
      </c>
    </row>
    <row r="1240" spans="1:2" x14ac:dyDescent="0.3">
      <c r="A1240" s="1">
        <v>42332</v>
      </c>
      <c r="B1240" s="2">
        <v>7831.6000979999999</v>
      </c>
    </row>
    <row r="1241" spans="1:2" x14ac:dyDescent="0.3">
      <c r="A1241" s="1">
        <v>42334</v>
      </c>
      <c r="B1241" s="2">
        <v>7883.7998049999997</v>
      </c>
    </row>
    <row r="1242" spans="1:2" x14ac:dyDescent="0.3">
      <c r="A1242" s="1">
        <v>42335</v>
      </c>
      <c r="B1242" s="2">
        <v>7942.7001950000003</v>
      </c>
    </row>
    <row r="1243" spans="1:2" x14ac:dyDescent="0.3">
      <c r="A1243" s="1">
        <v>42338</v>
      </c>
      <c r="B1243" s="2">
        <v>7935.25</v>
      </c>
    </row>
    <row r="1244" spans="1:2" x14ac:dyDescent="0.3">
      <c r="A1244" s="1">
        <v>42339</v>
      </c>
      <c r="B1244" s="2">
        <v>7954.8999020000001</v>
      </c>
    </row>
    <row r="1245" spans="1:2" x14ac:dyDescent="0.3">
      <c r="A1245" s="1">
        <v>42340</v>
      </c>
      <c r="B1245" s="2">
        <v>7931.3500979999999</v>
      </c>
    </row>
    <row r="1246" spans="1:2" x14ac:dyDescent="0.3">
      <c r="A1246" s="1">
        <v>42341</v>
      </c>
      <c r="B1246" s="2">
        <v>7864.1499020000001</v>
      </c>
    </row>
    <row r="1247" spans="1:2" x14ac:dyDescent="0.3">
      <c r="A1247" s="1">
        <v>42342</v>
      </c>
      <c r="B1247" s="2">
        <v>7781.8999020000001</v>
      </c>
    </row>
    <row r="1248" spans="1:2" x14ac:dyDescent="0.3">
      <c r="A1248" s="1">
        <v>42345</v>
      </c>
      <c r="B1248" s="2">
        <v>7765.3999020000001</v>
      </c>
    </row>
    <row r="1249" spans="1:2" x14ac:dyDescent="0.3">
      <c r="A1249" s="1">
        <v>42346</v>
      </c>
      <c r="B1249" s="2">
        <v>7701.7001950000003</v>
      </c>
    </row>
    <row r="1250" spans="1:2" x14ac:dyDescent="0.3">
      <c r="A1250" s="1">
        <v>42347</v>
      </c>
      <c r="B1250" s="2">
        <v>7612.5</v>
      </c>
    </row>
    <row r="1251" spans="1:2" x14ac:dyDescent="0.3">
      <c r="A1251" s="1">
        <v>42348</v>
      </c>
      <c r="B1251" s="2">
        <v>7683.2998049999997</v>
      </c>
    </row>
    <row r="1252" spans="1:2" x14ac:dyDescent="0.3">
      <c r="A1252" s="1">
        <v>42349</v>
      </c>
      <c r="B1252" s="2">
        <v>7610.4501950000003</v>
      </c>
    </row>
    <row r="1253" spans="1:2" x14ac:dyDescent="0.3">
      <c r="A1253" s="1">
        <v>42352</v>
      </c>
      <c r="B1253" s="2">
        <v>7650.0498049999997</v>
      </c>
    </row>
    <row r="1254" spans="1:2" x14ac:dyDescent="0.3">
      <c r="A1254" s="1">
        <v>42353</v>
      </c>
      <c r="B1254" s="2">
        <v>7700.8999020000001</v>
      </c>
    </row>
    <row r="1255" spans="1:2" x14ac:dyDescent="0.3">
      <c r="A1255" s="1">
        <v>42354</v>
      </c>
      <c r="B1255" s="2">
        <v>7750.8999020000001</v>
      </c>
    </row>
    <row r="1256" spans="1:2" x14ac:dyDescent="0.3">
      <c r="A1256" s="1">
        <v>42355</v>
      </c>
      <c r="B1256" s="2">
        <v>7844.3500979999999</v>
      </c>
    </row>
    <row r="1257" spans="1:2" x14ac:dyDescent="0.3">
      <c r="A1257" s="1">
        <v>42356</v>
      </c>
      <c r="B1257" s="2">
        <v>7761.9501950000003</v>
      </c>
    </row>
    <row r="1258" spans="1:2" x14ac:dyDescent="0.3">
      <c r="A1258" s="1">
        <v>42359</v>
      </c>
      <c r="B1258" s="2">
        <v>7834.4501950000003</v>
      </c>
    </row>
    <row r="1259" spans="1:2" x14ac:dyDescent="0.3">
      <c r="A1259" s="1">
        <v>42360</v>
      </c>
      <c r="B1259" s="2">
        <v>7786.1000979999999</v>
      </c>
    </row>
    <row r="1260" spans="1:2" x14ac:dyDescent="0.3">
      <c r="A1260" s="1">
        <v>42361</v>
      </c>
      <c r="B1260" s="2">
        <v>7865.9501950000003</v>
      </c>
    </row>
    <row r="1261" spans="1:2" x14ac:dyDescent="0.3">
      <c r="A1261" s="1">
        <v>42362</v>
      </c>
      <c r="B1261" s="2">
        <v>7861.0498049999997</v>
      </c>
    </row>
    <row r="1262" spans="1:2" x14ac:dyDescent="0.3">
      <c r="A1262" s="1">
        <v>42366</v>
      </c>
      <c r="B1262" s="2">
        <v>7925.1499020000001</v>
      </c>
    </row>
    <row r="1263" spans="1:2" x14ac:dyDescent="0.3">
      <c r="A1263" s="1">
        <v>42367</v>
      </c>
      <c r="B1263" s="2">
        <v>7928.9501950000003</v>
      </c>
    </row>
    <row r="1264" spans="1:2" x14ac:dyDescent="0.3">
      <c r="A1264" s="1">
        <v>42368</v>
      </c>
      <c r="B1264" s="2">
        <v>7896.25</v>
      </c>
    </row>
    <row r="1265" spans="1:2" x14ac:dyDescent="0.3">
      <c r="A1265" s="1">
        <v>42369</v>
      </c>
      <c r="B1265" s="2">
        <v>7946.3500979999999</v>
      </c>
    </row>
    <row r="1266" spans="1:2" x14ac:dyDescent="0.3">
      <c r="A1266" s="1">
        <v>42373</v>
      </c>
      <c r="B1266" s="2">
        <v>7791.2998049999997</v>
      </c>
    </row>
    <row r="1267" spans="1:2" x14ac:dyDescent="0.3">
      <c r="A1267" s="1">
        <v>42374</v>
      </c>
      <c r="B1267" s="2">
        <v>7784.6499020000001</v>
      </c>
    </row>
    <row r="1268" spans="1:2" x14ac:dyDescent="0.3">
      <c r="A1268" s="1">
        <v>42375</v>
      </c>
      <c r="B1268" s="2">
        <v>7741</v>
      </c>
    </row>
    <row r="1269" spans="1:2" x14ac:dyDescent="0.3">
      <c r="A1269" s="1">
        <v>42376</v>
      </c>
      <c r="B1269" s="2">
        <v>7568.2998049999997</v>
      </c>
    </row>
    <row r="1270" spans="1:2" x14ac:dyDescent="0.3">
      <c r="A1270" s="1">
        <v>42377</v>
      </c>
      <c r="B1270" s="2">
        <v>7601.3500979999999</v>
      </c>
    </row>
    <row r="1271" spans="1:2" x14ac:dyDescent="0.3">
      <c r="A1271" s="1">
        <v>42380</v>
      </c>
      <c r="B1271" s="2">
        <v>7563.8500979999999</v>
      </c>
    </row>
    <row r="1272" spans="1:2" x14ac:dyDescent="0.3">
      <c r="A1272" s="1">
        <v>42381</v>
      </c>
      <c r="B1272" s="2">
        <v>7510.2998049999997</v>
      </c>
    </row>
    <row r="1273" spans="1:2" x14ac:dyDescent="0.3">
      <c r="A1273" s="1">
        <v>42382</v>
      </c>
      <c r="B1273" s="2">
        <v>7562.3999020000001</v>
      </c>
    </row>
    <row r="1274" spans="1:2" x14ac:dyDescent="0.3">
      <c r="A1274" s="1">
        <v>42383</v>
      </c>
      <c r="B1274" s="2">
        <v>7536.7998049999997</v>
      </c>
    </row>
    <row r="1275" spans="1:2" x14ac:dyDescent="0.3">
      <c r="A1275" s="1">
        <v>42384</v>
      </c>
      <c r="B1275" s="2">
        <v>7437.7998049999997</v>
      </c>
    </row>
    <row r="1276" spans="1:2" x14ac:dyDescent="0.3">
      <c r="A1276" s="1">
        <v>42387</v>
      </c>
      <c r="B1276" s="2">
        <v>7351</v>
      </c>
    </row>
    <row r="1277" spans="1:2" x14ac:dyDescent="0.3">
      <c r="A1277" s="1">
        <v>42388</v>
      </c>
      <c r="B1277" s="2">
        <v>7435.1000979999999</v>
      </c>
    </row>
    <row r="1278" spans="1:2" x14ac:dyDescent="0.3">
      <c r="A1278" s="1">
        <v>42389</v>
      </c>
      <c r="B1278" s="2">
        <v>7309.2998049999997</v>
      </c>
    </row>
    <row r="1279" spans="1:2" x14ac:dyDescent="0.3">
      <c r="A1279" s="1">
        <v>42390</v>
      </c>
      <c r="B1279" s="2">
        <v>7276.7998049999997</v>
      </c>
    </row>
    <row r="1280" spans="1:2" x14ac:dyDescent="0.3">
      <c r="A1280" s="1">
        <v>42391</v>
      </c>
      <c r="B1280" s="2">
        <v>7422.4501950000003</v>
      </c>
    </row>
    <row r="1281" spans="1:2" x14ac:dyDescent="0.3">
      <c r="A1281" s="1">
        <v>42394</v>
      </c>
      <c r="B1281" s="2">
        <v>7436.1499020000001</v>
      </c>
    </row>
    <row r="1282" spans="1:2" x14ac:dyDescent="0.3">
      <c r="A1282" s="1">
        <v>42396</v>
      </c>
      <c r="B1282" s="2">
        <v>7437.75</v>
      </c>
    </row>
    <row r="1283" spans="1:2" x14ac:dyDescent="0.3">
      <c r="A1283" s="1">
        <v>42397</v>
      </c>
      <c r="B1283" s="2">
        <v>7424.6499020000001</v>
      </c>
    </row>
    <row r="1284" spans="1:2" x14ac:dyDescent="0.3">
      <c r="A1284" s="1">
        <v>42398</v>
      </c>
      <c r="B1284" s="2">
        <v>7563.5498049999997</v>
      </c>
    </row>
    <row r="1285" spans="1:2" x14ac:dyDescent="0.3">
      <c r="A1285" s="1">
        <v>42401</v>
      </c>
      <c r="B1285" s="2">
        <v>7555.9501950000003</v>
      </c>
    </row>
    <row r="1286" spans="1:2" x14ac:dyDescent="0.3">
      <c r="A1286" s="1">
        <v>42402</v>
      </c>
      <c r="B1286" s="2">
        <v>7455.5498049999997</v>
      </c>
    </row>
    <row r="1287" spans="1:2" x14ac:dyDescent="0.3">
      <c r="A1287" s="1">
        <v>42403</v>
      </c>
      <c r="B1287" s="2">
        <v>7361.7998049999997</v>
      </c>
    </row>
    <row r="1288" spans="1:2" x14ac:dyDescent="0.3">
      <c r="A1288" s="1">
        <v>42404</v>
      </c>
      <c r="B1288" s="2">
        <v>7404</v>
      </c>
    </row>
    <row r="1289" spans="1:2" x14ac:dyDescent="0.3">
      <c r="A1289" s="1">
        <v>42405</v>
      </c>
      <c r="B1289" s="2">
        <v>7489.1000979999999</v>
      </c>
    </row>
    <row r="1290" spans="1:2" x14ac:dyDescent="0.3">
      <c r="A1290" s="1">
        <v>42408</v>
      </c>
      <c r="B1290" s="2">
        <v>7387.25</v>
      </c>
    </row>
    <row r="1291" spans="1:2" x14ac:dyDescent="0.3">
      <c r="A1291" s="1">
        <v>42409</v>
      </c>
      <c r="B1291" s="2">
        <v>7298.2001950000003</v>
      </c>
    </row>
    <row r="1292" spans="1:2" x14ac:dyDescent="0.3">
      <c r="A1292" s="1">
        <v>42410</v>
      </c>
      <c r="B1292" s="2">
        <v>7215.7001950000003</v>
      </c>
    </row>
    <row r="1293" spans="1:2" x14ac:dyDescent="0.3">
      <c r="A1293" s="1">
        <v>42411</v>
      </c>
      <c r="B1293" s="2">
        <v>6976.3500979999999</v>
      </c>
    </row>
    <row r="1294" spans="1:2" x14ac:dyDescent="0.3">
      <c r="A1294" s="1">
        <v>42412</v>
      </c>
      <c r="B1294" s="2">
        <v>6980.9501950000003</v>
      </c>
    </row>
    <row r="1295" spans="1:2" x14ac:dyDescent="0.3">
      <c r="A1295" s="1">
        <v>42415</v>
      </c>
      <c r="B1295" s="2">
        <v>7162.9501950000003</v>
      </c>
    </row>
    <row r="1296" spans="1:2" x14ac:dyDescent="0.3">
      <c r="A1296" s="1">
        <v>42416</v>
      </c>
      <c r="B1296" s="2">
        <v>7048.25</v>
      </c>
    </row>
    <row r="1297" spans="1:2" x14ac:dyDescent="0.3">
      <c r="A1297" s="1">
        <v>42417</v>
      </c>
      <c r="B1297" s="2">
        <v>7108.4501950000003</v>
      </c>
    </row>
    <row r="1298" spans="1:2" x14ac:dyDescent="0.3">
      <c r="A1298" s="1">
        <v>42418</v>
      </c>
      <c r="B1298" s="2">
        <v>7191.75</v>
      </c>
    </row>
    <row r="1299" spans="1:2" x14ac:dyDescent="0.3">
      <c r="A1299" s="1">
        <v>42419</v>
      </c>
      <c r="B1299" s="2">
        <v>7210.75</v>
      </c>
    </row>
    <row r="1300" spans="1:2" x14ac:dyDescent="0.3">
      <c r="A1300" s="1">
        <v>42422</v>
      </c>
      <c r="B1300" s="2">
        <v>7234.5498049999997</v>
      </c>
    </row>
    <row r="1301" spans="1:2" x14ac:dyDescent="0.3">
      <c r="A1301" s="1">
        <v>42423</v>
      </c>
      <c r="B1301" s="2">
        <v>7109.5498049999997</v>
      </c>
    </row>
    <row r="1302" spans="1:2" x14ac:dyDescent="0.3">
      <c r="A1302" s="1">
        <v>42424</v>
      </c>
      <c r="B1302" s="2">
        <v>7018.7001950000003</v>
      </c>
    </row>
    <row r="1303" spans="1:2" x14ac:dyDescent="0.3">
      <c r="A1303" s="1">
        <v>42425</v>
      </c>
      <c r="B1303" s="2">
        <v>6970.6000979999999</v>
      </c>
    </row>
    <row r="1304" spans="1:2" x14ac:dyDescent="0.3">
      <c r="A1304" s="1">
        <v>42426</v>
      </c>
      <c r="B1304" s="2">
        <v>7029.75</v>
      </c>
    </row>
    <row r="1305" spans="1:2" x14ac:dyDescent="0.3">
      <c r="A1305" s="1">
        <v>42429</v>
      </c>
      <c r="B1305" s="2">
        <v>6987.0498049999997</v>
      </c>
    </row>
    <row r="1306" spans="1:2" x14ac:dyDescent="0.3">
      <c r="A1306" s="1">
        <v>42430</v>
      </c>
      <c r="B1306" s="2">
        <v>7222.2998049999997</v>
      </c>
    </row>
    <row r="1307" spans="1:2" x14ac:dyDescent="0.3">
      <c r="A1307" s="1">
        <v>42431</v>
      </c>
      <c r="B1307" s="2">
        <v>7368.8500979999999</v>
      </c>
    </row>
    <row r="1308" spans="1:2" x14ac:dyDescent="0.3">
      <c r="A1308" s="1">
        <v>42432</v>
      </c>
      <c r="B1308" s="2">
        <v>7475.6000979999999</v>
      </c>
    </row>
    <row r="1309" spans="1:2" x14ac:dyDescent="0.3">
      <c r="A1309" s="1">
        <v>42433</v>
      </c>
      <c r="B1309" s="2">
        <v>7485.3500979999999</v>
      </c>
    </row>
    <row r="1310" spans="1:2" x14ac:dyDescent="0.3">
      <c r="A1310" s="1">
        <v>42437</v>
      </c>
      <c r="B1310" s="2">
        <v>7485.2998049999997</v>
      </c>
    </row>
    <row r="1311" spans="1:2" x14ac:dyDescent="0.3">
      <c r="A1311" s="1">
        <v>42438</v>
      </c>
      <c r="B1311" s="2">
        <v>7531.7998049999997</v>
      </c>
    </row>
    <row r="1312" spans="1:2" x14ac:dyDescent="0.3">
      <c r="A1312" s="1">
        <v>42439</v>
      </c>
      <c r="B1312" s="2">
        <v>7486.1499020000001</v>
      </c>
    </row>
    <row r="1313" spans="1:2" x14ac:dyDescent="0.3">
      <c r="A1313" s="1">
        <v>42440</v>
      </c>
      <c r="B1313" s="2">
        <v>7510.2001950000003</v>
      </c>
    </row>
    <row r="1314" spans="1:2" x14ac:dyDescent="0.3">
      <c r="A1314" s="1">
        <v>42443</v>
      </c>
      <c r="B1314" s="2">
        <v>7538.75</v>
      </c>
    </row>
    <row r="1315" spans="1:2" x14ac:dyDescent="0.3">
      <c r="A1315" s="1">
        <v>42444</v>
      </c>
      <c r="B1315" s="2">
        <v>7460.6000979999999</v>
      </c>
    </row>
    <row r="1316" spans="1:2" x14ac:dyDescent="0.3">
      <c r="A1316" s="1">
        <v>42445</v>
      </c>
      <c r="B1316" s="2">
        <v>7498.75</v>
      </c>
    </row>
    <row r="1317" spans="1:2" x14ac:dyDescent="0.3">
      <c r="A1317" s="1">
        <v>42446</v>
      </c>
      <c r="B1317" s="2">
        <v>7512.5498049999997</v>
      </c>
    </row>
    <row r="1318" spans="1:2" x14ac:dyDescent="0.3">
      <c r="A1318" s="1">
        <v>42447</v>
      </c>
      <c r="B1318" s="2">
        <v>7604.3500979999999</v>
      </c>
    </row>
    <row r="1319" spans="1:2" x14ac:dyDescent="0.3">
      <c r="A1319" s="1">
        <v>42450</v>
      </c>
      <c r="B1319" s="2">
        <v>7704.25</v>
      </c>
    </row>
    <row r="1320" spans="1:2" x14ac:dyDescent="0.3">
      <c r="A1320" s="1">
        <v>42451</v>
      </c>
      <c r="B1320" s="2">
        <v>7714.8999020000001</v>
      </c>
    </row>
    <row r="1321" spans="1:2" x14ac:dyDescent="0.3">
      <c r="A1321" s="1">
        <v>42452</v>
      </c>
      <c r="B1321" s="2">
        <v>7716.5</v>
      </c>
    </row>
    <row r="1322" spans="1:2" x14ac:dyDescent="0.3">
      <c r="A1322" s="1">
        <v>42457</v>
      </c>
      <c r="B1322" s="2">
        <v>7615.1000979999999</v>
      </c>
    </row>
    <row r="1323" spans="1:2" x14ac:dyDescent="0.3">
      <c r="A1323" s="1">
        <v>42458</v>
      </c>
      <c r="B1323" s="2">
        <v>7597</v>
      </c>
    </row>
    <row r="1324" spans="1:2" x14ac:dyDescent="0.3">
      <c r="A1324" s="1">
        <v>42459</v>
      </c>
      <c r="B1324" s="2">
        <v>7735.2001950000003</v>
      </c>
    </row>
    <row r="1325" spans="1:2" x14ac:dyDescent="0.3">
      <c r="A1325" s="1">
        <v>42460</v>
      </c>
      <c r="B1325" s="2">
        <v>7738.3999020000001</v>
      </c>
    </row>
    <row r="1326" spans="1:2" x14ac:dyDescent="0.3">
      <c r="A1326" s="1">
        <v>42461</v>
      </c>
      <c r="B1326" s="2">
        <v>7713.0498049999997</v>
      </c>
    </row>
    <row r="1327" spans="1:2" x14ac:dyDescent="0.3">
      <c r="A1327" s="1">
        <v>42464</v>
      </c>
      <c r="B1327" s="2">
        <v>7758.7998049999997</v>
      </c>
    </row>
    <row r="1328" spans="1:2" x14ac:dyDescent="0.3">
      <c r="A1328" s="1">
        <v>42465</v>
      </c>
      <c r="B1328" s="2">
        <v>7603.2001950000003</v>
      </c>
    </row>
    <row r="1329" spans="1:2" x14ac:dyDescent="0.3">
      <c r="A1329" s="1">
        <v>42466</v>
      </c>
      <c r="B1329" s="2">
        <v>7614.3500979999999</v>
      </c>
    </row>
    <row r="1330" spans="1:2" x14ac:dyDescent="0.3">
      <c r="A1330" s="1">
        <v>42467</v>
      </c>
      <c r="B1330" s="2">
        <v>7546.4501950000003</v>
      </c>
    </row>
    <row r="1331" spans="1:2" x14ac:dyDescent="0.3">
      <c r="A1331" s="1">
        <v>42468</v>
      </c>
      <c r="B1331" s="2">
        <v>7555.2001950000003</v>
      </c>
    </row>
    <row r="1332" spans="1:2" x14ac:dyDescent="0.3">
      <c r="A1332" s="1">
        <v>42471</v>
      </c>
      <c r="B1332" s="2">
        <v>7671.3999020000001</v>
      </c>
    </row>
    <row r="1333" spans="1:2" x14ac:dyDescent="0.3">
      <c r="A1333" s="1">
        <v>42472</v>
      </c>
      <c r="B1333" s="2">
        <v>7708.9501950000003</v>
      </c>
    </row>
    <row r="1334" spans="1:2" x14ac:dyDescent="0.3">
      <c r="A1334" s="1">
        <v>42473</v>
      </c>
      <c r="B1334" s="2">
        <v>7850.4501950000003</v>
      </c>
    </row>
    <row r="1335" spans="1:2" x14ac:dyDescent="0.3">
      <c r="A1335" s="1">
        <v>42478</v>
      </c>
      <c r="B1335" s="2">
        <v>7914.7001950000003</v>
      </c>
    </row>
    <row r="1336" spans="1:2" x14ac:dyDescent="0.3">
      <c r="A1336" s="1">
        <v>42480</v>
      </c>
      <c r="B1336" s="2">
        <v>7914.75</v>
      </c>
    </row>
    <row r="1337" spans="1:2" x14ac:dyDescent="0.3">
      <c r="A1337" s="1">
        <v>42481</v>
      </c>
      <c r="B1337" s="2">
        <v>7912.0498049999997</v>
      </c>
    </row>
    <row r="1338" spans="1:2" x14ac:dyDescent="0.3">
      <c r="A1338" s="1">
        <v>42482</v>
      </c>
      <c r="B1338" s="2">
        <v>7899.2998049999997</v>
      </c>
    </row>
    <row r="1339" spans="1:2" x14ac:dyDescent="0.3">
      <c r="A1339" s="1">
        <v>42485</v>
      </c>
      <c r="B1339" s="2">
        <v>7855.0498049999997</v>
      </c>
    </row>
    <row r="1340" spans="1:2" x14ac:dyDescent="0.3">
      <c r="A1340" s="1">
        <v>42486</v>
      </c>
      <c r="B1340" s="2">
        <v>7962.6499020000001</v>
      </c>
    </row>
    <row r="1341" spans="1:2" x14ac:dyDescent="0.3">
      <c r="A1341" s="1">
        <v>42487</v>
      </c>
      <c r="B1341" s="2">
        <v>7979.8999020000001</v>
      </c>
    </row>
    <row r="1342" spans="1:2" x14ac:dyDescent="0.3">
      <c r="A1342" s="1">
        <v>42488</v>
      </c>
      <c r="B1342" s="2">
        <v>7847.25</v>
      </c>
    </row>
    <row r="1343" spans="1:2" x14ac:dyDescent="0.3">
      <c r="A1343" s="1">
        <v>42489</v>
      </c>
      <c r="B1343" s="2">
        <v>7849.7998049999997</v>
      </c>
    </row>
    <row r="1344" spans="1:2" x14ac:dyDescent="0.3">
      <c r="A1344" s="1">
        <v>42492</v>
      </c>
      <c r="B1344" s="2">
        <v>7805.8999020000001</v>
      </c>
    </row>
    <row r="1345" spans="1:2" x14ac:dyDescent="0.3">
      <c r="A1345" s="1">
        <v>42493</v>
      </c>
      <c r="B1345" s="2">
        <v>7747</v>
      </c>
    </row>
    <row r="1346" spans="1:2" x14ac:dyDescent="0.3">
      <c r="A1346" s="1">
        <v>42494</v>
      </c>
      <c r="B1346" s="2">
        <v>7706.5498049999997</v>
      </c>
    </row>
    <row r="1347" spans="1:2" x14ac:dyDescent="0.3">
      <c r="A1347" s="1">
        <v>42495</v>
      </c>
      <c r="B1347" s="2">
        <v>7735.5</v>
      </c>
    </row>
    <row r="1348" spans="1:2" x14ac:dyDescent="0.3">
      <c r="A1348" s="1">
        <v>42496</v>
      </c>
      <c r="B1348" s="2">
        <v>7733.4501950000003</v>
      </c>
    </row>
    <row r="1349" spans="1:2" x14ac:dyDescent="0.3">
      <c r="A1349" s="1">
        <v>42499</v>
      </c>
      <c r="B1349" s="2">
        <v>7866.0498049999997</v>
      </c>
    </row>
    <row r="1350" spans="1:2" x14ac:dyDescent="0.3">
      <c r="A1350" s="1">
        <v>42500</v>
      </c>
      <c r="B1350" s="2">
        <v>7887.7998049999997</v>
      </c>
    </row>
    <row r="1351" spans="1:2" x14ac:dyDescent="0.3">
      <c r="A1351" s="1">
        <v>42501</v>
      </c>
      <c r="B1351" s="2">
        <v>7848.8500979999999</v>
      </c>
    </row>
    <row r="1352" spans="1:2" x14ac:dyDescent="0.3">
      <c r="A1352" s="1">
        <v>42502</v>
      </c>
      <c r="B1352" s="2">
        <v>7900.3999020000001</v>
      </c>
    </row>
    <row r="1353" spans="1:2" x14ac:dyDescent="0.3">
      <c r="A1353" s="1">
        <v>42503</v>
      </c>
      <c r="B1353" s="2">
        <v>7814.8999020000001</v>
      </c>
    </row>
    <row r="1354" spans="1:2" x14ac:dyDescent="0.3">
      <c r="A1354" s="1">
        <v>42506</v>
      </c>
      <c r="B1354" s="2">
        <v>7860.75</v>
      </c>
    </row>
    <row r="1355" spans="1:2" x14ac:dyDescent="0.3">
      <c r="A1355" s="1">
        <v>42507</v>
      </c>
      <c r="B1355" s="2">
        <v>7890.75</v>
      </c>
    </row>
    <row r="1356" spans="1:2" x14ac:dyDescent="0.3">
      <c r="A1356" s="1">
        <v>42508</v>
      </c>
      <c r="B1356" s="2">
        <v>7870.1499020000001</v>
      </c>
    </row>
    <row r="1357" spans="1:2" x14ac:dyDescent="0.3">
      <c r="A1357" s="1">
        <v>42509</v>
      </c>
      <c r="B1357" s="2">
        <v>7783.3999020000001</v>
      </c>
    </row>
    <row r="1358" spans="1:2" x14ac:dyDescent="0.3">
      <c r="A1358" s="1">
        <v>42510</v>
      </c>
      <c r="B1358" s="2">
        <v>7749.7001950000003</v>
      </c>
    </row>
    <row r="1359" spans="1:2" x14ac:dyDescent="0.3">
      <c r="A1359" s="1">
        <v>42513</v>
      </c>
      <c r="B1359" s="2">
        <v>7731.0498049999997</v>
      </c>
    </row>
    <row r="1360" spans="1:2" x14ac:dyDescent="0.3">
      <c r="A1360" s="1">
        <v>42514</v>
      </c>
      <c r="B1360" s="2">
        <v>7748.8500979999999</v>
      </c>
    </row>
    <row r="1361" spans="1:2" x14ac:dyDescent="0.3">
      <c r="A1361" s="1">
        <v>42515</v>
      </c>
      <c r="B1361" s="2">
        <v>7934.8999020000001</v>
      </c>
    </row>
    <row r="1362" spans="1:2" x14ac:dyDescent="0.3">
      <c r="A1362" s="1">
        <v>42516</v>
      </c>
      <c r="B1362" s="2">
        <v>8069.6499020000001</v>
      </c>
    </row>
    <row r="1363" spans="1:2" x14ac:dyDescent="0.3">
      <c r="A1363" s="1">
        <v>42517</v>
      </c>
      <c r="B1363" s="2">
        <v>8156.6499020000001</v>
      </c>
    </row>
    <row r="1364" spans="1:2" x14ac:dyDescent="0.3">
      <c r="A1364" s="1">
        <v>42520</v>
      </c>
      <c r="B1364" s="2">
        <v>8178.5</v>
      </c>
    </row>
    <row r="1365" spans="1:2" x14ac:dyDescent="0.3">
      <c r="A1365" s="1">
        <v>42521</v>
      </c>
      <c r="B1365" s="2">
        <v>8160.1000979999999</v>
      </c>
    </row>
    <row r="1366" spans="1:2" x14ac:dyDescent="0.3">
      <c r="A1366" s="1">
        <v>42522</v>
      </c>
      <c r="B1366" s="2">
        <v>8179.9501950000003</v>
      </c>
    </row>
    <row r="1367" spans="1:2" x14ac:dyDescent="0.3">
      <c r="A1367" s="1">
        <v>42523</v>
      </c>
      <c r="B1367" s="2">
        <v>8218.9501949999994</v>
      </c>
    </row>
    <row r="1368" spans="1:2" x14ac:dyDescent="0.3">
      <c r="A1368" s="1">
        <v>42524</v>
      </c>
      <c r="B1368" s="2">
        <v>8220.7998050000006</v>
      </c>
    </row>
    <row r="1369" spans="1:2" x14ac:dyDescent="0.3">
      <c r="A1369" s="1">
        <v>42527</v>
      </c>
      <c r="B1369" s="2">
        <v>8201.0498050000006</v>
      </c>
    </row>
    <row r="1370" spans="1:2" x14ac:dyDescent="0.3">
      <c r="A1370" s="1">
        <v>42528</v>
      </c>
      <c r="B1370" s="2">
        <v>8266.4501949999994</v>
      </c>
    </row>
    <row r="1371" spans="1:2" x14ac:dyDescent="0.3">
      <c r="A1371" s="1">
        <v>42529</v>
      </c>
      <c r="B1371" s="2">
        <v>8273.0498050000006</v>
      </c>
    </row>
    <row r="1372" spans="1:2" x14ac:dyDescent="0.3">
      <c r="A1372" s="1">
        <v>42530</v>
      </c>
      <c r="B1372" s="2">
        <v>8203.5996090000008</v>
      </c>
    </row>
    <row r="1373" spans="1:2" x14ac:dyDescent="0.3">
      <c r="A1373" s="1">
        <v>42531</v>
      </c>
      <c r="B1373" s="2">
        <v>8170.0498049999997</v>
      </c>
    </row>
    <row r="1374" spans="1:2" x14ac:dyDescent="0.3">
      <c r="A1374" s="1">
        <v>42534</v>
      </c>
      <c r="B1374" s="2">
        <v>8110.6000979999999</v>
      </c>
    </row>
    <row r="1375" spans="1:2" x14ac:dyDescent="0.3">
      <c r="A1375" s="1">
        <v>42535</v>
      </c>
      <c r="B1375" s="2">
        <v>8108.8500979999999</v>
      </c>
    </row>
    <row r="1376" spans="1:2" x14ac:dyDescent="0.3">
      <c r="A1376" s="1">
        <v>42536</v>
      </c>
      <c r="B1376" s="2">
        <v>8206.5996090000008</v>
      </c>
    </row>
    <row r="1377" spans="1:2" x14ac:dyDescent="0.3">
      <c r="A1377" s="1">
        <v>42537</v>
      </c>
      <c r="B1377" s="2">
        <v>8140.75</v>
      </c>
    </row>
    <row r="1378" spans="1:2" x14ac:dyDescent="0.3">
      <c r="A1378" s="1">
        <v>42538</v>
      </c>
      <c r="B1378" s="2">
        <v>8170.2001950000003</v>
      </c>
    </row>
    <row r="1379" spans="1:2" x14ac:dyDescent="0.3">
      <c r="A1379" s="1">
        <v>42541</v>
      </c>
      <c r="B1379" s="2">
        <v>8238.5</v>
      </c>
    </row>
    <row r="1380" spans="1:2" x14ac:dyDescent="0.3">
      <c r="A1380" s="1">
        <v>42542</v>
      </c>
      <c r="B1380" s="2">
        <v>8219.9003909999992</v>
      </c>
    </row>
    <row r="1381" spans="1:2" x14ac:dyDescent="0.3">
      <c r="A1381" s="1">
        <v>42543</v>
      </c>
      <c r="B1381" s="2">
        <v>8203.7001949999994</v>
      </c>
    </row>
    <row r="1382" spans="1:2" x14ac:dyDescent="0.3">
      <c r="A1382" s="1">
        <v>42544</v>
      </c>
      <c r="B1382" s="2">
        <v>8270.4501949999994</v>
      </c>
    </row>
    <row r="1383" spans="1:2" x14ac:dyDescent="0.3">
      <c r="A1383" s="1">
        <v>42545</v>
      </c>
      <c r="B1383" s="2">
        <v>8088.6000979999999</v>
      </c>
    </row>
    <row r="1384" spans="1:2" x14ac:dyDescent="0.3">
      <c r="A1384" s="1">
        <v>42548</v>
      </c>
      <c r="B1384" s="2">
        <v>8094.7001950000003</v>
      </c>
    </row>
    <row r="1385" spans="1:2" x14ac:dyDescent="0.3">
      <c r="A1385" s="1">
        <v>42549</v>
      </c>
      <c r="B1385" s="2">
        <v>8127.8500979999999</v>
      </c>
    </row>
    <row r="1386" spans="1:2" x14ac:dyDescent="0.3">
      <c r="A1386" s="1">
        <v>42550</v>
      </c>
      <c r="B1386" s="2">
        <v>8204</v>
      </c>
    </row>
    <row r="1387" spans="1:2" x14ac:dyDescent="0.3">
      <c r="A1387" s="1">
        <v>42551</v>
      </c>
      <c r="B1387" s="2">
        <v>8287.75</v>
      </c>
    </row>
    <row r="1388" spans="1:2" x14ac:dyDescent="0.3">
      <c r="A1388" s="1">
        <v>42552</v>
      </c>
      <c r="B1388" s="2">
        <v>8328.3496090000008</v>
      </c>
    </row>
    <row r="1389" spans="1:2" x14ac:dyDescent="0.3">
      <c r="A1389" s="1">
        <v>42555</v>
      </c>
      <c r="B1389" s="2">
        <v>8370.7001949999994</v>
      </c>
    </row>
    <row r="1390" spans="1:2" x14ac:dyDescent="0.3">
      <c r="A1390" s="1">
        <v>42556</v>
      </c>
      <c r="B1390" s="2">
        <v>8335.9501949999994</v>
      </c>
    </row>
    <row r="1391" spans="1:2" x14ac:dyDescent="0.3">
      <c r="A1391" s="1">
        <v>42558</v>
      </c>
      <c r="B1391" s="2">
        <v>8337.9003909999992</v>
      </c>
    </row>
    <row r="1392" spans="1:2" x14ac:dyDescent="0.3">
      <c r="A1392" s="1">
        <v>42559</v>
      </c>
      <c r="B1392" s="2">
        <v>8323.2001949999994</v>
      </c>
    </row>
    <row r="1393" spans="1:2" x14ac:dyDescent="0.3">
      <c r="A1393" s="1">
        <v>42562</v>
      </c>
      <c r="B1393" s="2">
        <v>8467.9003909999992</v>
      </c>
    </row>
    <row r="1394" spans="1:2" x14ac:dyDescent="0.3">
      <c r="A1394" s="1">
        <v>42563</v>
      </c>
      <c r="B1394" s="2">
        <v>8521.0498050000006</v>
      </c>
    </row>
    <row r="1395" spans="1:2" x14ac:dyDescent="0.3">
      <c r="A1395" s="1">
        <v>42564</v>
      </c>
      <c r="B1395" s="2">
        <v>8519.5</v>
      </c>
    </row>
    <row r="1396" spans="1:2" x14ac:dyDescent="0.3">
      <c r="A1396" s="1">
        <v>42565</v>
      </c>
      <c r="B1396" s="2">
        <v>8565</v>
      </c>
    </row>
    <row r="1397" spans="1:2" x14ac:dyDescent="0.3">
      <c r="A1397" s="1">
        <v>42566</v>
      </c>
      <c r="B1397" s="2">
        <v>8541.4003909999992</v>
      </c>
    </row>
    <row r="1398" spans="1:2" x14ac:dyDescent="0.3">
      <c r="A1398" s="1">
        <v>42569</v>
      </c>
      <c r="B1398" s="2">
        <v>8508.7001949999994</v>
      </c>
    </row>
    <row r="1399" spans="1:2" x14ac:dyDescent="0.3">
      <c r="A1399" s="1">
        <v>42570</v>
      </c>
      <c r="B1399" s="2">
        <v>8528.5498050000006</v>
      </c>
    </row>
    <row r="1400" spans="1:2" x14ac:dyDescent="0.3">
      <c r="A1400" s="1">
        <v>42571</v>
      </c>
      <c r="B1400" s="2">
        <v>8565.8496090000008</v>
      </c>
    </row>
    <row r="1401" spans="1:2" x14ac:dyDescent="0.3">
      <c r="A1401" s="1">
        <v>42572</v>
      </c>
      <c r="B1401" s="2">
        <v>8510.0996090000008</v>
      </c>
    </row>
    <row r="1402" spans="1:2" x14ac:dyDescent="0.3">
      <c r="A1402" s="1">
        <v>42573</v>
      </c>
      <c r="B1402" s="2">
        <v>8541.2001949999994</v>
      </c>
    </row>
    <row r="1403" spans="1:2" x14ac:dyDescent="0.3">
      <c r="A1403" s="1">
        <v>42576</v>
      </c>
      <c r="B1403" s="2">
        <v>8635.6503909999992</v>
      </c>
    </row>
    <row r="1404" spans="1:2" x14ac:dyDescent="0.3">
      <c r="A1404" s="1">
        <v>42577</v>
      </c>
      <c r="B1404" s="2">
        <v>8590.6503909999992</v>
      </c>
    </row>
    <row r="1405" spans="1:2" x14ac:dyDescent="0.3">
      <c r="A1405" s="1">
        <v>42578</v>
      </c>
      <c r="B1405" s="2">
        <v>8615.7998050000006</v>
      </c>
    </row>
    <row r="1406" spans="1:2" x14ac:dyDescent="0.3">
      <c r="A1406" s="1">
        <v>42579</v>
      </c>
      <c r="B1406" s="2">
        <v>8666.2998050000006</v>
      </c>
    </row>
    <row r="1407" spans="1:2" x14ac:dyDescent="0.3">
      <c r="A1407" s="1">
        <v>42580</v>
      </c>
      <c r="B1407" s="2">
        <v>8638.5</v>
      </c>
    </row>
    <row r="1408" spans="1:2" x14ac:dyDescent="0.3">
      <c r="A1408" s="1">
        <v>42583</v>
      </c>
      <c r="B1408" s="2">
        <v>8636.5498050000006</v>
      </c>
    </row>
    <row r="1409" spans="1:2" x14ac:dyDescent="0.3">
      <c r="A1409" s="1">
        <v>42584</v>
      </c>
      <c r="B1409" s="2">
        <v>8622.9003909999992</v>
      </c>
    </row>
    <row r="1410" spans="1:2" x14ac:dyDescent="0.3">
      <c r="A1410" s="1">
        <v>42585</v>
      </c>
      <c r="B1410" s="2">
        <v>8544.8496090000008</v>
      </c>
    </row>
    <row r="1411" spans="1:2" x14ac:dyDescent="0.3">
      <c r="A1411" s="1">
        <v>42586</v>
      </c>
      <c r="B1411" s="2">
        <v>8551.0996090000008</v>
      </c>
    </row>
    <row r="1412" spans="1:2" x14ac:dyDescent="0.3">
      <c r="A1412" s="1">
        <v>42587</v>
      </c>
      <c r="B1412" s="2">
        <v>8683.1503909999992</v>
      </c>
    </row>
    <row r="1413" spans="1:2" x14ac:dyDescent="0.3">
      <c r="A1413" s="1">
        <v>42590</v>
      </c>
      <c r="B1413" s="2">
        <v>8711.3496090000008</v>
      </c>
    </row>
    <row r="1414" spans="1:2" x14ac:dyDescent="0.3">
      <c r="A1414" s="1">
        <v>42591</v>
      </c>
      <c r="B1414" s="2">
        <v>8678.25</v>
      </c>
    </row>
    <row r="1415" spans="1:2" x14ac:dyDescent="0.3">
      <c r="A1415" s="1">
        <v>42592</v>
      </c>
      <c r="B1415" s="2">
        <v>8575.2998050000006</v>
      </c>
    </row>
    <row r="1416" spans="1:2" x14ac:dyDescent="0.3">
      <c r="A1416" s="1">
        <v>42593</v>
      </c>
      <c r="B1416" s="2">
        <v>8592.1503909999992</v>
      </c>
    </row>
    <row r="1417" spans="1:2" x14ac:dyDescent="0.3">
      <c r="A1417" s="1">
        <v>42598</v>
      </c>
      <c r="B1417" s="2">
        <v>8642.5498050000006</v>
      </c>
    </row>
    <row r="1418" spans="1:2" x14ac:dyDescent="0.3">
      <c r="A1418" s="1">
        <v>42599</v>
      </c>
      <c r="B1418" s="2">
        <v>8624.0498050000006</v>
      </c>
    </row>
    <row r="1419" spans="1:2" x14ac:dyDescent="0.3">
      <c r="A1419" s="1">
        <v>42600</v>
      </c>
      <c r="B1419" s="2">
        <v>8673.25</v>
      </c>
    </row>
    <row r="1420" spans="1:2" x14ac:dyDescent="0.3">
      <c r="A1420" s="1">
        <v>42601</v>
      </c>
      <c r="B1420" s="2">
        <v>8666.9003909999992</v>
      </c>
    </row>
    <row r="1421" spans="1:2" x14ac:dyDescent="0.3">
      <c r="A1421" s="1">
        <v>42604</v>
      </c>
      <c r="B1421" s="2">
        <v>8629.1503909999992</v>
      </c>
    </row>
    <row r="1422" spans="1:2" x14ac:dyDescent="0.3">
      <c r="A1422" s="1">
        <v>42605</v>
      </c>
      <c r="B1422" s="2">
        <v>8632.5996090000008</v>
      </c>
    </row>
    <row r="1423" spans="1:2" x14ac:dyDescent="0.3">
      <c r="A1423" s="1">
        <v>42606</v>
      </c>
      <c r="B1423" s="2">
        <v>8650.2998050000006</v>
      </c>
    </row>
    <row r="1424" spans="1:2" x14ac:dyDescent="0.3">
      <c r="A1424" s="1">
        <v>42607</v>
      </c>
      <c r="B1424" s="2">
        <v>8592.2001949999994</v>
      </c>
    </row>
    <row r="1425" spans="1:2" x14ac:dyDescent="0.3">
      <c r="A1425" s="1">
        <v>42608</v>
      </c>
      <c r="B1425" s="2">
        <v>8572.5498050000006</v>
      </c>
    </row>
    <row r="1426" spans="1:2" x14ac:dyDescent="0.3">
      <c r="A1426" s="1">
        <v>42611</v>
      </c>
      <c r="B1426" s="2">
        <v>8607.4501949999994</v>
      </c>
    </row>
    <row r="1427" spans="1:2" x14ac:dyDescent="0.3">
      <c r="A1427" s="1">
        <v>42612</v>
      </c>
      <c r="B1427" s="2">
        <v>8744.3496090000008</v>
      </c>
    </row>
    <row r="1428" spans="1:2" x14ac:dyDescent="0.3">
      <c r="A1428" s="1">
        <v>42613</v>
      </c>
      <c r="B1428" s="2">
        <v>8786.2001949999994</v>
      </c>
    </row>
    <row r="1429" spans="1:2" x14ac:dyDescent="0.3">
      <c r="A1429" s="1">
        <v>42614</v>
      </c>
      <c r="B1429" s="2">
        <v>8774.6503909999992</v>
      </c>
    </row>
    <row r="1430" spans="1:2" x14ac:dyDescent="0.3">
      <c r="A1430" s="1">
        <v>42615</v>
      </c>
      <c r="B1430" s="2">
        <v>8809.6503909999992</v>
      </c>
    </row>
    <row r="1431" spans="1:2" x14ac:dyDescent="0.3">
      <c r="A1431" s="1">
        <v>42619</v>
      </c>
      <c r="B1431" s="2">
        <v>8943</v>
      </c>
    </row>
    <row r="1432" spans="1:2" x14ac:dyDescent="0.3">
      <c r="A1432" s="1">
        <v>42620</v>
      </c>
      <c r="B1432" s="2">
        <v>8917.9501949999994</v>
      </c>
    </row>
    <row r="1433" spans="1:2" x14ac:dyDescent="0.3">
      <c r="A1433" s="1">
        <v>42621</v>
      </c>
      <c r="B1433" s="2">
        <v>8952.5</v>
      </c>
    </row>
    <row r="1434" spans="1:2" x14ac:dyDescent="0.3">
      <c r="A1434" s="1">
        <v>42622</v>
      </c>
      <c r="B1434" s="2">
        <v>8866.7001949999994</v>
      </c>
    </row>
    <row r="1435" spans="1:2" x14ac:dyDescent="0.3">
      <c r="A1435" s="1">
        <v>42625</v>
      </c>
      <c r="B1435" s="2">
        <v>8715.5996090000008</v>
      </c>
    </row>
    <row r="1436" spans="1:2" x14ac:dyDescent="0.3">
      <c r="A1436" s="1">
        <v>42627</v>
      </c>
      <c r="B1436" s="2">
        <v>8726.5996090000008</v>
      </c>
    </row>
    <row r="1437" spans="1:2" x14ac:dyDescent="0.3">
      <c r="A1437" s="1">
        <v>42628</v>
      </c>
      <c r="B1437" s="2">
        <v>8742.5498050000006</v>
      </c>
    </row>
    <row r="1438" spans="1:2" x14ac:dyDescent="0.3">
      <c r="A1438" s="1">
        <v>42629</v>
      </c>
      <c r="B1438" s="2">
        <v>8779.8496090000008</v>
      </c>
    </row>
    <row r="1439" spans="1:2" x14ac:dyDescent="0.3">
      <c r="A1439" s="1">
        <v>42632</v>
      </c>
      <c r="B1439" s="2">
        <v>8808.4003909999992</v>
      </c>
    </row>
    <row r="1440" spans="1:2" x14ac:dyDescent="0.3">
      <c r="A1440" s="1">
        <v>42633</v>
      </c>
      <c r="B1440" s="2">
        <v>8775.9003909999992</v>
      </c>
    </row>
    <row r="1441" spans="1:2" x14ac:dyDescent="0.3">
      <c r="A1441" s="1">
        <v>42634</v>
      </c>
      <c r="B1441" s="2">
        <v>8777.1503909999992</v>
      </c>
    </row>
    <row r="1442" spans="1:2" x14ac:dyDescent="0.3">
      <c r="A1442" s="1">
        <v>42635</v>
      </c>
      <c r="B1442" s="2">
        <v>8867.4501949999994</v>
      </c>
    </row>
    <row r="1443" spans="1:2" x14ac:dyDescent="0.3">
      <c r="A1443" s="1">
        <v>42636</v>
      </c>
      <c r="B1443" s="2">
        <v>8831.5498050000006</v>
      </c>
    </row>
    <row r="1444" spans="1:2" x14ac:dyDescent="0.3">
      <c r="A1444" s="1">
        <v>42639</v>
      </c>
      <c r="B1444" s="2">
        <v>8723.0498050000006</v>
      </c>
    </row>
    <row r="1445" spans="1:2" x14ac:dyDescent="0.3">
      <c r="A1445" s="1">
        <v>42640</v>
      </c>
      <c r="B1445" s="2">
        <v>8706.4003909999992</v>
      </c>
    </row>
    <row r="1446" spans="1:2" x14ac:dyDescent="0.3">
      <c r="A1446" s="1">
        <v>42641</v>
      </c>
      <c r="B1446" s="2">
        <v>8745.1503909999992</v>
      </c>
    </row>
    <row r="1447" spans="1:2" x14ac:dyDescent="0.3">
      <c r="A1447" s="1">
        <v>42642</v>
      </c>
      <c r="B1447" s="2">
        <v>8591.25</v>
      </c>
    </row>
    <row r="1448" spans="1:2" x14ac:dyDescent="0.3">
      <c r="A1448" s="1">
        <v>42643</v>
      </c>
      <c r="B1448" s="2">
        <v>8611.1503909999992</v>
      </c>
    </row>
    <row r="1449" spans="1:2" x14ac:dyDescent="0.3">
      <c r="A1449" s="1">
        <v>42646</v>
      </c>
      <c r="B1449" s="2">
        <v>8738.0996090000008</v>
      </c>
    </row>
    <row r="1450" spans="1:2" x14ac:dyDescent="0.3">
      <c r="A1450" s="1">
        <v>42647</v>
      </c>
      <c r="B1450" s="2">
        <v>8769.1503909999992</v>
      </c>
    </row>
    <row r="1451" spans="1:2" x14ac:dyDescent="0.3">
      <c r="A1451" s="1">
        <v>42648</v>
      </c>
      <c r="B1451" s="2">
        <v>8743.9501949999994</v>
      </c>
    </row>
    <row r="1452" spans="1:2" x14ac:dyDescent="0.3">
      <c r="A1452" s="1">
        <v>42649</v>
      </c>
      <c r="B1452" s="2">
        <v>8709.5498050000006</v>
      </c>
    </row>
    <row r="1453" spans="1:2" x14ac:dyDescent="0.3">
      <c r="A1453" s="1">
        <v>42650</v>
      </c>
      <c r="B1453" s="2">
        <v>8697.5996090000008</v>
      </c>
    </row>
    <row r="1454" spans="1:2" x14ac:dyDescent="0.3">
      <c r="A1454" s="1">
        <v>42653</v>
      </c>
      <c r="B1454" s="2">
        <v>8708.7998050000006</v>
      </c>
    </row>
    <row r="1455" spans="1:2" x14ac:dyDescent="0.3">
      <c r="A1455" s="1">
        <v>42656</v>
      </c>
      <c r="B1455" s="2">
        <v>8573.3496090000008</v>
      </c>
    </row>
    <row r="1456" spans="1:2" x14ac:dyDescent="0.3">
      <c r="A1456" s="1">
        <v>42657</v>
      </c>
      <c r="B1456" s="2">
        <v>8583.4003909999992</v>
      </c>
    </row>
    <row r="1457" spans="1:2" x14ac:dyDescent="0.3">
      <c r="A1457" s="1">
        <v>42660</v>
      </c>
      <c r="B1457" s="2">
        <v>8520.4003909999992</v>
      </c>
    </row>
    <row r="1458" spans="1:2" x14ac:dyDescent="0.3">
      <c r="A1458" s="1">
        <v>42661</v>
      </c>
      <c r="B1458" s="2">
        <v>8677.9003909999992</v>
      </c>
    </row>
    <row r="1459" spans="1:2" x14ac:dyDescent="0.3">
      <c r="A1459" s="1">
        <v>42662</v>
      </c>
      <c r="B1459" s="2">
        <v>8659.0996090000008</v>
      </c>
    </row>
    <row r="1460" spans="1:2" x14ac:dyDescent="0.3">
      <c r="A1460" s="1">
        <v>42663</v>
      </c>
      <c r="B1460" s="2">
        <v>8699.4003909999992</v>
      </c>
    </row>
    <row r="1461" spans="1:2" x14ac:dyDescent="0.3">
      <c r="A1461" s="1">
        <v>42664</v>
      </c>
      <c r="B1461" s="2">
        <v>8693.0498050000006</v>
      </c>
    </row>
    <row r="1462" spans="1:2" x14ac:dyDescent="0.3">
      <c r="A1462" s="1">
        <v>42667</v>
      </c>
      <c r="B1462" s="2">
        <v>8708.9501949999994</v>
      </c>
    </row>
    <row r="1463" spans="1:2" x14ac:dyDescent="0.3">
      <c r="A1463" s="1">
        <v>42668</v>
      </c>
      <c r="B1463" s="2">
        <v>8691.2998050000006</v>
      </c>
    </row>
    <row r="1464" spans="1:2" x14ac:dyDescent="0.3">
      <c r="A1464" s="1">
        <v>42669</v>
      </c>
      <c r="B1464" s="2">
        <v>8615.25</v>
      </c>
    </row>
    <row r="1465" spans="1:2" x14ac:dyDescent="0.3">
      <c r="A1465" s="1">
        <v>42670</v>
      </c>
      <c r="B1465" s="2">
        <v>8615.25</v>
      </c>
    </row>
    <row r="1466" spans="1:2" x14ac:dyDescent="0.3">
      <c r="A1466" s="1">
        <v>42671</v>
      </c>
      <c r="B1466" s="2">
        <v>8638</v>
      </c>
    </row>
    <row r="1467" spans="1:2" x14ac:dyDescent="0.3">
      <c r="A1467" s="1">
        <v>42675</v>
      </c>
      <c r="B1467" s="2">
        <v>8626.25</v>
      </c>
    </row>
    <row r="1468" spans="1:2" x14ac:dyDescent="0.3">
      <c r="A1468" s="1">
        <v>42676</v>
      </c>
      <c r="B1468" s="2">
        <v>8514</v>
      </c>
    </row>
    <row r="1469" spans="1:2" x14ac:dyDescent="0.3">
      <c r="A1469" s="1">
        <v>42677</v>
      </c>
      <c r="B1469" s="2">
        <v>8484.9501949999994</v>
      </c>
    </row>
    <row r="1470" spans="1:2" x14ac:dyDescent="0.3">
      <c r="A1470" s="1">
        <v>42678</v>
      </c>
      <c r="B1470" s="2">
        <v>8433.75</v>
      </c>
    </row>
    <row r="1471" spans="1:2" x14ac:dyDescent="0.3">
      <c r="A1471" s="1">
        <v>42681</v>
      </c>
      <c r="B1471" s="2">
        <v>8497.0498050000006</v>
      </c>
    </row>
    <row r="1472" spans="1:2" x14ac:dyDescent="0.3">
      <c r="A1472" s="1">
        <v>42682</v>
      </c>
      <c r="B1472" s="2">
        <v>8543.5498050000006</v>
      </c>
    </row>
    <row r="1473" spans="1:2" x14ac:dyDescent="0.3">
      <c r="A1473" s="1">
        <v>42683</v>
      </c>
      <c r="B1473" s="2">
        <v>8432</v>
      </c>
    </row>
    <row r="1474" spans="1:2" x14ac:dyDescent="0.3">
      <c r="A1474" s="1">
        <v>42684</v>
      </c>
      <c r="B1474" s="2">
        <v>8525.75</v>
      </c>
    </row>
    <row r="1475" spans="1:2" x14ac:dyDescent="0.3">
      <c r="A1475" s="1">
        <v>42685</v>
      </c>
      <c r="B1475" s="2">
        <v>8296.2998050000006</v>
      </c>
    </row>
    <row r="1476" spans="1:2" x14ac:dyDescent="0.3">
      <c r="A1476" s="1">
        <v>42689</v>
      </c>
      <c r="B1476" s="2">
        <v>8108.4501950000003</v>
      </c>
    </row>
    <row r="1477" spans="1:2" x14ac:dyDescent="0.3">
      <c r="A1477" s="1">
        <v>42690</v>
      </c>
      <c r="B1477" s="2">
        <v>8111.6000979999999</v>
      </c>
    </row>
    <row r="1478" spans="1:2" x14ac:dyDescent="0.3">
      <c r="A1478" s="1">
        <v>42691</v>
      </c>
      <c r="B1478" s="2">
        <v>8079.9501950000003</v>
      </c>
    </row>
    <row r="1479" spans="1:2" x14ac:dyDescent="0.3">
      <c r="A1479" s="1">
        <v>42692</v>
      </c>
      <c r="B1479" s="2">
        <v>8074.1000979999999</v>
      </c>
    </row>
    <row r="1480" spans="1:2" x14ac:dyDescent="0.3">
      <c r="A1480" s="1">
        <v>42695</v>
      </c>
      <c r="B1480" s="2">
        <v>7929.1000979999999</v>
      </c>
    </row>
    <row r="1481" spans="1:2" x14ac:dyDescent="0.3">
      <c r="A1481" s="1">
        <v>42696</v>
      </c>
      <c r="B1481" s="2">
        <v>8002.2998049999997</v>
      </c>
    </row>
    <row r="1482" spans="1:2" x14ac:dyDescent="0.3">
      <c r="A1482" s="1">
        <v>42697</v>
      </c>
      <c r="B1482" s="2">
        <v>8033.2998049999997</v>
      </c>
    </row>
    <row r="1483" spans="1:2" x14ac:dyDescent="0.3">
      <c r="A1483" s="1">
        <v>42698</v>
      </c>
      <c r="B1483" s="2">
        <v>7965.5</v>
      </c>
    </row>
    <row r="1484" spans="1:2" x14ac:dyDescent="0.3">
      <c r="A1484" s="1">
        <v>42699</v>
      </c>
      <c r="B1484" s="2">
        <v>8114.2998049999997</v>
      </c>
    </row>
    <row r="1485" spans="1:2" x14ac:dyDescent="0.3">
      <c r="A1485" s="1">
        <v>42702</v>
      </c>
      <c r="B1485" s="2">
        <v>8126.8999020000001</v>
      </c>
    </row>
    <row r="1486" spans="1:2" x14ac:dyDescent="0.3">
      <c r="A1486" s="1">
        <v>42703</v>
      </c>
      <c r="B1486" s="2">
        <v>8142.1499020000001</v>
      </c>
    </row>
    <row r="1487" spans="1:2" x14ac:dyDescent="0.3">
      <c r="A1487" s="1">
        <v>42704</v>
      </c>
      <c r="B1487" s="2">
        <v>8224.5</v>
      </c>
    </row>
    <row r="1488" spans="1:2" x14ac:dyDescent="0.3">
      <c r="A1488" s="1">
        <v>42705</v>
      </c>
      <c r="B1488" s="2">
        <v>8192.9003909999992</v>
      </c>
    </row>
    <row r="1489" spans="1:2" x14ac:dyDescent="0.3">
      <c r="A1489" s="1">
        <v>42706</v>
      </c>
      <c r="B1489" s="2">
        <v>8086.7998049999997</v>
      </c>
    </row>
    <row r="1490" spans="1:2" x14ac:dyDescent="0.3">
      <c r="A1490" s="1">
        <v>42709</v>
      </c>
      <c r="B1490" s="2">
        <v>8128.75</v>
      </c>
    </row>
    <row r="1491" spans="1:2" x14ac:dyDescent="0.3">
      <c r="A1491" s="1">
        <v>42710</v>
      </c>
      <c r="B1491" s="2">
        <v>8143.1499020000001</v>
      </c>
    </row>
    <row r="1492" spans="1:2" x14ac:dyDescent="0.3">
      <c r="A1492" s="1">
        <v>42711</v>
      </c>
      <c r="B1492" s="2">
        <v>8102.0498049999997</v>
      </c>
    </row>
    <row r="1493" spans="1:2" x14ac:dyDescent="0.3">
      <c r="A1493" s="1">
        <v>42712</v>
      </c>
      <c r="B1493" s="2">
        <v>8246.8496090000008</v>
      </c>
    </row>
    <row r="1494" spans="1:2" x14ac:dyDescent="0.3">
      <c r="A1494" s="1">
        <v>42713</v>
      </c>
      <c r="B1494" s="2">
        <v>8261.75</v>
      </c>
    </row>
    <row r="1495" spans="1:2" x14ac:dyDescent="0.3">
      <c r="A1495" s="1">
        <v>42716</v>
      </c>
      <c r="B1495" s="2">
        <v>8170.7998049999997</v>
      </c>
    </row>
    <row r="1496" spans="1:2" x14ac:dyDescent="0.3">
      <c r="A1496" s="1">
        <v>42717</v>
      </c>
      <c r="B1496" s="2">
        <v>8221.7998050000006</v>
      </c>
    </row>
    <row r="1497" spans="1:2" x14ac:dyDescent="0.3">
      <c r="A1497" s="1">
        <v>42718</v>
      </c>
      <c r="B1497" s="2">
        <v>8182.4501950000003</v>
      </c>
    </row>
    <row r="1498" spans="1:2" x14ac:dyDescent="0.3">
      <c r="A1498" s="1">
        <v>42719</v>
      </c>
      <c r="B1498" s="2">
        <v>8153.6000979999999</v>
      </c>
    </row>
    <row r="1499" spans="1:2" x14ac:dyDescent="0.3">
      <c r="A1499" s="1">
        <v>42720</v>
      </c>
      <c r="B1499" s="2">
        <v>8139.4501950000003</v>
      </c>
    </row>
    <row r="1500" spans="1:2" x14ac:dyDescent="0.3">
      <c r="A1500" s="1">
        <v>42723</v>
      </c>
      <c r="B1500" s="2">
        <v>8104.3500979999999</v>
      </c>
    </row>
    <row r="1501" spans="1:2" x14ac:dyDescent="0.3">
      <c r="A1501" s="1">
        <v>42724</v>
      </c>
      <c r="B1501" s="2">
        <v>8082.3999020000001</v>
      </c>
    </row>
    <row r="1502" spans="1:2" x14ac:dyDescent="0.3">
      <c r="A1502" s="1">
        <v>42725</v>
      </c>
      <c r="B1502" s="2">
        <v>8061.2998049999997</v>
      </c>
    </row>
    <row r="1503" spans="1:2" x14ac:dyDescent="0.3">
      <c r="A1503" s="1">
        <v>42726</v>
      </c>
      <c r="B1503" s="2">
        <v>7979.1000979999999</v>
      </c>
    </row>
    <row r="1504" spans="1:2" x14ac:dyDescent="0.3">
      <c r="A1504" s="1">
        <v>42727</v>
      </c>
      <c r="B1504" s="2">
        <v>7985.75</v>
      </c>
    </row>
    <row r="1505" spans="1:2" x14ac:dyDescent="0.3">
      <c r="A1505" s="1">
        <v>42730</v>
      </c>
      <c r="B1505" s="2">
        <v>7908.25</v>
      </c>
    </row>
    <row r="1506" spans="1:2" x14ac:dyDescent="0.3">
      <c r="A1506" s="1">
        <v>42731</v>
      </c>
      <c r="B1506" s="2">
        <v>8032.8500979999999</v>
      </c>
    </row>
    <row r="1507" spans="1:2" x14ac:dyDescent="0.3">
      <c r="A1507" s="1">
        <v>42732</v>
      </c>
      <c r="B1507" s="2">
        <v>8034.8500979999999</v>
      </c>
    </row>
    <row r="1508" spans="1:2" x14ac:dyDescent="0.3">
      <c r="A1508" s="1">
        <v>42733</v>
      </c>
      <c r="B1508" s="2">
        <v>8103.6000979999999</v>
      </c>
    </row>
    <row r="1509" spans="1:2" x14ac:dyDescent="0.3">
      <c r="A1509" s="1">
        <v>42734</v>
      </c>
      <c r="B1509" s="2">
        <v>8185.7998049999997</v>
      </c>
    </row>
    <row r="1510" spans="1:2" x14ac:dyDescent="0.3">
      <c r="A1510" s="1">
        <v>42737</v>
      </c>
      <c r="B1510" s="2">
        <v>8179.5</v>
      </c>
    </row>
    <row r="1511" spans="1:2" x14ac:dyDescent="0.3">
      <c r="A1511" s="1">
        <v>42738</v>
      </c>
      <c r="B1511" s="2">
        <v>8192.25</v>
      </c>
    </row>
    <row r="1512" spans="1:2" x14ac:dyDescent="0.3">
      <c r="A1512" s="1">
        <v>42739</v>
      </c>
      <c r="B1512" s="2">
        <v>8190.5</v>
      </c>
    </row>
    <row r="1513" spans="1:2" x14ac:dyDescent="0.3">
      <c r="A1513" s="1">
        <v>42740</v>
      </c>
      <c r="B1513" s="2">
        <v>8273.7998050000006</v>
      </c>
    </row>
    <row r="1514" spans="1:2" x14ac:dyDescent="0.3">
      <c r="A1514" s="1">
        <v>42741</v>
      </c>
      <c r="B1514" s="2">
        <v>8243.7998050000006</v>
      </c>
    </row>
    <row r="1515" spans="1:2" x14ac:dyDescent="0.3">
      <c r="A1515" s="1">
        <v>42744</v>
      </c>
      <c r="B1515" s="2">
        <v>8236.0498050000006</v>
      </c>
    </row>
    <row r="1516" spans="1:2" x14ac:dyDescent="0.3">
      <c r="A1516" s="1">
        <v>42745</v>
      </c>
      <c r="B1516" s="2">
        <v>8288.5996090000008</v>
      </c>
    </row>
    <row r="1517" spans="1:2" x14ac:dyDescent="0.3">
      <c r="A1517" s="1">
        <v>42746</v>
      </c>
      <c r="B1517" s="2">
        <v>8380.6503909999992</v>
      </c>
    </row>
    <row r="1518" spans="1:2" x14ac:dyDescent="0.3">
      <c r="A1518" s="1">
        <v>42747</v>
      </c>
      <c r="B1518" s="2">
        <v>8407.2001949999994</v>
      </c>
    </row>
    <row r="1519" spans="1:2" x14ac:dyDescent="0.3">
      <c r="A1519" s="1">
        <v>42748</v>
      </c>
      <c r="B1519" s="2">
        <v>8400.3496090000008</v>
      </c>
    </row>
    <row r="1520" spans="1:2" x14ac:dyDescent="0.3">
      <c r="A1520" s="1">
        <v>42751</v>
      </c>
      <c r="B1520" s="2">
        <v>8412.7998050000006</v>
      </c>
    </row>
    <row r="1521" spans="1:2" x14ac:dyDescent="0.3">
      <c r="A1521" s="1">
        <v>42752</v>
      </c>
      <c r="B1521" s="2">
        <v>8398</v>
      </c>
    </row>
    <row r="1522" spans="1:2" x14ac:dyDescent="0.3">
      <c r="A1522" s="1">
        <v>42753</v>
      </c>
      <c r="B1522" s="2">
        <v>8417</v>
      </c>
    </row>
    <row r="1523" spans="1:2" x14ac:dyDescent="0.3">
      <c r="A1523" s="1">
        <v>42754</v>
      </c>
      <c r="B1523" s="2">
        <v>8435.0996090000008</v>
      </c>
    </row>
    <row r="1524" spans="1:2" x14ac:dyDescent="0.3">
      <c r="A1524" s="1">
        <v>42755</v>
      </c>
      <c r="B1524" s="2">
        <v>8349.3496090000008</v>
      </c>
    </row>
    <row r="1525" spans="1:2" x14ac:dyDescent="0.3">
      <c r="A1525" s="1">
        <v>42758</v>
      </c>
      <c r="B1525" s="2">
        <v>8391.5</v>
      </c>
    </row>
    <row r="1526" spans="1:2" x14ac:dyDescent="0.3">
      <c r="A1526" s="1">
        <v>42759</v>
      </c>
      <c r="B1526" s="2">
        <v>8475.7998050000006</v>
      </c>
    </row>
    <row r="1527" spans="1:2" x14ac:dyDescent="0.3">
      <c r="A1527" s="1">
        <v>42760</v>
      </c>
      <c r="B1527" s="2">
        <v>8602.75</v>
      </c>
    </row>
    <row r="1528" spans="1:2" x14ac:dyDescent="0.3">
      <c r="A1528" s="1">
        <v>42762</v>
      </c>
      <c r="B1528" s="2">
        <v>8641.25</v>
      </c>
    </row>
    <row r="1529" spans="1:2" x14ac:dyDescent="0.3">
      <c r="A1529" s="1">
        <v>42765</v>
      </c>
      <c r="B1529" s="2">
        <v>8632.75</v>
      </c>
    </row>
    <row r="1530" spans="1:2" x14ac:dyDescent="0.3">
      <c r="A1530" s="1">
        <v>42766</v>
      </c>
      <c r="B1530" s="2">
        <v>8561.2998050000006</v>
      </c>
    </row>
    <row r="1531" spans="1:2" x14ac:dyDescent="0.3">
      <c r="A1531" s="1">
        <v>42767</v>
      </c>
      <c r="B1531" s="2">
        <v>8716.4003909999992</v>
      </c>
    </row>
    <row r="1532" spans="1:2" x14ac:dyDescent="0.3">
      <c r="A1532" s="1">
        <v>42768</v>
      </c>
      <c r="B1532" s="2">
        <v>8734.25</v>
      </c>
    </row>
    <row r="1533" spans="1:2" x14ac:dyDescent="0.3">
      <c r="A1533" s="1">
        <v>42769</v>
      </c>
      <c r="B1533" s="2">
        <v>8740.9501949999994</v>
      </c>
    </row>
    <row r="1534" spans="1:2" x14ac:dyDescent="0.3">
      <c r="A1534" s="1">
        <v>42772</v>
      </c>
      <c r="B1534" s="2">
        <v>8801.0498050000006</v>
      </c>
    </row>
    <row r="1535" spans="1:2" x14ac:dyDescent="0.3">
      <c r="A1535" s="1">
        <v>42773</v>
      </c>
      <c r="B1535" s="2">
        <v>8768.2998050000006</v>
      </c>
    </row>
    <row r="1536" spans="1:2" x14ac:dyDescent="0.3">
      <c r="A1536" s="1">
        <v>42774</v>
      </c>
      <c r="B1536" s="2">
        <v>8769.0498050000006</v>
      </c>
    </row>
    <row r="1537" spans="1:2" x14ac:dyDescent="0.3">
      <c r="A1537" s="1">
        <v>42775</v>
      </c>
      <c r="B1537" s="2">
        <v>8778.4003909999992</v>
      </c>
    </row>
    <row r="1538" spans="1:2" x14ac:dyDescent="0.3">
      <c r="A1538" s="1">
        <v>42776</v>
      </c>
      <c r="B1538" s="2">
        <v>8793.5498050000006</v>
      </c>
    </row>
    <row r="1539" spans="1:2" x14ac:dyDescent="0.3">
      <c r="A1539" s="1">
        <v>42779</v>
      </c>
      <c r="B1539" s="2">
        <v>8805.0498050000006</v>
      </c>
    </row>
    <row r="1540" spans="1:2" x14ac:dyDescent="0.3">
      <c r="A1540" s="1">
        <v>42780</v>
      </c>
      <c r="B1540" s="2">
        <v>8792.2998050000006</v>
      </c>
    </row>
    <row r="1541" spans="1:2" x14ac:dyDescent="0.3">
      <c r="A1541" s="1">
        <v>42781</v>
      </c>
      <c r="B1541" s="2">
        <v>8724.7001949999994</v>
      </c>
    </row>
    <row r="1542" spans="1:2" x14ac:dyDescent="0.3">
      <c r="A1542" s="1">
        <v>42782</v>
      </c>
      <c r="B1542" s="2">
        <v>8778</v>
      </c>
    </row>
    <row r="1543" spans="1:2" x14ac:dyDescent="0.3">
      <c r="A1543" s="1">
        <v>42783</v>
      </c>
      <c r="B1543" s="2">
        <v>8821.7001949999994</v>
      </c>
    </row>
    <row r="1544" spans="1:2" x14ac:dyDescent="0.3">
      <c r="A1544" s="1">
        <v>42786</v>
      </c>
      <c r="B1544" s="2">
        <v>8879.2001949999994</v>
      </c>
    </row>
    <row r="1545" spans="1:2" x14ac:dyDescent="0.3">
      <c r="A1545" s="1">
        <v>42787</v>
      </c>
      <c r="B1545" s="2">
        <v>8907.8496090000008</v>
      </c>
    </row>
    <row r="1546" spans="1:2" x14ac:dyDescent="0.3">
      <c r="A1546" s="1">
        <v>42788</v>
      </c>
      <c r="B1546" s="2">
        <v>8926.9003909999992</v>
      </c>
    </row>
    <row r="1547" spans="1:2" x14ac:dyDescent="0.3">
      <c r="A1547" s="1">
        <v>42789</v>
      </c>
      <c r="B1547" s="2">
        <v>8939.5</v>
      </c>
    </row>
    <row r="1548" spans="1:2" x14ac:dyDescent="0.3">
      <c r="A1548" s="1">
        <v>42793</v>
      </c>
      <c r="B1548" s="2">
        <v>8896.7001949999994</v>
      </c>
    </row>
    <row r="1549" spans="1:2" x14ac:dyDescent="0.3">
      <c r="A1549" s="1">
        <v>42794</v>
      </c>
      <c r="B1549" s="2">
        <v>8879.5996090000008</v>
      </c>
    </row>
    <row r="1550" spans="1:2" x14ac:dyDescent="0.3">
      <c r="A1550" s="1">
        <v>42795</v>
      </c>
      <c r="B1550" s="2">
        <v>8945.7998050000006</v>
      </c>
    </row>
    <row r="1551" spans="1:2" x14ac:dyDescent="0.3">
      <c r="A1551" s="1">
        <v>42796</v>
      </c>
      <c r="B1551" s="2">
        <v>8899.75</v>
      </c>
    </row>
    <row r="1552" spans="1:2" x14ac:dyDescent="0.3">
      <c r="A1552" s="1">
        <v>42797</v>
      </c>
      <c r="B1552" s="2">
        <v>8897.5498050000006</v>
      </c>
    </row>
    <row r="1553" spans="1:2" x14ac:dyDescent="0.3">
      <c r="A1553" s="1">
        <v>42800</v>
      </c>
      <c r="B1553" s="2">
        <v>8963.4501949999994</v>
      </c>
    </row>
    <row r="1554" spans="1:2" x14ac:dyDescent="0.3">
      <c r="A1554" s="1">
        <v>42801</v>
      </c>
      <c r="B1554" s="2">
        <v>8946.9003909999992</v>
      </c>
    </row>
    <row r="1555" spans="1:2" x14ac:dyDescent="0.3">
      <c r="A1555" s="1">
        <v>42802</v>
      </c>
      <c r="B1555" s="2">
        <v>8924.2998050000006</v>
      </c>
    </row>
    <row r="1556" spans="1:2" x14ac:dyDescent="0.3">
      <c r="A1556" s="1">
        <v>42803</v>
      </c>
      <c r="B1556" s="2">
        <v>8927</v>
      </c>
    </row>
    <row r="1557" spans="1:2" x14ac:dyDescent="0.3">
      <c r="A1557" s="1">
        <v>42804</v>
      </c>
      <c r="B1557" s="2">
        <v>8934.5498050000006</v>
      </c>
    </row>
    <row r="1558" spans="1:2" x14ac:dyDescent="0.3">
      <c r="A1558" s="1">
        <v>42808</v>
      </c>
      <c r="B1558" s="2">
        <v>9087</v>
      </c>
    </row>
    <row r="1559" spans="1:2" x14ac:dyDescent="0.3">
      <c r="A1559" s="1">
        <v>42809</v>
      </c>
      <c r="B1559" s="2">
        <v>9084.7998050000006</v>
      </c>
    </row>
    <row r="1560" spans="1:2" x14ac:dyDescent="0.3">
      <c r="A1560" s="1">
        <v>42810</v>
      </c>
      <c r="B1560" s="2">
        <v>9153.7001949999994</v>
      </c>
    </row>
    <row r="1561" spans="1:2" x14ac:dyDescent="0.3">
      <c r="A1561" s="1">
        <v>42811</v>
      </c>
      <c r="B1561" s="2">
        <v>9160.0498050000006</v>
      </c>
    </row>
    <row r="1562" spans="1:2" x14ac:dyDescent="0.3">
      <c r="A1562" s="1">
        <v>42814</v>
      </c>
      <c r="B1562" s="2">
        <v>9126.8496090000008</v>
      </c>
    </row>
    <row r="1563" spans="1:2" x14ac:dyDescent="0.3">
      <c r="A1563" s="1">
        <v>42815</v>
      </c>
      <c r="B1563" s="2">
        <v>9121.5</v>
      </c>
    </row>
    <row r="1564" spans="1:2" x14ac:dyDescent="0.3">
      <c r="A1564" s="1">
        <v>42816</v>
      </c>
      <c r="B1564" s="2">
        <v>9030.4501949999994</v>
      </c>
    </row>
    <row r="1565" spans="1:2" x14ac:dyDescent="0.3">
      <c r="A1565" s="1">
        <v>42817</v>
      </c>
      <c r="B1565" s="2">
        <v>9086.2998050000006</v>
      </c>
    </row>
    <row r="1566" spans="1:2" x14ac:dyDescent="0.3">
      <c r="A1566" s="1">
        <v>42818</v>
      </c>
      <c r="B1566" s="2">
        <v>9108</v>
      </c>
    </row>
    <row r="1567" spans="1:2" x14ac:dyDescent="0.3">
      <c r="A1567" s="1">
        <v>42821</v>
      </c>
      <c r="B1567" s="2">
        <v>9045.2001949999994</v>
      </c>
    </row>
    <row r="1568" spans="1:2" x14ac:dyDescent="0.3">
      <c r="A1568" s="1">
        <v>42822</v>
      </c>
      <c r="B1568" s="2">
        <v>9100.7998050000006</v>
      </c>
    </row>
    <row r="1569" spans="1:2" x14ac:dyDescent="0.3">
      <c r="A1569" s="1">
        <v>42823</v>
      </c>
      <c r="B1569" s="2">
        <v>9143.7998050000006</v>
      </c>
    </row>
    <row r="1570" spans="1:2" x14ac:dyDescent="0.3">
      <c r="A1570" s="1">
        <v>42824</v>
      </c>
      <c r="B1570" s="2">
        <v>9173.75</v>
      </c>
    </row>
    <row r="1571" spans="1:2" x14ac:dyDescent="0.3">
      <c r="A1571" s="1">
        <v>42825</v>
      </c>
      <c r="B1571" s="2">
        <v>9173.75</v>
      </c>
    </row>
    <row r="1572" spans="1:2" x14ac:dyDescent="0.3">
      <c r="A1572" s="1">
        <v>42828</v>
      </c>
      <c r="B1572" s="2">
        <v>9237.8496090000008</v>
      </c>
    </row>
    <row r="1573" spans="1:2" x14ac:dyDescent="0.3">
      <c r="A1573" s="1">
        <v>42830</v>
      </c>
      <c r="B1573" s="2">
        <v>9265.1503909999992</v>
      </c>
    </row>
    <row r="1574" spans="1:2" x14ac:dyDescent="0.3">
      <c r="A1574" s="1">
        <v>42831</v>
      </c>
      <c r="B1574" s="2">
        <v>9261.9501949999994</v>
      </c>
    </row>
    <row r="1575" spans="1:2" x14ac:dyDescent="0.3">
      <c r="A1575" s="1">
        <v>42832</v>
      </c>
      <c r="B1575" s="2">
        <v>9198.2998050000006</v>
      </c>
    </row>
    <row r="1576" spans="1:2" x14ac:dyDescent="0.3">
      <c r="A1576" s="1">
        <v>42835</v>
      </c>
      <c r="B1576" s="2">
        <v>9181.4501949999994</v>
      </c>
    </row>
    <row r="1577" spans="1:2" x14ac:dyDescent="0.3">
      <c r="A1577" s="1">
        <v>42836</v>
      </c>
      <c r="B1577" s="2">
        <v>9237</v>
      </c>
    </row>
    <row r="1578" spans="1:2" x14ac:dyDescent="0.3">
      <c r="A1578" s="1">
        <v>42837</v>
      </c>
      <c r="B1578" s="2">
        <v>9203.4501949999994</v>
      </c>
    </row>
    <row r="1579" spans="1:2" x14ac:dyDescent="0.3">
      <c r="A1579" s="1">
        <v>42838</v>
      </c>
      <c r="B1579" s="2">
        <v>9150.7998050000006</v>
      </c>
    </row>
    <row r="1580" spans="1:2" x14ac:dyDescent="0.3">
      <c r="A1580" s="1">
        <v>42842</v>
      </c>
      <c r="B1580" s="2">
        <v>9139.2998050000006</v>
      </c>
    </row>
    <row r="1581" spans="1:2" x14ac:dyDescent="0.3">
      <c r="A1581" s="1">
        <v>42843</v>
      </c>
      <c r="B1581" s="2">
        <v>9105.1503909999992</v>
      </c>
    </row>
    <row r="1582" spans="1:2" x14ac:dyDescent="0.3">
      <c r="A1582" s="1">
        <v>42844</v>
      </c>
      <c r="B1582" s="2">
        <v>9103.5</v>
      </c>
    </row>
    <row r="1583" spans="1:2" x14ac:dyDescent="0.3">
      <c r="A1583" s="1">
        <v>42845</v>
      </c>
      <c r="B1583" s="2">
        <v>9136.4003909999992</v>
      </c>
    </row>
    <row r="1584" spans="1:2" x14ac:dyDescent="0.3">
      <c r="A1584" s="1">
        <v>42846</v>
      </c>
      <c r="B1584" s="2">
        <v>9119.4003909999992</v>
      </c>
    </row>
    <row r="1585" spans="1:2" x14ac:dyDescent="0.3">
      <c r="A1585" s="1">
        <v>42849</v>
      </c>
      <c r="B1585" s="2">
        <v>9217.9501949999994</v>
      </c>
    </row>
    <row r="1586" spans="1:2" x14ac:dyDescent="0.3">
      <c r="A1586" s="1">
        <v>42850</v>
      </c>
      <c r="B1586" s="2">
        <v>9306.5996090000008</v>
      </c>
    </row>
    <row r="1587" spans="1:2" x14ac:dyDescent="0.3">
      <c r="A1587" s="1">
        <v>42851</v>
      </c>
      <c r="B1587" s="2">
        <v>9351.8496090000008</v>
      </c>
    </row>
    <row r="1588" spans="1:2" x14ac:dyDescent="0.3">
      <c r="A1588" s="1">
        <v>42852</v>
      </c>
      <c r="B1588" s="2">
        <v>9342.1503909999992</v>
      </c>
    </row>
    <row r="1589" spans="1:2" x14ac:dyDescent="0.3">
      <c r="A1589" s="1">
        <v>42853</v>
      </c>
      <c r="B1589" s="2">
        <v>9304.0498050000006</v>
      </c>
    </row>
    <row r="1590" spans="1:2" x14ac:dyDescent="0.3">
      <c r="A1590" s="1">
        <v>42857</v>
      </c>
      <c r="B1590" s="2">
        <v>9313.7998050000006</v>
      </c>
    </row>
    <row r="1591" spans="1:2" x14ac:dyDescent="0.3">
      <c r="A1591" s="1">
        <v>42858</v>
      </c>
      <c r="B1591" s="2">
        <v>9311.9501949999994</v>
      </c>
    </row>
    <row r="1592" spans="1:2" x14ac:dyDescent="0.3">
      <c r="A1592" s="1">
        <v>42859</v>
      </c>
      <c r="B1592" s="2">
        <v>9359.9003909999992</v>
      </c>
    </row>
    <row r="1593" spans="1:2" x14ac:dyDescent="0.3">
      <c r="A1593" s="1">
        <v>42860</v>
      </c>
      <c r="B1593" s="2">
        <v>9285.2998050000006</v>
      </c>
    </row>
    <row r="1594" spans="1:2" x14ac:dyDescent="0.3">
      <c r="A1594" s="1">
        <v>42863</v>
      </c>
      <c r="B1594" s="2">
        <v>9314.0498050000006</v>
      </c>
    </row>
    <row r="1595" spans="1:2" x14ac:dyDescent="0.3">
      <c r="A1595" s="1">
        <v>42864</v>
      </c>
      <c r="B1595" s="2">
        <v>9316.8496090000008</v>
      </c>
    </row>
    <row r="1596" spans="1:2" x14ac:dyDescent="0.3">
      <c r="A1596" s="1">
        <v>42865</v>
      </c>
      <c r="B1596" s="2">
        <v>9407.2998050000006</v>
      </c>
    </row>
    <row r="1597" spans="1:2" x14ac:dyDescent="0.3">
      <c r="A1597" s="1">
        <v>42866</v>
      </c>
      <c r="B1597" s="2">
        <v>9422.4003909999992</v>
      </c>
    </row>
    <row r="1598" spans="1:2" x14ac:dyDescent="0.3">
      <c r="A1598" s="1">
        <v>42867</v>
      </c>
      <c r="B1598" s="2">
        <v>9400.9003909999992</v>
      </c>
    </row>
    <row r="1599" spans="1:2" x14ac:dyDescent="0.3">
      <c r="A1599" s="1">
        <v>42870</v>
      </c>
      <c r="B1599" s="2">
        <v>9445.4003909999992</v>
      </c>
    </row>
    <row r="1600" spans="1:2" x14ac:dyDescent="0.3">
      <c r="A1600" s="1">
        <v>42871</v>
      </c>
      <c r="B1600" s="2">
        <v>9512.25</v>
      </c>
    </row>
    <row r="1601" spans="1:2" x14ac:dyDescent="0.3">
      <c r="A1601" s="1">
        <v>42872</v>
      </c>
      <c r="B1601" s="2">
        <v>9525.75</v>
      </c>
    </row>
    <row r="1602" spans="1:2" x14ac:dyDescent="0.3">
      <c r="A1602" s="1">
        <v>42873</v>
      </c>
      <c r="B1602" s="2">
        <v>9429.4501949999994</v>
      </c>
    </row>
    <row r="1603" spans="1:2" x14ac:dyDescent="0.3">
      <c r="A1603" s="1">
        <v>42874</v>
      </c>
      <c r="B1603" s="2">
        <v>9427.9003909999992</v>
      </c>
    </row>
    <row r="1604" spans="1:2" x14ac:dyDescent="0.3">
      <c r="A1604" s="1">
        <v>42877</v>
      </c>
      <c r="B1604" s="2">
        <v>9438.25</v>
      </c>
    </row>
    <row r="1605" spans="1:2" x14ac:dyDescent="0.3">
      <c r="A1605" s="1">
        <v>42878</v>
      </c>
      <c r="B1605" s="2">
        <v>9386.1503909999992</v>
      </c>
    </row>
    <row r="1606" spans="1:2" x14ac:dyDescent="0.3">
      <c r="A1606" s="1">
        <v>42879</v>
      </c>
      <c r="B1606" s="2">
        <v>9360.5498050000006</v>
      </c>
    </row>
    <row r="1607" spans="1:2" x14ac:dyDescent="0.3">
      <c r="A1607" s="1">
        <v>42880</v>
      </c>
      <c r="B1607" s="2">
        <v>9509.75</v>
      </c>
    </row>
    <row r="1608" spans="1:2" x14ac:dyDescent="0.3">
      <c r="A1608" s="1">
        <v>42881</v>
      </c>
      <c r="B1608" s="2">
        <v>9595.0996090000008</v>
      </c>
    </row>
    <row r="1609" spans="1:2" x14ac:dyDescent="0.3">
      <c r="A1609" s="1">
        <v>42884</v>
      </c>
      <c r="B1609" s="2">
        <v>9604.9003909999992</v>
      </c>
    </row>
    <row r="1610" spans="1:2" x14ac:dyDescent="0.3">
      <c r="A1610" s="1">
        <v>42885</v>
      </c>
      <c r="B1610" s="2">
        <v>9624.5498050000006</v>
      </c>
    </row>
    <row r="1611" spans="1:2" x14ac:dyDescent="0.3">
      <c r="A1611" s="1">
        <v>42886</v>
      </c>
      <c r="B1611" s="2">
        <v>9621.25</v>
      </c>
    </row>
    <row r="1612" spans="1:2" x14ac:dyDescent="0.3">
      <c r="A1612" s="1">
        <v>42887</v>
      </c>
      <c r="B1612" s="2">
        <v>9616.0996090000008</v>
      </c>
    </row>
    <row r="1613" spans="1:2" x14ac:dyDescent="0.3">
      <c r="A1613" s="1">
        <v>42888</v>
      </c>
      <c r="B1613" s="2">
        <v>9653.5</v>
      </c>
    </row>
    <row r="1614" spans="1:2" x14ac:dyDescent="0.3">
      <c r="A1614" s="1">
        <v>42891</v>
      </c>
      <c r="B1614" s="2">
        <v>9675.0996090000008</v>
      </c>
    </row>
    <row r="1615" spans="1:2" x14ac:dyDescent="0.3">
      <c r="A1615" s="1">
        <v>42892</v>
      </c>
      <c r="B1615" s="2">
        <v>9637.1503909999992</v>
      </c>
    </row>
    <row r="1616" spans="1:2" x14ac:dyDescent="0.3">
      <c r="A1616" s="1">
        <v>42893</v>
      </c>
      <c r="B1616" s="2">
        <v>9663.9003909999992</v>
      </c>
    </row>
    <row r="1617" spans="1:2" x14ac:dyDescent="0.3">
      <c r="A1617" s="1">
        <v>42894</v>
      </c>
      <c r="B1617" s="2">
        <v>9647.25</v>
      </c>
    </row>
    <row r="1618" spans="1:2" x14ac:dyDescent="0.3">
      <c r="A1618" s="1">
        <v>42895</v>
      </c>
      <c r="B1618" s="2">
        <v>9668.25</v>
      </c>
    </row>
    <row r="1619" spans="1:2" x14ac:dyDescent="0.3">
      <c r="A1619" s="1">
        <v>42898</v>
      </c>
      <c r="B1619" s="2">
        <v>9616.4003909999992</v>
      </c>
    </row>
    <row r="1620" spans="1:2" x14ac:dyDescent="0.3">
      <c r="A1620" s="1">
        <v>42899</v>
      </c>
      <c r="B1620" s="2">
        <v>9606.9003909999992</v>
      </c>
    </row>
    <row r="1621" spans="1:2" x14ac:dyDescent="0.3">
      <c r="A1621" s="1">
        <v>42900</v>
      </c>
      <c r="B1621" s="2">
        <v>9618.1503909999992</v>
      </c>
    </row>
    <row r="1622" spans="1:2" x14ac:dyDescent="0.3">
      <c r="A1622" s="1">
        <v>42901</v>
      </c>
      <c r="B1622" s="2">
        <v>9578.0498050000006</v>
      </c>
    </row>
    <row r="1623" spans="1:2" x14ac:dyDescent="0.3">
      <c r="A1623" s="1">
        <v>42902</v>
      </c>
      <c r="B1623" s="2">
        <v>9588.0498050000006</v>
      </c>
    </row>
    <row r="1624" spans="1:2" x14ac:dyDescent="0.3">
      <c r="A1624" s="1">
        <v>42905</v>
      </c>
      <c r="B1624" s="2">
        <v>9657.5498050000006</v>
      </c>
    </row>
    <row r="1625" spans="1:2" x14ac:dyDescent="0.3">
      <c r="A1625" s="1">
        <v>42906</v>
      </c>
      <c r="B1625" s="2">
        <v>9653.5</v>
      </c>
    </row>
    <row r="1626" spans="1:2" x14ac:dyDescent="0.3">
      <c r="A1626" s="1">
        <v>42907</v>
      </c>
      <c r="B1626" s="2">
        <v>9633.5996090000008</v>
      </c>
    </row>
    <row r="1627" spans="1:2" x14ac:dyDescent="0.3">
      <c r="A1627" s="1">
        <v>42908</v>
      </c>
      <c r="B1627" s="2">
        <v>9630</v>
      </c>
    </row>
    <row r="1628" spans="1:2" x14ac:dyDescent="0.3">
      <c r="A1628" s="1">
        <v>42909</v>
      </c>
      <c r="B1628" s="2">
        <v>9574.9501949999994</v>
      </c>
    </row>
    <row r="1629" spans="1:2" x14ac:dyDescent="0.3">
      <c r="A1629" s="1">
        <v>42913</v>
      </c>
      <c r="B1629" s="2">
        <v>9511.4003909999992</v>
      </c>
    </row>
    <row r="1630" spans="1:2" x14ac:dyDescent="0.3">
      <c r="A1630" s="1">
        <v>42914</v>
      </c>
      <c r="B1630" s="2">
        <v>9491.25</v>
      </c>
    </row>
    <row r="1631" spans="1:2" x14ac:dyDescent="0.3">
      <c r="A1631" s="1">
        <v>42915</v>
      </c>
      <c r="B1631" s="2">
        <v>9504.0996090000008</v>
      </c>
    </row>
    <row r="1632" spans="1:2" x14ac:dyDescent="0.3">
      <c r="A1632" s="1">
        <v>42916</v>
      </c>
      <c r="B1632" s="2">
        <v>9520.9003909999992</v>
      </c>
    </row>
    <row r="1633" spans="1:2" x14ac:dyDescent="0.3">
      <c r="A1633" s="1">
        <v>42919</v>
      </c>
      <c r="B1633" s="2">
        <v>9615</v>
      </c>
    </row>
    <row r="1634" spans="1:2" x14ac:dyDescent="0.3">
      <c r="A1634" s="1">
        <v>42920</v>
      </c>
      <c r="B1634" s="2">
        <v>9613.2998050000006</v>
      </c>
    </row>
    <row r="1635" spans="1:2" x14ac:dyDescent="0.3">
      <c r="A1635" s="1">
        <v>42921</v>
      </c>
      <c r="B1635" s="2">
        <v>9637.5996090000008</v>
      </c>
    </row>
    <row r="1636" spans="1:2" x14ac:dyDescent="0.3">
      <c r="A1636" s="1">
        <v>42922</v>
      </c>
      <c r="B1636" s="2">
        <v>9674.5498050000006</v>
      </c>
    </row>
    <row r="1637" spans="1:2" x14ac:dyDescent="0.3">
      <c r="A1637" s="1">
        <v>42923</v>
      </c>
      <c r="B1637" s="2">
        <v>9665.7998050000006</v>
      </c>
    </row>
    <row r="1638" spans="1:2" x14ac:dyDescent="0.3">
      <c r="A1638" s="1">
        <v>42926</v>
      </c>
      <c r="B1638" s="2">
        <v>9771.0498050000006</v>
      </c>
    </row>
    <row r="1639" spans="1:2" x14ac:dyDescent="0.3">
      <c r="A1639" s="1">
        <v>42927</v>
      </c>
      <c r="B1639" s="2">
        <v>9786.0498050000006</v>
      </c>
    </row>
    <row r="1640" spans="1:2" x14ac:dyDescent="0.3">
      <c r="A1640" s="1">
        <v>42928</v>
      </c>
      <c r="B1640" s="2">
        <v>9816.0996090000008</v>
      </c>
    </row>
    <row r="1641" spans="1:2" x14ac:dyDescent="0.3">
      <c r="A1641" s="1">
        <v>42929</v>
      </c>
      <c r="B1641" s="2">
        <v>9891.7001949999994</v>
      </c>
    </row>
    <row r="1642" spans="1:2" x14ac:dyDescent="0.3">
      <c r="A1642" s="1">
        <v>42930</v>
      </c>
      <c r="B1642" s="2">
        <v>9886.3496090000008</v>
      </c>
    </row>
    <row r="1643" spans="1:2" x14ac:dyDescent="0.3">
      <c r="A1643" s="1">
        <v>42933</v>
      </c>
      <c r="B1643" s="2">
        <v>9915.9501949999994</v>
      </c>
    </row>
    <row r="1644" spans="1:2" x14ac:dyDescent="0.3">
      <c r="A1644" s="1">
        <v>42934</v>
      </c>
      <c r="B1644" s="2">
        <v>9827.1503909999992</v>
      </c>
    </row>
    <row r="1645" spans="1:2" x14ac:dyDescent="0.3">
      <c r="A1645" s="1">
        <v>42935</v>
      </c>
      <c r="B1645" s="2">
        <v>9899.5996090000008</v>
      </c>
    </row>
    <row r="1646" spans="1:2" x14ac:dyDescent="0.3">
      <c r="A1646" s="1">
        <v>42936</v>
      </c>
      <c r="B1646" s="2">
        <v>9873.2998050000006</v>
      </c>
    </row>
    <row r="1647" spans="1:2" x14ac:dyDescent="0.3">
      <c r="A1647" s="1">
        <v>42937</v>
      </c>
      <c r="B1647" s="2">
        <v>9915.25</v>
      </c>
    </row>
    <row r="1648" spans="1:2" x14ac:dyDescent="0.3">
      <c r="A1648" s="1">
        <v>42940</v>
      </c>
      <c r="B1648" s="2">
        <v>9966.4003909999992</v>
      </c>
    </row>
    <row r="1649" spans="1:2" x14ac:dyDescent="0.3">
      <c r="A1649" s="1">
        <v>42941</v>
      </c>
      <c r="B1649" s="2">
        <v>9964.5498050000006</v>
      </c>
    </row>
    <row r="1650" spans="1:2" x14ac:dyDescent="0.3">
      <c r="A1650" s="1">
        <v>42942</v>
      </c>
      <c r="B1650" s="2">
        <v>10020.650390999999</v>
      </c>
    </row>
    <row r="1651" spans="1:2" x14ac:dyDescent="0.3">
      <c r="A1651" s="1">
        <v>42943</v>
      </c>
      <c r="B1651" s="2">
        <v>10020.549805000001</v>
      </c>
    </row>
    <row r="1652" spans="1:2" x14ac:dyDescent="0.3">
      <c r="A1652" s="1">
        <v>42944</v>
      </c>
      <c r="B1652" s="2">
        <v>10014.5</v>
      </c>
    </row>
    <row r="1653" spans="1:2" x14ac:dyDescent="0.3">
      <c r="A1653" s="1">
        <v>42947</v>
      </c>
      <c r="B1653" s="2">
        <v>10077.099609000001</v>
      </c>
    </row>
    <row r="1654" spans="1:2" x14ac:dyDescent="0.3">
      <c r="A1654" s="1">
        <v>42948</v>
      </c>
      <c r="B1654" s="2">
        <v>10114.650390999999</v>
      </c>
    </row>
    <row r="1655" spans="1:2" x14ac:dyDescent="0.3">
      <c r="A1655" s="1">
        <v>42949</v>
      </c>
      <c r="B1655" s="2">
        <v>10081.5</v>
      </c>
    </row>
    <row r="1656" spans="1:2" x14ac:dyDescent="0.3">
      <c r="A1656" s="1">
        <v>42950</v>
      </c>
      <c r="B1656" s="2">
        <v>10013.650390999999</v>
      </c>
    </row>
    <row r="1657" spans="1:2" x14ac:dyDescent="0.3">
      <c r="A1657" s="1">
        <v>42951</v>
      </c>
      <c r="B1657" s="2">
        <v>10066.400390999999</v>
      </c>
    </row>
    <row r="1658" spans="1:2" x14ac:dyDescent="0.3">
      <c r="A1658" s="1">
        <v>42954</v>
      </c>
      <c r="B1658" s="2">
        <v>10057.400390999999</v>
      </c>
    </row>
    <row r="1659" spans="1:2" x14ac:dyDescent="0.3">
      <c r="A1659" s="1">
        <v>42955</v>
      </c>
      <c r="B1659" s="2">
        <v>9978.5498050000006</v>
      </c>
    </row>
    <row r="1660" spans="1:2" x14ac:dyDescent="0.3">
      <c r="A1660" s="1">
        <v>42956</v>
      </c>
      <c r="B1660" s="2">
        <v>9908.0498050000006</v>
      </c>
    </row>
    <row r="1661" spans="1:2" x14ac:dyDescent="0.3">
      <c r="A1661" s="1">
        <v>42957</v>
      </c>
      <c r="B1661" s="2">
        <v>9820.25</v>
      </c>
    </row>
    <row r="1662" spans="1:2" x14ac:dyDescent="0.3">
      <c r="A1662" s="1">
        <v>42958</v>
      </c>
      <c r="B1662" s="2">
        <v>9710.7998050000006</v>
      </c>
    </row>
    <row r="1663" spans="1:2" x14ac:dyDescent="0.3">
      <c r="A1663" s="1">
        <v>42961</v>
      </c>
      <c r="B1663" s="2">
        <v>9794.1503909999992</v>
      </c>
    </row>
    <row r="1664" spans="1:2" x14ac:dyDescent="0.3">
      <c r="A1664" s="1">
        <v>42963</v>
      </c>
      <c r="B1664" s="2">
        <v>9897.2998050000006</v>
      </c>
    </row>
    <row r="1665" spans="1:2" x14ac:dyDescent="0.3">
      <c r="A1665" s="1">
        <v>42964</v>
      </c>
      <c r="B1665" s="2">
        <v>9904.1503909999992</v>
      </c>
    </row>
    <row r="1666" spans="1:2" x14ac:dyDescent="0.3">
      <c r="A1666" s="1">
        <v>42965</v>
      </c>
      <c r="B1666" s="2">
        <v>9837.4003909999992</v>
      </c>
    </row>
    <row r="1667" spans="1:2" x14ac:dyDescent="0.3">
      <c r="A1667" s="1">
        <v>42968</v>
      </c>
      <c r="B1667" s="2">
        <v>9754.3496090000008</v>
      </c>
    </row>
    <row r="1668" spans="1:2" x14ac:dyDescent="0.3">
      <c r="A1668" s="1">
        <v>42969</v>
      </c>
      <c r="B1668" s="2">
        <v>9765.5498050000006</v>
      </c>
    </row>
    <row r="1669" spans="1:2" x14ac:dyDescent="0.3">
      <c r="A1669" s="1">
        <v>42970</v>
      </c>
      <c r="B1669" s="2">
        <v>9852.5</v>
      </c>
    </row>
    <row r="1670" spans="1:2" x14ac:dyDescent="0.3">
      <c r="A1670" s="1">
        <v>42971</v>
      </c>
      <c r="B1670" s="2">
        <v>9857.0498050000006</v>
      </c>
    </row>
    <row r="1671" spans="1:2" x14ac:dyDescent="0.3">
      <c r="A1671" s="1">
        <v>42975</v>
      </c>
      <c r="B1671" s="2">
        <v>9912.7998050000006</v>
      </c>
    </row>
    <row r="1672" spans="1:2" x14ac:dyDescent="0.3">
      <c r="A1672" s="1">
        <v>42976</v>
      </c>
      <c r="B1672" s="2">
        <v>9796.0498050000006</v>
      </c>
    </row>
    <row r="1673" spans="1:2" x14ac:dyDescent="0.3">
      <c r="A1673" s="1">
        <v>42977</v>
      </c>
      <c r="B1673" s="2">
        <v>9884.4003909999992</v>
      </c>
    </row>
    <row r="1674" spans="1:2" x14ac:dyDescent="0.3">
      <c r="A1674" s="1">
        <v>42978</v>
      </c>
      <c r="B1674" s="2">
        <v>9917.9003909999992</v>
      </c>
    </row>
    <row r="1675" spans="1:2" x14ac:dyDescent="0.3">
      <c r="A1675" s="1">
        <v>42979</v>
      </c>
      <c r="B1675" s="2">
        <v>9974.4003909999992</v>
      </c>
    </row>
    <row r="1676" spans="1:2" x14ac:dyDescent="0.3">
      <c r="A1676" s="1">
        <v>42982</v>
      </c>
      <c r="B1676" s="2">
        <v>9912.8496090000008</v>
      </c>
    </row>
    <row r="1677" spans="1:2" x14ac:dyDescent="0.3">
      <c r="A1677" s="1">
        <v>42983</v>
      </c>
      <c r="B1677" s="2">
        <v>9952.2001949999994</v>
      </c>
    </row>
    <row r="1678" spans="1:2" x14ac:dyDescent="0.3">
      <c r="A1678" s="1">
        <v>42984</v>
      </c>
      <c r="B1678" s="2">
        <v>9916.2001949999994</v>
      </c>
    </row>
    <row r="1679" spans="1:2" x14ac:dyDescent="0.3">
      <c r="A1679" s="1">
        <v>42985</v>
      </c>
      <c r="B1679" s="2">
        <v>9929.9003909999992</v>
      </c>
    </row>
    <row r="1680" spans="1:2" x14ac:dyDescent="0.3">
      <c r="A1680" s="1">
        <v>42986</v>
      </c>
      <c r="B1680" s="2">
        <v>9934.7998050000006</v>
      </c>
    </row>
    <row r="1681" spans="1:2" x14ac:dyDescent="0.3">
      <c r="A1681" s="1">
        <v>42989</v>
      </c>
      <c r="B1681" s="2">
        <v>10006.049805000001</v>
      </c>
    </row>
    <row r="1682" spans="1:2" x14ac:dyDescent="0.3">
      <c r="A1682" s="1">
        <v>42990</v>
      </c>
      <c r="B1682" s="2">
        <v>10093.049805000001</v>
      </c>
    </row>
    <row r="1683" spans="1:2" x14ac:dyDescent="0.3">
      <c r="A1683" s="1">
        <v>42991</v>
      </c>
      <c r="B1683" s="2">
        <v>10079.299805000001</v>
      </c>
    </row>
    <row r="1684" spans="1:2" x14ac:dyDescent="0.3">
      <c r="A1684" s="1">
        <v>42992</v>
      </c>
      <c r="B1684" s="2">
        <v>10086.599609000001</v>
      </c>
    </row>
    <row r="1685" spans="1:2" x14ac:dyDescent="0.3">
      <c r="A1685" s="1">
        <v>42993</v>
      </c>
      <c r="B1685" s="2">
        <v>10085.400390999999</v>
      </c>
    </row>
    <row r="1686" spans="1:2" x14ac:dyDescent="0.3">
      <c r="A1686" s="1">
        <v>42996</v>
      </c>
      <c r="B1686" s="2">
        <v>10153.099609000001</v>
      </c>
    </row>
    <row r="1687" spans="1:2" x14ac:dyDescent="0.3">
      <c r="A1687" s="1">
        <v>42997</v>
      </c>
      <c r="B1687" s="2">
        <v>10147.549805000001</v>
      </c>
    </row>
    <row r="1688" spans="1:2" x14ac:dyDescent="0.3">
      <c r="A1688" s="1">
        <v>42998</v>
      </c>
      <c r="B1688" s="2">
        <v>10141.150390999999</v>
      </c>
    </row>
    <row r="1689" spans="1:2" x14ac:dyDescent="0.3">
      <c r="A1689" s="1">
        <v>42999</v>
      </c>
      <c r="B1689" s="2">
        <v>10121.900390999999</v>
      </c>
    </row>
    <row r="1690" spans="1:2" x14ac:dyDescent="0.3">
      <c r="A1690" s="1">
        <v>43000</v>
      </c>
      <c r="B1690" s="2">
        <v>9964.4003909999992</v>
      </c>
    </row>
    <row r="1691" spans="1:2" x14ac:dyDescent="0.3">
      <c r="A1691" s="1">
        <v>43003</v>
      </c>
      <c r="B1691" s="2">
        <v>9872.5996090000008</v>
      </c>
    </row>
    <row r="1692" spans="1:2" x14ac:dyDescent="0.3">
      <c r="A1692" s="1">
        <v>43004</v>
      </c>
      <c r="B1692" s="2">
        <v>9871.5</v>
      </c>
    </row>
    <row r="1693" spans="1:2" x14ac:dyDescent="0.3">
      <c r="A1693" s="1">
        <v>43005</v>
      </c>
      <c r="B1693" s="2">
        <v>9735.75</v>
      </c>
    </row>
    <row r="1694" spans="1:2" x14ac:dyDescent="0.3">
      <c r="A1694" s="1">
        <v>43006</v>
      </c>
      <c r="B1694" s="2">
        <v>9768.9501949999994</v>
      </c>
    </row>
    <row r="1695" spans="1:2" x14ac:dyDescent="0.3">
      <c r="A1695" s="1">
        <v>43007</v>
      </c>
      <c r="B1695" s="2">
        <v>9788.5996090000008</v>
      </c>
    </row>
    <row r="1696" spans="1:2" x14ac:dyDescent="0.3">
      <c r="A1696" s="1">
        <v>43011</v>
      </c>
      <c r="B1696" s="2">
        <v>9859.5</v>
      </c>
    </row>
    <row r="1697" spans="1:2" x14ac:dyDescent="0.3">
      <c r="A1697" s="1">
        <v>43012</v>
      </c>
      <c r="B1697" s="2">
        <v>9914.9003909999992</v>
      </c>
    </row>
    <row r="1698" spans="1:2" x14ac:dyDescent="0.3">
      <c r="A1698" s="1">
        <v>43013</v>
      </c>
      <c r="B1698" s="2">
        <v>9888.7001949999994</v>
      </c>
    </row>
    <row r="1699" spans="1:2" x14ac:dyDescent="0.3">
      <c r="A1699" s="1">
        <v>43014</v>
      </c>
      <c r="B1699" s="2">
        <v>9979.7001949999994</v>
      </c>
    </row>
    <row r="1700" spans="1:2" x14ac:dyDescent="0.3">
      <c r="A1700" s="1">
        <v>43017</v>
      </c>
      <c r="B1700" s="2">
        <v>9988.75</v>
      </c>
    </row>
    <row r="1701" spans="1:2" x14ac:dyDescent="0.3">
      <c r="A1701" s="1">
        <v>43018</v>
      </c>
      <c r="B1701" s="2">
        <v>10016.950194999999</v>
      </c>
    </row>
    <row r="1702" spans="1:2" x14ac:dyDescent="0.3">
      <c r="A1702" s="1">
        <v>43019</v>
      </c>
      <c r="B1702" s="2">
        <v>9984.7998050000006</v>
      </c>
    </row>
    <row r="1703" spans="1:2" x14ac:dyDescent="0.3">
      <c r="A1703" s="1">
        <v>43020</v>
      </c>
      <c r="B1703" s="2">
        <v>10096.400390999999</v>
      </c>
    </row>
    <row r="1704" spans="1:2" x14ac:dyDescent="0.3">
      <c r="A1704" s="1">
        <v>43021</v>
      </c>
      <c r="B1704" s="2">
        <v>10167.450194999999</v>
      </c>
    </row>
    <row r="1705" spans="1:2" x14ac:dyDescent="0.3">
      <c r="A1705" s="1">
        <v>43024</v>
      </c>
      <c r="B1705" s="2">
        <v>10230.849609000001</v>
      </c>
    </row>
    <row r="1706" spans="1:2" x14ac:dyDescent="0.3">
      <c r="A1706" s="1">
        <v>43025</v>
      </c>
      <c r="B1706" s="2">
        <v>10234.450194999999</v>
      </c>
    </row>
    <row r="1707" spans="1:2" x14ac:dyDescent="0.3">
      <c r="A1707" s="1">
        <v>43026</v>
      </c>
      <c r="B1707" s="2">
        <v>10210.849609000001</v>
      </c>
    </row>
    <row r="1708" spans="1:2" x14ac:dyDescent="0.3">
      <c r="A1708" s="1">
        <v>43027</v>
      </c>
      <c r="B1708" s="2">
        <v>10146.549805000001</v>
      </c>
    </row>
    <row r="1709" spans="1:2" x14ac:dyDescent="0.3">
      <c r="A1709" s="1">
        <v>43031</v>
      </c>
      <c r="B1709" s="2">
        <v>10184.849609000001</v>
      </c>
    </row>
    <row r="1710" spans="1:2" x14ac:dyDescent="0.3">
      <c r="A1710" s="1">
        <v>43032</v>
      </c>
      <c r="B1710" s="2">
        <v>10207.700194999999</v>
      </c>
    </row>
    <row r="1711" spans="1:2" x14ac:dyDescent="0.3">
      <c r="A1711" s="1">
        <v>43033</v>
      </c>
      <c r="B1711" s="2">
        <v>10295.349609000001</v>
      </c>
    </row>
    <row r="1712" spans="1:2" x14ac:dyDescent="0.3">
      <c r="A1712" s="1">
        <v>43034</v>
      </c>
      <c r="B1712" s="2">
        <v>10343.799805000001</v>
      </c>
    </row>
    <row r="1713" spans="1:2" x14ac:dyDescent="0.3">
      <c r="A1713" s="1">
        <v>43035</v>
      </c>
      <c r="B1713" s="2">
        <v>10323.049805000001</v>
      </c>
    </row>
    <row r="1714" spans="1:2" x14ac:dyDescent="0.3">
      <c r="A1714" s="1">
        <v>43038</v>
      </c>
      <c r="B1714" s="2">
        <v>10363.650390999999</v>
      </c>
    </row>
    <row r="1715" spans="1:2" x14ac:dyDescent="0.3">
      <c r="A1715" s="1">
        <v>43039</v>
      </c>
      <c r="B1715" s="2">
        <v>10335.299805000001</v>
      </c>
    </row>
    <row r="1716" spans="1:2" x14ac:dyDescent="0.3">
      <c r="A1716" s="1">
        <v>43040</v>
      </c>
      <c r="B1716" s="2">
        <v>10440.5</v>
      </c>
    </row>
    <row r="1717" spans="1:2" x14ac:dyDescent="0.3">
      <c r="A1717" s="1">
        <v>43041</v>
      </c>
      <c r="B1717" s="2">
        <v>10423.799805000001</v>
      </c>
    </row>
    <row r="1718" spans="1:2" x14ac:dyDescent="0.3">
      <c r="A1718" s="1">
        <v>43042</v>
      </c>
      <c r="B1718" s="2">
        <v>10452.5</v>
      </c>
    </row>
    <row r="1719" spans="1:2" x14ac:dyDescent="0.3">
      <c r="A1719" s="1">
        <v>43045</v>
      </c>
      <c r="B1719" s="2">
        <v>10451.799805000001</v>
      </c>
    </row>
    <row r="1720" spans="1:2" x14ac:dyDescent="0.3">
      <c r="A1720" s="1">
        <v>43046</v>
      </c>
      <c r="B1720" s="2">
        <v>10350.150390999999</v>
      </c>
    </row>
    <row r="1721" spans="1:2" x14ac:dyDescent="0.3">
      <c r="A1721" s="1">
        <v>43047</v>
      </c>
      <c r="B1721" s="2">
        <v>10303.150390999999</v>
      </c>
    </row>
    <row r="1722" spans="1:2" x14ac:dyDescent="0.3">
      <c r="A1722" s="1">
        <v>43048</v>
      </c>
      <c r="B1722" s="2">
        <v>10308.950194999999</v>
      </c>
    </row>
    <row r="1723" spans="1:2" x14ac:dyDescent="0.3">
      <c r="A1723" s="1">
        <v>43049</v>
      </c>
      <c r="B1723" s="2">
        <v>10321.75</v>
      </c>
    </row>
    <row r="1724" spans="1:2" x14ac:dyDescent="0.3">
      <c r="A1724" s="1">
        <v>43052</v>
      </c>
      <c r="B1724" s="2">
        <v>10224.950194999999</v>
      </c>
    </row>
    <row r="1725" spans="1:2" x14ac:dyDescent="0.3">
      <c r="A1725" s="1">
        <v>43053</v>
      </c>
      <c r="B1725" s="2">
        <v>10186.599609000001</v>
      </c>
    </row>
    <row r="1726" spans="1:2" x14ac:dyDescent="0.3">
      <c r="A1726" s="1">
        <v>43054</v>
      </c>
      <c r="B1726" s="2">
        <v>10118.049805000001</v>
      </c>
    </row>
    <row r="1727" spans="1:2" x14ac:dyDescent="0.3">
      <c r="A1727" s="1">
        <v>43055</v>
      </c>
      <c r="B1727" s="2">
        <v>10214.75</v>
      </c>
    </row>
    <row r="1728" spans="1:2" x14ac:dyDescent="0.3">
      <c r="A1728" s="1">
        <v>43056</v>
      </c>
      <c r="B1728" s="2">
        <v>10283.599609000001</v>
      </c>
    </row>
    <row r="1729" spans="1:2" x14ac:dyDescent="0.3">
      <c r="A1729" s="1">
        <v>43059</v>
      </c>
      <c r="B1729" s="2">
        <v>10298.75</v>
      </c>
    </row>
    <row r="1730" spans="1:2" x14ac:dyDescent="0.3">
      <c r="A1730" s="1">
        <v>43060</v>
      </c>
      <c r="B1730" s="2">
        <v>10326.900390999999</v>
      </c>
    </row>
    <row r="1731" spans="1:2" x14ac:dyDescent="0.3">
      <c r="A1731" s="1">
        <v>43061</v>
      </c>
      <c r="B1731" s="2">
        <v>10342.299805000001</v>
      </c>
    </row>
    <row r="1732" spans="1:2" x14ac:dyDescent="0.3">
      <c r="A1732" s="1">
        <v>43062</v>
      </c>
      <c r="B1732" s="2">
        <v>10348.75</v>
      </c>
    </row>
    <row r="1733" spans="1:2" x14ac:dyDescent="0.3">
      <c r="A1733" s="1">
        <v>43063</v>
      </c>
      <c r="B1733" s="2">
        <v>10389.700194999999</v>
      </c>
    </row>
    <row r="1734" spans="1:2" x14ac:dyDescent="0.3">
      <c r="A1734" s="1">
        <v>43066</v>
      </c>
      <c r="B1734" s="2">
        <v>10399.549805000001</v>
      </c>
    </row>
    <row r="1735" spans="1:2" x14ac:dyDescent="0.3">
      <c r="A1735" s="1">
        <v>43067</v>
      </c>
      <c r="B1735" s="2">
        <v>10370.25</v>
      </c>
    </row>
    <row r="1736" spans="1:2" x14ac:dyDescent="0.3">
      <c r="A1736" s="1">
        <v>43068</v>
      </c>
      <c r="B1736" s="2">
        <v>10361.299805000001</v>
      </c>
    </row>
    <row r="1737" spans="1:2" x14ac:dyDescent="0.3">
      <c r="A1737" s="1">
        <v>43069</v>
      </c>
      <c r="B1737" s="2">
        <v>10226.549805000001</v>
      </c>
    </row>
    <row r="1738" spans="1:2" x14ac:dyDescent="0.3">
      <c r="A1738" s="1">
        <v>43070</v>
      </c>
      <c r="B1738" s="2">
        <v>10121.799805000001</v>
      </c>
    </row>
    <row r="1739" spans="1:2" x14ac:dyDescent="0.3">
      <c r="A1739" s="1">
        <v>43073</v>
      </c>
      <c r="B1739" s="2">
        <v>10127.75</v>
      </c>
    </row>
    <row r="1740" spans="1:2" x14ac:dyDescent="0.3">
      <c r="A1740" s="1">
        <v>43074</v>
      </c>
      <c r="B1740" s="2">
        <v>10118.25</v>
      </c>
    </row>
    <row r="1741" spans="1:2" x14ac:dyDescent="0.3">
      <c r="A1741" s="1">
        <v>43075</v>
      </c>
      <c r="B1741" s="2">
        <v>10044.099609000001</v>
      </c>
    </row>
    <row r="1742" spans="1:2" x14ac:dyDescent="0.3">
      <c r="A1742" s="1">
        <v>43076</v>
      </c>
      <c r="B1742" s="2">
        <v>10166.700194999999</v>
      </c>
    </row>
    <row r="1743" spans="1:2" x14ac:dyDescent="0.3">
      <c r="A1743" s="1">
        <v>43077</v>
      </c>
      <c r="B1743" s="2">
        <v>10265.650390999999</v>
      </c>
    </row>
    <row r="1744" spans="1:2" x14ac:dyDescent="0.3">
      <c r="A1744" s="1">
        <v>43080</v>
      </c>
      <c r="B1744" s="2">
        <v>10322.25</v>
      </c>
    </row>
    <row r="1745" spans="1:2" x14ac:dyDescent="0.3">
      <c r="A1745" s="1">
        <v>43081</v>
      </c>
      <c r="B1745" s="2">
        <v>10240.150390999999</v>
      </c>
    </row>
    <row r="1746" spans="1:2" x14ac:dyDescent="0.3">
      <c r="A1746" s="1">
        <v>43082</v>
      </c>
      <c r="B1746" s="2">
        <v>10192.950194999999</v>
      </c>
    </row>
    <row r="1747" spans="1:2" x14ac:dyDescent="0.3">
      <c r="A1747" s="1">
        <v>43083</v>
      </c>
      <c r="B1747" s="2">
        <v>10252.099609000001</v>
      </c>
    </row>
    <row r="1748" spans="1:2" x14ac:dyDescent="0.3">
      <c r="A1748" s="1">
        <v>43084</v>
      </c>
      <c r="B1748" s="2">
        <v>10333.25</v>
      </c>
    </row>
    <row r="1749" spans="1:2" x14ac:dyDescent="0.3">
      <c r="A1749" s="1">
        <v>43087</v>
      </c>
      <c r="B1749" s="2">
        <v>10388.75</v>
      </c>
    </row>
    <row r="1750" spans="1:2" x14ac:dyDescent="0.3">
      <c r="A1750" s="1">
        <v>43088</v>
      </c>
      <c r="B1750" s="2">
        <v>10463.200194999999</v>
      </c>
    </row>
    <row r="1751" spans="1:2" x14ac:dyDescent="0.3">
      <c r="A1751" s="1">
        <v>43089</v>
      </c>
      <c r="B1751" s="2">
        <v>10444.200194999999</v>
      </c>
    </row>
    <row r="1752" spans="1:2" x14ac:dyDescent="0.3">
      <c r="A1752" s="1">
        <v>43090</v>
      </c>
      <c r="B1752" s="2">
        <v>10440.299805000001</v>
      </c>
    </row>
    <row r="1753" spans="1:2" x14ac:dyDescent="0.3">
      <c r="A1753" s="1">
        <v>43091</v>
      </c>
      <c r="B1753" s="2">
        <v>10493</v>
      </c>
    </row>
    <row r="1754" spans="1:2" x14ac:dyDescent="0.3">
      <c r="A1754" s="1">
        <v>43095</v>
      </c>
      <c r="B1754" s="2">
        <v>10531.5</v>
      </c>
    </row>
    <row r="1755" spans="1:2" x14ac:dyDescent="0.3">
      <c r="A1755" s="1">
        <v>43096</v>
      </c>
      <c r="B1755" s="2">
        <v>10490.75</v>
      </c>
    </row>
    <row r="1756" spans="1:2" x14ac:dyDescent="0.3">
      <c r="A1756" s="1">
        <v>43097</v>
      </c>
      <c r="B1756" s="2">
        <v>10477.900390999999</v>
      </c>
    </row>
    <row r="1757" spans="1:2" x14ac:dyDescent="0.3">
      <c r="A1757" s="1">
        <v>43098</v>
      </c>
      <c r="B1757" s="2">
        <v>10530.700194999999</v>
      </c>
    </row>
    <row r="1758" spans="1:2" x14ac:dyDescent="0.3">
      <c r="A1758" s="1">
        <v>43102</v>
      </c>
      <c r="B1758" s="2">
        <v>10442.200194999999</v>
      </c>
    </row>
    <row r="1759" spans="1:2" x14ac:dyDescent="0.3">
      <c r="A1759" s="1">
        <v>43103</v>
      </c>
      <c r="B1759" s="2">
        <v>10443.200194999999</v>
      </c>
    </row>
    <row r="1760" spans="1:2" x14ac:dyDescent="0.3">
      <c r="A1760" s="1">
        <v>43104</v>
      </c>
      <c r="B1760" s="2">
        <v>10504.799805000001</v>
      </c>
    </row>
    <row r="1761" spans="1:2" x14ac:dyDescent="0.3">
      <c r="A1761" s="1">
        <v>43105</v>
      </c>
      <c r="B1761" s="2">
        <v>10558.849609000001</v>
      </c>
    </row>
    <row r="1762" spans="1:2" x14ac:dyDescent="0.3">
      <c r="A1762" s="1">
        <v>43108</v>
      </c>
      <c r="B1762" s="2">
        <v>10623.599609000001</v>
      </c>
    </row>
    <row r="1763" spans="1:2" x14ac:dyDescent="0.3">
      <c r="A1763" s="1">
        <v>43109</v>
      </c>
      <c r="B1763" s="2">
        <v>10637</v>
      </c>
    </row>
    <row r="1764" spans="1:2" x14ac:dyDescent="0.3">
      <c r="A1764" s="1">
        <v>43110</v>
      </c>
      <c r="B1764" s="2">
        <v>10632.200194999999</v>
      </c>
    </row>
    <row r="1765" spans="1:2" x14ac:dyDescent="0.3">
      <c r="A1765" s="1">
        <v>43111</v>
      </c>
      <c r="B1765" s="2">
        <v>10651.200194999999</v>
      </c>
    </row>
    <row r="1766" spans="1:2" x14ac:dyDescent="0.3">
      <c r="A1766" s="1">
        <v>43112</v>
      </c>
      <c r="B1766" s="2">
        <v>10681.25</v>
      </c>
    </row>
    <row r="1767" spans="1:2" x14ac:dyDescent="0.3">
      <c r="A1767" s="1">
        <v>43115</v>
      </c>
      <c r="B1767" s="2">
        <v>10741.549805000001</v>
      </c>
    </row>
    <row r="1768" spans="1:2" x14ac:dyDescent="0.3">
      <c r="A1768" s="1">
        <v>43116</v>
      </c>
      <c r="B1768" s="2">
        <v>10700.450194999999</v>
      </c>
    </row>
    <row r="1769" spans="1:2" x14ac:dyDescent="0.3">
      <c r="A1769" s="1">
        <v>43117</v>
      </c>
      <c r="B1769" s="2">
        <v>10788.549805000001</v>
      </c>
    </row>
    <row r="1770" spans="1:2" x14ac:dyDescent="0.3">
      <c r="A1770" s="1">
        <v>43118</v>
      </c>
      <c r="B1770" s="2">
        <v>10817</v>
      </c>
    </row>
    <row r="1771" spans="1:2" x14ac:dyDescent="0.3">
      <c r="A1771" s="1">
        <v>43119</v>
      </c>
      <c r="B1771" s="2">
        <v>10894.700194999999</v>
      </c>
    </row>
    <row r="1772" spans="1:2" x14ac:dyDescent="0.3">
      <c r="A1772" s="1">
        <v>43122</v>
      </c>
      <c r="B1772" s="2">
        <v>10966.200194999999</v>
      </c>
    </row>
    <row r="1773" spans="1:2" x14ac:dyDescent="0.3">
      <c r="A1773" s="1">
        <v>43123</v>
      </c>
      <c r="B1773" s="2">
        <v>11083.700194999999</v>
      </c>
    </row>
    <row r="1774" spans="1:2" x14ac:dyDescent="0.3">
      <c r="A1774" s="1">
        <v>43124</v>
      </c>
      <c r="B1774" s="2">
        <v>11086</v>
      </c>
    </row>
    <row r="1775" spans="1:2" x14ac:dyDescent="0.3">
      <c r="A1775" s="1">
        <v>43125</v>
      </c>
      <c r="B1775" s="2">
        <v>11069.650390999999</v>
      </c>
    </row>
    <row r="1776" spans="1:2" x14ac:dyDescent="0.3">
      <c r="A1776" s="1">
        <v>43129</v>
      </c>
      <c r="B1776" s="2">
        <v>11130.400390999999</v>
      </c>
    </row>
    <row r="1777" spans="1:2" x14ac:dyDescent="0.3">
      <c r="A1777" s="1">
        <v>43130</v>
      </c>
      <c r="B1777" s="2">
        <v>11049.650390999999</v>
      </c>
    </row>
    <row r="1778" spans="1:2" x14ac:dyDescent="0.3">
      <c r="A1778" s="1">
        <v>43131</v>
      </c>
      <c r="B1778" s="2">
        <v>11027.700194999999</v>
      </c>
    </row>
    <row r="1779" spans="1:2" x14ac:dyDescent="0.3">
      <c r="A1779" s="1">
        <v>43132</v>
      </c>
      <c r="B1779" s="2">
        <v>11016.900390999999</v>
      </c>
    </row>
    <row r="1780" spans="1:2" x14ac:dyDescent="0.3">
      <c r="A1780" s="1">
        <v>43133</v>
      </c>
      <c r="B1780" s="2">
        <v>10760.599609000001</v>
      </c>
    </row>
    <row r="1781" spans="1:2" x14ac:dyDescent="0.3">
      <c r="A1781" s="1">
        <v>43136</v>
      </c>
      <c r="B1781" s="2">
        <v>10666.549805000001</v>
      </c>
    </row>
    <row r="1782" spans="1:2" x14ac:dyDescent="0.3">
      <c r="A1782" s="1">
        <v>43137</v>
      </c>
      <c r="B1782" s="2">
        <v>10498.25</v>
      </c>
    </row>
    <row r="1783" spans="1:2" x14ac:dyDescent="0.3">
      <c r="A1783" s="1">
        <v>43138</v>
      </c>
      <c r="B1783" s="2">
        <v>10476.700194999999</v>
      </c>
    </row>
    <row r="1784" spans="1:2" x14ac:dyDescent="0.3">
      <c r="A1784" s="1">
        <v>43139</v>
      </c>
      <c r="B1784" s="2">
        <v>10576.849609000001</v>
      </c>
    </row>
    <row r="1785" spans="1:2" x14ac:dyDescent="0.3">
      <c r="A1785" s="1">
        <v>43140</v>
      </c>
      <c r="B1785" s="2">
        <v>10454.950194999999</v>
      </c>
    </row>
    <row r="1786" spans="1:2" x14ac:dyDescent="0.3">
      <c r="A1786" s="1">
        <v>43143</v>
      </c>
      <c r="B1786" s="2">
        <v>10539.75</v>
      </c>
    </row>
    <row r="1787" spans="1:2" x14ac:dyDescent="0.3">
      <c r="A1787" s="1">
        <v>43145</v>
      </c>
      <c r="B1787" s="2">
        <v>10500.900390999999</v>
      </c>
    </row>
    <row r="1788" spans="1:2" x14ac:dyDescent="0.3">
      <c r="A1788" s="1">
        <v>43146</v>
      </c>
      <c r="B1788" s="2">
        <v>10545.5</v>
      </c>
    </row>
    <row r="1789" spans="1:2" x14ac:dyDescent="0.3">
      <c r="A1789" s="1">
        <v>43147</v>
      </c>
      <c r="B1789" s="2">
        <v>10452.299805000001</v>
      </c>
    </row>
    <row r="1790" spans="1:2" x14ac:dyDescent="0.3">
      <c r="A1790" s="1">
        <v>43150</v>
      </c>
      <c r="B1790" s="2">
        <v>10378.400390999999</v>
      </c>
    </row>
    <row r="1791" spans="1:2" x14ac:dyDescent="0.3">
      <c r="A1791" s="1">
        <v>43151</v>
      </c>
      <c r="B1791" s="2">
        <v>10360.400390999999</v>
      </c>
    </row>
    <row r="1792" spans="1:2" x14ac:dyDescent="0.3">
      <c r="A1792" s="1">
        <v>43152</v>
      </c>
      <c r="B1792" s="2">
        <v>10397.450194999999</v>
      </c>
    </row>
    <row r="1793" spans="1:2" x14ac:dyDescent="0.3">
      <c r="A1793" s="1">
        <v>43153</v>
      </c>
      <c r="B1793" s="2">
        <v>10382.700194999999</v>
      </c>
    </row>
    <row r="1794" spans="1:2" x14ac:dyDescent="0.3">
      <c r="A1794" s="1">
        <v>43154</v>
      </c>
      <c r="B1794" s="2">
        <v>10491.049805000001</v>
      </c>
    </row>
    <row r="1795" spans="1:2" x14ac:dyDescent="0.3">
      <c r="A1795" s="1">
        <v>43157</v>
      </c>
      <c r="B1795" s="2">
        <v>10582.599609000001</v>
      </c>
    </row>
    <row r="1796" spans="1:2" x14ac:dyDescent="0.3">
      <c r="A1796" s="1">
        <v>43158</v>
      </c>
      <c r="B1796" s="2">
        <v>10554.299805000001</v>
      </c>
    </row>
    <row r="1797" spans="1:2" x14ac:dyDescent="0.3">
      <c r="A1797" s="1">
        <v>43159</v>
      </c>
      <c r="B1797" s="2">
        <v>10492.849609000001</v>
      </c>
    </row>
    <row r="1798" spans="1:2" x14ac:dyDescent="0.3">
      <c r="A1798" s="1">
        <v>43160</v>
      </c>
      <c r="B1798" s="2">
        <v>10458.349609000001</v>
      </c>
    </row>
    <row r="1799" spans="1:2" x14ac:dyDescent="0.3">
      <c r="A1799" s="1">
        <v>43164</v>
      </c>
      <c r="B1799" s="2">
        <v>10358.849609000001</v>
      </c>
    </row>
    <row r="1800" spans="1:2" x14ac:dyDescent="0.3">
      <c r="A1800" s="1">
        <v>43165</v>
      </c>
      <c r="B1800" s="2">
        <v>10249.25</v>
      </c>
    </row>
    <row r="1801" spans="1:2" x14ac:dyDescent="0.3">
      <c r="A1801" s="1">
        <v>43166</v>
      </c>
      <c r="B1801" s="2">
        <v>10154.200194999999</v>
      </c>
    </row>
    <row r="1802" spans="1:2" x14ac:dyDescent="0.3">
      <c r="A1802" s="1">
        <v>43167</v>
      </c>
      <c r="B1802" s="2">
        <v>10242.650390999999</v>
      </c>
    </row>
    <row r="1803" spans="1:2" x14ac:dyDescent="0.3">
      <c r="A1803" s="1">
        <v>43168</v>
      </c>
      <c r="B1803" s="2">
        <v>10226.849609000001</v>
      </c>
    </row>
    <row r="1804" spans="1:2" x14ac:dyDescent="0.3">
      <c r="A1804" s="1">
        <v>43171</v>
      </c>
      <c r="B1804" s="2">
        <v>10421.400390999999</v>
      </c>
    </row>
    <row r="1805" spans="1:2" x14ac:dyDescent="0.3">
      <c r="A1805" s="1">
        <v>43172</v>
      </c>
      <c r="B1805" s="2">
        <v>10426.849609000001</v>
      </c>
    </row>
    <row r="1806" spans="1:2" x14ac:dyDescent="0.3">
      <c r="A1806" s="1">
        <v>43173</v>
      </c>
      <c r="B1806" s="2">
        <v>10410.900390999999</v>
      </c>
    </row>
    <row r="1807" spans="1:2" x14ac:dyDescent="0.3">
      <c r="A1807" s="1">
        <v>43174</v>
      </c>
      <c r="B1807" s="2">
        <v>10360.150390999999</v>
      </c>
    </row>
    <row r="1808" spans="1:2" x14ac:dyDescent="0.3">
      <c r="A1808" s="1">
        <v>43175</v>
      </c>
      <c r="B1808" s="2">
        <v>10195.150390999999</v>
      </c>
    </row>
    <row r="1809" spans="1:2" x14ac:dyDescent="0.3">
      <c r="A1809" s="1">
        <v>43178</v>
      </c>
      <c r="B1809" s="2">
        <v>10094.25</v>
      </c>
    </row>
    <row r="1810" spans="1:2" x14ac:dyDescent="0.3">
      <c r="A1810" s="1">
        <v>43179</v>
      </c>
      <c r="B1810" s="2">
        <v>10124.349609000001</v>
      </c>
    </row>
    <row r="1811" spans="1:2" x14ac:dyDescent="0.3">
      <c r="A1811" s="1">
        <v>43180</v>
      </c>
      <c r="B1811" s="2">
        <v>10155.25</v>
      </c>
    </row>
    <row r="1812" spans="1:2" x14ac:dyDescent="0.3">
      <c r="A1812" s="1">
        <v>43181</v>
      </c>
      <c r="B1812" s="2">
        <v>10114.75</v>
      </c>
    </row>
    <row r="1813" spans="1:2" x14ac:dyDescent="0.3">
      <c r="A1813" s="1">
        <v>43182</v>
      </c>
      <c r="B1813" s="2">
        <v>9998.0498050000006</v>
      </c>
    </row>
    <row r="1814" spans="1:2" x14ac:dyDescent="0.3">
      <c r="A1814" s="1">
        <v>43185</v>
      </c>
      <c r="B1814" s="2">
        <v>10130.650390999999</v>
      </c>
    </row>
    <row r="1815" spans="1:2" x14ac:dyDescent="0.3">
      <c r="A1815" s="1">
        <v>43186</v>
      </c>
      <c r="B1815" s="2">
        <v>10184.150390999999</v>
      </c>
    </row>
    <row r="1816" spans="1:2" x14ac:dyDescent="0.3">
      <c r="A1816" s="1">
        <v>43187</v>
      </c>
      <c r="B1816" s="2">
        <v>10113.700194999999</v>
      </c>
    </row>
    <row r="1817" spans="1:2" x14ac:dyDescent="0.3">
      <c r="A1817" s="1">
        <v>43192</v>
      </c>
      <c r="B1817" s="2">
        <v>10211.799805000001</v>
      </c>
    </row>
    <row r="1818" spans="1:2" x14ac:dyDescent="0.3">
      <c r="A1818" s="1">
        <v>43193</v>
      </c>
      <c r="B1818" s="2">
        <v>10245</v>
      </c>
    </row>
    <row r="1819" spans="1:2" x14ac:dyDescent="0.3">
      <c r="A1819" s="1">
        <v>43194</v>
      </c>
      <c r="B1819" s="2">
        <v>10128.400390999999</v>
      </c>
    </row>
    <row r="1820" spans="1:2" x14ac:dyDescent="0.3">
      <c r="A1820" s="1">
        <v>43195</v>
      </c>
      <c r="B1820" s="2">
        <v>10325.150390999999</v>
      </c>
    </row>
    <row r="1821" spans="1:2" x14ac:dyDescent="0.3">
      <c r="A1821" s="1">
        <v>43196</v>
      </c>
      <c r="B1821" s="2">
        <v>10331.599609000001</v>
      </c>
    </row>
    <row r="1822" spans="1:2" x14ac:dyDescent="0.3">
      <c r="A1822" s="1">
        <v>43199</v>
      </c>
      <c r="B1822" s="2">
        <v>10379.349609000001</v>
      </c>
    </row>
    <row r="1823" spans="1:2" x14ac:dyDescent="0.3">
      <c r="A1823" s="1">
        <v>43200</v>
      </c>
      <c r="B1823" s="2">
        <v>10402.25</v>
      </c>
    </row>
    <row r="1824" spans="1:2" x14ac:dyDescent="0.3">
      <c r="A1824" s="1">
        <v>43201</v>
      </c>
      <c r="B1824" s="2">
        <v>10417.150390999999</v>
      </c>
    </row>
    <row r="1825" spans="1:2" x14ac:dyDescent="0.3">
      <c r="A1825" s="1">
        <v>43202</v>
      </c>
      <c r="B1825" s="2">
        <v>10458.650390999999</v>
      </c>
    </row>
    <row r="1826" spans="1:2" x14ac:dyDescent="0.3">
      <c r="A1826" s="1">
        <v>43203</v>
      </c>
      <c r="B1826" s="2">
        <v>10480.599609000001</v>
      </c>
    </row>
    <row r="1827" spans="1:2" x14ac:dyDescent="0.3">
      <c r="A1827" s="1">
        <v>43206</v>
      </c>
      <c r="B1827" s="2">
        <v>10528.349609000001</v>
      </c>
    </row>
    <row r="1828" spans="1:2" x14ac:dyDescent="0.3">
      <c r="A1828" s="1">
        <v>43207</v>
      </c>
      <c r="B1828" s="2">
        <v>10548.700194999999</v>
      </c>
    </row>
    <row r="1829" spans="1:2" x14ac:dyDescent="0.3">
      <c r="A1829" s="1">
        <v>43208</v>
      </c>
      <c r="B1829" s="2">
        <v>10526.200194999999</v>
      </c>
    </row>
    <row r="1830" spans="1:2" x14ac:dyDescent="0.3">
      <c r="A1830" s="1">
        <v>43209</v>
      </c>
      <c r="B1830" s="2">
        <v>10565.299805000001</v>
      </c>
    </row>
    <row r="1831" spans="1:2" x14ac:dyDescent="0.3">
      <c r="A1831" s="1">
        <v>43210</v>
      </c>
      <c r="B1831" s="2">
        <v>10564.049805000001</v>
      </c>
    </row>
    <row r="1832" spans="1:2" x14ac:dyDescent="0.3">
      <c r="A1832" s="1">
        <v>43213</v>
      </c>
      <c r="B1832" s="2">
        <v>10584.700194999999</v>
      </c>
    </row>
    <row r="1833" spans="1:2" x14ac:dyDescent="0.3">
      <c r="A1833" s="1">
        <v>43214</v>
      </c>
      <c r="B1833" s="2">
        <v>10614.349609000001</v>
      </c>
    </row>
    <row r="1834" spans="1:2" x14ac:dyDescent="0.3">
      <c r="A1834" s="1">
        <v>43215</v>
      </c>
      <c r="B1834" s="2">
        <v>10570.549805000001</v>
      </c>
    </row>
    <row r="1835" spans="1:2" x14ac:dyDescent="0.3">
      <c r="A1835" s="1">
        <v>43216</v>
      </c>
      <c r="B1835" s="2">
        <v>10617.799805000001</v>
      </c>
    </row>
    <row r="1836" spans="1:2" x14ac:dyDescent="0.3">
      <c r="A1836" s="1">
        <v>43217</v>
      </c>
      <c r="B1836" s="2">
        <v>10692.299805000001</v>
      </c>
    </row>
    <row r="1837" spans="1:2" x14ac:dyDescent="0.3">
      <c r="A1837" s="1">
        <v>43220</v>
      </c>
      <c r="B1837" s="2">
        <v>10739.349609000001</v>
      </c>
    </row>
    <row r="1838" spans="1:2" x14ac:dyDescent="0.3">
      <c r="A1838" s="1">
        <v>43222</v>
      </c>
      <c r="B1838" s="2">
        <v>10718.049805000001</v>
      </c>
    </row>
    <row r="1839" spans="1:2" x14ac:dyDescent="0.3">
      <c r="A1839" s="1">
        <v>43223</v>
      </c>
      <c r="B1839" s="2">
        <v>10679.650390999999</v>
      </c>
    </row>
    <row r="1840" spans="1:2" x14ac:dyDescent="0.3">
      <c r="A1840" s="1">
        <v>43224</v>
      </c>
      <c r="B1840" s="2">
        <v>10618.25</v>
      </c>
    </row>
    <row r="1841" spans="1:2" x14ac:dyDescent="0.3">
      <c r="A1841" s="1">
        <v>43227</v>
      </c>
      <c r="B1841" s="2">
        <v>10715.5</v>
      </c>
    </row>
    <row r="1842" spans="1:2" x14ac:dyDescent="0.3">
      <c r="A1842" s="1">
        <v>43228</v>
      </c>
      <c r="B1842" s="2">
        <v>10717.799805000001</v>
      </c>
    </row>
    <row r="1843" spans="1:2" x14ac:dyDescent="0.3">
      <c r="A1843" s="1">
        <v>43229</v>
      </c>
      <c r="B1843" s="2">
        <v>10741.700194999999</v>
      </c>
    </row>
    <row r="1844" spans="1:2" x14ac:dyDescent="0.3">
      <c r="A1844" s="1">
        <v>43230</v>
      </c>
      <c r="B1844" s="2">
        <v>10716.549805000001</v>
      </c>
    </row>
    <row r="1845" spans="1:2" x14ac:dyDescent="0.3">
      <c r="A1845" s="1">
        <v>43231</v>
      </c>
      <c r="B1845" s="2">
        <v>10806.5</v>
      </c>
    </row>
    <row r="1846" spans="1:2" x14ac:dyDescent="0.3">
      <c r="A1846" s="1">
        <v>43234</v>
      </c>
      <c r="B1846" s="2">
        <v>10806.599609000001</v>
      </c>
    </row>
    <row r="1847" spans="1:2" x14ac:dyDescent="0.3">
      <c r="A1847" s="1">
        <v>43235</v>
      </c>
      <c r="B1847" s="2">
        <v>10801.849609000001</v>
      </c>
    </row>
    <row r="1848" spans="1:2" x14ac:dyDescent="0.3">
      <c r="A1848" s="1">
        <v>43236</v>
      </c>
      <c r="B1848" s="2">
        <v>10741.099609000001</v>
      </c>
    </row>
    <row r="1849" spans="1:2" x14ac:dyDescent="0.3">
      <c r="A1849" s="1">
        <v>43237</v>
      </c>
      <c r="B1849" s="2">
        <v>10682.700194999999</v>
      </c>
    </row>
    <row r="1850" spans="1:2" x14ac:dyDescent="0.3">
      <c r="A1850" s="1">
        <v>43238</v>
      </c>
      <c r="B1850" s="2">
        <v>10596.400390999999</v>
      </c>
    </row>
    <row r="1851" spans="1:2" x14ac:dyDescent="0.3">
      <c r="A1851" s="1">
        <v>43241</v>
      </c>
      <c r="B1851" s="2">
        <v>10516.700194999999</v>
      </c>
    </row>
    <row r="1852" spans="1:2" x14ac:dyDescent="0.3">
      <c r="A1852" s="1">
        <v>43242</v>
      </c>
      <c r="B1852" s="2">
        <v>10536.700194999999</v>
      </c>
    </row>
    <row r="1853" spans="1:2" x14ac:dyDescent="0.3">
      <c r="A1853" s="1">
        <v>43243</v>
      </c>
      <c r="B1853" s="2">
        <v>10430.349609000001</v>
      </c>
    </row>
    <row r="1854" spans="1:2" x14ac:dyDescent="0.3">
      <c r="A1854" s="1">
        <v>43244</v>
      </c>
      <c r="B1854" s="2">
        <v>10513.849609000001</v>
      </c>
    </row>
    <row r="1855" spans="1:2" x14ac:dyDescent="0.3">
      <c r="A1855" s="1">
        <v>43245</v>
      </c>
      <c r="B1855" s="2">
        <v>10605.150390999999</v>
      </c>
    </row>
    <row r="1856" spans="1:2" x14ac:dyDescent="0.3">
      <c r="A1856" s="1">
        <v>43248</v>
      </c>
      <c r="B1856" s="2">
        <v>10688.650390999999</v>
      </c>
    </row>
    <row r="1857" spans="1:2" x14ac:dyDescent="0.3">
      <c r="A1857" s="1">
        <v>43249</v>
      </c>
      <c r="B1857" s="2">
        <v>10633.299805000001</v>
      </c>
    </row>
    <row r="1858" spans="1:2" x14ac:dyDescent="0.3">
      <c r="A1858" s="1">
        <v>43250</v>
      </c>
      <c r="B1858" s="2">
        <v>10614.349609000001</v>
      </c>
    </row>
    <row r="1859" spans="1:2" x14ac:dyDescent="0.3">
      <c r="A1859" s="1">
        <v>43251</v>
      </c>
      <c r="B1859" s="2">
        <v>10736.150390999999</v>
      </c>
    </row>
    <row r="1860" spans="1:2" x14ac:dyDescent="0.3">
      <c r="A1860" s="1">
        <v>43252</v>
      </c>
      <c r="B1860" s="2">
        <v>10696.200194999999</v>
      </c>
    </row>
    <row r="1861" spans="1:2" x14ac:dyDescent="0.3">
      <c r="A1861" s="1">
        <v>43255</v>
      </c>
      <c r="B1861" s="2">
        <v>10628.5</v>
      </c>
    </row>
    <row r="1862" spans="1:2" x14ac:dyDescent="0.3">
      <c r="A1862" s="1">
        <v>43256</v>
      </c>
      <c r="B1862" s="2">
        <v>10593.150390999999</v>
      </c>
    </row>
    <row r="1863" spans="1:2" x14ac:dyDescent="0.3">
      <c r="A1863" s="1">
        <v>43257</v>
      </c>
      <c r="B1863" s="2">
        <v>10684.650390999999</v>
      </c>
    </row>
    <row r="1864" spans="1:2" x14ac:dyDescent="0.3">
      <c r="A1864" s="1">
        <v>43258</v>
      </c>
      <c r="B1864" s="2">
        <v>10768.349609000001</v>
      </c>
    </row>
    <row r="1865" spans="1:2" x14ac:dyDescent="0.3">
      <c r="A1865" s="1">
        <v>43259</v>
      </c>
      <c r="B1865" s="2">
        <v>10767.650390999999</v>
      </c>
    </row>
    <row r="1866" spans="1:2" x14ac:dyDescent="0.3">
      <c r="A1866" s="1">
        <v>43262</v>
      </c>
      <c r="B1866" s="2">
        <v>10786.950194999999</v>
      </c>
    </row>
    <row r="1867" spans="1:2" x14ac:dyDescent="0.3">
      <c r="A1867" s="1">
        <v>43263</v>
      </c>
      <c r="B1867" s="2">
        <v>10842.849609000001</v>
      </c>
    </row>
    <row r="1868" spans="1:2" x14ac:dyDescent="0.3">
      <c r="A1868" s="1">
        <v>43264</v>
      </c>
      <c r="B1868" s="2">
        <v>10856.700194999999</v>
      </c>
    </row>
    <row r="1869" spans="1:2" x14ac:dyDescent="0.3">
      <c r="A1869" s="1">
        <v>43265</v>
      </c>
      <c r="B1869" s="2">
        <v>10808.049805000001</v>
      </c>
    </row>
    <row r="1870" spans="1:2" x14ac:dyDescent="0.3">
      <c r="A1870" s="1">
        <v>43266</v>
      </c>
      <c r="B1870" s="2">
        <v>10817.700194999999</v>
      </c>
    </row>
    <row r="1871" spans="1:2" x14ac:dyDescent="0.3">
      <c r="A1871" s="1">
        <v>43269</v>
      </c>
      <c r="B1871" s="2">
        <v>10799.849609000001</v>
      </c>
    </row>
    <row r="1872" spans="1:2" x14ac:dyDescent="0.3">
      <c r="A1872" s="1">
        <v>43270</v>
      </c>
      <c r="B1872" s="2">
        <v>10710.450194999999</v>
      </c>
    </row>
    <row r="1873" spans="1:2" x14ac:dyDescent="0.3">
      <c r="A1873" s="1">
        <v>43271</v>
      </c>
      <c r="B1873" s="2">
        <v>10772.049805000001</v>
      </c>
    </row>
    <row r="1874" spans="1:2" x14ac:dyDescent="0.3">
      <c r="A1874" s="1">
        <v>43272</v>
      </c>
      <c r="B1874" s="2">
        <v>10741.099609000001</v>
      </c>
    </row>
    <row r="1875" spans="1:2" x14ac:dyDescent="0.3">
      <c r="A1875" s="1">
        <v>43273</v>
      </c>
      <c r="B1875" s="2">
        <v>10821.849609000001</v>
      </c>
    </row>
    <row r="1876" spans="1:2" x14ac:dyDescent="0.3">
      <c r="A1876" s="1">
        <v>43276</v>
      </c>
      <c r="B1876" s="2">
        <v>10762.450194999999</v>
      </c>
    </row>
    <row r="1877" spans="1:2" x14ac:dyDescent="0.3">
      <c r="A1877" s="1">
        <v>43277</v>
      </c>
      <c r="B1877" s="2">
        <v>10769.150390999999</v>
      </c>
    </row>
    <row r="1878" spans="1:2" x14ac:dyDescent="0.3">
      <c r="A1878" s="1">
        <v>43278</v>
      </c>
      <c r="B1878" s="2">
        <v>10671.400390999999</v>
      </c>
    </row>
    <row r="1879" spans="1:2" x14ac:dyDescent="0.3">
      <c r="A1879" s="1">
        <v>43279</v>
      </c>
      <c r="B1879" s="2">
        <v>10589.099609000001</v>
      </c>
    </row>
    <row r="1880" spans="1:2" x14ac:dyDescent="0.3">
      <c r="A1880" s="1">
        <v>43280</v>
      </c>
      <c r="B1880" s="2">
        <v>10714.299805000001</v>
      </c>
    </row>
    <row r="1881" spans="1:2" x14ac:dyDescent="0.3">
      <c r="A1881" s="1">
        <v>43283</v>
      </c>
      <c r="B1881" s="2">
        <v>10657.299805000001</v>
      </c>
    </row>
    <row r="1882" spans="1:2" x14ac:dyDescent="0.3">
      <c r="A1882" s="1">
        <v>43284</v>
      </c>
      <c r="B1882" s="2">
        <v>10699.900390999999</v>
      </c>
    </row>
    <row r="1883" spans="1:2" x14ac:dyDescent="0.3">
      <c r="A1883" s="1">
        <v>43285</v>
      </c>
      <c r="B1883" s="2">
        <v>10769.900390999999</v>
      </c>
    </row>
    <row r="1884" spans="1:2" x14ac:dyDescent="0.3">
      <c r="A1884" s="1">
        <v>43286</v>
      </c>
      <c r="B1884" s="2">
        <v>10749.75</v>
      </c>
    </row>
    <row r="1885" spans="1:2" x14ac:dyDescent="0.3">
      <c r="A1885" s="1">
        <v>43287</v>
      </c>
      <c r="B1885" s="2">
        <v>10772.650390999999</v>
      </c>
    </row>
    <row r="1886" spans="1:2" x14ac:dyDescent="0.3">
      <c r="A1886" s="1">
        <v>43290</v>
      </c>
      <c r="B1886" s="2">
        <v>10852.900390999999</v>
      </c>
    </row>
    <row r="1887" spans="1:2" x14ac:dyDescent="0.3">
      <c r="A1887" s="1">
        <v>43291</v>
      </c>
      <c r="B1887" s="2">
        <v>10947.25</v>
      </c>
    </row>
    <row r="1888" spans="1:2" x14ac:dyDescent="0.3">
      <c r="A1888" s="1">
        <v>43292</v>
      </c>
      <c r="B1888" s="2">
        <v>10948.299805000001</v>
      </c>
    </row>
    <row r="1889" spans="1:2" x14ac:dyDescent="0.3">
      <c r="A1889" s="1">
        <v>43293</v>
      </c>
      <c r="B1889" s="2">
        <v>11023.200194999999</v>
      </c>
    </row>
    <row r="1890" spans="1:2" x14ac:dyDescent="0.3">
      <c r="A1890" s="1">
        <v>43294</v>
      </c>
      <c r="B1890" s="2">
        <v>11018.900390999999</v>
      </c>
    </row>
    <row r="1891" spans="1:2" x14ac:dyDescent="0.3">
      <c r="A1891" s="1">
        <v>43297</v>
      </c>
      <c r="B1891" s="2">
        <v>10936.849609000001</v>
      </c>
    </row>
    <row r="1892" spans="1:2" x14ac:dyDescent="0.3">
      <c r="A1892" s="1">
        <v>43298</v>
      </c>
      <c r="B1892" s="2">
        <v>11008.049805000001</v>
      </c>
    </row>
    <row r="1893" spans="1:2" x14ac:dyDescent="0.3">
      <c r="A1893" s="1">
        <v>43299</v>
      </c>
      <c r="B1893" s="2">
        <v>10980.450194999999</v>
      </c>
    </row>
    <row r="1894" spans="1:2" x14ac:dyDescent="0.3">
      <c r="A1894" s="1">
        <v>43300</v>
      </c>
      <c r="B1894" s="2">
        <v>10957.099609000001</v>
      </c>
    </row>
    <row r="1895" spans="1:2" x14ac:dyDescent="0.3">
      <c r="A1895" s="1">
        <v>43301</v>
      </c>
      <c r="B1895" s="2">
        <v>11010.200194999999</v>
      </c>
    </row>
    <row r="1896" spans="1:2" x14ac:dyDescent="0.3">
      <c r="A1896" s="1">
        <v>43304</v>
      </c>
      <c r="B1896" s="2">
        <v>11084.75</v>
      </c>
    </row>
    <row r="1897" spans="1:2" x14ac:dyDescent="0.3">
      <c r="A1897" s="1">
        <v>43305</v>
      </c>
      <c r="B1897" s="2">
        <v>11134.299805000001</v>
      </c>
    </row>
    <row r="1898" spans="1:2" x14ac:dyDescent="0.3">
      <c r="A1898" s="1">
        <v>43306</v>
      </c>
      <c r="B1898" s="2">
        <v>11132</v>
      </c>
    </row>
    <row r="1899" spans="1:2" x14ac:dyDescent="0.3">
      <c r="A1899" s="1">
        <v>43307</v>
      </c>
      <c r="B1899" s="2">
        <v>11167.299805000001</v>
      </c>
    </row>
    <row r="1900" spans="1:2" x14ac:dyDescent="0.3">
      <c r="A1900" s="1">
        <v>43308</v>
      </c>
      <c r="B1900" s="2">
        <v>11278.349609000001</v>
      </c>
    </row>
    <row r="1901" spans="1:2" x14ac:dyDescent="0.3">
      <c r="A1901" s="1">
        <v>43311</v>
      </c>
      <c r="B1901" s="2">
        <v>11319.549805000001</v>
      </c>
    </row>
    <row r="1902" spans="1:2" x14ac:dyDescent="0.3">
      <c r="A1902" s="1">
        <v>43312</v>
      </c>
      <c r="B1902" s="2">
        <v>11356.5</v>
      </c>
    </row>
    <row r="1903" spans="1:2" x14ac:dyDescent="0.3">
      <c r="A1903" s="1">
        <v>43313</v>
      </c>
      <c r="B1903" s="2">
        <v>11346.200194999999</v>
      </c>
    </row>
    <row r="1904" spans="1:2" x14ac:dyDescent="0.3">
      <c r="A1904" s="1">
        <v>43314</v>
      </c>
      <c r="B1904" s="2">
        <v>11244.700194999999</v>
      </c>
    </row>
    <row r="1905" spans="1:2" x14ac:dyDescent="0.3">
      <c r="A1905" s="1">
        <v>43315</v>
      </c>
      <c r="B1905" s="2">
        <v>11360.799805000001</v>
      </c>
    </row>
    <row r="1906" spans="1:2" x14ac:dyDescent="0.3">
      <c r="A1906" s="1">
        <v>43318</v>
      </c>
      <c r="B1906" s="2">
        <v>11387.099609000001</v>
      </c>
    </row>
    <row r="1907" spans="1:2" x14ac:dyDescent="0.3">
      <c r="A1907" s="1">
        <v>43319</v>
      </c>
      <c r="B1907" s="2">
        <v>11389.450194999999</v>
      </c>
    </row>
    <row r="1908" spans="1:2" x14ac:dyDescent="0.3">
      <c r="A1908" s="1">
        <v>43320</v>
      </c>
      <c r="B1908" s="2">
        <v>11450</v>
      </c>
    </row>
    <row r="1909" spans="1:2" x14ac:dyDescent="0.3">
      <c r="A1909" s="1">
        <v>43321</v>
      </c>
      <c r="B1909" s="2">
        <v>11470.700194999999</v>
      </c>
    </row>
    <row r="1910" spans="1:2" x14ac:dyDescent="0.3">
      <c r="A1910" s="1">
        <v>43322</v>
      </c>
      <c r="B1910" s="2">
        <v>11429.5</v>
      </c>
    </row>
    <row r="1911" spans="1:2" x14ac:dyDescent="0.3">
      <c r="A1911" s="1">
        <v>43325</v>
      </c>
      <c r="B1911" s="2">
        <v>11355.75</v>
      </c>
    </row>
    <row r="1912" spans="1:2" x14ac:dyDescent="0.3">
      <c r="A1912" s="1">
        <v>43326</v>
      </c>
      <c r="B1912" s="2">
        <v>11435.099609000001</v>
      </c>
    </row>
    <row r="1913" spans="1:2" x14ac:dyDescent="0.3">
      <c r="A1913" s="1">
        <v>43328</v>
      </c>
      <c r="B1913" s="2">
        <v>11385.049805000001</v>
      </c>
    </row>
    <row r="1914" spans="1:2" x14ac:dyDescent="0.3">
      <c r="A1914" s="1">
        <v>43329</v>
      </c>
      <c r="B1914" s="2">
        <v>11470.75</v>
      </c>
    </row>
    <row r="1915" spans="1:2" x14ac:dyDescent="0.3">
      <c r="A1915" s="1">
        <v>43332</v>
      </c>
      <c r="B1915" s="2">
        <v>11551.75</v>
      </c>
    </row>
    <row r="1916" spans="1:2" x14ac:dyDescent="0.3">
      <c r="A1916" s="1">
        <v>43333</v>
      </c>
      <c r="B1916" s="2">
        <v>11570.900390999999</v>
      </c>
    </row>
    <row r="1917" spans="1:2" x14ac:dyDescent="0.3">
      <c r="A1917" s="1">
        <v>43335</v>
      </c>
      <c r="B1917" s="2">
        <v>11582.75</v>
      </c>
    </row>
    <row r="1918" spans="1:2" x14ac:dyDescent="0.3">
      <c r="A1918" s="1">
        <v>43336</v>
      </c>
      <c r="B1918" s="2">
        <v>11557.099609000001</v>
      </c>
    </row>
    <row r="1919" spans="1:2" x14ac:dyDescent="0.3">
      <c r="A1919" s="1">
        <v>43339</v>
      </c>
      <c r="B1919" s="2">
        <v>11691.950194999999</v>
      </c>
    </row>
    <row r="1920" spans="1:2" x14ac:dyDescent="0.3">
      <c r="A1920" s="1">
        <v>43340</v>
      </c>
      <c r="B1920" s="2">
        <v>11738.5</v>
      </c>
    </row>
    <row r="1921" spans="1:2" x14ac:dyDescent="0.3">
      <c r="A1921" s="1">
        <v>43341</v>
      </c>
      <c r="B1921" s="2">
        <v>11691.900390999999</v>
      </c>
    </row>
    <row r="1922" spans="1:2" x14ac:dyDescent="0.3">
      <c r="A1922" s="1">
        <v>43342</v>
      </c>
      <c r="B1922" s="2">
        <v>11676.799805000001</v>
      </c>
    </row>
    <row r="1923" spans="1:2" x14ac:dyDescent="0.3">
      <c r="A1923" s="1">
        <v>43343</v>
      </c>
      <c r="B1923" s="2">
        <v>11680.5</v>
      </c>
    </row>
    <row r="1924" spans="1:2" x14ac:dyDescent="0.3">
      <c r="A1924" s="1">
        <v>43346</v>
      </c>
      <c r="B1924" s="2">
        <v>11582.349609000001</v>
      </c>
    </row>
    <row r="1925" spans="1:2" x14ac:dyDescent="0.3">
      <c r="A1925" s="1">
        <v>43347</v>
      </c>
      <c r="B1925" s="2">
        <v>11520.299805000001</v>
      </c>
    </row>
    <row r="1926" spans="1:2" x14ac:dyDescent="0.3">
      <c r="A1926" s="1">
        <v>43348</v>
      </c>
      <c r="B1926" s="2">
        <v>11476.950194999999</v>
      </c>
    </row>
    <row r="1927" spans="1:2" x14ac:dyDescent="0.3">
      <c r="A1927" s="1">
        <v>43349</v>
      </c>
      <c r="B1927" s="2">
        <v>11536.900390999999</v>
      </c>
    </row>
    <row r="1928" spans="1:2" x14ac:dyDescent="0.3">
      <c r="A1928" s="1">
        <v>43350</v>
      </c>
      <c r="B1928" s="2">
        <v>11589.099609000001</v>
      </c>
    </row>
    <row r="1929" spans="1:2" x14ac:dyDescent="0.3">
      <c r="A1929" s="1">
        <v>43353</v>
      </c>
      <c r="B1929" s="2">
        <v>11438.099609000001</v>
      </c>
    </row>
    <row r="1930" spans="1:2" x14ac:dyDescent="0.3">
      <c r="A1930" s="1">
        <v>43354</v>
      </c>
      <c r="B1930" s="2">
        <v>11287.5</v>
      </c>
    </row>
    <row r="1931" spans="1:2" x14ac:dyDescent="0.3">
      <c r="A1931" s="1">
        <v>43355</v>
      </c>
      <c r="B1931" s="2">
        <v>11369.900390999999</v>
      </c>
    </row>
    <row r="1932" spans="1:2" x14ac:dyDescent="0.3">
      <c r="A1932" s="1">
        <v>43357</v>
      </c>
      <c r="B1932" s="2">
        <v>11515.200194999999</v>
      </c>
    </row>
    <row r="1933" spans="1:2" x14ac:dyDescent="0.3">
      <c r="A1933" s="1">
        <v>43360</v>
      </c>
      <c r="B1933" s="2">
        <v>11377.75</v>
      </c>
    </row>
    <row r="1934" spans="1:2" x14ac:dyDescent="0.3">
      <c r="A1934" s="1">
        <v>43361</v>
      </c>
      <c r="B1934" s="2">
        <v>11278.900390999999</v>
      </c>
    </row>
    <row r="1935" spans="1:2" x14ac:dyDescent="0.3">
      <c r="A1935" s="1">
        <v>43362</v>
      </c>
      <c r="B1935" s="2">
        <v>11234.349609000001</v>
      </c>
    </row>
    <row r="1936" spans="1:2" x14ac:dyDescent="0.3">
      <c r="A1936" s="1">
        <v>43364</v>
      </c>
      <c r="B1936" s="2">
        <v>11143.099609000001</v>
      </c>
    </row>
    <row r="1937" spans="1:2" x14ac:dyDescent="0.3">
      <c r="A1937" s="1">
        <v>43367</v>
      </c>
      <c r="B1937" s="2">
        <v>10967.400390999999</v>
      </c>
    </row>
    <row r="1938" spans="1:2" x14ac:dyDescent="0.3">
      <c r="A1938" s="1">
        <v>43368</v>
      </c>
      <c r="B1938" s="2">
        <v>11067.450194999999</v>
      </c>
    </row>
    <row r="1939" spans="1:2" x14ac:dyDescent="0.3">
      <c r="A1939" s="1">
        <v>43369</v>
      </c>
      <c r="B1939" s="2">
        <v>11053.799805000001</v>
      </c>
    </row>
    <row r="1940" spans="1:2" x14ac:dyDescent="0.3">
      <c r="A1940" s="1">
        <v>43370</v>
      </c>
      <c r="B1940" s="2">
        <v>10977.549805000001</v>
      </c>
    </row>
    <row r="1941" spans="1:2" x14ac:dyDescent="0.3">
      <c r="A1941" s="1">
        <v>43371</v>
      </c>
      <c r="B1941" s="2">
        <v>10930.450194999999</v>
      </c>
    </row>
    <row r="1942" spans="1:2" x14ac:dyDescent="0.3">
      <c r="A1942" s="1">
        <v>43374</v>
      </c>
      <c r="B1942" s="2">
        <v>11008.299805000001</v>
      </c>
    </row>
    <row r="1943" spans="1:2" x14ac:dyDescent="0.3">
      <c r="A1943" s="1">
        <v>43376</v>
      </c>
      <c r="B1943" s="2">
        <v>10858.25</v>
      </c>
    </row>
    <row r="1944" spans="1:2" x14ac:dyDescent="0.3">
      <c r="A1944" s="1">
        <v>43377</v>
      </c>
      <c r="B1944" s="2">
        <v>10599.25</v>
      </c>
    </row>
    <row r="1945" spans="1:2" x14ac:dyDescent="0.3">
      <c r="A1945" s="1">
        <v>43378</v>
      </c>
      <c r="B1945" s="2">
        <v>10316.450194999999</v>
      </c>
    </row>
    <row r="1946" spans="1:2" x14ac:dyDescent="0.3">
      <c r="A1946" s="1">
        <v>43381</v>
      </c>
      <c r="B1946" s="2">
        <v>10348.049805000001</v>
      </c>
    </row>
    <row r="1947" spans="1:2" x14ac:dyDescent="0.3">
      <c r="A1947" s="1">
        <v>43382</v>
      </c>
      <c r="B1947" s="2">
        <v>10301.049805000001</v>
      </c>
    </row>
    <row r="1948" spans="1:2" x14ac:dyDescent="0.3">
      <c r="A1948" s="1">
        <v>43383</v>
      </c>
      <c r="B1948" s="2">
        <v>10460.099609000001</v>
      </c>
    </row>
    <row r="1949" spans="1:2" x14ac:dyDescent="0.3">
      <c r="A1949" s="1">
        <v>43384</v>
      </c>
      <c r="B1949" s="2">
        <v>10234.650390999999</v>
      </c>
    </row>
    <row r="1950" spans="1:2" x14ac:dyDescent="0.3">
      <c r="A1950" s="1">
        <v>43385</v>
      </c>
      <c r="B1950" s="2">
        <v>10472.5</v>
      </c>
    </row>
    <row r="1951" spans="1:2" x14ac:dyDescent="0.3">
      <c r="A1951" s="1">
        <v>43388</v>
      </c>
      <c r="B1951" s="2">
        <v>10512.5</v>
      </c>
    </row>
    <row r="1952" spans="1:2" x14ac:dyDescent="0.3">
      <c r="A1952" s="1">
        <v>43389</v>
      </c>
      <c r="B1952" s="2">
        <v>10584.75</v>
      </c>
    </row>
    <row r="1953" spans="1:2" x14ac:dyDescent="0.3">
      <c r="A1953" s="1">
        <v>43390</v>
      </c>
      <c r="B1953" s="2">
        <v>10453.049805000001</v>
      </c>
    </row>
    <row r="1954" spans="1:2" x14ac:dyDescent="0.3">
      <c r="A1954" s="1">
        <v>43392</v>
      </c>
      <c r="B1954" s="2">
        <v>10303.549805000001</v>
      </c>
    </row>
    <row r="1955" spans="1:2" x14ac:dyDescent="0.3">
      <c r="A1955" s="1">
        <v>43395</v>
      </c>
      <c r="B1955" s="2">
        <v>10245.25</v>
      </c>
    </row>
    <row r="1956" spans="1:2" x14ac:dyDescent="0.3">
      <c r="A1956" s="1">
        <v>43396</v>
      </c>
      <c r="B1956" s="2">
        <v>10146.799805000001</v>
      </c>
    </row>
    <row r="1957" spans="1:2" x14ac:dyDescent="0.3">
      <c r="A1957" s="1">
        <v>43397</v>
      </c>
      <c r="B1957" s="2">
        <v>10224.75</v>
      </c>
    </row>
    <row r="1958" spans="1:2" x14ac:dyDescent="0.3">
      <c r="A1958" s="1">
        <v>43398</v>
      </c>
      <c r="B1958" s="2">
        <v>10124.900390999999</v>
      </c>
    </row>
    <row r="1959" spans="1:2" x14ac:dyDescent="0.3">
      <c r="A1959" s="1">
        <v>43399</v>
      </c>
      <c r="B1959" s="2">
        <v>10030</v>
      </c>
    </row>
    <row r="1960" spans="1:2" x14ac:dyDescent="0.3">
      <c r="A1960" s="1">
        <v>43402</v>
      </c>
      <c r="B1960" s="2">
        <v>10250.849609000001</v>
      </c>
    </row>
    <row r="1961" spans="1:2" x14ac:dyDescent="0.3">
      <c r="A1961" s="1">
        <v>43403</v>
      </c>
      <c r="B1961" s="2">
        <v>10198.400390999999</v>
      </c>
    </row>
    <row r="1962" spans="1:2" x14ac:dyDescent="0.3">
      <c r="A1962" s="1">
        <v>43404</v>
      </c>
      <c r="B1962" s="2">
        <v>10386.599609000001</v>
      </c>
    </row>
    <row r="1963" spans="1:2" x14ac:dyDescent="0.3">
      <c r="A1963" s="1">
        <v>43405</v>
      </c>
      <c r="B1963" s="2">
        <v>10380.450194999999</v>
      </c>
    </row>
    <row r="1964" spans="1:2" x14ac:dyDescent="0.3">
      <c r="A1964" s="1">
        <v>43406</v>
      </c>
      <c r="B1964" s="2">
        <v>10553</v>
      </c>
    </row>
    <row r="1965" spans="1:2" x14ac:dyDescent="0.3">
      <c r="A1965" s="1">
        <v>43409</v>
      </c>
      <c r="B1965" s="2">
        <v>10524</v>
      </c>
    </row>
    <row r="1966" spans="1:2" x14ac:dyDescent="0.3">
      <c r="A1966" s="1">
        <v>43410</v>
      </c>
      <c r="B1966" s="2">
        <v>10530</v>
      </c>
    </row>
    <row r="1967" spans="1:2" x14ac:dyDescent="0.3">
      <c r="A1967" s="1">
        <v>43411</v>
      </c>
      <c r="B1967" s="2">
        <v>10598.400390999999</v>
      </c>
    </row>
    <row r="1968" spans="1:2" x14ac:dyDescent="0.3">
      <c r="A1968" s="1">
        <v>43413</v>
      </c>
      <c r="B1968" s="2">
        <v>10585.200194999999</v>
      </c>
    </row>
    <row r="1969" spans="1:2" x14ac:dyDescent="0.3">
      <c r="A1969" s="1">
        <v>43416</v>
      </c>
      <c r="B1969" s="2">
        <v>10482.200194999999</v>
      </c>
    </row>
    <row r="1970" spans="1:2" x14ac:dyDescent="0.3">
      <c r="A1970" s="1">
        <v>43417</v>
      </c>
      <c r="B1970" s="2">
        <v>10582.5</v>
      </c>
    </row>
    <row r="1971" spans="1:2" x14ac:dyDescent="0.3">
      <c r="A1971" s="1">
        <v>43418</v>
      </c>
      <c r="B1971" s="2">
        <v>10576.299805000001</v>
      </c>
    </row>
    <row r="1972" spans="1:2" x14ac:dyDescent="0.3">
      <c r="A1972" s="1">
        <v>43419</v>
      </c>
      <c r="B1972" s="2">
        <v>10616.700194999999</v>
      </c>
    </row>
    <row r="1973" spans="1:2" x14ac:dyDescent="0.3">
      <c r="A1973" s="1">
        <v>43420</v>
      </c>
      <c r="B1973" s="2">
        <v>10682.200194999999</v>
      </c>
    </row>
    <row r="1974" spans="1:2" x14ac:dyDescent="0.3">
      <c r="A1974" s="1">
        <v>43423</v>
      </c>
      <c r="B1974" s="2">
        <v>10763.400390999999</v>
      </c>
    </row>
    <row r="1975" spans="1:2" x14ac:dyDescent="0.3">
      <c r="A1975" s="1">
        <v>43424</v>
      </c>
      <c r="B1975" s="2">
        <v>10656.200194999999</v>
      </c>
    </row>
    <row r="1976" spans="1:2" x14ac:dyDescent="0.3">
      <c r="A1976" s="1">
        <v>43425</v>
      </c>
      <c r="B1976" s="2">
        <v>10600.049805000001</v>
      </c>
    </row>
    <row r="1977" spans="1:2" x14ac:dyDescent="0.3">
      <c r="A1977" s="1">
        <v>43426</v>
      </c>
      <c r="B1977" s="2">
        <v>10526.75</v>
      </c>
    </row>
    <row r="1978" spans="1:2" x14ac:dyDescent="0.3">
      <c r="A1978" s="1">
        <v>43430</v>
      </c>
      <c r="B1978" s="2">
        <v>10628.599609000001</v>
      </c>
    </row>
    <row r="1979" spans="1:2" x14ac:dyDescent="0.3">
      <c r="A1979" s="1">
        <v>43431</v>
      </c>
      <c r="B1979" s="2">
        <v>10685.599609000001</v>
      </c>
    </row>
    <row r="1980" spans="1:2" x14ac:dyDescent="0.3">
      <c r="A1980" s="1">
        <v>43432</v>
      </c>
      <c r="B1980" s="2">
        <v>10728.849609000001</v>
      </c>
    </row>
    <row r="1981" spans="1:2" x14ac:dyDescent="0.3">
      <c r="A1981" s="1">
        <v>43433</v>
      </c>
      <c r="B1981" s="2">
        <v>10858.700194999999</v>
      </c>
    </row>
    <row r="1982" spans="1:2" x14ac:dyDescent="0.3">
      <c r="A1982" s="1">
        <v>43434</v>
      </c>
      <c r="B1982" s="2">
        <v>10876.75</v>
      </c>
    </row>
    <row r="1983" spans="1:2" x14ac:dyDescent="0.3">
      <c r="A1983" s="1">
        <v>43437</v>
      </c>
      <c r="B1983" s="2">
        <v>10883.75</v>
      </c>
    </row>
    <row r="1984" spans="1:2" x14ac:dyDescent="0.3">
      <c r="A1984" s="1">
        <v>43438</v>
      </c>
      <c r="B1984" s="2">
        <v>10869.5</v>
      </c>
    </row>
    <row r="1985" spans="1:2" x14ac:dyDescent="0.3">
      <c r="A1985" s="1">
        <v>43439</v>
      </c>
      <c r="B1985" s="2">
        <v>10782.900390999999</v>
      </c>
    </row>
    <row r="1986" spans="1:2" x14ac:dyDescent="0.3">
      <c r="A1986" s="1">
        <v>43440</v>
      </c>
      <c r="B1986" s="2">
        <v>10601.150390999999</v>
      </c>
    </row>
    <row r="1987" spans="1:2" x14ac:dyDescent="0.3">
      <c r="A1987" s="1">
        <v>43441</v>
      </c>
      <c r="B1987" s="2">
        <v>10693.700194999999</v>
      </c>
    </row>
    <row r="1988" spans="1:2" x14ac:dyDescent="0.3">
      <c r="A1988" s="1">
        <v>43444</v>
      </c>
      <c r="B1988" s="2">
        <v>10488.450194999999</v>
      </c>
    </row>
    <row r="1989" spans="1:2" x14ac:dyDescent="0.3">
      <c r="A1989" s="1">
        <v>43445</v>
      </c>
      <c r="B1989" s="2">
        <v>10549.150390999999</v>
      </c>
    </row>
    <row r="1990" spans="1:2" x14ac:dyDescent="0.3">
      <c r="A1990" s="1">
        <v>43446</v>
      </c>
      <c r="B1990" s="2">
        <v>10737.599609000001</v>
      </c>
    </row>
    <row r="1991" spans="1:2" x14ac:dyDescent="0.3">
      <c r="A1991" s="1">
        <v>43447</v>
      </c>
      <c r="B1991" s="2">
        <v>10791.549805000001</v>
      </c>
    </row>
    <row r="1992" spans="1:2" x14ac:dyDescent="0.3">
      <c r="A1992" s="1">
        <v>43448</v>
      </c>
      <c r="B1992" s="2">
        <v>10805.450194999999</v>
      </c>
    </row>
    <row r="1993" spans="1:2" x14ac:dyDescent="0.3">
      <c r="A1993" s="1">
        <v>43451</v>
      </c>
      <c r="B1993" s="2">
        <v>10888.349609000001</v>
      </c>
    </row>
    <row r="1994" spans="1:2" x14ac:dyDescent="0.3">
      <c r="A1994" s="1">
        <v>43452</v>
      </c>
      <c r="B1994" s="2">
        <v>10908.700194999999</v>
      </c>
    </row>
    <row r="1995" spans="1:2" x14ac:dyDescent="0.3">
      <c r="A1995" s="1">
        <v>43453</v>
      </c>
      <c r="B1995" s="2">
        <v>10967.299805000001</v>
      </c>
    </row>
    <row r="1996" spans="1:2" x14ac:dyDescent="0.3">
      <c r="A1996" s="1">
        <v>43454</v>
      </c>
      <c r="B1996" s="2">
        <v>10951.700194999999</v>
      </c>
    </row>
    <row r="1997" spans="1:2" x14ac:dyDescent="0.3">
      <c r="A1997" s="1">
        <v>43455</v>
      </c>
      <c r="B1997" s="2">
        <v>10754</v>
      </c>
    </row>
    <row r="1998" spans="1:2" x14ac:dyDescent="0.3">
      <c r="A1998" s="1">
        <v>43458</v>
      </c>
      <c r="B1998" s="2">
        <v>10663.5</v>
      </c>
    </row>
    <row r="1999" spans="1:2" x14ac:dyDescent="0.3">
      <c r="A1999" s="1">
        <v>43460</v>
      </c>
      <c r="B1999" s="2">
        <v>10729.849609000001</v>
      </c>
    </row>
    <row r="2000" spans="1:2" x14ac:dyDescent="0.3">
      <c r="A2000" s="1">
        <v>43461</v>
      </c>
      <c r="B2000" s="2">
        <v>10779.799805000001</v>
      </c>
    </row>
    <row r="2001" spans="1:2" x14ac:dyDescent="0.3">
      <c r="A2001" s="1">
        <v>43462</v>
      </c>
      <c r="B2001" s="2">
        <v>10859.900390999999</v>
      </c>
    </row>
    <row r="2002" spans="1:2" x14ac:dyDescent="0.3">
      <c r="A2002" s="1">
        <v>43465</v>
      </c>
      <c r="B2002" s="2">
        <v>10862.549805000001</v>
      </c>
    </row>
    <row r="2003" spans="1:2" x14ac:dyDescent="0.3">
      <c r="A2003" s="1">
        <v>43467</v>
      </c>
      <c r="B2003" s="2">
        <v>10792.5</v>
      </c>
    </row>
    <row r="2004" spans="1:2" x14ac:dyDescent="0.3">
      <c r="A2004" s="1">
        <v>43468</v>
      </c>
      <c r="B2004" s="2">
        <v>10672.25</v>
      </c>
    </row>
    <row r="2005" spans="1:2" x14ac:dyDescent="0.3">
      <c r="A2005" s="1">
        <v>43469</v>
      </c>
      <c r="B2005" s="2">
        <v>10727.349609000001</v>
      </c>
    </row>
    <row r="2006" spans="1:2" x14ac:dyDescent="0.3">
      <c r="A2006" s="1">
        <v>43472</v>
      </c>
      <c r="B2006" s="2">
        <v>10771.799805000001</v>
      </c>
    </row>
    <row r="2007" spans="1:2" x14ac:dyDescent="0.3">
      <c r="A2007" s="1">
        <v>43473</v>
      </c>
      <c r="B2007" s="2">
        <v>10802.150390999999</v>
      </c>
    </row>
    <row r="2008" spans="1:2" x14ac:dyDescent="0.3">
      <c r="A2008" s="1">
        <v>43474</v>
      </c>
      <c r="B2008" s="2">
        <v>10855.150390999999</v>
      </c>
    </row>
    <row r="2009" spans="1:2" x14ac:dyDescent="0.3">
      <c r="A2009" s="1">
        <v>43475</v>
      </c>
      <c r="B2009" s="2">
        <v>10821.599609000001</v>
      </c>
    </row>
    <row r="2010" spans="1:2" x14ac:dyDescent="0.3">
      <c r="A2010" s="1">
        <v>43476</v>
      </c>
      <c r="B2010" s="2">
        <v>10794.950194999999</v>
      </c>
    </row>
    <row r="2011" spans="1:2" x14ac:dyDescent="0.3">
      <c r="A2011" s="1">
        <v>43479</v>
      </c>
      <c r="B2011" s="2">
        <v>10737.599609000001</v>
      </c>
    </row>
    <row r="2012" spans="1:2" x14ac:dyDescent="0.3">
      <c r="A2012" s="1">
        <v>43480</v>
      </c>
      <c r="B2012" s="2">
        <v>10886.799805000001</v>
      </c>
    </row>
    <row r="2013" spans="1:2" x14ac:dyDescent="0.3">
      <c r="A2013" s="1">
        <v>43481</v>
      </c>
      <c r="B2013" s="2">
        <v>10890.299805000001</v>
      </c>
    </row>
    <row r="2014" spans="1:2" x14ac:dyDescent="0.3">
      <c r="A2014" s="1">
        <v>43482</v>
      </c>
      <c r="B2014" s="2">
        <v>10905.200194999999</v>
      </c>
    </row>
    <row r="2015" spans="1:2" x14ac:dyDescent="0.3">
      <c r="A2015" s="1">
        <v>43483</v>
      </c>
      <c r="B2015" s="2">
        <v>10906.950194999999</v>
      </c>
    </row>
    <row r="2016" spans="1:2" x14ac:dyDescent="0.3">
      <c r="A2016" s="1">
        <v>43486</v>
      </c>
      <c r="B2016" s="2">
        <v>10961.849609000001</v>
      </c>
    </row>
    <row r="2017" spans="1:2" x14ac:dyDescent="0.3">
      <c r="A2017" s="1">
        <v>43487</v>
      </c>
      <c r="B2017" s="2">
        <v>10922.75</v>
      </c>
    </row>
    <row r="2018" spans="1:2" x14ac:dyDescent="0.3">
      <c r="A2018" s="1">
        <v>43488</v>
      </c>
      <c r="B2018" s="2">
        <v>10831.5</v>
      </c>
    </row>
    <row r="2019" spans="1:2" x14ac:dyDescent="0.3">
      <c r="A2019" s="1">
        <v>43489</v>
      </c>
      <c r="B2019" s="2">
        <v>10849.799805000001</v>
      </c>
    </row>
    <row r="2020" spans="1:2" x14ac:dyDescent="0.3">
      <c r="A2020" s="1">
        <v>43490</v>
      </c>
      <c r="B2020" s="2">
        <v>10780.549805000001</v>
      </c>
    </row>
    <row r="2021" spans="1:2" x14ac:dyDescent="0.3">
      <c r="A2021" s="1">
        <v>43493</v>
      </c>
      <c r="B2021" s="2">
        <v>10661.549805000001</v>
      </c>
    </row>
    <row r="2022" spans="1:2" x14ac:dyDescent="0.3">
      <c r="A2022" s="1">
        <v>43494</v>
      </c>
      <c r="B2022" s="2">
        <v>10652.200194999999</v>
      </c>
    </row>
    <row r="2023" spans="1:2" x14ac:dyDescent="0.3">
      <c r="A2023" s="1">
        <v>43495</v>
      </c>
      <c r="B2023" s="2">
        <v>10651.799805000001</v>
      </c>
    </row>
    <row r="2024" spans="1:2" x14ac:dyDescent="0.3">
      <c r="A2024" s="1">
        <v>43496</v>
      </c>
      <c r="B2024" s="2">
        <v>10830.950194999999</v>
      </c>
    </row>
    <row r="2025" spans="1:2" x14ac:dyDescent="0.3">
      <c r="A2025" s="1">
        <v>43497</v>
      </c>
      <c r="B2025" s="2">
        <v>10893.650390999999</v>
      </c>
    </row>
    <row r="2026" spans="1:2" x14ac:dyDescent="0.3">
      <c r="A2026" s="1">
        <v>43500</v>
      </c>
      <c r="B2026" s="2">
        <v>10912.25</v>
      </c>
    </row>
    <row r="2027" spans="1:2" x14ac:dyDescent="0.3">
      <c r="A2027" s="1">
        <v>43501</v>
      </c>
      <c r="B2027" s="2">
        <v>10934.349609000001</v>
      </c>
    </row>
    <row r="2028" spans="1:2" x14ac:dyDescent="0.3">
      <c r="A2028" s="1">
        <v>43502</v>
      </c>
      <c r="B2028" s="2">
        <v>11062.450194999999</v>
      </c>
    </row>
    <row r="2029" spans="1:2" x14ac:dyDescent="0.3">
      <c r="A2029" s="1">
        <v>43503</v>
      </c>
      <c r="B2029" s="2">
        <v>11069.400390999999</v>
      </c>
    </row>
    <row r="2030" spans="1:2" x14ac:dyDescent="0.3">
      <c r="A2030" s="1">
        <v>43504</v>
      </c>
      <c r="B2030" s="2">
        <v>10943.599609000001</v>
      </c>
    </row>
    <row r="2031" spans="1:2" x14ac:dyDescent="0.3">
      <c r="A2031" s="1">
        <v>43507</v>
      </c>
      <c r="B2031" s="2">
        <v>10888.799805000001</v>
      </c>
    </row>
    <row r="2032" spans="1:2" x14ac:dyDescent="0.3">
      <c r="A2032" s="1">
        <v>43508</v>
      </c>
      <c r="B2032" s="2">
        <v>10831.400390999999</v>
      </c>
    </row>
    <row r="2033" spans="1:2" x14ac:dyDescent="0.3">
      <c r="A2033" s="1">
        <v>43510</v>
      </c>
      <c r="B2033" s="2">
        <v>10746.049805000001</v>
      </c>
    </row>
    <row r="2034" spans="1:2" x14ac:dyDescent="0.3">
      <c r="A2034" s="1">
        <v>43511</v>
      </c>
      <c r="B2034" s="2">
        <v>10724.400390999999</v>
      </c>
    </row>
    <row r="2035" spans="1:2" x14ac:dyDescent="0.3">
      <c r="A2035" s="1">
        <v>43514</v>
      </c>
      <c r="B2035" s="2">
        <v>10640.950194999999</v>
      </c>
    </row>
    <row r="2036" spans="1:2" x14ac:dyDescent="0.3">
      <c r="A2036" s="1">
        <v>43515</v>
      </c>
      <c r="B2036" s="2">
        <v>10604.349609000001</v>
      </c>
    </row>
    <row r="2037" spans="1:2" x14ac:dyDescent="0.3">
      <c r="A2037" s="1">
        <v>43516</v>
      </c>
      <c r="B2037" s="2">
        <v>10735.450194999999</v>
      </c>
    </row>
    <row r="2038" spans="1:2" x14ac:dyDescent="0.3">
      <c r="A2038" s="1">
        <v>43517</v>
      </c>
      <c r="B2038" s="2">
        <v>10789.849609000001</v>
      </c>
    </row>
    <row r="2039" spans="1:2" x14ac:dyDescent="0.3">
      <c r="A2039" s="1">
        <v>43518</v>
      </c>
      <c r="B2039" s="2">
        <v>10791.650390999999</v>
      </c>
    </row>
    <row r="2040" spans="1:2" x14ac:dyDescent="0.3">
      <c r="A2040" s="1">
        <v>43521</v>
      </c>
      <c r="B2040" s="2">
        <v>10880.099609000001</v>
      </c>
    </row>
    <row r="2041" spans="1:2" x14ac:dyDescent="0.3">
      <c r="A2041" s="1">
        <v>43522</v>
      </c>
      <c r="B2041" s="2">
        <v>10835.299805000001</v>
      </c>
    </row>
    <row r="2042" spans="1:2" x14ac:dyDescent="0.3">
      <c r="A2042" s="1">
        <v>43523</v>
      </c>
      <c r="B2042" s="2">
        <v>10806.650390999999</v>
      </c>
    </row>
    <row r="2043" spans="1:2" x14ac:dyDescent="0.3">
      <c r="A2043" s="1">
        <v>43524</v>
      </c>
      <c r="B2043" s="2">
        <v>10792.5</v>
      </c>
    </row>
    <row r="2044" spans="1:2" x14ac:dyDescent="0.3">
      <c r="A2044" s="1">
        <v>43525</v>
      </c>
      <c r="B2044" s="2">
        <v>10863.5</v>
      </c>
    </row>
    <row r="2045" spans="1:2" x14ac:dyDescent="0.3">
      <c r="A2045" s="1">
        <v>43529</v>
      </c>
      <c r="B2045" s="2">
        <v>10987.450194999999</v>
      </c>
    </row>
    <row r="2046" spans="1:2" x14ac:dyDescent="0.3">
      <c r="A2046" s="1">
        <v>43530</v>
      </c>
      <c r="B2046" s="2">
        <v>11053</v>
      </c>
    </row>
    <row r="2047" spans="1:2" x14ac:dyDescent="0.3">
      <c r="A2047" s="1">
        <v>43531</v>
      </c>
      <c r="B2047" s="2">
        <v>11058.200194999999</v>
      </c>
    </row>
    <row r="2048" spans="1:2" x14ac:dyDescent="0.3">
      <c r="A2048" s="1">
        <v>43532</v>
      </c>
      <c r="B2048" s="2">
        <v>11035.400390999999</v>
      </c>
    </row>
    <row r="2049" spans="1:2" x14ac:dyDescent="0.3">
      <c r="A2049" s="1">
        <v>43535</v>
      </c>
      <c r="B2049" s="2">
        <v>11168.049805000001</v>
      </c>
    </row>
    <row r="2050" spans="1:2" x14ac:dyDescent="0.3">
      <c r="A2050" s="1">
        <v>43536</v>
      </c>
      <c r="B2050" s="2">
        <v>11301.200194999999</v>
      </c>
    </row>
    <row r="2051" spans="1:2" x14ac:dyDescent="0.3">
      <c r="A2051" s="1">
        <v>43537</v>
      </c>
      <c r="B2051" s="2">
        <v>11341.700194999999</v>
      </c>
    </row>
    <row r="2052" spans="1:2" x14ac:dyDescent="0.3">
      <c r="A2052" s="1">
        <v>43538</v>
      </c>
      <c r="B2052" s="2">
        <v>11343.25</v>
      </c>
    </row>
    <row r="2053" spans="1:2" x14ac:dyDescent="0.3">
      <c r="A2053" s="1">
        <v>43539</v>
      </c>
      <c r="B2053" s="2">
        <v>11426.849609000001</v>
      </c>
    </row>
    <row r="2054" spans="1:2" x14ac:dyDescent="0.3">
      <c r="A2054" s="1">
        <v>43542</v>
      </c>
      <c r="B2054" s="2">
        <v>11462.200194999999</v>
      </c>
    </row>
    <row r="2055" spans="1:2" x14ac:dyDescent="0.3">
      <c r="A2055" s="1">
        <v>43543</v>
      </c>
      <c r="B2055" s="2">
        <v>11532.400390999999</v>
      </c>
    </row>
    <row r="2056" spans="1:2" x14ac:dyDescent="0.3">
      <c r="A2056" s="1">
        <v>43544</v>
      </c>
      <c r="B2056" s="2">
        <v>11521.049805000001</v>
      </c>
    </row>
    <row r="2057" spans="1:2" x14ac:dyDescent="0.3">
      <c r="A2057" s="1">
        <v>43546</v>
      </c>
      <c r="B2057" s="2">
        <v>11456.900390999999</v>
      </c>
    </row>
    <row r="2058" spans="1:2" x14ac:dyDescent="0.3">
      <c r="A2058" s="1">
        <v>43549</v>
      </c>
      <c r="B2058" s="2">
        <v>11354.25</v>
      </c>
    </row>
    <row r="2059" spans="1:2" x14ac:dyDescent="0.3">
      <c r="A2059" s="1">
        <v>43550</v>
      </c>
      <c r="B2059" s="2">
        <v>11483.25</v>
      </c>
    </row>
    <row r="2060" spans="1:2" x14ac:dyDescent="0.3">
      <c r="A2060" s="1">
        <v>43551</v>
      </c>
      <c r="B2060" s="2">
        <v>11445.049805000001</v>
      </c>
    </row>
    <row r="2061" spans="1:2" x14ac:dyDescent="0.3">
      <c r="A2061" s="1">
        <v>43552</v>
      </c>
      <c r="B2061" s="2">
        <v>11570</v>
      </c>
    </row>
    <row r="2062" spans="1:2" x14ac:dyDescent="0.3">
      <c r="A2062" s="1">
        <v>43556</v>
      </c>
      <c r="B2062" s="2">
        <v>11669.150390999999</v>
      </c>
    </row>
    <row r="2063" spans="1:2" x14ac:dyDescent="0.3">
      <c r="A2063" s="1">
        <v>43557</v>
      </c>
      <c r="B2063" s="2">
        <v>11713.200194999999</v>
      </c>
    </row>
    <row r="2064" spans="1:2" x14ac:dyDescent="0.3">
      <c r="A2064" s="1">
        <v>43558</v>
      </c>
      <c r="B2064" s="2">
        <v>11643.950194999999</v>
      </c>
    </row>
    <row r="2065" spans="1:2" x14ac:dyDescent="0.3">
      <c r="A2065" s="1">
        <v>43559</v>
      </c>
      <c r="B2065" s="2">
        <v>11598</v>
      </c>
    </row>
    <row r="2066" spans="1:2" x14ac:dyDescent="0.3">
      <c r="A2066" s="1">
        <v>43560</v>
      </c>
      <c r="B2066" s="2">
        <v>11665.950194999999</v>
      </c>
    </row>
    <row r="2067" spans="1:2" x14ac:dyDescent="0.3">
      <c r="A2067" s="1">
        <v>43563</v>
      </c>
      <c r="B2067" s="2">
        <v>11604.5</v>
      </c>
    </row>
    <row r="2068" spans="1:2" x14ac:dyDescent="0.3">
      <c r="A2068" s="1">
        <v>43564</v>
      </c>
      <c r="B2068" s="2">
        <v>11671.950194999999</v>
      </c>
    </row>
    <row r="2069" spans="1:2" x14ac:dyDescent="0.3">
      <c r="A2069" s="1">
        <v>43565</v>
      </c>
      <c r="B2069" s="2">
        <v>11584.299805000001</v>
      </c>
    </row>
    <row r="2070" spans="1:2" x14ac:dyDescent="0.3">
      <c r="A2070" s="1">
        <v>43566</v>
      </c>
      <c r="B2070" s="2">
        <v>11596.700194999999</v>
      </c>
    </row>
    <row r="2071" spans="1:2" x14ac:dyDescent="0.3">
      <c r="A2071" s="1">
        <v>43567</v>
      </c>
      <c r="B2071" s="2">
        <v>11643.450194999999</v>
      </c>
    </row>
    <row r="2072" spans="1:2" x14ac:dyDescent="0.3">
      <c r="A2072" s="1">
        <v>43570</v>
      </c>
      <c r="B2072" s="2">
        <v>11690.349609000001</v>
      </c>
    </row>
    <row r="2073" spans="1:2" x14ac:dyDescent="0.3">
      <c r="A2073" s="1">
        <v>43571</v>
      </c>
      <c r="B2073" s="2">
        <v>11787.150390999999</v>
      </c>
    </row>
    <row r="2074" spans="1:2" x14ac:dyDescent="0.3">
      <c r="A2074" s="1">
        <v>43573</v>
      </c>
      <c r="B2074" s="2">
        <v>11752.799805000001</v>
      </c>
    </row>
    <row r="2075" spans="1:2" x14ac:dyDescent="0.3">
      <c r="A2075" s="1">
        <v>43577</v>
      </c>
      <c r="B2075" s="2">
        <v>11594.450194999999</v>
      </c>
    </row>
    <row r="2076" spans="1:2" x14ac:dyDescent="0.3">
      <c r="A2076" s="1">
        <v>43578</v>
      </c>
      <c r="B2076" s="2">
        <v>11575.950194999999</v>
      </c>
    </row>
    <row r="2077" spans="1:2" x14ac:dyDescent="0.3">
      <c r="A2077" s="1">
        <v>43579</v>
      </c>
      <c r="B2077" s="2">
        <v>11726.150390999999</v>
      </c>
    </row>
    <row r="2078" spans="1:2" x14ac:dyDescent="0.3">
      <c r="A2078" s="1">
        <v>43580</v>
      </c>
      <c r="B2078" s="2">
        <v>11641.799805000001</v>
      </c>
    </row>
    <row r="2079" spans="1:2" x14ac:dyDescent="0.3">
      <c r="A2079" s="1">
        <v>43581</v>
      </c>
      <c r="B2079" s="2">
        <v>11754.650390999999</v>
      </c>
    </row>
    <row r="2080" spans="1:2" x14ac:dyDescent="0.3">
      <c r="A2080" s="1">
        <v>43585</v>
      </c>
      <c r="B2080" s="2">
        <v>11748.150390999999</v>
      </c>
    </row>
    <row r="2081" spans="1:2" x14ac:dyDescent="0.3">
      <c r="A2081" s="1">
        <v>43587</v>
      </c>
      <c r="B2081" s="2">
        <v>11724.75</v>
      </c>
    </row>
    <row r="2082" spans="1:2" x14ac:dyDescent="0.3">
      <c r="A2082" s="1">
        <v>43588</v>
      </c>
      <c r="B2082" s="2">
        <v>11712.25</v>
      </c>
    </row>
    <row r="2083" spans="1:2" x14ac:dyDescent="0.3">
      <c r="A2083" s="1">
        <v>43591</v>
      </c>
      <c r="B2083" s="2">
        <v>11598.25</v>
      </c>
    </row>
    <row r="2084" spans="1:2" x14ac:dyDescent="0.3">
      <c r="A2084" s="1">
        <v>43592</v>
      </c>
      <c r="B2084" s="2">
        <v>11497.900390999999</v>
      </c>
    </row>
    <row r="2085" spans="1:2" x14ac:dyDescent="0.3">
      <c r="A2085" s="1">
        <v>43593</v>
      </c>
      <c r="B2085" s="2">
        <v>11359.450194999999</v>
      </c>
    </row>
    <row r="2086" spans="1:2" x14ac:dyDescent="0.3">
      <c r="A2086" s="1">
        <v>43594</v>
      </c>
      <c r="B2086" s="2">
        <v>11301.799805000001</v>
      </c>
    </row>
    <row r="2087" spans="1:2" x14ac:dyDescent="0.3">
      <c r="A2087" s="1">
        <v>43595</v>
      </c>
      <c r="B2087" s="2">
        <v>11278.900390999999</v>
      </c>
    </row>
    <row r="2088" spans="1:2" x14ac:dyDescent="0.3">
      <c r="A2088" s="1">
        <v>43598</v>
      </c>
      <c r="B2088" s="2">
        <v>11148.200194999999</v>
      </c>
    </row>
    <row r="2089" spans="1:2" x14ac:dyDescent="0.3">
      <c r="A2089" s="1">
        <v>43599</v>
      </c>
      <c r="B2089" s="2">
        <v>11222.049805000001</v>
      </c>
    </row>
    <row r="2090" spans="1:2" x14ac:dyDescent="0.3">
      <c r="A2090" s="1">
        <v>43600</v>
      </c>
      <c r="B2090" s="2">
        <v>11157</v>
      </c>
    </row>
    <row r="2091" spans="1:2" x14ac:dyDescent="0.3">
      <c r="A2091" s="1">
        <v>43601</v>
      </c>
      <c r="B2091" s="2">
        <v>11257.099609000001</v>
      </c>
    </row>
    <row r="2092" spans="1:2" x14ac:dyDescent="0.3">
      <c r="A2092" s="1">
        <v>43602</v>
      </c>
      <c r="B2092" s="2">
        <v>11407.150390999999</v>
      </c>
    </row>
    <row r="2093" spans="1:2" x14ac:dyDescent="0.3">
      <c r="A2093" s="1">
        <v>43605</v>
      </c>
      <c r="B2093" s="2">
        <v>11828.25</v>
      </c>
    </row>
    <row r="2094" spans="1:2" x14ac:dyDescent="0.3">
      <c r="A2094" s="1">
        <v>43606</v>
      </c>
      <c r="B2094" s="2">
        <v>11709.099609000001</v>
      </c>
    </row>
    <row r="2095" spans="1:2" x14ac:dyDescent="0.3">
      <c r="A2095" s="1">
        <v>43607</v>
      </c>
      <c r="B2095" s="2">
        <v>11737.900390999999</v>
      </c>
    </row>
    <row r="2096" spans="1:2" x14ac:dyDescent="0.3">
      <c r="A2096" s="1">
        <v>43608</v>
      </c>
      <c r="B2096" s="2">
        <v>11657.049805000001</v>
      </c>
    </row>
    <row r="2097" spans="1:2" x14ac:dyDescent="0.3">
      <c r="A2097" s="1">
        <v>43609</v>
      </c>
      <c r="B2097" s="2">
        <v>11844.099609000001</v>
      </c>
    </row>
    <row r="2098" spans="1:2" x14ac:dyDescent="0.3">
      <c r="A2098" s="1">
        <v>43612</v>
      </c>
      <c r="B2098" s="2">
        <v>11924.75</v>
      </c>
    </row>
    <row r="2099" spans="1:2" x14ac:dyDescent="0.3">
      <c r="A2099" s="1">
        <v>43613</v>
      </c>
      <c r="B2099" s="2">
        <v>11928.75</v>
      </c>
    </row>
    <row r="2100" spans="1:2" x14ac:dyDescent="0.3">
      <c r="A2100" s="1">
        <v>43614</v>
      </c>
      <c r="B2100" s="2">
        <v>11861.099609000001</v>
      </c>
    </row>
    <row r="2101" spans="1:2" x14ac:dyDescent="0.3">
      <c r="A2101" s="1">
        <v>43615</v>
      </c>
      <c r="B2101" s="2">
        <v>11945.900390999999</v>
      </c>
    </row>
    <row r="2102" spans="1:2" x14ac:dyDescent="0.3">
      <c r="A2102" s="1">
        <v>43616</v>
      </c>
      <c r="B2102" s="2">
        <v>11922.799805000001</v>
      </c>
    </row>
    <row r="2103" spans="1:2" x14ac:dyDescent="0.3">
      <c r="A2103" s="1">
        <v>43619</v>
      </c>
      <c r="B2103" s="2">
        <v>12088.549805000001</v>
      </c>
    </row>
    <row r="2104" spans="1:2" x14ac:dyDescent="0.3">
      <c r="A2104" s="1">
        <v>43620</v>
      </c>
      <c r="B2104" s="2">
        <v>12021.650390999999</v>
      </c>
    </row>
    <row r="2105" spans="1:2" x14ac:dyDescent="0.3">
      <c r="A2105" s="1">
        <v>43622</v>
      </c>
      <c r="B2105" s="2">
        <v>11843.75</v>
      </c>
    </row>
    <row r="2106" spans="1:2" x14ac:dyDescent="0.3">
      <c r="A2106" s="1">
        <v>43623</v>
      </c>
      <c r="B2106" s="2">
        <v>11870.650390999999</v>
      </c>
    </row>
    <row r="2107" spans="1:2" x14ac:dyDescent="0.3">
      <c r="A2107" s="1">
        <v>43626</v>
      </c>
      <c r="B2107" s="2">
        <v>11922.700194999999</v>
      </c>
    </row>
    <row r="2108" spans="1:2" x14ac:dyDescent="0.3">
      <c r="A2108" s="1">
        <v>43627</v>
      </c>
      <c r="B2108" s="2">
        <v>11965.599609000001</v>
      </c>
    </row>
    <row r="2109" spans="1:2" x14ac:dyDescent="0.3">
      <c r="A2109" s="1">
        <v>43628</v>
      </c>
      <c r="B2109" s="2">
        <v>11906.200194999999</v>
      </c>
    </row>
    <row r="2110" spans="1:2" x14ac:dyDescent="0.3">
      <c r="A2110" s="1">
        <v>43629</v>
      </c>
      <c r="B2110" s="2">
        <v>11914.049805000001</v>
      </c>
    </row>
    <row r="2111" spans="1:2" x14ac:dyDescent="0.3">
      <c r="A2111" s="1">
        <v>43630</v>
      </c>
      <c r="B2111" s="2">
        <v>11823.299805000001</v>
      </c>
    </row>
    <row r="2112" spans="1:2" x14ac:dyDescent="0.3">
      <c r="A2112" s="1">
        <v>43633</v>
      </c>
      <c r="B2112" s="2">
        <v>11672.150390999999</v>
      </c>
    </row>
    <row r="2113" spans="1:2" x14ac:dyDescent="0.3">
      <c r="A2113" s="1">
        <v>43634</v>
      </c>
      <c r="B2113" s="2">
        <v>11691.5</v>
      </c>
    </row>
    <row r="2114" spans="1:2" x14ac:dyDescent="0.3">
      <c r="A2114" s="1">
        <v>43635</v>
      </c>
      <c r="B2114" s="2">
        <v>11691.450194999999</v>
      </c>
    </row>
    <row r="2115" spans="1:2" x14ac:dyDescent="0.3">
      <c r="A2115" s="1">
        <v>43636</v>
      </c>
      <c r="B2115" s="2">
        <v>11831.75</v>
      </c>
    </row>
    <row r="2116" spans="1:2" x14ac:dyDescent="0.3">
      <c r="A2116" s="1">
        <v>43637</v>
      </c>
      <c r="B2116" s="2">
        <v>11724.099609000001</v>
      </c>
    </row>
    <row r="2117" spans="1:2" x14ac:dyDescent="0.3">
      <c r="A2117" s="1">
        <v>43640</v>
      </c>
      <c r="B2117" s="2">
        <v>11699.650390999999</v>
      </c>
    </row>
    <row r="2118" spans="1:2" x14ac:dyDescent="0.3">
      <c r="A2118" s="1">
        <v>43641</v>
      </c>
      <c r="B2118" s="2">
        <v>11796.450194999999</v>
      </c>
    </row>
    <row r="2119" spans="1:2" x14ac:dyDescent="0.3">
      <c r="A2119" s="1">
        <v>43642</v>
      </c>
      <c r="B2119" s="2">
        <v>11847.549805000001</v>
      </c>
    </row>
    <row r="2120" spans="1:2" x14ac:dyDescent="0.3">
      <c r="A2120" s="1">
        <v>43643</v>
      </c>
      <c r="B2120" s="2">
        <v>11841.549805000001</v>
      </c>
    </row>
    <row r="2121" spans="1:2" x14ac:dyDescent="0.3">
      <c r="A2121" s="1">
        <v>43644</v>
      </c>
      <c r="B2121" s="2">
        <v>11788.849609000001</v>
      </c>
    </row>
    <row r="2122" spans="1:2" x14ac:dyDescent="0.3">
      <c r="A2122" s="1">
        <v>43647</v>
      </c>
      <c r="B2122" s="2">
        <v>11865.599609000001</v>
      </c>
    </row>
    <row r="2123" spans="1:2" x14ac:dyDescent="0.3">
      <c r="A2123" s="1">
        <v>43648</v>
      </c>
      <c r="B2123" s="2">
        <v>11910.299805000001</v>
      </c>
    </row>
    <row r="2124" spans="1:2" x14ac:dyDescent="0.3">
      <c r="A2124" s="1">
        <v>43649</v>
      </c>
      <c r="B2124" s="2">
        <v>11916.75</v>
      </c>
    </row>
    <row r="2125" spans="1:2" x14ac:dyDescent="0.3">
      <c r="A2125" s="1">
        <v>43650</v>
      </c>
      <c r="B2125" s="2">
        <v>11946.75</v>
      </c>
    </row>
    <row r="2126" spans="1:2" x14ac:dyDescent="0.3">
      <c r="A2126" s="1">
        <v>43651</v>
      </c>
      <c r="B2126" s="2">
        <v>11811.150390999999</v>
      </c>
    </row>
    <row r="2127" spans="1:2" x14ac:dyDescent="0.3">
      <c r="A2127" s="1">
        <v>43654</v>
      </c>
      <c r="B2127" s="2">
        <v>11558.599609000001</v>
      </c>
    </row>
    <row r="2128" spans="1:2" x14ac:dyDescent="0.3">
      <c r="A2128" s="1">
        <v>43655</v>
      </c>
      <c r="B2128" s="2">
        <v>11555.900390999999</v>
      </c>
    </row>
    <row r="2129" spans="1:2" x14ac:dyDescent="0.3">
      <c r="A2129" s="1">
        <v>43656</v>
      </c>
      <c r="B2129" s="2">
        <v>11498.900390999999</v>
      </c>
    </row>
    <row r="2130" spans="1:2" x14ac:dyDescent="0.3">
      <c r="A2130" s="1">
        <v>43657</v>
      </c>
      <c r="B2130" s="2">
        <v>11582.900390999999</v>
      </c>
    </row>
    <row r="2131" spans="1:2" x14ac:dyDescent="0.3">
      <c r="A2131" s="1">
        <v>43658</v>
      </c>
      <c r="B2131" s="2">
        <v>11552.5</v>
      </c>
    </row>
    <row r="2132" spans="1:2" x14ac:dyDescent="0.3">
      <c r="A2132" s="1">
        <v>43661</v>
      </c>
      <c r="B2132" s="2">
        <v>11588.349609000001</v>
      </c>
    </row>
    <row r="2133" spans="1:2" x14ac:dyDescent="0.3">
      <c r="A2133" s="1">
        <v>43662</v>
      </c>
      <c r="B2133" s="2">
        <v>11662.599609000001</v>
      </c>
    </row>
    <row r="2134" spans="1:2" x14ac:dyDescent="0.3">
      <c r="A2134" s="1">
        <v>43663</v>
      </c>
      <c r="B2134" s="2">
        <v>11687.5</v>
      </c>
    </row>
    <row r="2135" spans="1:2" x14ac:dyDescent="0.3">
      <c r="A2135" s="1">
        <v>43664</v>
      </c>
      <c r="B2135" s="2">
        <v>11596.900390999999</v>
      </c>
    </row>
    <row r="2136" spans="1:2" x14ac:dyDescent="0.3">
      <c r="A2136" s="1">
        <v>43665</v>
      </c>
      <c r="B2136" s="2">
        <v>11419.25</v>
      </c>
    </row>
    <row r="2137" spans="1:2" x14ac:dyDescent="0.3">
      <c r="A2137" s="1">
        <v>43668</v>
      </c>
      <c r="B2137" s="2">
        <v>11346.200194999999</v>
      </c>
    </row>
    <row r="2138" spans="1:2" x14ac:dyDescent="0.3">
      <c r="A2138" s="1">
        <v>43669</v>
      </c>
      <c r="B2138" s="2">
        <v>11331.049805000001</v>
      </c>
    </row>
    <row r="2139" spans="1:2" x14ac:dyDescent="0.3">
      <c r="A2139" s="1">
        <v>43670</v>
      </c>
      <c r="B2139" s="2">
        <v>11271.299805000001</v>
      </c>
    </row>
    <row r="2140" spans="1:2" x14ac:dyDescent="0.3">
      <c r="A2140" s="1">
        <v>43671</v>
      </c>
      <c r="B2140" s="2">
        <v>11252.150390999999</v>
      </c>
    </row>
    <row r="2141" spans="1:2" x14ac:dyDescent="0.3">
      <c r="A2141" s="1">
        <v>43672</v>
      </c>
      <c r="B2141" s="2">
        <v>11284.299805000001</v>
      </c>
    </row>
    <row r="2142" spans="1:2" x14ac:dyDescent="0.3">
      <c r="A2142" s="1">
        <v>43675</v>
      </c>
      <c r="B2142" s="2">
        <v>11189.200194999999</v>
      </c>
    </row>
    <row r="2143" spans="1:2" x14ac:dyDescent="0.3">
      <c r="A2143" s="1">
        <v>43676</v>
      </c>
      <c r="B2143" s="2">
        <v>11085.400390999999</v>
      </c>
    </row>
    <row r="2144" spans="1:2" x14ac:dyDescent="0.3">
      <c r="A2144" s="1">
        <v>43677</v>
      </c>
      <c r="B2144" s="2">
        <v>11118</v>
      </c>
    </row>
    <row r="2145" spans="1:2" x14ac:dyDescent="0.3">
      <c r="A2145" s="1">
        <v>43678</v>
      </c>
      <c r="B2145" s="2">
        <v>10980</v>
      </c>
    </row>
    <row r="2146" spans="1:2" x14ac:dyDescent="0.3">
      <c r="A2146" s="1">
        <v>43679</v>
      </c>
      <c r="B2146" s="2">
        <v>10997.349609000001</v>
      </c>
    </row>
    <row r="2147" spans="1:2" x14ac:dyDescent="0.3">
      <c r="A2147" s="1">
        <v>43682</v>
      </c>
      <c r="B2147" s="2">
        <v>10862.599609000001</v>
      </c>
    </row>
    <row r="2148" spans="1:2" x14ac:dyDescent="0.3">
      <c r="A2148" s="1">
        <v>43683</v>
      </c>
      <c r="B2148" s="2">
        <v>10948.25</v>
      </c>
    </row>
    <row r="2149" spans="1:2" x14ac:dyDescent="0.3">
      <c r="A2149" s="1">
        <v>43684</v>
      </c>
      <c r="B2149" s="2">
        <v>10855.5</v>
      </c>
    </row>
    <row r="2150" spans="1:2" x14ac:dyDescent="0.3">
      <c r="A2150" s="1">
        <v>43685</v>
      </c>
      <c r="B2150" s="2">
        <v>11032.450194999999</v>
      </c>
    </row>
    <row r="2151" spans="1:2" x14ac:dyDescent="0.3">
      <c r="A2151" s="1">
        <v>43686</v>
      </c>
      <c r="B2151" s="2">
        <v>11109.650390999999</v>
      </c>
    </row>
    <row r="2152" spans="1:2" x14ac:dyDescent="0.3">
      <c r="A2152" s="1">
        <v>43690</v>
      </c>
      <c r="B2152" s="2">
        <v>10925.849609000001</v>
      </c>
    </row>
    <row r="2153" spans="1:2" x14ac:dyDescent="0.3">
      <c r="A2153" s="1">
        <v>43691</v>
      </c>
      <c r="B2153" s="2">
        <v>11029.400390999999</v>
      </c>
    </row>
    <row r="2154" spans="1:2" x14ac:dyDescent="0.3">
      <c r="A2154" s="1">
        <v>43693</v>
      </c>
      <c r="B2154" s="2">
        <v>11047.799805000001</v>
      </c>
    </row>
    <row r="2155" spans="1:2" x14ac:dyDescent="0.3">
      <c r="A2155" s="1">
        <v>43696</v>
      </c>
      <c r="B2155" s="2">
        <v>11053.900390999999</v>
      </c>
    </row>
    <row r="2156" spans="1:2" x14ac:dyDescent="0.3">
      <c r="A2156" s="1">
        <v>43697</v>
      </c>
      <c r="B2156" s="2">
        <v>11017</v>
      </c>
    </row>
    <row r="2157" spans="1:2" x14ac:dyDescent="0.3">
      <c r="A2157" s="1">
        <v>43698</v>
      </c>
      <c r="B2157" s="2">
        <v>10918.700194999999</v>
      </c>
    </row>
    <row r="2158" spans="1:2" x14ac:dyDescent="0.3">
      <c r="A2158" s="1">
        <v>43699</v>
      </c>
      <c r="B2158" s="2">
        <v>10741.349609000001</v>
      </c>
    </row>
    <row r="2159" spans="1:2" x14ac:dyDescent="0.3">
      <c r="A2159" s="1">
        <v>43700</v>
      </c>
      <c r="B2159" s="2">
        <v>10829.349609000001</v>
      </c>
    </row>
    <row r="2160" spans="1:2" x14ac:dyDescent="0.3">
      <c r="A2160" s="1">
        <v>43703</v>
      </c>
      <c r="B2160" s="2">
        <v>11057.849609000001</v>
      </c>
    </row>
    <row r="2161" spans="1:2" x14ac:dyDescent="0.3">
      <c r="A2161" s="1">
        <v>43704</v>
      </c>
      <c r="B2161" s="2">
        <v>11105.349609000001</v>
      </c>
    </row>
    <row r="2162" spans="1:2" x14ac:dyDescent="0.3">
      <c r="A2162" s="1">
        <v>43705</v>
      </c>
      <c r="B2162" s="2">
        <v>11046.099609000001</v>
      </c>
    </row>
    <row r="2163" spans="1:2" x14ac:dyDescent="0.3">
      <c r="A2163" s="1">
        <v>43706</v>
      </c>
      <c r="B2163" s="2">
        <v>10948.299805000001</v>
      </c>
    </row>
    <row r="2164" spans="1:2" x14ac:dyDescent="0.3">
      <c r="A2164" s="1">
        <v>43707</v>
      </c>
      <c r="B2164" s="2">
        <v>11023.25</v>
      </c>
    </row>
    <row r="2165" spans="1:2" x14ac:dyDescent="0.3">
      <c r="A2165" s="1">
        <v>43711</v>
      </c>
      <c r="B2165" s="2">
        <v>10797.900390999999</v>
      </c>
    </row>
    <row r="2166" spans="1:2" x14ac:dyDescent="0.3">
      <c r="A2166" s="1">
        <v>43712</v>
      </c>
      <c r="B2166" s="2">
        <v>10844.650390999999</v>
      </c>
    </row>
    <row r="2167" spans="1:2" x14ac:dyDescent="0.3">
      <c r="A2167" s="1">
        <v>43713</v>
      </c>
      <c r="B2167" s="2">
        <v>10847.900390999999</v>
      </c>
    </row>
    <row r="2168" spans="1:2" x14ac:dyDescent="0.3">
      <c r="A2168" s="1">
        <v>43714</v>
      </c>
      <c r="B2168" s="2">
        <v>10946.200194999999</v>
      </c>
    </row>
    <row r="2169" spans="1:2" x14ac:dyDescent="0.3">
      <c r="A2169" s="1">
        <v>43717</v>
      </c>
      <c r="B2169" s="2">
        <v>11003.049805000001</v>
      </c>
    </row>
    <row r="2170" spans="1:2" x14ac:dyDescent="0.3">
      <c r="A2170" s="1">
        <v>43719</v>
      </c>
      <c r="B2170" s="2">
        <v>11035.700194999999</v>
      </c>
    </row>
    <row r="2171" spans="1:2" x14ac:dyDescent="0.3">
      <c r="A2171" s="1">
        <v>43720</v>
      </c>
      <c r="B2171" s="2">
        <v>10982.799805000001</v>
      </c>
    </row>
    <row r="2172" spans="1:2" x14ac:dyDescent="0.3">
      <c r="A2172" s="1">
        <v>43721</v>
      </c>
      <c r="B2172" s="2">
        <v>11075.900390999999</v>
      </c>
    </row>
    <row r="2173" spans="1:2" x14ac:dyDescent="0.3">
      <c r="A2173" s="1">
        <v>43724</v>
      </c>
      <c r="B2173" s="2">
        <v>11003.5</v>
      </c>
    </row>
    <row r="2174" spans="1:2" x14ac:dyDescent="0.3">
      <c r="A2174" s="1">
        <v>43725</v>
      </c>
      <c r="B2174" s="2">
        <v>10817.599609000001</v>
      </c>
    </row>
    <row r="2175" spans="1:2" x14ac:dyDescent="0.3">
      <c r="A2175" s="1">
        <v>43726</v>
      </c>
      <c r="B2175" s="2">
        <v>10840.650390999999</v>
      </c>
    </row>
    <row r="2176" spans="1:2" x14ac:dyDescent="0.3">
      <c r="A2176" s="1">
        <v>43727</v>
      </c>
      <c r="B2176" s="2">
        <v>10704.799805000001</v>
      </c>
    </row>
    <row r="2177" spans="1:2" x14ac:dyDescent="0.3">
      <c r="A2177" s="1">
        <v>43728</v>
      </c>
      <c r="B2177" s="2">
        <v>11274.200194999999</v>
      </c>
    </row>
    <row r="2178" spans="1:2" x14ac:dyDescent="0.3">
      <c r="A2178" s="1">
        <v>43731</v>
      </c>
      <c r="B2178" s="2">
        <v>11600.200194999999</v>
      </c>
    </row>
    <row r="2179" spans="1:2" x14ac:dyDescent="0.3">
      <c r="A2179" s="1">
        <v>43732</v>
      </c>
      <c r="B2179" s="2">
        <v>11588.200194999999</v>
      </c>
    </row>
    <row r="2180" spans="1:2" x14ac:dyDescent="0.3">
      <c r="A2180" s="1">
        <v>43733</v>
      </c>
      <c r="B2180" s="2">
        <v>11440.200194999999</v>
      </c>
    </row>
    <row r="2181" spans="1:2" x14ac:dyDescent="0.3">
      <c r="A2181" s="1">
        <v>43734</v>
      </c>
      <c r="B2181" s="2">
        <v>11571.200194999999</v>
      </c>
    </row>
    <row r="2182" spans="1:2" x14ac:dyDescent="0.3">
      <c r="A2182" s="1">
        <v>43735</v>
      </c>
      <c r="B2182" s="2">
        <v>11512.400390999999</v>
      </c>
    </row>
    <row r="2183" spans="1:2" x14ac:dyDescent="0.3">
      <c r="A2183" s="1">
        <v>43738</v>
      </c>
      <c r="B2183" s="2">
        <v>11474.450194999999</v>
      </c>
    </row>
    <row r="2184" spans="1:2" x14ac:dyDescent="0.3">
      <c r="A2184" s="1">
        <v>43739</v>
      </c>
      <c r="B2184" s="2">
        <v>11359.900390999999</v>
      </c>
    </row>
    <row r="2185" spans="1:2" x14ac:dyDescent="0.3">
      <c r="A2185" s="1">
        <v>43741</v>
      </c>
      <c r="B2185" s="2">
        <v>11314</v>
      </c>
    </row>
    <row r="2186" spans="1:2" x14ac:dyDescent="0.3">
      <c r="A2186" s="1">
        <v>43742</v>
      </c>
      <c r="B2186" s="2">
        <v>11174.75</v>
      </c>
    </row>
    <row r="2187" spans="1:2" x14ac:dyDescent="0.3">
      <c r="A2187" s="1">
        <v>43745</v>
      </c>
      <c r="B2187" s="2">
        <v>11126.400390999999</v>
      </c>
    </row>
    <row r="2188" spans="1:2" x14ac:dyDescent="0.3">
      <c r="A2188" s="1">
        <v>43747</v>
      </c>
      <c r="B2188" s="2">
        <v>11313.299805000001</v>
      </c>
    </row>
    <row r="2189" spans="1:2" x14ac:dyDescent="0.3">
      <c r="A2189" s="1">
        <v>43748</v>
      </c>
      <c r="B2189" s="2">
        <v>11234.549805000001</v>
      </c>
    </row>
    <row r="2190" spans="1:2" x14ac:dyDescent="0.3">
      <c r="A2190" s="1">
        <v>43749</v>
      </c>
      <c r="B2190" s="2">
        <v>11305.049805000001</v>
      </c>
    </row>
    <row r="2191" spans="1:2" x14ac:dyDescent="0.3">
      <c r="A2191" s="1">
        <v>43752</v>
      </c>
      <c r="B2191" s="2">
        <v>11341.150390999999</v>
      </c>
    </row>
    <row r="2192" spans="1:2" x14ac:dyDescent="0.3">
      <c r="A2192" s="1">
        <v>43753</v>
      </c>
      <c r="B2192" s="2">
        <v>11428.299805000001</v>
      </c>
    </row>
    <row r="2193" spans="1:2" x14ac:dyDescent="0.3">
      <c r="A2193" s="1">
        <v>43754</v>
      </c>
      <c r="B2193" s="2">
        <v>11464</v>
      </c>
    </row>
    <row r="2194" spans="1:2" x14ac:dyDescent="0.3">
      <c r="A2194" s="1">
        <v>43755</v>
      </c>
      <c r="B2194" s="2">
        <v>11586.349609000001</v>
      </c>
    </row>
    <row r="2195" spans="1:2" x14ac:dyDescent="0.3">
      <c r="A2195" s="1">
        <v>43756</v>
      </c>
      <c r="B2195" s="2">
        <v>11661.849609000001</v>
      </c>
    </row>
    <row r="2196" spans="1:2" x14ac:dyDescent="0.3">
      <c r="A2196" s="1">
        <v>43760</v>
      </c>
      <c r="B2196" s="2">
        <v>11588.349609000001</v>
      </c>
    </row>
    <row r="2197" spans="1:2" x14ac:dyDescent="0.3">
      <c r="A2197" s="1">
        <v>43761</v>
      </c>
      <c r="B2197" s="2">
        <v>11604.099609000001</v>
      </c>
    </row>
    <row r="2198" spans="1:2" x14ac:dyDescent="0.3">
      <c r="A2198" s="1">
        <v>43762</v>
      </c>
      <c r="B2198" s="2">
        <v>11582.599609000001</v>
      </c>
    </row>
    <row r="2199" spans="1:2" x14ac:dyDescent="0.3">
      <c r="A2199" s="1">
        <v>43763</v>
      </c>
      <c r="B2199" s="2">
        <v>11583.900390999999</v>
      </c>
    </row>
    <row r="2200" spans="1:2" x14ac:dyDescent="0.3">
      <c r="A2200" s="1">
        <v>43767</v>
      </c>
      <c r="B2200" s="2">
        <v>11786.849609000001</v>
      </c>
    </row>
    <row r="2201" spans="1:2" x14ac:dyDescent="0.3">
      <c r="A2201" s="1">
        <v>43768</v>
      </c>
      <c r="B2201" s="2">
        <v>11844.099609000001</v>
      </c>
    </row>
    <row r="2202" spans="1:2" x14ac:dyDescent="0.3">
      <c r="A2202" s="1">
        <v>43769</v>
      </c>
      <c r="B2202" s="2">
        <v>11877.450194999999</v>
      </c>
    </row>
    <row r="2203" spans="1:2" x14ac:dyDescent="0.3">
      <c r="A2203" s="1">
        <v>43770</v>
      </c>
      <c r="B2203" s="2">
        <v>11890.599609000001</v>
      </c>
    </row>
    <row r="2204" spans="1:2" x14ac:dyDescent="0.3">
      <c r="A2204" s="1">
        <v>43773</v>
      </c>
      <c r="B2204" s="2">
        <v>11941.299805000001</v>
      </c>
    </row>
    <row r="2205" spans="1:2" x14ac:dyDescent="0.3">
      <c r="A2205" s="1">
        <v>43774</v>
      </c>
      <c r="B2205" s="2">
        <v>11917.200194999999</v>
      </c>
    </row>
    <row r="2206" spans="1:2" x14ac:dyDescent="0.3">
      <c r="A2206" s="1">
        <v>43775</v>
      </c>
      <c r="B2206" s="2">
        <v>11966.049805000001</v>
      </c>
    </row>
    <row r="2207" spans="1:2" x14ac:dyDescent="0.3">
      <c r="A2207" s="1">
        <v>43776</v>
      </c>
      <c r="B2207" s="2">
        <v>12012.049805000001</v>
      </c>
    </row>
    <row r="2208" spans="1:2" x14ac:dyDescent="0.3">
      <c r="A2208" s="1">
        <v>43777</v>
      </c>
      <c r="B2208" s="2">
        <v>11908.150390999999</v>
      </c>
    </row>
    <row r="2209" spans="1:2" x14ac:dyDescent="0.3">
      <c r="A2209" s="1">
        <v>43780</v>
      </c>
      <c r="B2209" s="2">
        <v>11913.450194999999</v>
      </c>
    </row>
    <row r="2210" spans="1:2" x14ac:dyDescent="0.3">
      <c r="A2210" s="1">
        <v>43782</v>
      </c>
      <c r="B2210" s="2">
        <v>11840.450194999999</v>
      </c>
    </row>
    <row r="2211" spans="1:2" x14ac:dyDescent="0.3">
      <c r="A2211" s="1">
        <v>43783</v>
      </c>
      <c r="B2211" s="2">
        <v>11872.099609000001</v>
      </c>
    </row>
    <row r="2212" spans="1:2" x14ac:dyDescent="0.3">
      <c r="A2212" s="1">
        <v>43784</v>
      </c>
      <c r="B2212" s="2">
        <v>11895.450194999999</v>
      </c>
    </row>
    <row r="2213" spans="1:2" x14ac:dyDescent="0.3">
      <c r="A2213" s="1">
        <v>43787</v>
      </c>
      <c r="B2213" s="2">
        <v>11884.5</v>
      </c>
    </row>
    <row r="2214" spans="1:2" x14ac:dyDescent="0.3">
      <c r="A2214" s="1">
        <v>43788</v>
      </c>
      <c r="B2214" s="2">
        <v>11940.099609000001</v>
      </c>
    </row>
    <row r="2215" spans="1:2" x14ac:dyDescent="0.3">
      <c r="A2215" s="1">
        <v>43789</v>
      </c>
      <c r="B2215" s="2">
        <v>11999.099609000001</v>
      </c>
    </row>
    <row r="2216" spans="1:2" x14ac:dyDescent="0.3">
      <c r="A2216" s="1">
        <v>43790</v>
      </c>
      <c r="B2216" s="2">
        <v>11968.400390999999</v>
      </c>
    </row>
    <row r="2217" spans="1:2" x14ac:dyDescent="0.3">
      <c r="A2217" s="1">
        <v>43791</v>
      </c>
      <c r="B2217" s="2">
        <v>11914.400390999999</v>
      </c>
    </row>
    <row r="2218" spans="1:2" x14ac:dyDescent="0.3">
      <c r="A2218" s="1">
        <v>43794</v>
      </c>
      <c r="B2218" s="2">
        <v>12073.75</v>
      </c>
    </row>
    <row r="2219" spans="1:2" x14ac:dyDescent="0.3">
      <c r="A2219" s="1">
        <v>43795</v>
      </c>
      <c r="B2219" s="2">
        <v>12037.700194999999</v>
      </c>
    </row>
    <row r="2220" spans="1:2" x14ac:dyDescent="0.3">
      <c r="A2220" s="1">
        <v>43796</v>
      </c>
      <c r="B2220" s="2">
        <v>12100.700194999999</v>
      </c>
    </row>
    <row r="2221" spans="1:2" x14ac:dyDescent="0.3">
      <c r="A2221" s="1">
        <v>43797</v>
      </c>
      <c r="B2221" s="2">
        <v>12151.150390999999</v>
      </c>
    </row>
    <row r="2222" spans="1:2" x14ac:dyDescent="0.3">
      <c r="A2222" s="1">
        <v>43798</v>
      </c>
      <c r="B2222" s="2">
        <v>12056.049805000001</v>
      </c>
    </row>
    <row r="2223" spans="1:2" x14ac:dyDescent="0.3">
      <c r="A2223" s="1">
        <v>43801</v>
      </c>
      <c r="B2223" s="2">
        <v>12048.200194999999</v>
      </c>
    </row>
    <row r="2224" spans="1:2" x14ac:dyDescent="0.3">
      <c r="A2224" s="1">
        <v>43802</v>
      </c>
      <c r="B2224" s="2">
        <v>11994.200194999999</v>
      </c>
    </row>
    <row r="2225" spans="1:2" x14ac:dyDescent="0.3">
      <c r="A2225" s="1">
        <v>43803</v>
      </c>
      <c r="B2225" s="2">
        <v>12043.200194999999</v>
      </c>
    </row>
    <row r="2226" spans="1:2" x14ac:dyDescent="0.3">
      <c r="A2226" s="1">
        <v>43804</v>
      </c>
      <c r="B2226" s="2">
        <v>12018.400390999999</v>
      </c>
    </row>
    <row r="2227" spans="1:2" x14ac:dyDescent="0.3">
      <c r="A2227" s="1">
        <v>43805</v>
      </c>
      <c r="B2227" s="2">
        <v>11921.5</v>
      </c>
    </row>
    <row r="2228" spans="1:2" x14ac:dyDescent="0.3">
      <c r="A2228" s="1">
        <v>43808</v>
      </c>
      <c r="B2228" s="2">
        <v>11937.5</v>
      </c>
    </row>
    <row r="2229" spans="1:2" x14ac:dyDescent="0.3">
      <c r="A2229" s="1">
        <v>43809</v>
      </c>
      <c r="B2229" s="2">
        <v>11856.799805000001</v>
      </c>
    </row>
    <row r="2230" spans="1:2" x14ac:dyDescent="0.3">
      <c r="A2230" s="1">
        <v>43810</v>
      </c>
      <c r="B2230" s="2">
        <v>11910.150390999999</v>
      </c>
    </row>
    <row r="2231" spans="1:2" x14ac:dyDescent="0.3">
      <c r="A2231" s="1">
        <v>43811</v>
      </c>
      <c r="B2231" s="2">
        <v>11971.799805000001</v>
      </c>
    </row>
    <row r="2232" spans="1:2" x14ac:dyDescent="0.3">
      <c r="A2232" s="1">
        <v>43812</v>
      </c>
      <c r="B2232" s="2">
        <v>12086.700194999999</v>
      </c>
    </row>
    <row r="2233" spans="1:2" x14ac:dyDescent="0.3">
      <c r="A2233" s="1">
        <v>43815</v>
      </c>
      <c r="B2233" s="2">
        <v>12053.950194999999</v>
      </c>
    </row>
    <row r="2234" spans="1:2" x14ac:dyDescent="0.3">
      <c r="A2234" s="1">
        <v>43816</v>
      </c>
      <c r="B2234" s="2">
        <v>12165</v>
      </c>
    </row>
    <row r="2235" spans="1:2" x14ac:dyDescent="0.3">
      <c r="A2235" s="1">
        <v>43817</v>
      </c>
      <c r="B2235" s="2">
        <v>12221.650390999999</v>
      </c>
    </row>
    <row r="2236" spans="1:2" x14ac:dyDescent="0.3">
      <c r="A2236" s="1">
        <v>43818</v>
      </c>
      <c r="B2236" s="2">
        <v>12259.700194999999</v>
      </c>
    </row>
    <row r="2237" spans="1:2" x14ac:dyDescent="0.3">
      <c r="A2237" s="1">
        <v>43819</v>
      </c>
      <c r="B2237" s="2">
        <v>12271.799805000001</v>
      </c>
    </row>
    <row r="2238" spans="1:2" x14ac:dyDescent="0.3">
      <c r="A2238" s="1">
        <v>43822</v>
      </c>
      <c r="B2238" s="2">
        <v>12262.75</v>
      </c>
    </row>
    <row r="2239" spans="1:2" x14ac:dyDescent="0.3">
      <c r="A2239" s="1">
        <v>43823</v>
      </c>
      <c r="B2239" s="2">
        <v>12214.549805000001</v>
      </c>
    </row>
    <row r="2240" spans="1:2" x14ac:dyDescent="0.3">
      <c r="A2240" s="1">
        <v>43825</v>
      </c>
      <c r="B2240" s="2">
        <v>12126.549805000001</v>
      </c>
    </row>
    <row r="2241" spans="1:2" x14ac:dyDescent="0.3">
      <c r="A2241" s="1">
        <v>43826</v>
      </c>
      <c r="B2241" s="2">
        <v>12245.799805000001</v>
      </c>
    </row>
    <row r="2242" spans="1:2" x14ac:dyDescent="0.3">
      <c r="A2242" s="1">
        <v>43829</v>
      </c>
      <c r="B2242" s="2">
        <v>12255.849609000001</v>
      </c>
    </row>
    <row r="2243" spans="1:2" x14ac:dyDescent="0.3">
      <c r="A2243" s="1">
        <v>43830</v>
      </c>
      <c r="B2243" s="2">
        <v>12168.450194999999</v>
      </c>
    </row>
    <row r="2244" spans="1:2" x14ac:dyDescent="0.3">
      <c r="A2244" s="1">
        <v>43831</v>
      </c>
      <c r="B2244" s="2">
        <v>12182.5</v>
      </c>
    </row>
    <row r="2245" spans="1:2" x14ac:dyDescent="0.3">
      <c r="A2245" s="1">
        <v>43832</v>
      </c>
      <c r="B2245" s="2">
        <v>12282.200194999999</v>
      </c>
    </row>
    <row r="2246" spans="1:2" x14ac:dyDescent="0.3">
      <c r="A2246" s="1">
        <v>43833</v>
      </c>
      <c r="B2246" s="2">
        <v>12226.650390999999</v>
      </c>
    </row>
    <row r="2247" spans="1:2" x14ac:dyDescent="0.3">
      <c r="A2247" s="1">
        <v>43836</v>
      </c>
      <c r="B2247" s="2">
        <v>11993.049805000001</v>
      </c>
    </row>
    <row r="2248" spans="1:2" x14ac:dyDescent="0.3">
      <c r="A2248" s="1">
        <v>43837</v>
      </c>
      <c r="B2248" s="2">
        <v>12052.950194999999</v>
      </c>
    </row>
    <row r="2249" spans="1:2" x14ac:dyDescent="0.3">
      <c r="A2249" s="1">
        <v>43838</v>
      </c>
      <c r="B2249" s="2">
        <v>12025.349609000001</v>
      </c>
    </row>
    <row r="2250" spans="1:2" x14ac:dyDescent="0.3">
      <c r="A2250" s="1">
        <v>43839</v>
      </c>
      <c r="B2250" s="2">
        <v>12215.900390999999</v>
      </c>
    </row>
    <row r="2251" spans="1:2" x14ac:dyDescent="0.3">
      <c r="A2251" s="1">
        <v>43840</v>
      </c>
      <c r="B2251" s="2">
        <v>12256.799805000001</v>
      </c>
    </row>
    <row r="2252" spans="1:2" x14ac:dyDescent="0.3">
      <c r="A2252" s="1">
        <v>43843</v>
      </c>
      <c r="B2252" s="2">
        <v>12329.549805000001</v>
      </c>
    </row>
    <row r="2253" spans="1:2" x14ac:dyDescent="0.3">
      <c r="A2253" s="1">
        <v>43844</v>
      </c>
      <c r="B2253" s="2">
        <v>12362.299805000001</v>
      </c>
    </row>
    <row r="2254" spans="1:2" x14ac:dyDescent="0.3">
      <c r="A2254" s="1">
        <v>43845</v>
      </c>
      <c r="B2254" s="2">
        <v>12343.299805000001</v>
      </c>
    </row>
    <row r="2255" spans="1:2" x14ac:dyDescent="0.3">
      <c r="A2255" s="1">
        <v>43846</v>
      </c>
      <c r="B2255" s="2">
        <v>12355.5</v>
      </c>
    </row>
    <row r="2256" spans="1:2" x14ac:dyDescent="0.3">
      <c r="A2256" s="1">
        <v>43847</v>
      </c>
      <c r="B2256" s="2">
        <v>12352.349609000001</v>
      </c>
    </row>
    <row r="2257" spans="1:2" x14ac:dyDescent="0.3">
      <c r="A2257" s="1">
        <v>43850</v>
      </c>
      <c r="B2257" s="2">
        <v>12224.549805000001</v>
      </c>
    </row>
    <row r="2258" spans="1:2" x14ac:dyDescent="0.3">
      <c r="A2258" s="1">
        <v>43851</v>
      </c>
      <c r="B2258" s="2">
        <v>12169.849609000001</v>
      </c>
    </row>
    <row r="2259" spans="1:2" x14ac:dyDescent="0.3">
      <c r="A2259" s="1">
        <v>43852</v>
      </c>
      <c r="B2259" s="2">
        <v>12106.900390999999</v>
      </c>
    </row>
    <row r="2260" spans="1:2" x14ac:dyDescent="0.3">
      <c r="A2260" s="1">
        <v>43853</v>
      </c>
      <c r="B2260" s="2">
        <v>12180.349609000001</v>
      </c>
    </row>
    <row r="2261" spans="1:2" x14ac:dyDescent="0.3">
      <c r="A2261" s="1">
        <v>43854</v>
      </c>
      <c r="B2261" s="2">
        <v>12248.25</v>
      </c>
    </row>
    <row r="2262" spans="1:2" x14ac:dyDescent="0.3">
      <c r="A2262" s="1">
        <v>43857</v>
      </c>
      <c r="B2262" s="2">
        <v>12119</v>
      </c>
    </row>
    <row r="2263" spans="1:2" x14ac:dyDescent="0.3">
      <c r="A2263" s="1">
        <v>43858</v>
      </c>
      <c r="B2263" s="2">
        <v>12055.799805000001</v>
      </c>
    </row>
    <row r="2264" spans="1:2" x14ac:dyDescent="0.3">
      <c r="A2264" s="1">
        <v>43859</v>
      </c>
      <c r="B2264" s="2">
        <v>12129.5</v>
      </c>
    </row>
    <row r="2265" spans="1:2" x14ac:dyDescent="0.3">
      <c r="A2265" s="1">
        <v>43860</v>
      </c>
      <c r="B2265" s="2">
        <v>12035.799805000001</v>
      </c>
    </row>
    <row r="2266" spans="1:2" x14ac:dyDescent="0.3">
      <c r="A2266" s="1">
        <v>43861</v>
      </c>
      <c r="B2266" s="2">
        <v>11962.099609000001</v>
      </c>
    </row>
    <row r="2267" spans="1:2" x14ac:dyDescent="0.3">
      <c r="A2267" s="1">
        <v>43864</v>
      </c>
      <c r="B2267" s="2">
        <v>11707.900390999999</v>
      </c>
    </row>
    <row r="2268" spans="1:2" x14ac:dyDescent="0.3">
      <c r="A2268" s="1">
        <v>43865</v>
      </c>
      <c r="B2268" s="2">
        <v>11979.650390999999</v>
      </c>
    </row>
    <row r="2269" spans="1:2" x14ac:dyDescent="0.3">
      <c r="A2269" s="1">
        <v>43866</v>
      </c>
      <c r="B2269" s="2">
        <v>12089.150390999999</v>
      </c>
    </row>
    <row r="2270" spans="1:2" x14ac:dyDescent="0.3">
      <c r="A2270" s="1">
        <v>43867</v>
      </c>
      <c r="B2270" s="2">
        <v>12137.950194999999</v>
      </c>
    </row>
    <row r="2271" spans="1:2" x14ac:dyDescent="0.3">
      <c r="A2271" s="1">
        <v>43868</v>
      </c>
      <c r="B2271" s="2">
        <v>12098.349609000001</v>
      </c>
    </row>
    <row r="2272" spans="1:2" x14ac:dyDescent="0.3">
      <c r="A2272" s="1">
        <v>43871</v>
      </c>
      <c r="B2272" s="2">
        <v>12031.5</v>
      </c>
    </row>
    <row r="2273" spans="1:2" x14ac:dyDescent="0.3">
      <c r="A2273" s="1">
        <v>43872</v>
      </c>
      <c r="B2273" s="2">
        <v>12107.900390999999</v>
      </c>
    </row>
    <row r="2274" spans="1:2" x14ac:dyDescent="0.3">
      <c r="A2274" s="1">
        <v>43873</v>
      </c>
      <c r="B2274" s="2">
        <v>12201.200194999999</v>
      </c>
    </row>
    <row r="2275" spans="1:2" x14ac:dyDescent="0.3">
      <c r="A2275" s="1">
        <v>43874</v>
      </c>
      <c r="B2275" s="2">
        <v>12174.650390999999</v>
      </c>
    </row>
    <row r="2276" spans="1:2" x14ac:dyDescent="0.3">
      <c r="A2276" s="1">
        <v>43875</v>
      </c>
      <c r="B2276" s="2">
        <v>12113.450194999999</v>
      </c>
    </row>
    <row r="2277" spans="1:2" x14ac:dyDescent="0.3">
      <c r="A2277" s="1">
        <v>43878</v>
      </c>
      <c r="B2277" s="2">
        <v>12045.799805000001</v>
      </c>
    </row>
    <row r="2278" spans="1:2" x14ac:dyDescent="0.3">
      <c r="A2278" s="1">
        <v>43879</v>
      </c>
      <c r="B2278" s="2">
        <v>11992.5</v>
      </c>
    </row>
    <row r="2279" spans="1:2" x14ac:dyDescent="0.3">
      <c r="A2279" s="1">
        <v>43880</v>
      </c>
      <c r="B2279" s="2">
        <v>12125.900390999999</v>
      </c>
    </row>
    <row r="2280" spans="1:2" x14ac:dyDescent="0.3">
      <c r="A2280" s="1">
        <v>43881</v>
      </c>
      <c r="B2280" s="2">
        <v>12080.849609000001</v>
      </c>
    </row>
    <row r="2281" spans="1:2" x14ac:dyDescent="0.3">
      <c r="A2281" s="1">
        <v>43885</v>
      </c>
      <c r="B2281" s="2">
        <v>11829.400390999999</v>
      </c>
    </row>
    <row r="2282" spans="1:2" x14ac:dyDescent="0.3">
      <c r="A2282" s="1">
        <v>43886</v>
      </c>
      <c r="B2282" s="2">
        <v>11797.900390999999</v>
      </c>
    </row>
    <row r="2283" spans="1:2" x14ac:dyDescent="0.3">
      <c r="A2283" s="1">
        <v>43887</v>
      </c>
      <c r="B2283" s="2">
        <v>11678.5</v>
      </c>
    </row>
    <row r="2284" spans="1:2" x14ac:dyDescent="0.3">
      <c r="A2284" s="1">
        <v>43888</v>
      </c>
      <c r="B2284" s="2">
        <v>11633.299805000001</v>
      </c>
    </row>
    <row r="2285" spans="1:2" x14ac:dyDescent="0.3">
      <c r="A2285" s="1">
        <v>43889</v>
      </c>
      <c r="B2285" s="2">
        <v>11201.75</v>
      </c>
    </row>
    <row r="2286" spans="1:2" x14ac:dyDescent="0.3">
      <c r="A2286" s="1">
        <v>43892</v>
      </c>
      <c r="B2286" s="2">
        <v>11132.75</v>
      </c>
    </row>
    <row r="2287" spans="1:2" x14ac:dyDescent="0.3">
      <c r="A2287" s="1">
        <v>43893</v>
      </c>
      <c r="B2287" s="2">
        <v>11303.299805000001</v>
      </c>
    </row>
    <row r="2288" spans="1:2" x14ac:dyDescent="0.3">
      <c r="A2288" s="1">
        <v>43894</v>
      </c>
      <c r="B2288" s="2">
        <v>11251</v>
      </c>
    </row>
    <row r="2289" spans="1:2" x14ac:dyDescent="0.3">
      <c r="A2289" s="1">
        <v>43895</v>
      </c>
      <c r="B2289" s="2">
        <v>11269</v>
      </c>
    </row>
    <row r="2290" spans="1:2" x14ac:dyDescent="0.3">
      <c r="A2290" s="1">
        <v>43896</v>
      </c>
      <c r="B2290" s="2">
        <v>10989.450194999999</v>
      </c>
    </row>
    <row r="2291" spans="1:2" x14ac:dyDescent="0.3">
      <c r="A2291" s="1">
        <v>43899</v>
      </c>
      <c r="B2291" s="2">
        <v>10451.450194999999</v>
      </c>
    </row>
    <row r="2292" spans="1:2" x14ac:dyDescent="0.3">
      <c r="A2292" s="1">
        <v>43901</v>
      </c>
      <c r="B2292" s="2">
        <v>10458.400390999999</v>
      </c>
    </row>
    <row r="2293" spans="1:2" x14ac:dyDescent="0.3">
      <c r="A2293" s="1">
        <v>43902</v>
      </c>
      <c r="B2293" s="2">
        <v>9590.1503909999992</v>
      </c>
    </row>
    <row r="2294" spans="1:2" x14ac:dyDescent="0.3">
      <c r="A2294" s="1">
        <v>43903</v>
      </c>
      <c r="B2294" s="2">
        <v>9955.2001949999994</v>
      </c>
    </row>
    <row r="2295" spans="1:2" x14ac:dyDescent="0.3">
      <c r="A2295" s="1">
        <v>43906</v>
      </c>
      <c r="B2295" s="2">
        <v>9197.4003909999992</v>
      </c>
    </row>
    <row r="2296" spans="1:2" x14ac:dyDescent="0.3">
      <c r="A2296" s="1">
        <v>43907</v>
      </c>
      <c r="B2296" s="2">
        <v>8967.0498050000006</v>
      </c>
    </row>
    <row r="2297" spans="1:2" x14ac:dyDescent="0.3">
      <c r="A2297" s="1">
        <v>43908</v>
      </c>
      <c r="B2297" s="2">
        <v>8468.7998050000006</v>
      </c>
    </row>
    <row r="2298" spans="1:2" x14ac:dyDescent="0.3">
      <c r="A2298" s="1">
        <v>43909</v>
      </c>
      <c r="B2298" s="2">
        <v>8263.4501949999994</v>
      </c>
    </row>
    <row r="2299" spans="1:2" x14ac:dyDescent="0.3">
      <c r="A2299" s="1">
        <v>43910</v>
      </c>
      <c r="B2299" s="2">
        <v>8745.4501949999994</v>
      </c>
    </row>
    <row r="2300" spans="1:2" x14ac:dyDescent="0.3">
      <c r="A2300" s="1">
        <v>43913</v>
      </c>
      <c r="B2300" s="2">
        <v>7610.25</v>
      </c>
    </row>
    <row r="2301" spans="1:2" x14ac:dyDescent="0.3">
      <c r="A2301" s="1">
        <v>43914</v>
      </c>
      <c r="B2301" s="2">
        <v>7801.0498049999997</v>
      </c>
    </row>
    <row r="2302" spans="1:2" x14ac:dyDescent="0.3">
      <c r="A2302" s="1">
        <v>43915</v>
      </c>
      <c r="B2302" s="2">
        <v>8317.8496090000008</v>
      </c>
    </row>
    <row r="2303" spans="1:2" x14ac:dyDescent="0.3">
      <c r="A2303" s="1">
        <v>43916</v>
      </c>
      <c r="B2303" s="2">
        <v>8641.4501949999994</v>
      </c>
    </row>
    <row r="2304" spans="1:2" x14ac:dyDescent="0.3">
      <c r="A2304" s="1">
        <v>43917</v>
      </c>
      <c r="B2304" s="2">
        <v>8660.25</v>
      </c>
    </row>
    <row r="2305" spans="1:2" x14ac:dyDescent="0.3">
      <c r="A2305" s="1">
        <v>43920</v>
      </c>
      <c r="B2305" s="2">
        <v>8281.0996090000008</v>
      </c>
    </row>
    <row r="2306" spans="1:2" x14ac:dyDescent="0.3">
      <c r="A2306" s="1">
        <v>43921</v>
      </c>
      <c r="B2306" s="2">
        <v>8597.75</v>
      </c>
    </row>
    <row r="2307" spans="1:2" x14ac:dyDescent="0.3">
      <c r="A2307" s="1">
        <v>43922</v>
      </c>
      <c r="B2307" s="2">
        <v>8253.7998050000006</v>
      </c>
    </row>
    <row r="2308" spans="1:2" x14ac:dyDescent="0.3">
      <c r="A2308" s="1">
        <v>43924</v>
      </c>
      <c r="B2308" s="2">
        <v>8083.7998049999997</v>
      </c>
    </row>
    <row r="2309" spans="1:2" x14ac:dyDescent="0.3">
      <c r="A2309" s="1">
        <v>43928</v>
      </c>
      <c r="B2309" s="2">
        <v>8792.2001949999994</v>
      </c>
    </row>
    <row r="2310" spans="1:2" x14ac:dyDescent="0.3">
      <c r="A2310" s="1">
        <v>43929</v>
      </c>
      <c r="B2310" s="2">
        <v>8748.75</v>
      </c>
    </row>
    <row r="2311" spans="1:2" x14ac:dyDescent="0.3">
      <c r="A2311" s="1">
        <v>43930</v>
      </c>
      <c r="B2311" s="2">
        <v>9111.9003909999992</v>
      </c>
    </row>
    <row r="2312" spans="1:2" x14ac:dyDescent="0.3">
      <c r="A2312" s="1">
        <v>43934</v>
      </c>
      <c r="B2312" s="2">
        <v>8993.8496090000008</v>
      </c>
    </row>
    <row r="2313" spans="1:2" x14ac:dyDescent="0.3">
      <c r="A2313" s="1">
        <v>43936</v>
      </c>
      <c r="B2313" s="2">
        <v>8925.2998050000006</v>
      </c>
    </row>
    <row r="2314" spans="1:2" x14ac:dyDescent="0.3">
      <c r="A2314" s="1">
        <v>43937</v>
      </c>
      <c r="B2314" s="2">
        <v>8992.7998050000006</v>
      </c>
    </row>
    <row r="2315" spans="1:2" x14ac:dyDescent="0.3">
      <c r="A2315" s="1">
        <v>43938</v>
      </c>
      <c r="B2315" s="2">
        <v>9266.75</v>
      </c>
    </row>
    <row r="2316" spans="1:2" x14ac:dyDescent="0.3">
      <c r="A2316" s="1">
        <v>43941</v>
      </c>
      <c r="B2316" s="2">
        <v>9261.8496090000008</v>
      </c>
    </row>
    <row r="2317" spans="1:2" x14ac:dyDescent="0.3">
      <c r="A2317" s="1">
        <v>43942</v>
      </c>
      <c r="B2317" s="2">
        <v>8981.4501949999994</v>
      </c>
    </row>
    <row r="2318" spans="1:2" x14ac:dyDescent="0.3">
      <c r="A2318" s="1">
        <v>43943</v>
      </c>
      <c r="B2318" s="2">
        <v>9187.2998050000006</v>
      </c>
    </row>
    <row r="2319" spans="1:2" x14ac:dyDescent="0.3">
      <c r="A2319" s="1">
        <v>43944</v>
      </c>
      <c r="B2319" s="2">
        <v>9313.9003909999992</v>
      </c>
    </row>
    <row r="2320" spans="1:2" x14ac:dyDescent="0.3">
      <c r="A2320" s="1">
        <v>43945</v>
      </c>
      <c r="B2320" s="2">
        <v>9154.4003909999992</v>
      </c>
    </row>
    <row r="2321" spans="1:2" x14ac:dyDescent="0.3">
      <c r="A2321" s="1">
        <v>43948</v>
      </c>
      <c r="B2321" s="2">
        <v>9282.2998050000006</v>
      </c>
    </row>
    <row r="2322" spans="1:2" x14ac:dyDescent="0.3">
      <c r="A2322" s="1">
        <v>43949</v>
      </c>
      <c r="B2322" s="2">
        <v>9380.9003909999992</v>
      </c>
    </row>
    <row r="2323" spans="1:2" x14ac:dyDescent="0.3">
      <c r="A2323" s="1">
        <v>43950</v>
      </c>
      <c r="B2323" s="2">
        <v>9553.3496090000008</v>
      </c>
    </row>
    <row r="2324" spans="1:2" x14ac:dyDescent="0.3">
      <c r="A2324" s="1">
        <v>43951</v>
      </c>
      <c r="B2324" s="2">
        <v>9859.9003909999992</v>
      </c>
    </row>
    <row r="2325" spans="1:2" x14ac:dyDescent="0.3">
      <c r="A2325" s="1">
        <v>43955</v>
      </c>
      <c r="B2325" s="2">
        <v>9293.5</v>
      </c>
    </row>
    <row r="2326" spans="1:2" x14ac:dyDescent="0.3">
      <c r="A2326" s="1">
        <v>43956</v>
      </c>
      <c r="B2326" s="2">
        <v>9205.5996090000008</v>
      </c>
    </row>
    <row r="2327" spans="1:2" x14ac:dyDescent="0.3">
      <c r="A2327" s="1">
        <v>43957</v>
      </c>
      <c r="B2327" s="2">
        <v>9270.9003909999992</v>
      </c>
    </row>
    <row r="2328" spans="1:2" x14ac:dyDescent="0.3">
      <c r="A2328" s="1">
        <v>43958</v>
      </c>
      <c r="B2328" s="2">
        <v>9199.0498050000006</v>
      </c>
    </row>
    <row r="2329" spans="1:2" x14ac:dyDescent="0.3">
      <c r="A2329" s="1">
        <v>43959</v>
      </c>
      <c r="B2329" s="2">
        <v>9251.5</v>
      </c>
    </row>
    <row r="2330" spans="1:2" x14ac:dyDescent="0.3">
      <c r="A2330" s="1">
        <v>43962</v>
      </c>
      <c r="B2330" s="2">
        <v>9239.2001949999994</v>
      </c>
    </row>
    <row r="2331" spans="1:2" x14ac:dyDescent="0.3">
      <c r="A2331" s="1">
        <v>43963</v>
      </c>
      <c r="B2331" s="2">
        <v>9196.5498050000006</v>
      </c>
    </row>
    <row r="2332" spans="1:2" x14ac:dyDescent="0.3">
      <c r="A2332" s="1">
        <v>43964</v>
      </c>
      <c r="B2332" s="2">
        <v>9383.5498050000006</v>
      </c>
    </row>
    <row r="2333" spans="1:2" x14ac:dyDescent="0.3">
      <c r="A2333" s="1">
        <v>43965</v>
      </c>
      <c r="B2333" s="2">
        <v>9142.75</v>
      </c>
    </row>
    <row r="2334" spans="1:2" x14ac:dyDescent="0.3">
      <c r="A2334" s="1">
        <v>43966</v>
      </c>
      <c r="B2334" s="2">
        <v>9136.8496090000008</v>
      </c>
    </row>
    <row r="2335" spans="1:2" x14ac:dyDescent="0.3">
      <c r="A2335" s="1">
        <v>43969</v>
      </c>
      <c r="B2335" s="2">
        <v>8823.25</v>
      </c>
    </row>
    <row r="2336" spans="1:2" x14ac:dyDescent="0.3">
      <c r="A2336" s="1">
        <v>43970</v>
      </c>
      <c r="B2336" s="2">
        <v>8879.0996090000008</v>
      </c>
    </row>
    <row r="2337" spans="1:2" x14ac:dyDescent="0.3">
      <c r="A2337" s="1">
        <v>43971</v>
      </c>
      <c r="B2337" s="2">
        <v>9066.5498050000006</v>
      </c>
    </row>
    <row r="2338" spans="1:2" x14ac:dyDescent="0.3">
      <c r="A2338" s="1">
        <v>43972</v>
      </c>
      <c r="B2338" s="2">
        <v>9106.25</v>
      </c>
    </row>
    <row r="2339" spans="1:2" x14ac:dyDescent="0.3">
      <c r="A2339" s="1">
        <v>43973</v>
      </c>
      <c r="B2339" s="2">
        <v>9039.25</v>
      </c>
    </row>
    <row r="2340" spans="1:2" x14ac:dyDescent="0.3">
      <c r="A2340" s="1">
        <v>43977</v>
      </c>
      <c r="B2340" s="2">
        <v>9029.0498050000006</v>
      </c>
    </row>
    <row r="2341" spans="1:2" x14ac:dyDescent="0.3">
      <c r="A2341" s="1">
        <v>43978</v>
      </c>
      <c r="B2341" s="2">
        <v>9314.9501949999994</v>
      </c>
    </row>
    <row r="2342" spans="1:2" x14ac:dyDescent="0.3">
      <c r="A2342" s="1">
        <v>43979</v>
      </c>
      <c r="B2342" s="2">
        <v>9490.0996090000008</v>
      </c>
    </row>
    <row r="2343" spans="1:2" x14ac:dyDescent="0.3">
      <c r="A2343" s="1">
        <v>43980</v>
      </c>
      <c r="B2343" s="2">
        <v>9580.2998050000006</v>
      </c>
    </row>
    <row r="2344" spans="1:2" x14ac:dyDescent="0.3">
      <c r="A2344" s="1">
        <v>43983</v>
      </c>
      <c r="B2344" s="2">
        <v>9826.1503909999992</v>
      </c>
    </row>
    <row r="2345" spans="1:2" x14ac:dyDescent="0.3">
      <c r="A2345" s="1">
        <v>43984</v>
      </c>
      <c r="B2345" s="2">
        <v>9979.0996090000008</v>
      </c>
    </row>
    <row r="2346" spans="1:2" x14ac:dyDescent="0.3">
      <c r="A2346" s="1">
        <v>43985</v>
      </c>
      <c r="B2346" s="2">
        <v>10061.549805000001</v>
      </c>
    </row>
    <row r="2347" spans="1:2" x14ac:dyDescent="0.3">
      <c r="A2347" s="1">
        <v>43986</v>
      </c>
      <c r="B2347" s="2">
        <v>10029.099609000001</v>
      </c>
    </row>
    <row r="2348" spans="1:2" x14ac:dyDescent="0.3">
      <c r="A2348" s="1">
        <v>43987</v>
      </c>
      <c r="B2348" s="2">
        <v>10142.150390999999</v>
      </c>
    </row>
    <row r="2349" spans="1:2" x14ac:dyDescent="0.3">
      <c r="A2349" s="1">
        <v>43990</v>
      </c>
      <c r="B2349" s="2">
        <v>10167.450194999999</v>
      </c>
    </row>
    <row r="2350" spans="1:2" x14ac:dyDescent="0.3">
      <c r="A2350" s="1">
        <v>43991</v>
      </c>
      <c r="B2350" s="2">
        <v>10046.650390999999</v>
      </c>
    </row>
    <row r="2351" spans="1:2" x14ac:dyDescent="0.3">
      <c r="A2351" s="1">
        <v>43992</v>
      </c>
      <c r="B2351" s="2">
        <v>10116.150390999999</v>
      </c>
    </row>
    <row r="2352" spans="1:2" x14ac:dyDescent="0.3">
      <c r="A2352" s="1">
        <v>43993</v>
      </c>
      <c r="B2352" s="2">
        <v>9902</v>
      </c>
    </row>
    <row r="2353" spans="1:2" x14ac:dyDescent="0.3">
      <c r="A2353" s="1">
        <v>43994</v>
      </c>
      <c r="B2353" s="2">
        <v>9972.9003909999992</v>
      </c>
    </row>
    <row r="2354" spans="1:2" x14ac:dyDescent="0.3">
      <c r="A2354" s="1">
        <v>43997</v>
      </c>
      <c r="B2354" s="2">
        <v>9813.7001949999994</v>
      </c>
    </row>
    <row r="2355" spans="1:2" x14ac:dyDescent="0.3">
      <c r="A2355" s="1">
        <v>43998</v>
      </c>
      <c r="B2355" s="2">
        <v>9914</v>
      </c>
    </row>
    <row r="2356" spans="1:2" x14ac:dyDescent="0.3">
      <c r="A2356" s="1">
        <v>43999</v>
      </c>
      <c r="B2356" s="2">
        <v>9881.1503909999992</v>
      </c>
    </row>
    <row r="2357" spans="1:2" x14ac:dyDescent="0.3">
      <c r="A2357" s="1">
        <v>44000</v>
      </c>
      <c r="B2357" s="2">
        <v>10091.650390999999</v>
      </c>
    </row>
    <row r="2358" spans="1:2" x14ac:dyDescent="0.3">
      <c r="A2358" s="1">
        <v>44001</v>
      </c>
      <c r="B2358" s="2">
        <v>10244.400390999999</v>
      </c>
    </row>
    <row r="2359" spans="1:2" x14ac:dyDescent="0.3">
      <c r="A2359" s="1">
        <v>44004</v>
      </c>
      <c r="B2359" s="2">
        <v>10311.200194999999</v>
      </c>
    </row>
    <row r="2360" spans="1:2" x14ac:dyDescent="0.3">
      <c r="A2360" s="1">
        <v>44005</v>
      </c>
      <c r="B2360" s="2">
        <v>10471</v>
      </c>
    </row>
    <row r="2361" spans="1:2" x14ac:dyDescent="0.3">
      <c r="A2361" s="1">
        <v>44006</v>
      </c>
      <c r="B2361" s="2">
        <v>10305.299805000001</v>
      </c>
    </row>
    <row r="2362" spans="1:2" x14ac:dyDescent="0.3">
      <c r="A2362" s="1">
        <v>44007</v>
      </c>
      <c r="B2362" s="2">
        <v>10288.900390999999</v>
      </c>
    </row>
    <row r="2363" spans="1:2" x14ac:dyDescent="0.3">
      <c r="A2363" s="1">
        <v>44008</v>
      </c>
      <c r="B2363" s="2">
        <v>10383</v>
      </c>
    </row>
    <row r="2364" spans="1:2" x14ac:dyDescent="0.3">
      <c r="A2364" s="1">
        <v>44011</v>
      </c>
      <c r="B2364" s="2">
        <v>10312.400390999999</v>
      </c>
    </row>
    <row r="2365" spans="1:2" x14ac:dyDescent="0.3">
      <c r="A2365" s="1">
        <v>44012</v>
      </c>
      <c r="B2365" s="2">
        <v>10302.099609000001</v>
      </c>
    </row>
    <row r="2366" spans="1:2" x14ac:dyDescent="0.3">
      <c r="A2366" s="1">
        <v>44013</v>
      </c>
      <c r="B2366" s="2">
        <v>10430.049805000001</v>
      </c>
    </row>
    <row r="2367" spans="1:2" x14ac:dyDescent="0.3">
      <c r="A2367" s="1">
        <v>44014</v>
      </c>
      <c r="B2367" s="2">
        <v>10551.700194999999</v>
      </c>
    </row>
    <row r="2368" spans="1:2" x14ac:dyDescent="0.3">
      <c r="A2368" s="1">
        <v>44015</v>
      </c>
      <c r="B2368" s="2">
        <v>10607.349609000001</v>
      </c>
    </row>
    <row r="2369" spans="1:2" x14ac:dyDescent="0.3">
      <c r="A2369" s="1">
        <v>44018</v>
      </c>
      <c r="B2369" s="2">
        <v>10763.650390999999</v>
      </c>
    </row>
    <row r="2370" spans="1:2" x14ac:dyDescent="0.3">
      <c r="A2370" s="1">
        <v>44019</v>
      </c>
      <c r="B2370" s="2">
        <v>10799.650390999999</v>
      </c>
    </row>
    <row r="2371" spans="1:2" x14ac:dyDescent="0.3">
      <c r="A2371" s="1">
        <v>44020</v>
      </c>
      <c r="B2371" s="2">
        <v>10705.75</v>
      </c>
    </row>
    <row r="2372" spans="1:2" x14ac:dyDescent="0.3">
      <c r="A2372" s="1">
        <v>44021</v>
      </c>
      <c r="B2372" s="2">
        <v>10813.450194999999</v>
      </c>
    </row>
    <row r="2373" spans="1:2" x14ac:dyDescent="0.3">
      <c r="A2373" s="1">
        <v>44022</v>
      </c>
      <c r="B2373" s="2">
        <v>10768.049805000001</v>
      </c>
    </row>
    <row r="2374" spans="1:2" x14ac:dyDescent="0.3">
      <c r="A2374" s="1">
        <v>44025</v>
      </c>
      <c r="B2374" s="2">
        <v>10802.700194999999</v>
      </c>
    </row>
    <row r="2375" spans="1:2" x14ac:dyDescent="0.3">
      <c r="A2375" s="1">
        <v>44026</v>
      </c>
      <c r="B2375" s="2">
        <v>10607.349609000001</v>
      </c>
    </row>
    <row r="2376" spans="1:2" x14ac:dyDescent="0.3">
      <c r="A2376" s="1">
        <v>44027</v>
      </c>
      <c r="B2376" s="2">
        <v>10618.200194999999</v>
      </c>
    </row>
    <row r="2377" spans="1:2" x14ac:dyDescent="0.3">
      <c r="A2377" s="1">
        <v>44028</v>
      </c>
      <c r="B2377" s="2">
        <v>10739.950194999999</v>
      </c>
    </row>
    <row r="2378" spans="1:2" x14ac:dyDescent="0.3">
      <c r="A2378" s="1">
        <v>44029</v>
      </c>
      <c r="B2378" s="2">
        <v>10901.700194999999</v>
      </c>
    </row>
    <row r="2379" spans="1:2" x14ac:dyDescent="0.3">
      <c r="A2379" s="1">
        <v>44032</v>
      </c>
      <c r="B2379" s="2">
        <v>11022.200194999999</v>
      </c>
    </row>
    <row r="2380" spans="1:2" x14ac:dyDescent="0.3">
      <c r="A2380" s="1">
        <v>44033</v>
      </c>
      <c r="B2380" s="2">
        <v>11162.25</v>
      </c>
    </row>
    <row r="2381" spans="1:2" x14ac:dyDescent="0.3">
      <c r="A2381" s="1">
        <v>44034</v>
      </c>
      <c r="B2381" s="2">
        <v>11132.599609000001</v>
      </c>
    </row>
    <row r="2382" spans="1:2" x14ac:dyDescent="0.3">
      <c r="A2382" s="1">
        <v>44035</v>
      </c>
      <c r="B2382" s="2">
        <v>11215.450194999999</v>
      </c>
    </row>
    <row r="2383" spans="1:2" x14ac:dyDescent="0.3">
      <c r="A2383" s="1">
        <v>44036</v>
      </c>
      <c r="B2383" s="2">
        <v>11194.150390999999</v>
      </c>
    </row>
    <row r="2384" spans="1:2" x14ac:dyDescent="0.3">
      <c r="A2384" s="1">
        <v>44039</v>
      </c>
      <c r="B2384" s="2">
        <v>11131.799805000001</v>
      </c>
    </row>
    <row r="2385" spans="1:2" x14ac:dyDescent="0.3">
      <c r="A2385" s="1">
        <v>44040</v>
      </c>
      <c r="B2385" s="2">
        <v>11300.549805000001</v>
      </c>
    </row>
    <row r="2386" spans="1:2" x14ac:dyDescent="0.3">
      <c r="A2386" s="1">
        <v>44041</v>
      </c>
      <c r="B2386" s="2">
        <v>11202.849609000001</v>
      </c>
    </row>
    <row r="2387" spans="1:2" x14ac:dyDescent="0.3">
      <c r="A2387" s="1">
        <v>44042</v>
      </c>
      <c r="B2387" s="2">
        <v>11102.150390999999</v>
      </c>
    </row>
    <row r="2388" spans="1:2" x14ac:dyDescent="0.3">
      <c r="A2388" s="1">
        <v>44043</v>
      </c>
      <c r="B2388" s="2">
        <v>11073.450194999999</v>
      </c>
    </row>
    <row r="2389" spans="1:2" x14ac:dyDescent="0.3">
      <c r="A2389" s="1">
        <v>44046</v>
      </c>
      <c r="B2389" s="2">
        <v>10891.599609000001</v>
      </c>
    </row>
    <row r="2390" spans="1:2" x14ac:dyDescent="0.3">
      <c r="A2390" s="1">
        <v>44047</v>
      </c>
      <c r="B2390" s="2">
        <v>11095.25</v>
      </c>
    </row>
    <row r="2391" spans="1:2" x14ac:dyDescent="0.3">
      <c r="A2391" s="1">
        <v>44048</v>
      </c>
      <c r="B2391" s="2">
        <v>11101.650390999999</v>
      </c>
    </row>
    <row r="2392" spans="1:2" x14ac:dyDescent="0.3">
      <c r="A2392" s="1">
        <v>44049</v>
      </c>
      <c r="B2392" s="2">
        <v>11200.150390999999</v>
      </c>
    </row>
    <row r="2393" spans="1:2" x14ac:dyDescent="0.3">
      <c r="A2393" s="1">
        <v>44050</v>
      </c>
      <c r="B2393" s="2">
        <v>11214.049805000001</v>
      </c>
    </row>
    <row r="2394" spans="1:2" x14ac:dyDescent="0.3">
      <c r="A2394" s="1">
        <v>44053</v>
      </c>
      <c r="B2394" s="2">
        <v>11270.150390999999</v>
      </c>
    </row>
    <row r="2395" spans="1:2" x14ac:dyDescent="0.3">
      <c r="A2395" s="1">
        <v>44054</v>
      </c>
      <c r="B2395" s="2">
        <v>11322.5</v>
      </c>
    </row>
    <row r="2396" spans="1:2" x14ac:dyDescent="0.3">
      <c r="A2396" s="1">
        <v>44055</v>
      </c>
      <c r="B2396" s="2">
        <v>11308.400390999999</v>
      </c>
    </row>
    <row r="2397" spans="1:2" x14ac:dyDescent="0.3">
      <c r="A2397" s="1">
        <v>44056</v>
      </c>
      <c r="B2397" s="2">
        <v>11300.450194999999</v>
      </c>
    </row>
    <row r="2398" spans="1:2" x14ac:dyDescent="0.3">
      <c r="A2398" s="1">
        <v>44057</v>
      </c>
      <c r="B2398" s="2">
        <v>11178.400390999999</v>
      </c>
    </row>
    <row r="2399" spans="1:2" x14ac:dyDescent="0.3">
      <c r="A2399" s="1">
        <v>44060</v>
      </c>
      <c r="B2399" s="2">
        <v>11247.099609000001</v>
      </c>
    </row>
    <row r="2400" spans="1:2" x14ac:dyDescent="0.3">
      <c r="A2400" s="1">
        <v>44061</v>
      </c>
      <c r="B2400" s="2">
        <v>11385.349609000001</v>
      </c>
    </row>
    <row r="2401" spans="1:2" x14ac:dyDescent="0.3">
      <c r="A2401" s="1">
        <v>44062</v>
      </c>
      <c r="B2401" s="2">
        <v>11408.400390999999</v>
      </c>
    </row>
    <row r="2402" spans="1:2" x14ac:dyDescent="0.3">
      <c r="A2402" s="1">
        <v>44063</v>
      </c>
      <c r="B2402" s="2">
        <v>11312.200194999999</v>
      </c>
    </row>
    <row r="2403" spans="1:2" x14ac:dyDescent="0.3">
      <c r="A2403" s="1">
        <v>44064</v>
      </c>
      <c r="B2403" s="2">
        <v>11371.599609000001</v>
      </c>
    </row>
    <row r="2404" spans="1:2" x14ac:dyDescent="0.3">
      <c r="A2404" s="1">
        <v>44067</v>
      </c>
      <c r="B2404" s="2">
        <v>11466.450194999999</v>
      </c>
    </row>
    <row r="2405" spans="1:2" x14ac:dyDescent="0.3">
      <c r="A2405" s="1">
        <v>44068</v>
      </c>
      <c r="B2405" s="2">
        <v>11472.25</v>
      </c>
    </row>
    <row r="2406" spans="1:2" x14ac:dyDescent="0.3">
      <c r="A2406" s="1">
        <v>44069</v>
      </c>
      <c r="B2406" s="2">
        <v>11549.599609000001</v>
      </c>
    </row>
    <row r="2407" spans="1:2" x14ac:dyDescent="0.3">
      <c r="A2407" s="1">
        <v>44070</v>
      </c>
      <c r="B2407" s="2">
        <v>11559.25</v>
      </c>
    </row>
    <row r="2408" spans="1:2" x14ac:dyDescent="0.3">
      <c r="A2408" s="1">
        <v>44071</v>
      </c>
      <c r="B2408" s="2">
        <v>11647.599609000001</v>
      </c>
    </row>
    <row r="2409" spans="1:2" x14ac:dyDescent="0.3">
      <c r="A2409" s="1">
        <v>44074</v>
      </c>
      <c r="B2409" s="2">
        <v>11387.5</v>
      </c>
    </row>
    <row r="2410" spans="1:2" x14ac:dyDescent="0.3">
      <c r="A2410" s="1">
        <v>44075</v>
      </c>
      <c r="B2410" s="2">
        <v>11470.25</v>
      </c>
    </row>
    <row r="2411" spans="1:2" x14ac:dyDescent="0.3">
      <c r="A2411" s="1">
        <v>44076</v>
      </c>
      <c r="B2411" s="2">
        <v>11535</v>
      </c>
    </row>
    <row r="2412" spans="1:2" x14ac:dyDescent="0.3">
      <c r="A2412" s="1">
        <v>44077</v>
      </c>
      <c r="B2412" s="2">
        <v>11527.450194999999</v>
      </c>
    </row>
    <row r="2413" spans="1:2" x14ac:dyDescent="0.3">
      <c r="A2413" s="1">
        <v>44078</v>
      </c>
      <c r="B2413" s="2">
        <v>11333.849609000001</v>
      </c>
    </row>
    <row r="2414" spans="1:2" x14ac:dyDescent="0.3">
      <c r="A2414" s="1">
        <v>44081</v>
      </c>
      <c r="B2414" s="2">
        <v>11355.049805000001</v>
      </c>
    </row>
    <row r="2415" spans="1:2" x14ac:dyDescent="0.3">
      <c r="A2415" s="1">
        <v>44082</v>
      </c>
      <c r="B2415" s="2">
        <v>11317.349609000001</v>
      </c>
    </row>
    <row r="2416" spans="1:2" x14ac:dyDescent="0.3">
      <c r="A2416" s="1">
        <v>44083</v>
      </c>
      <c r="B2416" s="2">
        <v>11278</v>
      </c>
    </row>
    <row r="2417" spans="1:2" x14ac:dyDescent="0.3">
      <c r="A2417" s="1">
        <v>44084</v>
      </c>
      <c r="B2417" s="2">
        <v>11449.25</v>
      </c>
    </row>
    <row r="2418" spans="1:2" x14ac:dyDescent="0.3">
      <c r="A2418" s="1">
        <v>44085</v>
      </c>
      <c r="B2418" s="2">
        <v>11464.450194999999</v>
      </c>
    </row>
    <row r="2419" spans="1:2" x14ac:dyDescent="0.3">
      <c r="A2419" s="1">
        <v>44088</v>
      </c>
      <c r="B2419" s="2">
        <v>11440.049805000001</v>
      </c>
    </row>
    <row r="2420" spans="1:2" x14ac:dyDescent="0.3">
      <c r="A2420" s="1">
        <v>44089</v>
      </c>
      <c r="B2420" s="2">
        <v>11521.799805000001</v>
      </c>
    </row>
    <row r="2421" spans="1:2" x14ac:dyDescent="0.3">
      <c r="A2421" s="1">
        <v>44090</v>
      </c>
      <c r="B2421" s="2">
        <v>11604.549805000001</v>
      </c>
    </row>
    <row r="2422" spans="1:2" x14ac:dyDescent="0.3">
      <c r="A2422" s="1">
        <v>44091</v>
      </c>
      <c r="B2422" s="2">
        <v>11516.099609000001</v>
      </c>
    </row>
    <row r="2423" spans="1:2" x14ac:dyDescent="0.3">
      <c r="A2423" s="1">
        <v>44092</v>
      </c>
      <c r="B2423" s="2">
        <v>11504.950194999999</v>
      </c>
    </row>
    <row r="2424" spans="1:2" x14ac:dyDescent="0.3">
      <c r="A2424" s="1">
        <v>44095</v>
      </c>
      <c r="B2424" s="2">
        <v>11250.549805000001</v>
      </c>
    </row>
    <row r="2425" spans="1:2" x14ac:dyDescent="0.3">
      <c r="A2425" s="1">
        <v>44096</v>
      </c>
      <c r="B2425" s="2">
        <v>11153.650390999999</v>
      </c>
    </row>
    <row r="2426" spans="1:2" x14ac:dyDescent="0.3">
      <c r="A2426" s="1">
        <v>44097</v>
      </c>
      <c r="B2426" s="2">
        <v>11131.849609000001</v>
      </c>
    </row>
    <row r="2427" spans="1:2" x14ac:dyDescent="0.3">
      <c r="A2427" s="1">
        <v>44098</v>
      </c>
      <c r="B2427" s="2">
        <v>10805.549805000001</v>
      </c>
    </row>
    <row r="2428" spans="1:2" x14ac:dyDescent="0.3">
      <c r="A2428" s="1">
        <v>44099</v>
      </c>
      <c r="B2428" s="2">
        <v>11050.25</v>
      </c>
    </row>
    <row r="2429" spans="1:2" x14ac:dyDescent="0.3">
      <c r="A2429" s="1">
        <v>44102</v>
      </c>
      <c r="B2429" s="2">
        <v>11227.549805000001</v>
      </c>
    </row>
    <row r="2430" spans="1:2" x14ac:dyDescent="0.3">
      <c r="A2430" s="1">
        <v>44103</v>
      </c>
      <c r="B2430" s="2">
        <v>11222.400390999999</v>
      </c>
    </row>
    <row r="2431" spans="1:2" x14ac:dyDescent="0.3">
      <c r="A2431" s="1">
        <v>44104</v>
      </c>
      <c r="B2431" s="2">
        <v>11247.549805000001</v>
      </c>
    </row>
    <row r="2432" spans="1:2" x14ac:dyDescent="0.3">
      <c r="A2432" s="1">
        <v>44105</v>
      </c>
      <c r="B2432" s="2">
        <v>11416.950194999999</v>
      </c>
    </row>
    <row r="2433" spans="1:2" x14ac:dyDescent="0.3">
      <c r="A2433" s="1">
        <v>44109</v>
      </c>
      <c r="B2433" s="2">
        <v>11503.349609000001</v>
      </c>
    </row>
    <row r="2434" spans="1:2" x14ac:dyDescent="0.3">
      <c r="A2434" s="1">
        <v>44110</v>
      </c>
      <c r="B2434" s="2">
        <v>11662.400390999999</v>
      </c>
    </row>
    <row r="2435" spans="1:2" x14ac:dyDescent="0.3">
      <c r="A2435" s="1">
        <v>44111</v>
      </c>
      <c r="B2435" s="2">
        <v>11738.849609000001</v>
      </c>
    </row>
    <row r="2436" spans="1:2" x14ac:dyDescent="0.3">
      <c r="A2436" s="1">
        <v>44112</v>
      </c>
      <c r="B2436" s="2">
        <v>11834.599609000001</v>
      </c>
    </row>
    <row r="2437" spans="1:2" x14ac:dyDescent="0.3">
      <c r="A2437" s="1">
        <v>44113</v>
      </c>
      <c r="B2437" s="2">
        <v>11914.200194999999</v>
      </c>
    </row>
    <row r="2438" spans="1:2" x14ac:dyDescent="0.3">
      <c r="A2438" s="1">
        <v>44116</v>
      </c>
      <c r="B2438" s="2">
        <v>11930.950194999999</v>
      </c>
    </row>
    <row r="2439" spans="1:2" x14ac:dyDescent="0.3">
      <c r="A2439" s="1">
        <v>44117</v>
      </c>
      <c r="B2439" s="2">
        <v>11934.5</v>
      </c>
    </row>
    <row r="2440" spans="1:2" x14ac:dyDescent="0.3">
      <c r="A2440" s="1">
        <v>44118</v>
      </c>
      <c r="B2440" s="2">
        <v>11971.049805000001</v>
      </c>
    </row>
    <row r="2441" spans="1:2" x14ac:dyDescent="0.3">
      <c r="A2441" s="1">
        <v>44119</v>
      </c>
      <c r="B2441" s="2">
        <v>11680.349609000001</v>
      </c>
    </row>
    <row r="2442" spans="1:2" x14ac:dyDescent="0.3">
      <c r="A2442" s="1">
        <v>44120</v>
      </c>
      <c r="B2442" s="2">
        <v>11762.450194999999</v>
      </c>
    </row>
    <row r="2443" spans="1:2" x14ac:dyDescent="0.3">
      <c r="A2443" s="1">
        <v>44123</v>
      </c>
      <c r="B2443" s="2">
        <v>11873.049805000001</v>
      </c>
    </row>
    <row r="2444" spans="1:2" x14ac:dyDescent="0.3">
      <c r="A2444" s="1">
        <v>44124</v>
      </c>
      <c r="B2444" s="2">
        <v>11896.799805000001</v>
      </c>
    </row>
    <row r="2445" spans="1:2" x14ac:dyDescent="0.3">
      <c r="A2445" s="1">
        <v>44125</v>
      </c>
      <c r="B2445" s="2">
        <v>11937.650390999999</v>
      </c>
    </row>
    <row r="2446" spans="1:2" x14ac:dyDescent="0.3">
      <c r="A2446" s="1">
        <v>44126</v>
      </c>
      <c r="B2446" s="2">
        <v>11896.450194999999</v>
      </c>
    </row>
    <row r="2447" spans="1:2" x14ac:dyDescent="0.3">
      <c r="A2447" s="1">
        <v>44127</v>
      </c>
      <c r="B2447" s="2">
        <v>11930.349609000001</v>
      </c>
    </row>
    <row r="2448" spans="1:2" x14ac:dyDescent="0.3">
      <c r="A2448" s="1">
        <v>44130</v>
      </c>
      <c r="B2448" s="2">
        <v>11767.75</v>
      </c>
    </row>
    <row r="2449" spans="1:2" x14ac:dyDescent="0.3">
      <c r="A2449" s="1">
        <v>44131</v>
      </c>
      <c r="B2449" s="2">
        <v>11889.400390999999</v>
      </c>
    </row>
    <row r="2450" spans="1:2" x14ac:dyDescent="0.3">
      <c r="A2450" s="1">
        <v>44132</v>
      </c>
      <c r="B2450" s="2">
        <v>11729.599609000001</v>
      </c>
    </row>
    <row r="2451" spans="1:2" x14ac:dyDescent="0.3">
      <c r="A2451" s="1">
        <v>44133</v>
      </c>
      <c r="B2451" s="2">
        <v>11670.799805000001</v>
      </c>
    </row>
    <row r="2452" spans="1:2" x14ac:dyDescent="0.3">
      <c r="A2452" s="1">
        <v>44134</v>
      </c>
      <c r="B2452" s="2">
        <v>11642.400390999999</v>
      </c>
    </row>
    <row r="2453" spans="1:2" x14ac:dyDescent="0.3">
      <c r="A2453" s="1">
        <v>44137</v>
      </c>
      <c r="B2453" s="2">
        <v>11669.150390999999</v>
      </c>
    </row>
    <row r="2454" spans="1:2" x14ac:dyDescent="0.3">
      <c r="A2454" s="1">
        <v>44138</v>
      </c>
      <c r="B2454" s="2">
        <v>11813.5</v>
      </c>
    </row>
    <row r="2455" spans="1:2" x14ac:dyDescent="0.3">
      <c r="A2455" s="1">
        <v>44139</v>
      </c>
      <c r="B2455" s="2">
        <v>11908.5</v>
      </c>
    </row>
    <row r="2456" spans="1:2" x14ac:dyDescent="0.3">
      <c r="A2456" s="1">
        <v>44140</v>
      </c>
      <c r="B2456" s="2">
        <v>12120.299805000001</v>
      </c>
    </row>
    <row r="2457" spans="1:2" x14ac:dyDescent="0.3">
      <c r="A2457" s="1">
        <v>44141</v>
      </c>
      <c r="B2457" s="2">
        <v>12263.549805000001</v>
      </c>
    </row>
    <row r="2458" spans="1:2" x14ac:dyDescent="0.3">
      <c r="A2458" s="1">
        <v>44144</v>
      </c>
      <c r="B2458" s="2">
        <v>12461.049805000001</v>
      </c>
    </row>
    <row r="2459" spans="1:2" x14ac:dyDescent="0.3">
      <c r="A2459" s="1">
        <v>44145</v>
      </c>
      <c r="B2459" s="2">
        <v>12631.099609000001</v>
      </c>
    </row>
    <row r="2460" spans="1:2" x14ac:dyDescent="0.3">
      <c r="A2460" s="1">
        <v>44146</v>
      </c>
      <c r="B2460" s="2">
        <v>12749.150390999999</v>
      </c>
    </row>
    <row r="2461" spans="1:2" x14ac:dyDescent="0.3">
      <c r="A2461" s="1">
        <v>44147</v>
      </c>
      <c r="B2461" s="2">
        <v>12690.799805000001</v>
      </c>
    </row>
    <row r="2462" spans="1:2" x14ac:dyDescent="0.3">
      <c r="A2462" s="1">
        <v>44148</v>
      </c>
      <c r="B2462" s="2">
        <v>12719.950194999999</v>
      </c>
    </row>
    <row r="2463" spans="1:2" x14ac:dyDescent="0.3">
      <c r="A2463" s="1">
        <v>44152</v>
      </c>
      <c r="B2463" s="2">
        <v>12874.200194999999</v>
      </c>
    </row>
    <row r="2464" spans="1:2" x14ac:dyDescent="0.3">
      <c r="A2464" s="1">
        <v>44153</v>
      </c>
      <c r="B2464" s="2">
        <v>12938.25</v>
      </c>
    </row>
    <row r="2465" spans="1:2" x14ac:dyDescent="0.3">
      <c r="A2465" s="1">
        <v>44154</v>
      </c>
      <c r="B2465" s="2">
        <v>12771.700194999999</v>
      </c>
    </row>
    <row r="2466" spans="1:2" x14ac:dyDescent="0.3">
      <c r="A2466" s="1">
        <v>44155</v>
      </c>
      <c r="B2466" s="2">
        <v>12859.049805000001</v>
      </c>
    </row>
    <row r="2467" spans="1:2" x14ac:dyDescent="0.3">
      <c r="A2467" s="1">
        <v>44158</v>
      </c>
      <c r="B2467" s="2">
        <v>12926.450194999999</v>
      </c>
    </row>
    <row r="2468" spans="1:2" x14ac:dyDescent="0.3">
      <c r="A2468" s="1">
        <v>44159</v>
      </c>
      <c r="B2468" s="2">
        <v>13055.150390999999</v>
      </c>
    </row>
    <row r="2469" spans="1:2" x14ac:dyDescent="0.3">
      <c r="A2469" s="1">
        <v>44160</v>
      </c>
      <c r="B2469" s="2">
        <v>12858.400390999999</v>
      </c>
    </row>
    <row r="2470" spans="1:2" x14ac:dyDescent="0.3">
      <c r="A2470" s="1">
        <v>44161</v>
      </c>
      <c r="B2470" s="2">
        <v>12987</v>
      </c>
    </row>
    <row r="2471" spans="1:2" x14ac:dyDescent="0.3">
      <c r="A2471" s="1">
        <v>44162</v>
      </c>
      <c r="B2471" s="2">
        <v>12968.950194999999</v>
      </c>
    </row>
    <row r="2472" spans="1:2" x14ac:dyDescent="0.3">
      <c r="A2472" s="1">
        <v>44166</v>
      </c>
      <c r="B2472" s="2">
        <v>13109.049805000001</v>
      </c>
    </row>
    <row r="2473" spans="1:2" x14ac:dyDescent="0.3">
      <c r="A2473" s="1">
        <v>44167</v>
      </c>
      <c r="B2473" s="2">
        <v>13113.75</v>
      </c>
    </row>
    <row r="2474" spans="1:2" x14ac:dyDescent="0.3">
      <c r="A2474" s="1">
        <v>44168</v>
      </c>
      <c r="B2474" s="2">
        <v>13133.900390999999</v>
      </c>
    </row>
    <row r="2475" spans="1:2" x14ac:dyDescent="0.3">
      <c r="A2475" s="1">
        <v>44169</v>
      </c>
      <c r="B2475" s="2">
        <v>13258.549805000001</v>
      </c>
    </row>
    <row r="2476" spans="1:2" x14ac:dyDescent="0.3">
      <c r="A2476" s="1">
        <v>44172</v>
      </c>
      <c r="B2476" s="2">
        <v>13355.75</v>
      </c>
    </row>
    <row r="2477" spans="1:2" x14ac:dyDescent="0.3">
      <c r="A2477" s="1">
        <v>44173</v>
      </c>
      <c r="B2477" s="2">
        <v>13392.950194999999</v>
      </c>
    </row>
    <row r="2478" spans="1:2" x14ac:dyDescent="0.3">
      <c r="A2478" s="1">
        <v>44174</v>
      </c>
      <c r="B2478" s="2">
        <v>13529.099609000001</v>
      </c>
    </row>
    <row r="2479" spans="1:2" x14ac:dyDescent="0.3">
      <c r="A2479" s="1">
        <v>44175</v>
      </c>
      <c r="B2479" s="2">
        <v>13478.299805000001</v>
      </c>
    </row>
    <row r="2480" spans="1:2" x14ac:dyDescent="0.3">
      <c r="A2480" s="1">
        <v>44176</v>
      </c>
      <c r="B2480" s="2">
        <v>13513.849609000001</v>
      </c>
    </row>
    <row r="2481" spans="1:2" x14ac:dyDescent="0.3">
      <c r="A2481" s="1">
        <v>44179</v>
      </c>
      <c r="B2481" s="2">
        <v>13558.150390999999</v>
      </c>
    </row>
    <row r="2482" spans="1:2" x14ac:dyDescent="0.3">
      <c r="A2482" s="1">
        <v>44180</v>
      </c>
      <c r="B2482" s="2">
        <v>13567.849609000001</v>
      </c>
    </row>
    <row r="2483" spans="1:2" x14ac:dyDescent="0.3">
      <c r="A2483" s="1">
        <v>44181</v>
      </c>
      <c r="B2483" s="2">
        <v>13682.700194999999</v>
      </c>
    </row>
    <row r="2484" spans="1:2" x14ac:dyDescent="0.3">
      <c r="A2484" s="1">
        <v>44182</v>
      </c>
      <c r="B2484" s="2">
        <v>13740.700194999999</v>
      </c>
    </row>
    <row r="2485" spans="1:2" x14ac:dyDescent="0.3">
      <c r="A2485" s="1">
        <v>44183</v>
      </c>
      <c r="B2485" s="2">
        <v>13760.549805000001</v>
      </c>
    </row>
    <row r="2486" spans="1:2" x14ac:dyDescent="0.3">
      <c r="A2486" s="1">
        <v>44186</v>
      </c>
      <c r="B2486" s="2">
        <v>13328.400390999999</v>
      </c>
    </row>
    <row r="2487" spans="1:2" x14ac:dyDescent="0.3">
      <c r="A2487" s="1">
        <v>44187</v>
      </c>
      <c r="B2487" s="2">
        <v>13466.299805000001</v>
      </c>
    </row>
    <row r="2488" spans="1:2" x14ac:dyDescent="0.3">
      <c r="A2488" s="1">
        <v>44188</v>
      </c>
      <c r="B2488" s="2">
        <v>13601.099609000001</v>
      </c>
    </row>
    <row r="2489" spans="1:2" x14ac:dyDescent="0.3">
      <c r="A2489" s="1">
        <v>44189</v>
      </c>
      <c r="B2489" s="2">
        <v>13749.25</v>
      </c>
    </row>
    <row r="2490" spans="1:2" x14ac:dyDescent="0.3">
      <c r="A2490" s="1">
        <v>44193</v>
      </c>
      <c r="B2490" s="2">
        <v>13873.200194999999</v>
      </c>
    </row>
    <row r="2491" spans="1:2" x14ac:dyDescent="0.3">
      <c r="A2491" s="1">
        <v>44194</v>
      </c>
      <c r="B2491" s="2">
        <v>13932.599609000001</v>
      </c>
    </row>
    <row r="2492" spans="1:2" x14ac:dyDescent="0.3">
      <c r="A2492" s="1">
        <v>44195</v>
      </c>
      <c r="B2492" s="2">
        <v>13981.950194999999</v>
      </c>
    </row>
    <row r="2493" spans="1:2" x14ac:dyDescent="0.3">
      <c r="A2493" s="1">
        <v>44196</v>
      </c>
      <c r="B2493" s="2">
        <v>13981.75</v>
      </c>
    </row>
    <row r="2494" spans="1:2" x14ac:dyDescent="0.3">
      <c r="A2494" s="1">
        <v>44200</v>
      </c>
      <c r="B2494" s="2">
        <v>14132.900390999999</v>
      </c>
    </row>
    <row r="2495" spans="1:2" x14ac:dyDescent="0.3">
      <c r="A2495" s="1">
        <v>44201</v>
      </c>
      <c r="B2495" s="2">
        <v>14199.5</v>
      </c>
    </row>
    <row r="2496" spans="1:2" x14ac:dyDescent="0.3">
      <c r="A2496" s="1">
        <v>44202</v>
      </c>
      <c r="B2496" s="2">
        <v>14146.25</v>
      </c>
    </row>
    <row r="2497" spans="1:2" x14ac:dyDescent="0.3">
      <c r="A2497" s="1">
        <v>44203</v>
      </c>
      <c r="B2497" s="2">
        <v>14137.349609000001</v>
      </c>
    </row>
    <row r="2498" spans="1:2" x14ac:dyDescent="0.3">
      <c r="A2498" s="1">
        <v>44204</v>
      </c>
      <c r="B2498" s="2">
        <v>14347.25</v>
      </c>
    </row>
    <row r="2499" spans="1:2" x14ac:dyDescent="0.3">
      <c r="A2499" s="1">
        <v>44207</v>
      </c>
      <c r="B2499" s="2">
        <v>14484.75</v>
      </c>
    </row>
    <row r="2500" spans="1:2" x14ac:dyDescent="0.3">
      <c r="A2500" s="1">
        <v>44208</v>
      </c>
      <c r="B2500" s="2">
        <v>14563.450194999999</v>
      </c>
    </row>
    <row r="2501" spans="1:2" x14ac:dyDescent="0.3">
      <c r="A2501" s="1">
        <v>44209</v>
      </c>
      <c r="B2501" s="2">
        <v>14564.849609000001</v>
      </c>
    </row>
    <row r="2502" spans="1:2" x14ac:dyDescent="0.3">
      <c r="A2502" s="1">
        <v>44210</v>
      </c>
      <c r="B2502" s="2">
        <v>14595.599609000001</v>
      </c>
    </row>
    <row r="2503" spans="1:2" x14ac:dyDescent="0.3">
      <c r="A2503" s="1">
        <v>44211</v>
      </c>
      <c r="B2503" s="2">
        <v>14433.700194999999</v>
      </c>
    </row>
    <row r="2504" spans="1:2" x14ac:dyDescent="0.3">
      <c r="A2504" s="1">
        <v>44214</v>
      </c>
      <c r="B2504" s="2">
        <v>14281.299805000001</v>
      </c>
    </row>
    <row r="2505" spans="1:2" x14ac:dyDescent="0.3">
      <c r="A2505" s="1">
        <v>44215</v>
      </c>
      <c r="B2505" s="2">
        <v>14521.150390999999</v>
      </c>
    </row>
    <row r="2506" spans="1:2" x14ac:dyDescent="0.3">
      <c r="A2506" s="1">
        <v>44216</v>
      </c>
      <c r="B2506" s="2">
        <v>14644.700194999999</v>
      </c>
    </row>
    <row r="2507" spans="1:2" x14ac:dyDescent="0.3">
      <c r="A2507" s="1">
        <v>44217</v>
      </c>
      <c r="B2507" s="2">
        <v>14590.349609000001</v>
      </c>
    </row>
    <row r="2508" spans="1:2" x14ac:dyDescent="0.3">
      <c r="A2508" s="1">
        <v>44218</v>
      </c>
      <c r="B2508" s="2">
        <v>14371.900390999999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Data_SBIN_ICICI</vt:lpstr>
      <vt:lpstr>Nifty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Souvik Chanda</cp:lastModifiedBy>
  <dcterms:created xsi:type="dcterms:W3CDTF">2021-01-24T02:24:36Z</dcterms:created>
  <dcterms:modified xsi:type="dcterms:W3CDTF">2021-01-29T19:02:02Z</dcterms:modified>
</cp:coreProperties>
</file>