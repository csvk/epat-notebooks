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240" yWindow="45" windowWidth="10515" windowHeight="9285" activeTab="2"/>
  </bookViews>
  <sheets>
    <sheet name="CostofCarry" sheetId="1" r:id="rId1"/>
    <sheet name="Fut-Stock Arb" sheetId="4" r:id="rId2"/>
    <sheet name="FactorModel" sheetId="2" r:id="rId3"/>
    <sheet name="VLookup" sheetId="3" r:id="rId4"/>
    <sheet name="Sheet1" sheetId="5" r:id="rId5"/>
  </sheets>
  <calcPr calcId="144525"/>
</workbook>
</file>

<file path=xl/calcChain.xml><?xml version="1.0" encoding="utf-8"?>
<calcChain xmlns="http://schemas.openxmlformats.org/spreadsheetml/2006/main">
  <c r="F40" i="5" l="1"/>
  <c r="F39" i="5"/>
  <c r="F38" i="5"/>
  <c r="F37" i="5"/>
  <c r="F36" i="5"/>
  <c r="F26" i="5"/>
  <c r="F25" i="5"/>
  <c r="F24" i="5"/>
  <c r="F23" i="5"/>
  <c r="F22" i="5"/>
  <c r="F13" i="5"/>
  <c r="F12" i="5"/>
  <c r="F11" i="5"/>
  <c r="F10" i="5"/>
  <c r="F9" i="5"/>
  <c r="D31" i="5"/>
  <c r="D17" i="5"/>
  <c r="D4" i="5"/>
  <c r="H45" i="2" l="1"/>
  <c r="F12" i="3" l="1"/>
  <c r="E4" i="4" l="1"/>
  <c r="D6" i="4"/>
  <c r="E6" i="4" s="1"/>
  <c r="E7" i="4" l="1"/>
  <c r="K40" i="2"/>
  <c r="F11" i="2" l="1"/>
  <c r="E11" i="2"/>
  <c r="D10" i="2"/>
  <c r="G11" i="2" s="1"/>
  <c r="D11" i="2" l="1"/>
  <c r="H22" i="2"/>
  <c r="H21" i="2"/>
  <c r="H20" i="2"/>
  <c r="H19" i="2"/>
  <c r="H18" i="2"/>
</calcChain>
</file>

<file path=xl/sharedStrings.xml><?xml version="1.0" encoding="utf-8"?>
<sst xmlns="http://schemas.openxmlformats.org/spreadsheetml/2006/main" count="198" uniqueCount="133">
  <si>
    <t>Future contract has an expiry date</t>
  </si>
  <si>
    <t>Fut = Stock price * e^rt</t>
  </si>
  <si>
    <t>t= time left for expiry</t>
  </si>
  <si>
    <t>r is the rate of interest</t>
  </si>
  <si>
    <t>Fut price - Stock price = Cost of carry</t>
  </si>
  <si>
    <t xml:space="preserve">W1 </t>
  </si>
  <si>
    <t>W3</t>
  </si>
  <si>
    <t xml:space="preserve">W2 </t>
  </si>
  <si>
    <t>BUY</t>
  </si>
  <si>
    <t>Stock</t>
  </si>
  <si>
    <t>Return</t>
  </si>
  <si>
    <t>SBIN</t>
  </si>
  <si>
    <t>PNB</t>
  </si>
  <si>
    <t>APPLE</t>
  </si>
  <si>
    <t>TATSTEEL</t>
  </si>
  <si>
    <t>Profit</t>
  </si>
  <si>
    <t>Future contract is the expected value of the underlying at the date of expiry!</t>
  </si>
  <si>
    <t>Spot price</t>
  </si>
  <si>
    <t>Current Future price  (expiring in a year)</t>
  </si>
  <si>
    <t xml:space="preserve">interest rate </t>
  </si>
  <si>
    <t>Cost of Carry</t>
  </si>
  <si>
    <t>Factors</t>
  </si>
  <si>
    <t>B sells a Fut cont on 1st Aug for $102</t>
  </si>
  <si>
    <t>A buys a Fut cont on 1st Aug for $102</t>
  </si>
  <si>
    <t>Open Int is</t>
  </si>
  <si>
    <t>Fut contract expires on 29th Aug</t>
  </si>
  <si>
    <t>If the stock ends at 110$ on 29th Aug</t>
  </si>
  <si>
    <t>A wins $8</t>
  </si>
  <si>
    <t>B loses $8</t>
  </si>
  <si>
    <t>110-102</t>
  </si>
  <si>
    <t>Volume</t>
  </si>
  <si>
    <t>OI</t>
  </si>
  <si>
    <t>These are found by simulation</t>
  </si>
  <si>
    <t>Build a model and check which combination of weights is giving me the best profits</t>
  </si>
  <si>
    <t>Day1</t>
  </si>
  <si>
    <t>Day2</t>
  </si>
  <si>
    <t>Day3</t>
  </si>
  <si>
    <t>Day4</t>
  </si>
  <si>
    <t>Day5</t>
  </si>
  <si>
    <t>DV</t>
  </si>
  <si>
    <t>Signal</t>
  </si>
  <si>
    <t>NO Action</t>
  </si>
  <si>
    <t>weights</t>
  </si>
  <si>
    <t>w1</t>
  </si>
  <si>
    <t>0.1-0.9</t>
  </si>
  <si>
    <t>w2</t>
  </si>
  <si>
    <t>w3</t>
  </si>
  <si>
    <t>for BUY</t>
  </si>
  <si>
    <t>28th Aug</t>
  </si>
  <si>
    <t>Fut Price</t>
  </si>
  <si>
    <t>1st Aug</t>
  </si>
  <si>
    <t>I have 2 options</t>
  </si>
  <si>
    <t>or I can sell the Sept Futures</t>
  </si>
  <si>
    <t>Rolling over</t>
  </si>
  <si>
    <t>Sept Fut is trading at 104.5</t>
  </si>
  <si>
    <t>stock is trading at 104</t>
  </si>
  <si>
    <t>Expiry</t>
  </si>
  <si>
    <t>(1)</t>
  </si>
  <si>
    <t>(2)</t>
  </si>
  <si>
    <t>Trade</t>
  </si>
  <si>
    <t>Sell at 3pm</t>
  </si>
  <si>
    <t>Square off the sold position at ~3:15 or 3:20pm</t>
  </si>
  <si>
    <t>Square it off the next day</t>
  </si>
  <si>
    <t>SELL</t>
  </si>
  <si>
    <t>for SELL</t>
  </si>
  <si>
    <t>1-w1-w2</t>
  </si>
  <si>
    <t>Find the optimum threshold of signal through simulations</t>
  </si>
  <si>
    <t>Threshold is &gt;70%</t>
  </si>
  <si>
    <t>Signal = W1 * change in OI +  W2* change in COC + W3 * change in delivery volume</t>
  </si>
  <si>
    <t>Stock Price</t>
  </si>
  <si>
    <t>Total</t>
  </si>
  <si>
    <t>Sold 100 futures</t>
  </si>
  <si>
    <t>=100*(Q8-O8)</t>
  </si>
  <si>
    <t>=100*(O10-Q10)</t>
  </si>
  <si>
    <t>So they could sell 100 futures of Sept expiry</t>
  </si>
  <si>
    <t>Factors:</t>
  </si>
  <si>
    <t xml:space="preserve">change in OI </t>
  </si>
  <si>
    <t>change in CoC</t>
  </si>
  <si>
    <t xml:space="preserve"> change in delivery volume</t>
  </si>
  <si>
    <t>Change</t>
  </si>
  <si>
    <t xml:space="preserve">Profit </t>
  </si>
  <si>
    <t>annually</t>
  </si>
  <si>
    <t>for</t>
  </si>
  <si>
    <t>Simulation</t>
  </si>
  <si>
    <t>what if the change in OI keeps between -10% and +10%</t>
  </si>
  <si>
    <t>change in DV keeps between 10% and 50%</t>
  </si>
  <si>
    <t>change in CoC keeps between 1% and -1%</t>
  </si>
  <si>
    <t>Bought 100 shares</t>
  </si>
  <si>
    <t>Enter a new buy at 3:20pm</t>
  </si>
  <si>
    <t>Either I should square off these bought shares and sold futures in the middle of the month</t>
  </si>
  <si>
    <t xml:space="preserve">However Rolling over isn't an attractive option if: </t>
  </si>
  <si>
    <t>Range</t>
  </si>
  <si>
    <t>Weights</t>
  </si>
  <si>
    <t>For normalization:</t>
  </si>
  <si>
    <t>Delivery Vol</t>
  </si>
  <si>
    <t xml:space="preserve">Volume traded </t>
  </si>
  <si>
    <t>100 stocks were taken as delivery</t>
  </si>
  <si>
    <t>100/1000</t>
  </si>
  <si>
    <t>%delivery</t>
  </si>
  <si>
    <t>how many std dev away</t>
  </si>
  <si>
    <t>std dev</t>
  </si>
  <si>
    <t>wts</t>
  </si>
  <si>
    <t>Profit and Loss for Future</t>
  </si>
  <si>
    <t>I</t>
  </si>
  <si>
    <t>II</t>
  </si>
  <si>
    <t>III</t>
  </si>
  <si>
    <t>IV</t>
  </si>
  <si>
    <t>Normalized Signal</t>
  </si>
  <si>
    <t>Stock is trading at $100</t>
  </si>
  <si>
    <t>Future of that stock expiring on 31st Aug might be trading at $102</t>
  </si>
  <si>
    <t>This from Historical Data</t>
  </si>
  <si>
    <t>Mean</t>
  </si>
  <si>
    <t>Std dev</t>
  </si>
  <si>
    <t xml:space="preserve">Threshold&lt; -25% </t>
  </si>
  <si>
    <t>Day 1</t>
  </si>
  <si>
    <t>Change in OI is 14%</t>
  </si>
  <si>
    <t>(14%-7%)/5%</t>
  </si>
  <si>
    <t>Action</t>
  </si>
  <si>
    <t>1st August</t>
  </si>
  <si>
    <t>Change OI</t>
  </si>
  <si>
    <t>Change COC</t>
  </si>
  <si>
    <t>Change in DV</t>
  </si>
  <si>
    <t>Simulation 1</t>
  </si>
  <si>
    <t>Simulation 2</t>
  </si>
  <si>
    <t>Simulation 3</t>
  </si>
  <si>
    <t>Simluation 1a</t>
  </si>
  <si>
    <t>Simulation 1b</t>
  </si>
  <si>
    <t>Threshold is &gt;80%</t>
  </si>
  <si>
    <t xml:space="preserve">Threshold&lt; -40% </t>
  </si>
  <si>
    <t>OI is say 14% then how many std dev away is it from its mean</t>
  </si>
  <si>
    <t>(25%-40%)/10%</t>
  </si>
  <si>
    <t>DV is say 25% then how many std dev away is it from its mean</t>
  </si>
  <si>
    <t>Difference between Sept fut and Stock  is not high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</si>
</sst>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_);[Red]\(&quot;$&quot;#,##0\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35">
    <xf numFmtId="0" fontId="0" fillId="0" borderId="0" xfId="0"/>
    <xf numFmtId="0" fontId="1" fillId="0" borderId="0" xfId="0" applyFont="1"/>
    <xf numFmtId="9" fontId="0" fillId="0" borderId="0" xfId="0" applyNumberFormat="1"/>
    <xf numFmtId="164" fontId="0" fillId="0" borderId="0" xfId="0" applyNumberFormat="1"/>
    <xf numFmtId="0" fontId="2" fillId="0" borderId="0" xfId="0" applyFont="1"/>
    <xf numFmtId="0" fontId="0" fillId="2" borderId="0" xfId="0" applyFill="1"/>
    <xf numFmtId="0" fontId="1" fillId="2" borderId="0" xfId="0" applyFont="1" applyFill="1"/>
    <xf numFmtId="0" fontId="0" fillId="4" borderId="0" xfId="0" applyFill="1"/>
    <xf numFmtId="0" fontId="0" fillId="0" borderId="0" xfId="0" quotePrefix="1"/>
    <xf numFmtId="0" fontId="1" fillId="0" borderId="0" xfId="0" applyFont="1" applyFill="1"/>
    <xf numFmtId="0" fontId="0" fillId="3" borderId="0" xfId="0" applyFill="1"/>
    <xf numFmtId="0" fontId="0" fillId="2" borderId="0" xfId="0" applyFont="1" applyFill="1"/>
    <xf numFmtId="164" fontId="0" fillId="0" borderId="1" xfId="0" applyNumberFormat="1" applyBorder="1"/>
    <xf numFmtId="0" fontId="0" fillId="0" borderId="2" xfId="0" applyBorder="1"/>
    <xf numFmtId="0" fontId="1" fillId="0" borderId="3" xfId="0" applyFont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1" fillId="0" borderId="0" xfId="0" applyFont="1" applyBorder="1"/>
    <xf numFmtId="0" fontId="0" fillId="0" borderId="6" xfId="0" applyBorder="1"/>
    <xf numFmtId="164" fontId="0" fillId="0" borderId="0" xfId="0" applyNumberFormat="1" applyBorder="1"/>
    <xf numFmtId="164" fontId="0" fillId="3" borderId="0" xfId="0" applyNumberFormat="1" applyFill="1" applyBorder="1"/>
    <xf numFmtId="0" fontId="0" fillId="0" borderId="0" xfId="0" quotePrefix="1" applyBorder="1"/>
    <xf numFmtId="0" fontId="0" fillId="0" borderId="7" xfId="0" applyBorder="1"/>
    <xf numFmtId="0" fontId="0" fillId="0" borderId="1" xfId="0" applyBorder="1"/>
    <xf numFmtId="164" fontId="1" fillId="5" borderId="1" xfId="0" applyNumberFormat="1" applyFont="1" applyFill="1" applyBorder="1"/>
    <xf numFmtId="0" fontId="0" fillId="0" borderId="8" xfId="0" applyBorder="1"/>
    <xf numFmtId="0" fontId="0" fillId="6" borderId="0" xfId="0" applyFill="1"/>
    <xf numFmtId="9" fontId="1" fillId="0" borderId="0" xfId="0" applyNumberFormat="1" applyFont="1"/>
    <xf numFmtId="9" fontId="0" fillId="0" borderId="0" xfId="0" applyNumberFormat="1" applyFont="1"/>
    <xf numFmtId="0" fontId="0" fillId="0" borderId="0" xfId="0" applyFont="1"/>
    <xf numFmtId="10" fontId="0" fillId="0" borderId="0" xfId="0" applyNumberFormat="1"/>
    <xf numFmtId="10" fontId="0" fillId="0" borderId="0" xfId="1" applyNumberFormat="1" applyFont="1"/>
    <xf numFmtId="0" fontId="1" fillId="0" borderId="0" xfId="0" applyFont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L32"/>
  <sheetViews>
    <sheetView topLeftCell="A19" zoomScale="150" zoomScaleNormal="150" workbookViewId="0">
      <selection activeCell="H37" sqref="H37"/>
    </sheetView>
  </sheetViews>
  <sheetFormatPr defaultRowHeight="15" x14ac:dyDescent="0.25"/>
  <cols>
    <col min="2" max="2" width="12.7109375" customWidth="1"/>
    <col min="4" max="4" width="11.140625" customWidth="1"/>
    <col min="8" max="12" width="9.140625" customWidth="1"/>
    <col min="13" max="13" width="10.140625" customWidth="1"/>
    <col min="14" max="14" width="9.140625" customWidth="1"/>
    <col min="15" max="15" width="23.5703125" customWidth="1"/>
    <col min="16" max="21" width="9.140625" customWidth="1"/>
  </cols>
  <sheetData>
    <row r="3" spans="1:12" x14ac:dyDescent="0.25">
      <c r="A3" t="s">
        <v>103</v>
      </c>
      <c r="B3" s="6" t="s">
        <v>16</v>
      </c>
      <c r="C3" s="5"/>
      <c r="D3" s="5"/>
      <c r="E3" s="5"/>
      <c r="F3" s="5"/>
      <c r="G3" s="5"/>
      <c r="H3" s="5"/>
      <c r="I3" s="5"/>
      <c r="L3" s="1" t="s">
        <v>118</v>
      </c>
    </row>
    <row r="4" spans="1:12" x14ac:dyDescent="0.25">
      <c r="L4" s="1" t="s">
        <v>108</v>
      </c>
    </row>
    <row r="5" spans="1:12" x14ac:dyDescent="0.25">
      <c r="B5" t="s">
        <v>0</v>
      </c>
      <c r="L5" s="1" t="s">
        <v>109</v>
      </c>
    </row>
    <row r="8" spans="1:12" x14ac:dyDescent="0.25">
      <c r="B8" s="28" t="s">
        <v>1</v>
      </c>
      <c r="C8" s="28"/>
      <c r="D8" s="28"/>
    </row>
    <row r="9" spans="1:12" x14ac:dyDescent="0.25">
      <c r="B9" s="28"/>
      <c r="C9" s="28" t="s">
        <v>2</v>
      </c>
      <c r="D9" s="28"/>
    </row>
    <row r="10" spans="1:12" x14ac:dyDescent="0.25">
      <c r="B10" s="28"/>
      <c r="C10" s="28" t="s">
        <v>3</v>
      </c>
      <c r="D10" s="28"/>
      <c r="G10" s="2"/>
    </row>
    <row r="12" spans="1:12" x14ac:dyDescent="0.25">
      <c r="A12" t="s">
        <v>104</v>
      </c>
      <c r="B12" s="1" t="s">
        <v>102</v>
      </c>
    </row>
    <row r="13" spans="1:12" x14ac:dyDescent="0.25">
      <c r="B13" t="s">
        <v>23</v>
      </c>
      <c r="F13" t="s">
        <v>25</v>
      </c>
    </row>
    <row r="14" spans="1:12" x14ac:dyDescent="0.25">
      <c r="B14" t="s">
        <v>22</v>
      </c>
    </row>
    <row r="15" spans="1:12" x14ac:dyDescent="0.25">
      <c r="F15" t="s">
        <v>26</v>
      </c>
    </row>
    <row r="16" spans="1:12" x14ac:dyDescent="0.25">
      <c r="B16" t="s">
        <v>24</v>
      </c>
      <c r="C16">
        <v>1</v>
      </c>
      <c r="F16" t="s">
        <v>27</v>
      </c>
      <c r="G16" t="s">
        <v>29</v>
      </c>
    </row>
    <row r="17" spans="1:6" x14ac:dyDescent="0.25">
      <c r="B17" t="s">
        <v>30</v>
      </c>
      <c r="C17">
        <v>1</v>
      </c>
      <c r="F17" t="s">
        <v>28</v>
      </c>
    </row>
    <row r="20" spans="1:6" x14ac:dyDescent="0.25">
      <c r="A20" t="s">
        <v>105</v>
      </c>
      <c r="B20" s="1" t="s">
        <v>4</v>
      </c>
      <c r="C20" s="1"/>
      <c r="D20" s="1"/>
      <c r="E20" s="1"/>
    </row>
    <row r="21" spans="1:6" x14ac:dyDescent="0.25">
      <c r="B21" s="1" t="s">
        <v>17</v>
      </c>
      <c r="C21" s="1" t="s">
        <v>19</v>
      </c>
    </row>
    <row r="22" spans="1:6" x14ac:dyDescent="0.25">
      <c r="B22" s="3">
        <v>100</v>
      </c>
      <c r="C22" s="2">
        <v>0.02</v>
      </c>
    </row>
    <row r="23" spans="1:6" x14ac:dyDescent="0.25">
      <c r="B23" s="1" t="s">
        <v>18</v>
      </c>
    </row>
    <row r="24" spans="1:6" x14ac:dyDescent="0.25">
      <c r="B24" s="3">
        <v>102</v>
      </c>
    </row>
    <row r="25" spans="1:6" x14ac:dyDescent="0.25">
      <c r="B25" s="1" t="s">
        <v>20</v>
      </c>
    </row>
    <row r="26" spans="1:6" x14ac:dyDescent="0.25">
      <c r="B26" s="3">
        <v>2</v>
      </c>
    </row>
    <row r="29" spans="1:6" x14ac:dyDescent="0.25">
      <c r="A29" t="s">
        <v>106</v>
      </c>
      <c r="B29" s="1" t="s">
        <v>94</v>
      </c>
    </row>
    <row r="30" spans="1:6" x14ac:dyDescent="0.25">
      <c r="B30" t="s">
        <v>95</v>
      </c>
      <c r="D30">
        <v>1000</v>
      </c>
    </row>
    <row r="31" spans="1:6" x14ac:dyDescent="0.25">
      <c r="A31" t="s">
        <v>96</v>
      </c>
    </row>
    <row r="32" spans="1:6" x14ac:dyDescent="0.25">
      <c r="B32" t="s">
        <v>98</v>
      </c>
      <c r="D32" t="s">
        <v>97</v>
      </c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J23"/>
  <sheetViews>
    <sheetView topLeftCell="A10" zoomScale="150" zoomScaleNormal="150" workbookViewId="0">
      <selection activeCell="H21" sqref="H21"/>
    </sheetView>
  </sheetViews>
  <sheetFormatPr defaultRowHeight="15" x14ac:dyDescent="0.25"/>
  <cols>
    <col min="1" max="1" width="11.5703125" customWidth="1"/>
    <col min="3" max="3" width="17.140625" customWidth="1"/>
  </cols>
  <sheetData>
    <row r="2" spans="1:10" x14ac:dyDescent="0.25">
      <c r="A2" s="13"/>
      <c r="B2" s="14"/>
      <c r="C2" s="15"/>
      <c r="D2" s="14" t="s">
        <v>56</v>
      </c>
      <c r="E2" s="15"/>
      <c r="F2" s="15"/>
      <c r="G2" s="16"/>
    </row>
    <row r="3" spans="1:10" x14ac:dyDescent="0.25">
      <c r="A3" s="17"/>
      <c r="B3" s="18" t="s">
        <v>50</v>
      </c>
      <c r="C3" s="18"/>
      <c r="D3" s="19" t="s">
        <v>48</v>
      </c>
      <c r="E3" s="19" t="s">
        <v>15</v>
      </c>
      <c r="F3" s="19"/>
      <c r="G3" s="20"/>
    </row>
    <row r="4" spans="1:10" x14ac:dyDescent="0.25">
      <c r="A4" s="17" t="s">
        <v>69</v>
      </c>
      <c r="B4" s="21">
        <v>100</v>
      </c>
      <c r="C4" s="19" t="s">
        <v>87</v>
      </c>
      <c r="D4" s="21">
        <v>110</v>
      </c>
      <c r="E4" s="22">
        <f>100*(D4-B4)</f>
        <v>1000</v>
      </c>
      <c r="F4" s="23" t="s">
        <v>72</v>
      </c>
      <c r="G4" s="20"/>
      <c r="H4" s="3"/>
    </row>
    <row r="5" spans="1:10" x14ac:dyDescent="0.25">
      <c r="A5" s="17"/>
      <c r="B5" s="18"/>
      <c r="C5" s="18"/>
      <c r="D5" s="19" t="s">
        <v>49</v>
      </c>
      <c r="E5" s="18"/>
      <c r="F5" s="18"/>
      <c r="G5" s="20"/>
    </row>
    <row r="6" spans="1:10" x14ac:dyDescent="0.25">
      <c r="A6" s="17" t="s">
        <v>49</v>
      </c>
      <c r="B6" s="21">
        <v>103</v>
      </c>
      <c r="C6" s="19" t="s">
        <v>71</v>
      </c>
      <c r="D6" s="21">
        <f>D4</f>
        <v>110</v>
      </c>
      <c r="E6" s="12">
        <f>100*(B6-D6)</f>
        <v>-700</v>
      </c>
      <c r="F6" s="23" t="s">
        <v>73</v>
      </c>
      <c r="G6" s="20"/>
    </row>
    <row r="7" spans="1:10" x14ac:dyDescent="0.25">
      <c r="A7" s="24"/>
      <c r="B7" s="25"/>
      <c r="C7" s="25"/>
      <c r="D7" s="25" t="s">
        <v>70</v>
      </c>
      <c r="E7" s="26">
        <f>SUM(E4:E6)</f>
        <v>300</v>
      </c>
      <c r="F7" s="25"/>
      <c r="G7" s="27"/>
    </row>
    <row r="9" spans="1:10" x14ac:dyDescent="0.25">
      <c r="B9" t="s">
        <v>51</v>
      </c>
    </row>
    <row r="10" spans="1:10" x14ac:dyDescent="0.25">
      <c r="A10" s="8" t="s">
        <v>57</v>
      </c>
      <c r="B10" s="1" t="s">
        <v>89</v>
      </c>
    </row>
    <row r="11" spans="1:10" x14ac:dyDescent="0.25">
      <c r="A11" s="8" t="s">
        <v>58</v>
      </c>
      <c r="B11" s="1" t="s">
        <v>52</v>
      </c>
      <c r="D11" s="5" t="s">
        <v>53</v>
      </c>
      <c r="F11" s="6" t="s">
        <v>74</v>
      </c>
      <c r="G11" s="5"/>
      <c r="H11" s="5"/>
      <c r="I11" s="5"/>
      <c r="J11" s="5"/>
    </row>
    <row r="13" spans="1:10" x14ac:dyDescent="0.25">
      <c r="A13" s="1" t="s">
        <v>90</v>
      </c>
    </row>
    <row r="14" spans="1:10" x14ac:dyDescent="0.25">
      <c r="A14" s="31" t="s">
        <v>132</v>
      </c>
    </row>
    <row r="15" spans="1:10" x14ac:dyDescent="0.25">
      <c r="A15" t="s">
        <v>54</v>
      </c>
    </row>
    <row r="16" spans="1:10" x14ac:dyDescent="0.25">
      <c r="A16" t="s">
        <v>55</v>
      </c>
    </row>
    <row r="19" spans="1:1" x14ac:dyDescent="0.25">
      <c r="A19" s="1" t="s">
        <v>59</v>
      </c>
    </row>
    <row r="20" spans="1:1" x14ac:dyDescent="0.25">
      <c r="A20" s="5" t="s">
        <v>60</v>
      </c>
    </row>
    <row r="21" spans="1:1" x14ac:dyDescent="0.25">
      <c r="A21" s="5" t="s">
        <v>61</v>
      </c>
    </row>
    <row r="22" spans="1:1" x14ac:dyDescent="0.25">
      <c r="A22" s="5" t="s">
        <v>88</v>
      </c>
    </row>
    <row r="23" spans="1:1" x14ac:dyDescent="0.25">
      <c r="A23" s="5" t="s">
        <v>62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49"/>
  <sheetViews>
    <sheetView tabSelected="1" topLeftCell="A22" zoomScale="150" zoomScaleNormal="150" workbookViewId="0">
      <selection activeCell="K41" sqref="K41"/>
    </sheetView>
  </sheetViews>
  <sheetFormatPr defaultRowHeight="15" x14ac:dyDescent="0.25"/>
  <cols>
    <col min="3" max="3" width="11" customWidth="1"/>
    <col min="4" max="4" width="10.85546875" customWidth="1"/>
    <col min="5" max="5" width="13.42578125" customWidth="1"/>
    <col min="10" max="10" width="16.28515625" customWidth="1"/>
    <col min="11" max="11" width="14.7109375" customWidth="1"/>
  </cols>
  <sheetData>
    <row r="1" spans="3:12" x14ac:dyDescent="0.25">
      <c r="D1" s="1">
        <v>1</v>
      </c>
      <c r="E1" s="1"/>
      <c r="F1" s="1">
        <v>2</v>
      </c>
      <c r="G1" s="1"/>
      <c r="H1" s="1">
        <v>3</v>
      </c>
    </row>
    <row r="2" spans="3:12" x14ac:dyDescent="0.25">
      <c r="C2" s="1" t="s">
        <v>75</v>
      </c>
      <c r="D2" t="s">
        <v>76</v>
      </c>
      <c r="F2" t="s">
        <v>77</v>
      </c>
      <c r="H2" t="s">
        <v>78</v>
      </c>
    </row>
    <row r="5" spans="3:12" x14ac:dyDescent="0.25">
      <c r="C5" s="1" t="s">
        <v>68</v>
      </c>
    </row>
    <row r="7" spans="3:12" x14ac:dyDescent="0.25">
      <c r="C7" s="5" t="s">
        <v>21</v>
      </c>
      <c r="D7" s="5"/>
    </row>
    <row r="8" spans="3:12" x14ac:dyDescent="0.25">
      <c r="C8" s="6" t="s">
        <v>5</v>
      </c>
      <c r="D8" s="5">
        <v>0.4</v>
      </c>
      <c r="F8" s="1" t="s">
        <v>32</v>
      </c>
    </row>
    <row r="9" spans="3:12" x14ac:dyDescent="0.25">
      <c r="C9" s="6" t="s">
        <v>7</v>
      </c>
      <c r="D9" s="5">
        <v>0.5</v>
      </c>
      <c r="F9" s="1" t="s">
        <v>33</v>
      </c>
    </row>
    <row r="10" spans="3:12" x14ac:dyDescent="0.25">
      <c r="C10" s="6" t="s">
        <v>6</v>
      </c>
      <c r="D10" s="5">
        <f>1-D9-D8</f>
        <v>9.9999999999999978E-2</v>
      </c>
      <c r="E10" t="s">
        <v>42</v>
      </c>
      <c r="K10" s="1" t="s">
        <v>92</v>
      </c>
      <c r="L10" s="1" t="s">
        <v>91</v>
      </c>
    </row>
    <row r="11" spans="3:12" x14ac:dyDescent="0.25">
      <c r="D11" s="1">
        <f>SUM(D8:D10)</f>
        <v>1</v>
      </c>
      <c r="E11" s="1">
        <f>D8</f>
        <v>0.4</v>
      </c>
      <c r="F11" s="1">
        <f>D9</f>
        <v>0.5</v>
      </c>
      <c r="G11" s="1">
        <f>D10</f>
        <v>9.9999999999999978E-2</v>
      </c>
      <c r="K11" t="s">
        <v>43</v>
      </c>
      <c r="L11" t="s">
        <v>44</v>
      </c>
    </row>
    <row r="12" spans="3:12" x14ac:dyDescent="0.25">
      <c r="K12" t="s">
        <v>45</v>
      </c>
      <c r="L12" t="s">
        <v>44</v>
      </c>
    </row>
    <row r="13" spans="3:12" x14ac:dyDescent="0.25">
      <c r="K13" t="s">
        <v>46</v>
      </c>
      <c r="L13" t="s">
        <v>65</v>
      </c>
    </row>
    <row r="15" spans="3:12" x14ac:dyDescent="0.25">
      <c r="C15" s="9"/>
      <c r="D15" s="1" t="s">
        <v>110</v>
      </c>
    </row>
    <row r="16" spans="3:12" x14ac:dyDescent="0.25">
      <c r="D16" s="34" t="s">
        <v>79</v>
      </c>
      <c r="E16" s="34"/>
      <c r="F16" s="34"/>
    </row>
    <row r="17" spans="3:15" x14ac:dyDescent="0.25">
      <c r="D17" t="s">
        <v>119</v>
      </c>
      <c r="E17" t="s">
        <v>120</v>
      </c>
      <c r="F17" t="s">
        <v>121</v>
      </c>
      <c r="H17" s="1" t="s">
        <v>40</v>
      </c>
      <c r="I17" s="1" t="s">
        <v>117</v>
      </c>
    </row>
    <row r="18" spans="3:15" x14ac:dyDescent="0.25">
      <c r="C18" t="s">
        <v>34</v>
      </c>
      <c r="D18" s="2">
        <v>0.90401467302498029</v>
      </c>
      <c r="E18" s="2">
        <v>0.62599917937409255</v>
      </c>
      <c r="F18" s="2">
        <v>0.61184830620790165</v>
      </c>
      <c r="H18">
        <f>SUMPRODUCT(D18:F18,$E$11:$G$11)</f>
        <v>0.73579028951782866</v>
      </c>
      <c r="I18" s="10" t="s">
        <v>8</v>
      </c>
    </row>
    <row r="19" spans="3:15" x14ac:dyDescent="0.25">
      <c r="C19" t="s">
        <v>35</v>
      </c>
      <c r="D19" s="2">
        <v>4.4658153467628026E-2</v>
      </c>
      <c r="E19" s="2">
        <v>0.7041644096000742</v>
      </c>
      <c r="F19" s="2">
        <v>0.82173210902505889</v>
      </c>
      <c r="H19">
        <f>SUMPRODUCT(D19:F19,$E$11:$G$11)</f>
        <v>0.45211867708959419</v>
      </c>
      <c r="I19" t="s">
        <v>41</v>
      </c>
    </row>
    <row r="20" spans="3:15" x14ac:dyDescent="0.25">
      <c r="C20" t="s">
        <v>36</v>
      </c>
      <c r="D20" s="2">
        <v>0.18063911672301503</v>
      </c>
      <c r="E20" s="2">
        <v>0.98495135039078408</v>
      </c>
      <c r="F20" s="2">
        <v>0.5750844159009475</v>
      </c>
      <c r="H20">
        <f t="shared" ref="H20:H22" si="0">SUMPRODUCT(D20:F20,$E$11:$G$11)</f>
        <v>0.62223976347469279</v>
      </c>
      <c r="I20" t="s">
        <v>41</v>
      </c>
    </row>
    <row r="21" spans="3:15" x14ac:dyDescent="0.25">
      <c r="C21" t="s">
        <v>37</v>
      </c>
      <c r="D21" s="2">
        <v>-0.4</v>
      </c>
      <c r="E21" s="2">
        <v>-0.233444202567411</v>
      </c>
      <c r="F21" s="2">
        <v>-0.10560333962351399</v>
      </c>
      <c r="H21">
        <f t="shared" si="0"/>
        <v>-0.28728243524605696</v>
      </c>
      <c r="I21" s="7" t="s">
        <v>63</v>
      </c>
    </row>
    <row r="22" spans="3:15" x14ac:dyDescent="0.25">
      <c r="C22" t="s">
        <v>38</v>
      </c>
      <c r="D22" s="2">
        <v>0.39598616391096098</v>
      </c>
      <c r="E22" s="2">
        <v>0.16043503346653387</v>
      </c>
      <c r="F22" s="2">
        <v>0.69166584786558039</v>
      </c>
      <c r="H22">
        <f t="shared" si="0"/>
        <v>0.30777856708420936</v>
      </c>
      <c r="I22" t="s">
        <v>41</v>
      </c>
    </row>
    <row r="23" spans="3:15" x14ac:dyDescent="0.25">
      <c r="D23" s="2"/>
      <c r="E23" s="2"/>
      <c r="F23" s="2"/>
    </row>
    <row r="24" spans="3:15" x14ac:dyDescent="0.25">
      <c r="D24" s="2"/>
      <c r="E24" s="2"/>
      <c r="F24" s="2"/>
      <c r="H24" s="1" t="s">
        <v>66</v>
      </c>
    </row>
    <row r="25" spans="3:15" x14ac:dyDescent="0.25">
      <c r="D25" s="2"/>
      <c r="E25" s="2"/>
      <c r="F25" s="2"/>
      <c r="H25" s="11" t="s">
        <v>67</v>
      </c>
      <c r="I25" s="11"/>
      <c r="J25" s="11" t="s">
        <v>47</v>
      </c>
    </row>
    <row r="26" spans="3:15" x14ac:dyDescent="0.25">
      <c r="D26" s="2"/>
      <c r="E26" s="2"/>
      <c r="F26" s="2"/>
      <c r="H26" s="11" t="s">
        <v>113</v>
      </c>
      <c r="I26" s="11"/>
      <c r="J26" s="11" t="s">
        <v>64</v>
      </c>
    </row>
    <row r="27" spans="3:15" x14ac:dyDescent="0.25">
      <c r="D27" s="2"/>
      <c r="E27" s="2"/>
      <c r="F27" s="2"/>
    </row>
    <row r="28" spans="3:15" x14ac:dyDescent="0.25">
      <c r="C28" s="1"/>
    </row>
    <row r="29" spans="3:15" x14ac:dyDescent="0.25">
      <c r="C29" s="4"/>
      <c r="G29" t="s">
        <v>83</v>
      </c>
      <c r="M29" t="s">
        <v>42</v>
      </c>
    </row>
    <row r="30" spans="3:15" x14ac:dyDescent="0.25">
      <c r="G30">
        <v>1</v>
      </c>
      <c r="H30" s="31" t="s">
        <v>80</v>
      </c>
      <c r="I30" s="30">
        <v>0.25</v>
      </c>
      <c r="J30" s="31" t="s">
        <v>81</v>
      </c>
      <c r="L30" t="s">
        <v>82</v>
      </c>
      <c r="M30">
        <v>0.3</v>
      </c>
      <c r="N30">
        <v>0.5</v>
      </c>
      <c r="O30">
        <v>0.2</v>
      </c>
    </row>
    <row r="31" spans="3:15" x14ac:dyDescent="0.25">
      <c r="G31">
        <v>2</v>
      </c>
      <c r="H31" s="31" t="s">
        <v>80</v>
      </c>
      <c r="I31" s="29">
        <v>0.3</v>
      </c>
      <c r="J31" s="31" t="s">
        <v>81</v>
      </c>
      <c r="L31" t="s">
        <v>82</v>
      </c>
      <c r="M31">
        <v>0.4</v>
      </c>
      <c r="N31">
        <v>0.5</v>
      </c>
      <c r="O31">
        <v>9.9999999999999978E-2</v>
      </c>
    </row>
    <row r="35" spans="1:11" x14ac:dyDescent="0.25">
      <c r="G35" s="1" t="s">
        <v>111</v>
      </c>
      <c r="H35" s="1" t="s">
        <v>112</v>
      </c>
      <c r="I35" s="1" t="s">
        <v>99</v>
      </c>
      <c r="K35" t="s">
        <v>101</v>
      </c>
    </row>
    <row r="36" spans="1:11" x14ac:dyDescent="0.25">
      <c r="A36" t="s">
        <v>84</v>
      </c>
      <c r="G36" s="2">
        <v>7.0000000000000007E-2</v>
      </c>
      <c r="H36" s="2">
        <v>0.05</v>
      </c>
      <c r="I36" s="1">
        <v>2</v>
      </c>
      <c r="J36" t="s">
        <v>100</v>
      </c>
      <c r="K36">
        <v>0.4</v>
      </c>
    </row>
    <row r="37" spans="1:11" x14ac:dyDescent="0.25">
      <c r="A37" t="s">
        <v>85</v>
      </c>
      <c r="G37" s="2">
        <v>0.4</v>
      </c>
      <c r="H37" s="2">
        <v>0.1</v>
      </c>
      <c r="I37" s="1">
        <v>1.5</v>
      </c>
      <c r="J37" t="s">
        <v>100</v>
      </c>
      <c r="K37">
        <v>0.5</v>
      </c>
    </row>
    <row r="38" spans="1:11" x14ac:dyDescent="0.25">
      <c r="A38" t="s">
        <v>86</v>
      </c>
      <c r="G38" s="32">
        <v>5.0000000000000001E-3</v>
      </c>
      <c r="H38" s="2">
        <v>0.01</v>
      </c>
      <c r="I38" s="1">
        <v>1</v>
      </c>
      <c r="J38" t="s">
        <v>100</v>
      </c>
      <c r="K38">
        <v>9.9999999999999978E-2</v>
      </c>
    </row>
    <row r="40" spans="1:11" x14ac:dyDescent="0.25">
      <c r="A40" s="1" t="s">
        <v>93</v>
      </c>
      <c r="J40" s="1" t="s">
        <v>107</v>
      </c>
      <c r="K40">
        <f>SUMPRODUCT(I36:I38,K36:K38)</f>
        <v>1.65</v>
      </c>
    </row>
    <row r="41" spans="1:11" x14ac:dyDescent="0.25">
      <c r="A41" t="s">
        <v>34</v>
      </c>
    </row>
    <row r="42" spans="1:11" x14ac:dyDescent="0.25">
      <c r="A42" s="31" t="s">
        <v>129</v>
      </c>
      <c r="G42" s="1" t="s">
        <v>31</v>
      </c>
      <c r="H42" s="1" t="s">
        <v>115</v>
      </c>
      <c r="J42" s="1" t="s">
        <v>99</v>
      </c>
    </row>
    <row r="43" spans="1:11" x14ac:dyDescent="0.25">
      <c r="G43" s="2">
        <v>0.14000000000000001</v>
      </c>
      <c r="H43" t="s">
        <v>116</v>
      </c>
      <c r="J43">
        <v>1.4</v>
      </c>
    </row>
    <row r="44" spans="1:11" x14ac:dyDescent="0.25">
      <c r="H44" t="s">
        <v>31</v>
      </c>
    </row>
    <row r="45" spans="1:11" x14ac:dyDescent="0.25">
      <c r="G45" t="s">
        <v>114</v>
      </c>
      <c r="H45">
        <f>(14-7)/5</f>
        <v>1.4</v>
      </c>
    </row>
    <row r="46" spans="1:11" x14ac:dyDescent="0.25">
      <c r="A46" t="s">
        <v>34</v>
      </c>
    </row>
    <row r="47" spans="1:11" x14ac:dyDescent="0.25">
      <c r="A47" s="31" t="s">
        <v>131</v>
      </c>
      <c r="G47" t="s">
        <v>39</v>
      </c>
    </row>
    <row r="48" spans="1:11" x14ac:dyDescent="0.25">
      <c r="G48" t="s">
        <v>130</v>
      </c>
      <c r="I48" t="s">
        <v>39</v>
      </c>
    </row>
    <row r="49" spans="7:9" x14ac:dyDescent="0.25">
      <c r="G49" t="s">
        <v>34</v>
      </c>
      <c r="I49" s="1">
        <v>-1.5</v>
      </c>
    </row>
  </sheetData>
  <mergeCells count="1">
    <mergeCell ref="D16:F16"/>
  </mergeCells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5:G12"/>
  <sheetViews>
    <sheetView zoomScale="150" zoomScaleNormal="150" workbookViewId="0">
      <selection activeCell="I16" sqref="I16"/>
    </sheetView>
  </sheetViews>
  <sheetFormatPr defaultRowHeight="15" x14ac:dyDescent="0.25"/>
  <sheetData>
    <row r="5" spans="5:7" x14ac:dyDescent="0.25">
      <c r="E5" s="1" t="s">
        <v>9</v>
      </c>
      <c r="F5" s="1" t="s">
        <v>10</v>
      </c>
      <c r="G5" s="1" t="s">
        <v>15</v>
      </c>
    </row>
    <row r="6" spans="5:7" x14ac:dyDescent="0.25">
      <c r="E6" t="s">
        <v>11</v>
      </c>
      <c r="F6" s="2">
        <v>0.01</v>
      </c>
      <c r="G6">
        <v>100</v>
      </c>
    </row>
    <row r="7" spans="5:7" x14ac:dyDescent="0.25">
      <c r="E7" t="s">
        <v>12</v>
      </c>
      <c r="F7" s="2">
        <v>0.04</v>
      </c>
      <c r="G7">
        <v>200</v>
      </c>
    </row>
    <row r="8" spans="5:7" x14ac:dyDescent="0.25">
      <c r="E8" t="s">
        <v>13</v>
      </c>
      <c r="F8" s="2">
        <v>0.03</v>
      </c>
      <c r="G8">
        <v>-100</v>
      </c>
    </row>
    <row r="9" spans="5:7" x14ac:dyDescent="0.25">
      <c r="E9" t="s">
        <v>14</v>
      </c>
      <c r="F9" s="2">
        <v>-0.02</v>
      </c>
      <c r="G9">
        <v>400</v>
      </c>
    </row>
    <row r="12" spans="5:7" x14ac:dyDescent="0.25">
      <c r="F12" s="33">
        <f>VLOOKUP("PNB",E5:G9,2,0)</f>
        <v>0.04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J40"/>
  <sheetViews>
    <sheetView zoomScale="150" zoomScaleNormal="150" workbookViewId="0">
      <selection activeCell="F19" sqref="F19"/>
    </sheetView>
  </sheetViews>
  <sheetFormatPr defaultRowHeight="15" x14ac:dyDescent="0.25"/>
  <cols>
    <col min="3" max="3" width="12.5703125" customWidth="1"/>
  </cols>
  <sheetData>
    <row r="2" spans="1:10" x14ac:dyDescent="0.25">
      <c r="A2" s="1" t="s">
        <v>122</v>
      </c>
    </row>
    <row r="3" spans="1:10" x14ac:dyDescent="0.25">
      <c r="B3" t="s">
        <v>43</v>
      </c>
      <c r="C3" t="s">
        <v>45</v>
      </c>
      <c r="D3" t="s">
        <v>46</v>
      </c>
    </row>
    <row r="4" spans="1:10" x14ac:dyDescent="0.25">
      <c r="B4">
        <v>0.1</v>
      </c>
      <c r="C4">
        <v>0.1</v>
      </c>
      <c r="D4">
        <f>1-C4-B4</f>
        <v>0.8</v>
      </c>
    </row>
    <row r="6" spans="1:10" x14ac:dyDescent="0.25">
      <c r="A6" s="9"/>
      <c r="B6" s="1" t="s">
        <v>110</v>
      </c>
      <c r="H6" s="1" t="s">
        <v>125</v>
      </c>
    </row>
    <row r="7" spans="1:10" x14ac:dyDescent="0.25">
      <c r="B7" s="34" t="s">
        <v>79</v>
      </c>
      <c r="C7" s="34"/>
      <c r="D7" s="34"/>
      <c r="H7" s="11" t="s">
        <v>67</v>
      </c>
      <c r="I7" s="11"/>
      <c r="J7" s="11" t="s">
        <v>47</v>
      </c>
    </row>
    <row r="8" spans="1:10" x14ac:dyDescent="0.25">
      <c r="B8" t="s">
        <v>119</v>
      </c>
      <c r="C8" t="s">
        <v>120</v>
      </c>
      <c r="D8" t="s">
        <v>121</v>
      </c>
      <c r="F8" s="1" t="s">
        <v>40</v>
      </c>
      <c r="H8" s="11" t="s">
        <v>113</v>
      </c>
      <c r="I8" s="11"/>
      <c r="J8" s="11" t="s">
        <v>64</v>
      </c>
    </row>
    <row r="9" spans="1:10" x14ac:dyDescent="0.25">
      <c r="A9" t="s">
        <v>34</v>
      </c>
      <c r="B9" s="2">
        <v>0.90401467302498029</v>
      </c>
      <c r="C9" s="2">
        <v>0.62599917937409255</v>
      </c>
      <c r="D9" s="2">
        <v>0.61184830620790165</v>
      </c>
      <c r="F9">
        <f>SUMPRODUCT(B9:D9,$B$4:$D$4)</f>
        <v>0.64248003020622857</v>
      </c>
    </row>
    <row r="10" spans="1:10" x14ac:dyDescent="0.25">
      <c r="A10" t="s">
        <v>35</v>
      </c>
      <c r="B10" s="2">
        <v>4.4658153467628026E-2</v>
      </c>
      <c r="C10" s="2">
        <v>0.7041644096000742</v>
      </c>
      <c r="D10" s="2">
        <v>0.82173210902505889</v>
      </c>
      <c r="F10">
        <f t="shared" ref="F10:F13" si="0">SUMPRODUCT(B10:D10,$B$4:$D$4)</f>
        <v>0.73226794352681746</v>
      </c>
      <c r="H10" t="s">
        <v>126</v>
      </c>
    </row>
    <row r="11" spans="1:10" x14ac:dyDescent="0.25">
      <c r="A11" t="s">
        <v>36</v>
      </c>
      <c r="B11" s="2">
        <v>0.18063911672301503</v>
      </c>
      <c r="C11" s="2">
        <v>0.98495135039078408</v>
      </c>
      <c r="D11" s="2">
        <v>0.5750844159009475</v>
      </c>
      <c r="F11">
        <f t="shared" si="0"/>
        <v>0.57662657943213791</v>
      </c>
      <c r="H11" s="11" t="s">
        <v>127</v>
      </c>
      <c r="I11" s="11"/>
      <c r="J11" s="11" t="s">
        <v>47</v>
      </c>
    </row>
    <row r="12" spans="1:10" x14ac:dyDescent="0.25">
      <c r="A12" t="s">
        <v>37</v>
      </c>
      <c r="B12" s="2">
        <v>-0.4</v>
      </c>
      <c r="C12" s="2">
        <v>-0.233444202567411</v>
      </c>
      <c r="D12" s="2">
        <v>-0.10560333962351399</v>
      </c>
      <c r="F12">
        <f t="shared" si="0"/>
        <v>-0.14782709195555233</v>
      </c>
      <c r="H12" s="11" t="s">
        <v>128</v>
      </c>
      <c r="I12" s="11"/>
      <c r="J12" s="11" t="s">
        <v>64</v>
      </c>
    </row>
    <row r="13" spans="1:10" x14ac:dyDescent="0.25">
      <c r="A13" t="s">
        <v>38</v>
      </c>
      <c r="B13" s="2">
        <v>0.39598616391096098</v>
      </c>
      <c r="C13" s="2">
        <v>0.16043503346653387</v>
      </c>
      <c r="D13" s="2">
        <v>0.69166584786558039</v>
      </c>
      <c r="F13">
        <f t="shared" si="0"/>
        <v>0.60897479803021382</v>
      </c>
    </row>
    <row r="15" spans="1:10" x14ac:dyDescent="0.25">
      <c r="A15" s="1" t="s">
        <v>123</v>
      </c>
    </row>
    <row r="16" spans="1:10" x14ac:dyDescent="0.25">
      <c r="B16" s="1" t="s">
        <v>43</v>
      </c>
      <c r="C16" s="1" t="s">
        <v>45</v>
      </c>
      <c r="D16" s="1" t="s">
        <v>46</v>
      </c>
    </row>
    <row r="17" spans="1:6" x14ac:dyDescent="0.25">
      <c r="B17">
        <v>0.1</v>
      </c>
      <c r="C17">
        <v>0.2</v>
      </c>
      <c r="D17">
        <f>1-C17-B17</f>
        <v>0.70000000000000007</v>
      </c>
    </row>
    <row r="19" spans="1:6" x14ac:dyDescent="0.25">
      <c r="A19" s="9"/>
      <c r="B19" s="1" t="s">
        <v>110</v>
      </c>
    </row>
    <row r="20" spans="1:6" x14ac:dyDescent="0.25">
      <c r="B20" s="34" t="s">
        <v>79</v>
      </c>
      <c r="C20" s="34"/>
      <c r="D20" s="34"/>
    </row>
    <row r="21" spans="1:6" x14ac:dyDescent="0.25">
      <c r="B21" t="s">
        <v>119</v>
      </c>
      <c r="C21" t="s">
        <v>120</v>
      </c>
      <c r="D21" t="s">
        <v>121</v>
      </c>
      <c r="F21" s="1" t="s">
        <v>40</v>
      </c>
    </row>
    <row r="22" spans="1:6" x14ac:dyDescent="0.25">
      <c r="A22" t="s">
        <v>34</v>
      </c>
      <c r="B22" s="2">
        <v>0.90401467302498029</v>
      </c>
      <c r="C22" s="2">
        <v>0.62599917937409255</v>
      </c>
      <c r="D22" s="2">
        <v>0.61184830620790165</v>
      </c>
      <c r="F22">
        <f>SUMPRODUCT(B22:D22,$B$17:$D$17)</f>
        <v>0.64389511752284778</v>
      </c>
    </row>
    <row r="23" spans="1:6" x14ac:dyDescent="0.25">
      <c r="A23" t="s">
        <v>35</v>
      </c>
      <c r="B23" s="2">
        <v>4.4658153467628026E-2</v>
      </c>
      <c r="C23" s="2">
        <v>0.7041644096000742</v>
      </c>
      <c r="D23" s="2">
        <v>0.82173210902505889</v>
      </c>
      <c r="F23">
        <f t="shared" ref="F23:F26" si="1">SUMPRODUCT(B23:D23,$B$17:$D$17)</f>
        <v>0.72051117358431882</v>
      </c>
    </row>
    <row r="24" spans="1:6" x14ac:dyDescent="0.25">
      <c r="A24" t="s">
        <v>36</v>
      </c>
      <c r="B24" s="2">
        <v>0.18063911672301503</v>
      </c>
      <c r="C24" s="2">
        <v>0.98495135039078408</v>
      </c>
      <c r="D24" s="2">
        <v>0.5750844159009475</v>
      </c>
      <c r="F24">
        <f t="shared" si="1"/>
        <v>0.61761327288112167</v>
      </c>
    </row>
    <row r="25" spans="1:6" x14ac:dyDescent="0.25">
      <c r="A25" t="s">
        <v>37</v>
      </c>
      <c r="B25" s="2">
        <v>-0.4</v>
      </c>
      <c r="C25" s="2">
        <v>-0.233444202567411</v>
      </c>
      <c r="D25" s="2">
        <v>-0.10560333962351399</v>
      </c>
      <c r="F25">
        <f t="shared" si="1"/>
        <v>-0.16061117824994203</v>
      </c>
    </row>
    <row r="26" spans="1:6" x14ac:dyDescent="0.25">
      <c r="A26" t="s">
        <v>38</v>
      </c>
      <c r="B26" s="2">
        <v>0.39598616391096098</v>
      </c>
      <c r="C26" s="2">
        <v>0.16043503346653387</v>
      </c>
      <c r="D26" s="2">
        <v>0.69166584786558039</v>
      </c>
      <c r="F26">
        <f t="shared" si="1"/>
        <v>0.55585171659030919</v>
      </c>
    </row>
    <row r="29" spans="1:6" x14ac:dyDescent="0.25">
      <c r="A29" s="1" t="s">
        <v>124</v>
      </c>
    </row>
    <row r="30" spans="1:6" x14ac:dyDescent="0.25">
      <c r="B30" s="1" t="s">
        <v>43</v>
      </c>
      <c r="C30" s="1" t="s">
        <v>45</v>
      </c>
      <c r="D30" s="1" t="s">
        <v>46</v>
      </c>
    </row>
    <row r="31" spans="1:6" x14ac:dyDescent="0.25">
      <c r="B31">
        <v>0.1</v>
      </c>
      <c r="C31">
        <v>0.3</v>
      </c>
      <c r="D31">
        <f>1-C31-B31</f>
        <v>0.6</v>
      </c>
    </row>
    <row r="33" spans="1:6" x14ac:dyDescent="0.25">
      <c r="A33" s="9"/>
      <c r="B33" s="1" t="s">
        <v>110</v>
      </c>
    </row>
    <row r="34" spans="1:6" x14ac:dyDescent="0.25">
      <c r="B34" s="34" t="s">
        <v>79</v>
      </c>
      <c r="C34" s="34"/>
      <c r="D34" s="34"/>
    </row>
    <row r="35" spans="1:6" x14ac:dyDescent="0.25">
      <c r="B35" t="s">
        <v>119</v>
      </c>
      <c r="C35" t="s">
        <v>120</v>
      </c>
      <c r="D35" t="s">
        <v>121</v>
      </c>
      <c r="F35" s="1" t="s">
        <v>40</v>
      </c>
    </row>
    <row r="36" spans="1:6" x14ac:dyDescent="0.25">
      <c r="A36" t="s">
        <v>34</v>
      </c>
      <c r="B36" s="2">
        <v>0.90401467302498029</v>
      </c>
      <c r="C36" s="2">
        <v>0.62599917937409255</v>
      </c>
      <c r="D36" s="2">
        <v>0.61184830620790165</v>
      </c>
      <c r="F36">
        <f>SUMPRODUCT(B36:D36,$B$31:$D$31)</f>
        <v>0.64531020483946677</v>
      </c>
    </row>
    <row r="37" spans="1:6" x14ac:dyDescent="0.25">
      <c r="A37" t="s">
        <v>35</v>
      </c>
      <c r="B37" s="2">
        <v>4.4658153467628026E-2</v>
      </c>
      <c r="C37" s="2">
        <v>0.7041644096000742</v>
      </c>
      <c r="D37" s="2">
        <v>0.82173210902505889</v>
      </c>
      <c r="F37">
        <f t="shared" ref="F37:F40" si="2">SUMPRODUCT(B37:D37,$B$31:$D$31)</f>
        <v>0.7087544036418203</v>
      </c>
    </row>
    <row r="38" spans="1:6" x14ac:dyDescent="0.25">
      <c r="A38" t="s">
        <v>36</v>
      </c>
      <c r="B38" s="2">
        <v>0.18063911672301503</v>
      </c>
      <c r="C38" s="2">
        <v>0.98495135039078408</v>
      </c>
      <c r="D38" s="2">
        <v>0.5750844159009475</v>
      </c>
      <c r="F38">
        <f t="shared" si="2"/>
        <v>0.6585999663301052</v>
      </c>
    </row>
    <row r="39" spans="1:6" x14ac:dyDescent="0.25">
      <c r="A39" t="s">
        <v>37</v>
      </c>
      <c r="B39" s="2">
        <v>-0.4</v>
      </c>
      <c r="C39" s="2">
        <v>-0.233444202567411</v>
      </c>
      <c r="D39" s="2">
        <v>-0.10560333962351399</v>
      </c>
      <c r="F39">
        <f t="shared" si="2"/>
        <v>-0.17339526454433168</v>
      </c>
    </row>
    <row r="40" spans="1:6" x14ac:dyDescent="0.25">
      <c r="A40" t="s">
        <v>38</v>
      </c>
      <c r="B40" s="2">
        <v>0.39598616391096098</v>
      </c>
      <c r="C40" s="2">
        <v>0.16043503346653387</v>
      </c>
      <c r="D40" s="2">
        <v>0.69166584786558039</v>
      </c>
      <c r="F40">
        <f t="shared" si="2"/>
        <v>0.50272863515040445</v>
      </c>
    </row>
  </sheetData>
  <mergeCells count="3">
    <mergeCell ref="B7:D7"/>
    <mergeCell ref="B20:D20"/>
    <mergeCell ref="B34:D3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CostofCarry</vt:lpstr>
      <vt:lpstr>Fut-Stock Arb</vt:lpstr>
      <vt:lpstr>FactorModel</vt:lpstr>
      <vt:lpstr>VLookup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Nitin Aggarwal</dc:creator>
  <cp:lastModifiedBy>Nitin Aggarwal</cp:lastModifiedBy>
  <dcterms:created xsi:type="dcterms:W3CDTF">2019-02-02T12:08:17Z</dcterms:created>
  <dcterms:modified xsi:type="dcterms:W3CDTF">2021-02-06T07:59:52Z</dcterms:modified>
</cp:coreProperties>
</file>